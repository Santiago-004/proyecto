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y\Downloads\"/>
    </mc:Choice>
  </mc:AlternateContent>
  <xr:revisionPtr revIDLastSave="0" documentId="13_ncr:1_{F3D0D6C8-B162-4AE2-AB81-307BF8F64BA9}" xr6:coauthVersionLast="47" xr6:coauthVersionMax="47" xr10:uidLastSave="{00000000-0000-0000-0000-000000000000}"/>
  <bookViews>
    <workbookView xWindow="-110" yWindow="-110" windowWidth="19420" windowHeight="11500" xr2:uid="{8FD47F59-1A62-435E-B308-072C3B0AEB4E}"/>
  </bookViews>
  <sheets>
    <sheet name="PPAPs 2025" sheetId="2" r:id="rId1"/>
  </sheets>
  <definedNames>
    <definedName name="_xlnm._FilterDatabase" localSheetId="0" hidden="1">'PPAPs 2025'!$A$1:$AD$153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1" i="2" l="1"/>
  <c r="Y91" i="2" s="1"/>
  <c r="T95" i="2" l="1"/>
  <c r="X95" i="2" s="1"/>
  <c r="Y95" i="2" s="1"/>
  <c r="X146" i="2"/>
  <c r="T142" i="2"/>
  <c r="X142" i="2" s="1"/>
  <c r="Y142" i="2" s="1"/>
  <c r="T141" i="2"/>
  <c r="X126" i="2"/>
  <c r="Y126" i="2" s="1"/>
  <c r="X85" i="2"/>
  <c r="Y85" i="2" s="1"/>
  <c r="X52" i="2"/>
  <c r="Y52" i="2" s="1"/>
  <c r="T55" i="2"/>
  <c r="U55" i="2" s="1"/>
  <c r="X55" i="2"/>
  <c r="Y55" i="2" s="1"/>
  <c r="X46" i="2"/>
  <c r="Y46" i="2" s="1"/>
  <c r="X27" i="2"/>
  <c r="Y27" i="2" s="1"/>
  <c r="X145" i="2"/>
  <c r="Y145" i="2" s="1"/>
  <c r="X5" i="2"/>
  <c r="Y5" i="2" s="1"/>
  <c r="X119" i="2"/>
  <c r="Y119" i="2" s="1"/>
  <c r="X117" i="2"/>
  <c r="X49" i="2"/>
  <c r="X102" i="2"/>
  <c r="X66" i="2"/>
  <c r="X76" i="2"/>
  <c r="X40" i="2"/>
  <c r="X99" i="2"/>
  <c r="X44" i="2"/>
  <c r="Y44" i="2" s="1"/>
  <c r="X72" i="2"/>
  <c r="Y72" i="2" s="1"/>
  <c r="X47" i="2"/>
  <c r="Y47" i="2" s="1"/>
  <c r="X107" i="2"/>
  <c r="Y107" i="2" s="1"/>
  <c r="X19" i="2"/>
  <c r="Y19" i="2" s="1"/>
  <c r="X62" i="2"/>
  <c r="Y62" i="2" s="1"/>
  <c r="X59" i="2"/>
  <c r="Y59" i="2" s="1"/>
  <c r="X92" i="2"/>
  <c r="Y92" i="2" s="1"/>
  <c r="X78" i="2"/>
  <c r="Y78" i="2" s="1"/>
  <c r="X32" i="2"/>
  <c r="Y32" i="2" s="1"/>
  <c r="X14" i="2"/>
  <c r="Y14" i="2" s="1"/>
  <c r="X51" i="2"/>
  <c r="Y51" i="2" s="1"/>
  <c r="X139" i="2"/>
  <c r="Y139" i="2" s="1"/>
  <c r="X8" i="2"/>
  <c r="Y8" i="2" s="1"/>
  <c r="X54" i="2"/>
  <c r="Y54" i="2" s="1"/>
  <c r="X42" i="2"/>
  <c r="Y42" i="2" s="1"/>
  <c r="X20" i="2"/>
  <c r="Y20" i="2" s="1"/>
  <c r="X15" i="2"/>
  <c r="Y15" i="2" s="1"/>
  <c r="X18" i="2"/>
  <c r="Y18" i="2" s="1"/>
  <c r="X37" i="2"/>
  <c r="Y37" i="2" s="1"/>
  <c r="X90" i="2"/>
  <c r="Y90" i="2" s="1"/>
  <c r="X138" i="2"/>
  <c r="Y138" i="2" s="1"/>
  <c r="X109" i="2"/>
  <c r="Y109" i="2" s="1"/>
  <c r="X105" i="2"/>
  <c r="X103" i="2"/>
  <c r="X67" i="2"/>
  <c r="X33" i="2"/>
  <c r="X101" i="2"/>
  <c r="X80" i="2"/>
  <c r="X118" i="2"/>
  <c r="X23" i="2"/>
  <c r="X130" i="2"/>
  <c r="X71" i="2"/>
  <c r="X63" i="2"/>
  <c r="Y63" i="2" s="1"/>
  <c r="X110" i="2"/>
  <c r="X7" i="2"/>
  <c r="X87" i="2"/>
  <c r="X128" i="2"/>
  <c r="X84" i="2"/>
  <c r="X39" i="2"/>
  <c r="X28" i="2"/>
  <c r="X64" i="2"/>
  <c r="X12" i="2"/>
  <c r="X57" i="2"/>
  <c r="X34" i="2"/>
  <c r="Y34" i="2" s="1"/>
  <c r="X53" i="2"/>
  <c r="Y53" i="2" s="1"/>
  <c r="T105" i="2"/>
  <c r="U105" i="2" s="1"/>
  <c r="T100" i="2"/>
  <c r="U100" i="2" s="1"/>
  <c r="X100" i="2" s="1"/>
  <c r="Y100" i="2" s="1"/>
  <c r="T131" i="2"/>
  <c r="U131" i="2" s="1"/>
  <c r="X131" i="2" s="1"/>
  <c r="Y131" i="2" s="1"/>
  <c r="T36" i="2"/>
  <c r="U36" i="2" s="1"/>
  <c r="X36" i="2" s="1"/>
  <c r="Y36" i="2" s="1"/>
  <c r="T108" i="2"/>
  <c r="U108" i="2" s="1"/>
  <c r="X108" i="2" s="1"/>
  <c r="Y108" i="2" s="1"/>
  <c r="T118" i="2"/>
  <c r="U118" i="2" s="1"/>
  <c r="T80" i="2"/>
  <c r="U80" i="2" s="1"/>
  <c r="T101" i="2"/>
  <c r="U101" i="2" s="1"/>
  <c r="T33" i="2"/>
  <c r="U33" i="2" s="1"/>
  <c r="T67" i="2"/>
  <c r="U67" i="2" s="1"/>
  <c r="T103" i="2"/>
  <c r="U103" i="2" s="1"/>
  <c r="T25" i="2"/>
  <c r="U25" i="2" s="1"/>
  <c r="X25" i="2" s="1"/>
  <c r="Y25" i="2" s="1"/>
  <c r="T68" i="2"/>
  <c r="U68" i="2" s="1"/>
  <c r="X68" i="2" s="1"/>
  <c r="Y68" i="2" s="1"/>
  <c r="T111" i="2"/>
  <c r="U111" i="2" s="1"/>
  <c r="X111" i="2" s="1"/>
  <c r="Y111" i="2" s="1"/>
  <c r="T76" i="2"/>
  <c r="U76" i="2" s="1"/>
  <c r="T40" i="2"/>
  <c r="U40" i="2" s="1"/>
  <c r="T145" i="2"/>
  <c r="U145" i="2" s="1"/>
  <c r="T146" i="2"/>
  <c r="U146" i="2" s="1"/>
  <c r="T123" i="2"/>
  <c r="U123" i="2" s="1"/>
  <c r="T88" i="2"/>
  <c r="T99" i="2"/>
  <c r="U99" i="2" s="1"/>
  <c r="T119" i="2"/>
  <c r="U119" i="2" s="1"/>
  <c r="T66" i="2"/>
  <c r="U66" i="2" s="1"/>
  <c r="T102" i="2"/>
  <c r="U102" i="2" s="1"/>
  <c r="T49" i="2"/>
  <c r="U49" i="2" s="1"/>
  <c r="T117" i="2"/>
  <c r="U117" i="2" s="1"/>
  <c r="T5" i="2"/>
  <c r="U5" i="2" s="1"/>
  <c r="T23" i="2"/>
  <c r="U23" i="2" s="1"/>
  <c r="T134" i="2"/>
  <c r="U134" i="2" s="1"/>
  <c r="T65" i="2"/>
  <c r="U65" i="2" s="1"/>
  <c r="T30" i="2"/>
  <c r="U30" i="2" s="1"/>
  <c r="T71" i="2"/>
  <c r="U71" i="2" s="1"/>
  <c r="T130" i="2"/>
  <c r="U130" i="2" s="1"/>
  <c r="T34" i="2"/>
  <c r="U34" i="2" s="1"/>
  <c r="T58" i="2"/>
  <c r="U58" i="2" s="1"/>
  <c r="X58" i="2" s="1"/>
  <c r="Y58" i="2" s="1"/>
  <c r="T94" i="2"/>
  <c r="U94" i="2" s="1"/>
  <c r="X94" i="2" s="1"/>
  <c r="Y94" i="2" s="1"/>
  <c r="T9" i="2"/>
  <c r="U9" i="2" s="1"/>
  <c r="X9" i="2" s="1"/>
  <c r="Y9" i="2" s="1"/>
  <c r="T77" i="2"/>
  <c r="U77" i="2" s="1"/>
  <c r="X77" i="2" s="1"/>
  <c r="Y77" i="2" s="1"/>
  <c r="T115" i="2"/>
  <c r="U115" i="2" s="1"/>
  <c r="X115" i="2" s="1"/>
  <c r="Y115" i="2" s="1"/>
  <c r="T69" i="2"/>
  <c r="U69" i="2" s="1"/>
  <c r="X69" i="2" s="1"/>
  <c r="Y69" i="2" s="1"/>
  <c r="T63" i="2"/>
  <c r="U63" i="2" s="1"/>
  <c r="T22" i="2"/>
  <c r="U22" i="2" s="1"/>
  <c r="T86" i="2"/>
  <c r="U86" i="2" s="1"/>
  <c r="X86" i="2" s="1"/>
  <c r="Y86" i="2" s="1"/>
  <c r="T133" i="2"/>
  <c r="U133" i="2" s="1"/>
  <c r="X133" i="2" s="1"/>
  <c r="Y133" i="2" s="1"/>
  <c r="T13" i="2"/>
  <c r="U13" i="2" s="1"/>
  <c r="X13" i="2" s="1"/>
  <c r="Y13" i="2" s="1"/>
  <c r="T127" i="2"/>
  <c r="U127" i="2" s="1"/>
  <c r="X127" i="2" s="1"/>
  <c r="Y127" i="2" s="1"/>
  <c r="T43" i="2"/>
  <c r="U43" i="2" s="1"/>
  <c r="T114" i="2"/>
  <c r="U114" i="2" s="1"/>
  <c r="T74" i="2"/>
  <c r="U74" i="2" s="1"/>
  <c r="T28" i="2"/>
  <c r="U28" i="2" s="1"/>
  <c r="T39" i="2"/>
  <c r="U39" i="2" s="1"/>
  <c r="T84" i="2"/>
  <c r="U84" i="2" s="1"/>
  <c r="T128" i="2"/>
  <c r="U128" i="2" s="1"/>
  <c r="T73" i="2"/>
  <c r="U73" i="2" s="1"/>
  <c r="X73" i="2" s="1"/>
  <c r="Y73" i="2" s="1"/>
  <c r="T70" i="2"/>
  <c r="U70" i="2" s="1"/>
  <c r="X70" i="2" s="1"/>
  <c r="Y70" i="2" s="1"/>
  <c r="T61" i="2"/>
  <c r="U61" i="2" s="1"/>
  <c r="X61" i="2" s="1"/>
  <c r="Y61" i="2" s="1"/>
  <c r="T87" i="2"/>
  <c r="U87" i="2" s="1"/>
  <c r="T7" i="2"/>
  <c r="U7" i="2" s="1"/>
  <c r="T110" i="2"/>
  <c r="U110" i="2" s="1"/>
  <c r="T29" i="2"/>
  <c r="U29" i="2" s="1"/>
  <c r="X29" i="2" s="1"/>
  <c r="Y29" i="2" s="1"/>
  <c r="T113" i="2"/>
  <c r="U113" i="2" s="1"/>
  <c r="X113" i="2" s="1"/>
  <c r="Y113" i="2" s="1"/>
  <c r="T64" i="2"/>
  <c r="U64" i="2" s="1"/>
  <c r="T53" i="2"/>
  <c r="U53" i="2" s="1"/>
  <c r="T41" i="2"/>
  <c r="U41" i="2" s="1"/>
  <c r="T132" i="2"/>
  <c r="U132" i="2" s="1"/>
  <c r="T57" i="2"/>
  <c r="U57" i="2" s="1"/>
  <c r="T12" i="2"/>
  <c r="U12" i="2" s="1"/>
  <c r="T50" i="2"/>
  <c r="U50" i="2" s="1"/>
  <c r="X50" i="2" s="1"/>
  <c r="Y50" i="2" s="1"/>
  <c r="T106" i="2"/>
  <c r="U106" i="2" s="1"/>
  <c r="X106" i="2" s="1"/>
  <c r="Y106" i="2" s="1"/>
  <c r="T124" i="2"/>
  <c r="U124" i="2" s="1"/>
  <c r="X124" i="2" s="1"/>
  <c r="Y124" i="2" s="1"/>
  <c r="T96" i="2"/>
  <c r="U96" i="2" s="1"/>
  <c r="X96" i="2" s="1"/>
  <c r="Y96" i="2" s="1"/>
  <c r="T112" i="2"/>
  <c r="U112" i="2" s="1"/>
  <c r="U95" i="2" l="1"/>
  <c r="U142" i="2"/>
  <c r="U141" i="2"/>
  <c r="X141" i="2"/>
  <c r="Y141" i="2" s="1"/>
  <c r="X88" i="2"/>
  <c r="Y88" i="2" s="1"/>
  <c r="Y49" i="2"/>
  <c r="Y102" i="2"/>
  <c r="Y66" i="2"/>
  <c r="U88" i="2"/>
  <c r="Y67" i="2"/>
  <c r="X41" i="2"/>
  <c r="Y41" i="2" s="1"/>
  <c r="Y71" i="2"/>
  <c r="Y103" i="2"/>
  <c r="Y12" i="2"/>
  <c r="Y57" i="2"/>
  <c r="X112" i="2"/>
  <c r="Y112" i="2" s="1"/>
  <c r="Y128" i="2"/>
  <c r="Y130" i="2"/>
  <c r="Y105" i="2"/>
  <c r="Y64" i="2"/>
  <c r="Y33" i="2"/>
  <c r="Y101" i="2"/>
  <c r="Y110" i="2"/>
  <c r="Y80" i="2"/>
  <c r="Y7" i="2"/>
  <c r="Y118" i="2"/>
  <c r="Y39" i="2"/>
  <c r="Y84" i="2"/>
  <c r="Y23" i="2"/>
  <c r="Y117" i="2"/>
  <c r="Y87" i="2"/>
  <c r="X30" i="2"/>
  <c r="Y30" i="2" s="1"/>
  <c r="X65" i="2"/>
  <c r="Y65" i="2" s="1"/>
  <c r="Y76" i="2"/>
  <c r="X22" i="2"/>
  <c r="Y22" i="2" s="1"/>
  <c r="X134" i="2"/>
  <c r="Y134" i="2" s="1"/>
  <c r="Y99" i="2"/>
  <c r="Y40" i="2"/>
  <c r="Y28" i="2"/>
  <c r="X74" i="2"/>
  <c r="Y74" i="2" s="1"/>
  <c r="Y146" i="2"/>
  <c r="X43" i="2"/>
  <c r="Y43" i="2" s="1"/>
  <c r="X123" i="2"/>
  <c r="Y123" i="2" s="1"/>
  <c r="X114" i="2"/>
  <c r="Y114" i="2" s="1"/>
  <c r="X132" i="2"/>
  <c r="Y132" i="2" s="1"/>
</calcChain>
</file>

<file path=xl/sharedStrings.xml><?xml version="1.0" encoding="utf-8"?>
<sst xmlns="http://schemas.openxmlformats.org/spreadsheetml/2006/main" count="1286" uniqueCount="486">
  <si>
    <t>CUS NO.</t>
  </si>
  <si>
    <t>PPAP NO.</t>
  </si>
  <si>
    <t>CUSTOMER</t>
  </si>
  <si>
    <t>Contact</t>
  </si>
  <si>
    <t>OEM</t>
  </si>
  <si>
    <t>Country</t>
  </si>
  <si>
    <t>PPAP Level</t>
  </si>
  <si>
    <t>SAP No.</t>
  </si>
  <si>
    <t>Customer Part No.</t>
  </si>
  <si>
    <t>TAPE</t>
  </si>
  <si>
    <t>Width (MM)</t>
  </si>
  <si>
    <t>Length (M)</t>
  </si>
  <si>
    <t>COLOR</t>
  </si>
  <si>
    <t>IMDS ID no.</t>
  </si>
  <si>
    <t>INITIAL</t>
  </si>
  <si>
    <t>1) Returned from CTC
2) Sent to Customer</t>
  </si>
  <si>
    <t>1) PSW returned from Customer signed
2) Sent to CTC</t>
  </si>
  <si>
    <t>Renewal 
Date</t>
  </si>
  <si>
    <t>Sent to 
Customer</t>
  </si>
  <si>
    <t>1) PSW returned from Customer signed</t>
  </si>
  <si>
    <t>When to send Request to CTC</t>
  </si>
  <si>
    <t>PPAP from shipments</t>
  </si>
  <si>
    <t>PP00104</t>
  </si>
  <si>
    <t>PP00104-0001</t>
  </si>
  <si>
    <t>Textape</t>
  </si>
  <si>
    <t>Lili Velazquez</t>
  </si>
  <si>
    <t>DHS GM BEV</t>
  </si>
  <si>
    <t>USA</t>
  </si>
  <si>
    <t>Coroplast 8560</t>
  </si>
  <si>
    <t>BLK</t>
  </si>
  <si>
    <t>netsuite menciona CUS pn como CHT8560-9-25-BLK</t>
  </si>
  <si>
    <t>PP00094</t>
  </si>
  <si>
    <t>PP00094-0001</t>
  </si>
  <si>
    <t>Lisi Automotive</t>
  </si>
  <si>
    <t>Carlos de Lejia</t>
  </si>
  <si>
    <t>FORD</t>
  </si>
  <si>
    <t>MEX</t>
  </si>
  <si>
    <t>COMP-030</t>
  </si>
  <si>
    <t>8515X</t>
  </si>
  <si>
    <t>PP00026</t>
  </si>
  <si>
    <t>PP00026-0052</t>
  </si>
  <si>
    <t>SEWS (Sumitomo Electric Wiring Systems)</t>
  </si>
  <si>
    <t>Araceli Ortiz</t>
  </si>
  <si>
    <t>F/S</t>
  </si>
  <si>
    <t>PP00037</t>
  </si>
  <si>
    <t>PP00037-0004</t>
  </si>
  <si>
    <t>CVG (Commercial Vehicle Group)</t>
  </si>
  <si>
    <t>Itayetzy Vicentin</t>
  </si>
  <si>
    <t>8575X</t>
  </si>
  <si>
    <t>PP00082</t>
  </si>
  <si>
    <t>PP00082-0001</t>
  </si>
  <si>
    <t>Empire Electronics</t>
  </si>
  <si>
    <t>Larry Enamorado</t>
  </si>
  <si>
    <t>FORD CD539</t>
  </si>
  <si>
    <t>8575X-19-5-BLK</t>
  </si>
  <si>
    <t>PP00030</t>
  </si>
  <si>
    <t>PP00030-0018</t>
  </si>
  <si>
    <t>Flextronics</t>
  </si>
  <si>
    <t>Isidro Olea</t>
  </si>
  <si>
    <t>624279 25 00</t>
  </si>
  <si>
    <t>no aparece en netsuite</t>
  </si>
  <si>
    <t>PP00030-0019</t>
  </si>
  <si>
    <t>703086 19 00</t>
  </si>
  <si>
    <t>880X</t>
  </si>
  <si>
    <t>PP00106</t>
  </si>
  <si>
    <t>PP00106-0001</t>
  </si>
  <si>
    <t>Wiric Corporation</t>
  </si>
  <si>
    <t>Nancy Dominguez</t>
  </si>
  <si>
    <t>GM</t>
  </si>
  <si>
    <t>880X-19-5-BLK</t>
  </si>
  <si>
    <t>PP00092</t>
  </si>
  <si>
    <t>PP00092-0001</t>
  </si>
  <si>
    <t>Kent Manufacturing</t>
  </si>
  <si>
    <t>Carlos Coleman</t>
  </si>
  <si>
    <t>GMW 16740</t>
  </si>
  <si>
    <t>13.347.728</t>
  </si>
  <si>
    <t>838X</t>
  </si>
  <si>
    <t>50-3"</t>
  </si>
  <si>
    <t>netsuite menciona CUS pn como CORO 838X 9MM</t>
  </si>
  <si>
    <t>PP00045</t>
  </si>
  <si>
    <t>PP00045-0007</t>
  </si>
  <si>
    <t>AutoKabel of North America</t>
  </si>
  <si>
    <t>Anahi Alcaraz</t>
  </si>
  <si>
    <t>8375X</t>
  </si>
  <si>
    <t>PP00030-0020</t>
  </si>
  <si>
    <t>707597-19-00</t>
  </si>
  <si>
    <t>PP00096</t>
  </si>
  <si>
    <t>PP00096-0001</t>
  </si>
  <si>
    <t>Magna (OSLA SISTEMAS DE ILUMINACIÓN AUTOMOT.)</t>
  </si>
  <si>
    <t>Marcos Soto</t>
  </si>
  <si>
    <t>Stelliantis</t>
  </si>
  <si>
    <t>8550X</t>
  </si>
  <si>
    <t>PP00077</t>
  </si>
  <si>
    <t>PP00077-0001</t>
  </si>
  <si>
    <t>Cooper Standard</t>
  </si>
  <si>
    <t>Luis Angel Torres</t>
  </si>
  <si>
    <t>110010645A</t>
  </si>
  <si>
    <t>837X</t>
  </si>
  <si>
    <t>PP00037-0005</t>
  </si>
  <si>
    <t>PP00102</t>
  </si>
  <si>
    <t>PP00102-0001</t>
  </si>
  <si>
    <t>St. Clair Technologies</t>
  </si>
  <si>
    <t>Addair Arenas</t>
  </si>
  <si>
    <t>M1517</t>
  </si>
  <si>
    <t>*</t>
  </si>
  <si>
    <t>PP00076</t>
  </si>
  <si>
    <t>PP00076-0001</t>
  </si>
  <si>
    <t>Amphenol FCI/TCS</t>
  </si>
  <si>
    <t>Miguel Hernández</t>
  </si>
  <si>
    <t>Rivian</t>
  </si>
  <si>
    <t>10173843-001</t>
  </si>
  <si>
    <t>PP00045-0008</t>
  </si>
  <si>
    <t>Claudia Estrada</t>
  </si>
  <si>
    <t>AUDI</t>
  </si>
  <si>
    <t>PP00080</t>
  </si>
  <si>
    <t>PP00080-0001</t>
  </si>
  <si>
    <t>Dortec Industries (Magna Closures)</t>
  </si>
  <si>
    <t>Carrie Curry</t>
  </si>
  <si>
    <t>BMW</t>
  </si>
  <si>
    <t>3042004D</t>
  </si>
  <si>
    <t>PP00082-0002</t>
  </si>
  <si>
    <t>PP00030-0021</t>
  </si>
  <si>
    <t>837X-19-BK</t>
  </si>
  <si>
    <t>PP00101</t>
  </si>
  <si>
    <t>PP00101-0001</t>
  </si>
  <si>
    <t>Roush</t>
  </si>
  <si>
    <t>Lindsay Fisher</t>
  </si>
  <si>
    <t>13-396-0093</t>
  </si>
  <si>
    <t>PP00102-0003</t>
  </si>
  <si>
    <t>Doosan / Bobcat</t>
  </si>
  <si>
    <t>M1317</t>
  </si>
  <si>
    <t>PP00103</t>
  </si>
  <si>
    <t>PP00103-0001</t>
  </si>
  <si>
    <t>Telamon</t>
  </si>
  <si>
    <t>Holly Argast</t>
  </si>
  <si>
    <t>837X-19-25-BLK</t>
  </si>
  <si>
    <t>PP00102-0004</t>
  </si>
  <si>
    <t>Nadia Valenzuela</t>
  </si>
  <si>
    <t>M1528</t>
  </si>
  <si>
    <t>PP00102-0005</t>
  </si>
  <si>
    <t>FCA</t>
  </si>
  <si>
    <t>M1502</t>
  </si>
  <si>
    <t>PP00078</t>
  </si>
  <si>
    <t>PP00078-0001</t>
  </si>
  <si>
    <t>CTS (MAQ Holdings)</t>
  </si>
  <si>
    <t>Pedro Hernandez</t>
  </si>
  <si>
    <t>Stelliantis/GM</t>
  </si>
  <si>
    <t>810-88-004</t>
  </si>
  <si>
    <t>PP00082-0003</t>
  </si>
  <si>
    <t>PP00095</t>
  </si>
  <si>
    <t>PP00095-0001</t>
  </si>
  <si>
    <t>Littelfuse</t>
  </si>
  <si>
    <t>Gerardo Ballesteros</t>
  </si>
  <si>
    <t>Tesla</t>
  </si>
  <si>
    <t>24029-06-01</t>
  </si>
  <si>
    <t>PP00087</t>
  </si>
  <si>
    <t>PP00087-0001</t>
  </si>
  <si>
    <t>Huf</t>
  </si>
  <si>
    <t>Gabriel Lozano</t>
  </si>
  <si>
    <t>PP00026-0053</t>
  </si>
  <si>
    <t>PP00103-0002</t>
  </si>
  <si>
    <t>HONDA</t>
  </si>
  <si>
    <t>8551-19BLACK</t>
  </si>
  <si>
    <t>PP00030-0022</t>
  </si>
  <si>
    <t>705492 12 99</t>
  </si>
  <si>
    <t>WHT</t>
  </si>
  <si>
    <t>PP00037-0006</t>
  </si>
  <si>
    <t>8555X</t>
  </si>
  <si>
    <t>PP00103-0003</t>
  </si>
  <si>
    <t>AUDI/BMW</t>
  </si>
  <si>
    <t>PP00045-0009</t>
  </si>
  <si>
    <t>834MPX</t>
  </si>
  <si>
    <t>PP00033</t>
  </si>
  <si>
    <t>PP00033-0005</t>
  </si>
  <si>
    <t>Bizlink (Productos Excel de Mexico)</t>
  </si>
  <si>
    <t>Silvia Gonzalez</t>
  </si>
  <si>
    <t>122GO-002704-01</t>
  </si>
  <si>
    <t>PP00081</t>
  </si>
  <si>
    <t>PP00081-0001</t>
  </si>
  <si>
    <t>E&amp;K</t>
  </si>
  <si>
    <t>Carlos Diaz</t>
  </si>
  <si>
    <t>834-MPX</t>
  </si>
  <si>
    <t>PP00026-0054</t>
  </si>
  <si>
    <t>Ivette Delgado</t>
  </si>
  <si>
    <t>PP00045-0010</t>
  </si>
  <si>
    <t>Cynthia Heras</t>
  </si>
  <si>
    <t>PP00082-0004</t>
  </si>
  <si>
    <t>Ford</t>
  </si>
  <si>
    <t>512-19-25-WHT</t>
  </si>
  <si>
    <t>PP00083</t>
  </si>
  <si>
    <t>PP00083-0001</t>
  </si>
  <si>
    <t>Erich Jaeger</t>
  </si>
  <si>
    <t>José García</t>
  </si>
  <si>
    <t>057225</t>
  </si>
  <si>
    <t>651 MSX PVC</t>
  </si>
  <si>
    <t>PP00076-0002</t>
  </si>
  <si>
    <t>10173694-001</t>
  </si>
  <si>
    <t>ORG</t>
  </si>
  <si>
    <t>PP00045-0011</t>
  </si>
  <si>
    <t>Emily Gray</t>
  </si>
  <si>
    <t>PP00030-0023</t>
  </si>
  <si>
    <t>704206 19 33</t>
  </si>
  <si>
    <t>PP00070</t>
  </si>
  <si>
    <t>PP00070-0004</t>
  </si>
  <si>
    <t>AGM Automotive/Flex</t>
  </si>
  <si>
    <t>Michael Montoya</t>
  </si>
  <si>
    <t>Costa Rica</t>
  </si>
  <si>
    <t>704206OR</t>
  </si>
  <si>
    <t>PP00100</t>
  </si>
  <si>
    <t>PP00100-0001</t>
  </si>
  <si>
    <t>Rosenberger Mexico</t>
  </si>
  <si>
    <t>Osvaldo Lopez</t>
  </si>
  <si>
    <t>PP00026-0055</t>
  </si>
  <si>
    <t>PP00045-0012</t>
  </si>
  <si>
    <t>PP00085</t>
  </si>
  <si>
    <t>PP00085-0001</t>
  </si>
  <si>
    <t>Fraenkische USA</t>
  </si>
  <si>
    <t>Edgar Plascencia</t>
  </si>
  <si>
    <t>49070304AA</t>
  </si>
  <si>
    <t>PP00045-0013</t>
  </si>
  <si>
    <t>PP00045-0014</t>
  </si>
  <si>
    <t>PP00082-0005</t>
  </si>
  <si>
    <t>Scarleth Benitez</t>
  </si>
  <si>
    <t>8375X-ORANGE</t>
  </si>
  <si>
    <t>PP00085-0002</t>
  </si>
  <si>
    <t>Bertie Baxter / Luis Peinado</t>
  </si>
  <si>
    <t>31/11/20</t>
  </si>
  <si>
    <t>PP00088</t>
  </si>
  <si>
    <t>PP00088-0001</t>
  </si>
  <si>
    <t>Hutchinson</t>
  </si>
  <si>
    <t>Jorge Mirell</t>
  </si>
  <si>
    <t>510199A</t>
  </si>
  <si>
    <t>29/8/25</t>
  </si>
  <si>
    <t>PP00045-0015</t>
  </si>
  <si>
    <t>839X</t>
  </si>
  <si>
    <t>PP00030-0024</t>
  </si>
  <si>
    <t>642268 19 00</t>
  </si>
  <si>
    <t>PP00105</t>
  </si>
  <si>
    <t>PP00105-0001</t>
  </si>
  <si>
    <t>Tristone Flowtech Mexico</t>
  </si>
  <si>
    <t>Berenice Baca</t>
  </si>
  <si>
    <t>Lucid Motors</t>
  </si>
  <si>
    <t>1000022195A0</t>
  </si>
  <si>
    <t>PP00068</t>
  </si>
  <si>
    <t>PP00068-0002</t>
  </si>
  <si>
    <t>EDS Manufacturing</t>
  </si>
  <si>
    <t>Rosa Isela</t>
  </si>
  <si>
    <t>8310SE</t>
  </si>
  <si>
    <t>PP00082-0006</t>
  </si>
  <si>
    <t>NISSAN L02D</t>
  </si>
  <si>
    <t>8310SE-19-25-BLK</t>
  </si>
  <si>
    <t>PP00064</t>
  </si>
  <si>
    <t>PP00064-0003</t>
  </si>
  <si>
    <t>Voltaira</t>
  </si>
  <si>
    <t>PP00030-0025</t>
  </si>
  <si>
    <t>648145 19 99</t>
  </si>
  <si>
    <t>PP00033-0006</t>
  </si>
  <si>
    <t>122G0-003092-01</t>
  </si>
  <si>
    <t>835X</t>
  </si>
  <si>
    <t>PP00098</t>
  </si>
  <si>
    <t>PP00098-0001</t>
  </si>
  <si>
    <t>Pak-Rite Industries</t>
  </si>
  <si>
    <t>Krystal Watkins</t>
  </si>
  <si>
    <t>KB3T-1A303-BA</t>
  </si>
  <si>
    <t>PP00026-0056</t>
  </si>
  <si>
    <t>PP00103-0004</t>
  </si>
  <si>
    <t>835X-19BLACK</t>
  </si>
  <si>
    <t>PP00103-0005</t>
  </si>
  <si>
    <t>837X-9-25-BLK</t>
  </si>
  <si>
    <t>PP00030-0026</t>
  </si>
  <si>
    <t>1238X</t>
  </si>
  <si>
    <t>SLV</t>
  </si>
  <si>
    <t>PP00082-0007</t>
  </si>
  <si>
    <t>839-9WHT</t>
  </si>
  <si>
    <t>PP00089</t>
  </si>
  <si>
    <t>PP00089-0001</t>
  </si>
  <si>
    <t>Intercomp</t>
  </si>
  <si>
    <t>Jesus Romero</t>
  </si>
  <si>
    <t>TE Connectivity</t>
  </si>
  <si>
    <t>2308985-1</t>
  </si>
  <si>
    <t>netsuite menciona CUS pn como 837-9-25</t>
  </si>
  <si>
    <t>PP00030-0027</t>
  </si>
  <si>
    <t>704206 25 33</t>
  </si>
  <si>
    <t>PP00036</t>
  </si>
  <si>
    <t>PP00036-0030</t>
  </si>
  <si>
    <t>Electrical Components International</t>
  </si>
  <si>
    <t>Nancy Garcia</t>
  </si>
  <si>
    <t>HYSTER</t>
  </si>
  <si>
    <t>TAPE252</t>
  </si>
  <si>
    <t>832MPX RT</t>
  </si>
  <si>
    <t>PP00082-0008</t>
  </si>
  <si>
    <t>GM/Honda R233</t>
  </si>
  <si>
    <t>832MPX-RT</t>
  </si>
  <si>
    <t>PP00090</t>
  </si>
  <si>
    <t>PP00090-0001</t>
  </si>
  <si>
    <t>Julian Electric</t>
  </si>
  <si>
    <t>Luz Hernancez</t>
  </si>
  <si>
    <t>JLG &amp; Gradall</t>
  </si>
  <si>
    <t>832 MPX-RT R 10</t>
  </si>
  <si>
    <t>PP00026-0057</t>
  </si>
  <si>
    <t>Cesar Javier</t>
  </si>
  <si>
    <t>PP00030-0028</t>
  </si>
  <si>
    <t>710031-19-00</t>
  </si>
  <si>
    <t>PP00026-0058</t>
  </si>
  <si>
    <t>PP00082-0009</t>
  </si>
  <si>
    <t>Marco Jimenez</t>
  </si>
  <si>
    <t>8550-19-25-BLK</t>
  </si>
  <si>
    <t>PP00103-0006</t>
  </si>
  <si>
    <t>8550-19Black</t>
  </si>
  <si>
    <t>PP00086</t>
  </si>
  <si>
    <t>PP00086-0001</t>
  </si>
  <si>
    <t>GG Cables and Wires (Mexico S de RL de CV)</t>
  </si>
  <si>
    <t>Victor Cortes</t>
  </si>
  <si>
    <t>Stellantis</t>
  </si>
  <si>
    <t>837X RT</t>
  </si>
  <si>
    <t>PP00037-0007</t>
  </si>
  <si>
    <t>ZOOX, Hae¿rbinger, John Deere, Caterpillar</t>
  </si>
  <si>
    <t>BLK RT</t>
  </si>
  <si>
    <t>PP00037-0008</t>
  </si>
  <si>
    <t>PP00036-0031</t>
  </si>
  <si>
    <t>Gabriela Talamantes</t>
  </si>
  <si>
    <t>TAPE42</t>
  </si>
  <si>
    <t>PP00082-0010</t>
  </si>
  <si>
    <t>505-19-25-RED</t>
  </si>
  <si>
    <t>RED</t>
  </si>
  <si>
    <t>PP00029</t>
  </si>
  <si>
    <t>PP00029-0019</t>
  </si>
  <si>
    <t>Angstrom Electric, LLC light</t>
  </si>
  <si>
    <t>Iris Terrazas</t>
  </si>
  <si>
    <t>ZRM-982368-10</t>
  </si>
  <si>
    <t>PP00082-0011</t>
  </si>
  <si>
    <t>VM/NISSAN/GM/FORD</t>
  </si>
  <si>
    <t>Coroplast 512</t>
  </si>
  <si>
    <t>PP00026-0059</t>
  </si>
  <si>
    <t>PP00068-0003</t>
  </si>
  <si>
    <t>512-19-0</t>
  </si>
  <si>
    <t>PP00045-0016</t>
  </si>
  <si>
    <t>AUDI/VW</t>
  </si>
  <si>
    <t>833MPX</t>
  </si>
  <si>
    <t>PP00026-0060</t>
  </si>
  <si>
    <t>PP00102-0006</t>
  </si>
  <si>
    <t>Cinthya Perez</t>
  </si>
  <si>
    <t>Caterpillar</t>
  </si>
  <si>
    <t>M1514</t>
  </si>
  <si>
    <t>PP00079</t>
  </si>
  <si>
    <t>PP00079-0001</t>
  </si>
  <si>
    <t>Curt Group</t>
  </si>
  <si>
    <t>CME-M546</t>
  </si>
  <si>
    <t>PP00030-0029</t>
  </si>
  <si>
    <t>701490 19 00</t>
  </si>
  <si>
    <t>PP00026-0061</t>
  </si>
  <si>
    <t>stelliantis</t>
  </si>
  <si>
    <t>PP00045-0017</t>
  </si>
  <si>
    <t>832MPX</t>
  </si>
  <si>
    <t>PP00033-0009</t>
  </si>
  <si>
    <t>122G0-003533-01</t>
  </si>
  <si>
    <t>PP00037-0009</t>
  </si>
  <si>
    <t>PP00026-0062</t>
  </si>
  <si>
    <t>PP00104-0002</t>
  </si>
  <si>
    <t>LANG-MEKRA</t>
  </si>
  <si>
    <t>CHT832MPXBK-750</t>
  </si>
  <si>
    <t>PP00103-0007</t>
  </si>
  <si>
    <t>8550-19White</t>
  </si>
  <si>
    <t>PP00026-0063</t>
  </si>
  <si>
    <t>PP00103-0008</t>
  </si>
  <si>
    <t>8551-9BLACK</t>
  </si>
  <si>
    <t>PP00104-0003</t>
  </si>
  <si>
    <t>GMC</t>
  </si>
  <si>
    <t>Coroplast 8551</t>
  </si>
  <si>
    <t>netsuite menciona CU pn como CHT8551BK-354</t>
  </si>
  <si>
    <t>PP00104-0004</t>
  </si>
  <si>
    <t>CHT8555X-25MM</t>
  </si>
  <si>
    <t>PP00045-0018</t>
  </si>
  <si>
    <t>PP00030-0030</t>
  </si>
  <si>
    <t>648145 19 00</t>
  </si>
  <si>
    <t>PP00103-0009</t>
  </si>
  <si>
    <t>317-19BLACK</t>
  </si>
  <si>
    <t>PP00105-0002</t>
  </si>
  <si>
    <t>1000021549A0</t>
  </si>
  <si>
    <t>PP00082-0012</t>
  </si>
  <si>
    <t>FORD CX727/Toyota 780B</t>
  </si>
  <si>
    <t>Coroplast 839</t>
  </si>
  <si>
    <t>PP00103-0010</t>
  </si>
  <si>
    <t>839-9Black</t>
  </si>
  <si>
    <t>PP00076-0003</t>
  </si>
  <si>
    <t>Fluence</t>
  </si>
  <si>
    <t>10164237-001</t>
  </si>
  <si>
    <t>PP00082-0013</t>
  </si>
  <si>
    <t>GM/FORD</t>
  </si>
  <si>
    <t>839-19-25-BLK</t>
  </si>
  <si>
    <t>PP00083-0002</t>
  </si>
  <si>
    <t>053346</t>
  </si>
  <si>
    <t>PP00030-0031</t>
  </si>
  <si>
    <t>PP00033-0008</t>
  </si>
  <si>
    <t>122G0-004059-01</t>
  </si>
  <si>
    <t>PP00026-0064</t>
  </si>
  <si>
    <t>PP00103-0011</t>
  </si>
  <si>
    <t>835X-9-25BLK</t>
  </si>
  <si>
    <t>PP00026-0065</t>
  </si>
  <si>
    <t>PP00078-0002</t>
  </si>
  <si>
    <t>810-88-008</t>
  </si>
  <si>
    <t>PP00030-0032</t>
  </si>
  <si>
    <t>710065-25-00</t>
  </si>
  <si>
    <t>PP00030-0033</t>
  </si>
  <si>
    <t>634421-25-00</t>
  </si>
  <si>
    <t>651MSX</t>
  </si>
  <si>
    <t>PP00026-0066</t>
  </si>
  <si>
    <t>Pablo Legorreta</t>
  </si>
  <si>
    <t>PP00045-0019</t>
  </si>
  <si>
    <t>PP00093</t>
  </si>
  <si>
    <t>PP00093-0001</t>
  </si>
  <si>
    <t>Kongsberg (Actuation Systems)</t>
  </si>
  <si>
    <t>Abigail Cardenas</t>
  </si>
  <si>
    <t>RA1001210121</t>
  </si>
  <si>
    <t>PP00082-0014</t>
  </si>
  <si>
    <t>505-19-25-BLU</t>
  </si>
  <si>
    <t>BLU</t>
  </si>
  <si>
    <t>PP00029-0020</t>
  </si>
  <si>
    <t>ZRM-982368-09</t>
  </si>
  <si>
    <t>PP00036-0032</t>
  </si>
  <si>
    <t>TAPE19Y</t>
  </si>
  <si>
    <t>YEL</t>
  </si>
  <si>
    <t>PP00068--0004</t>
  </si>
  <si>
    <t>505-19-4</t>
  </si>
  <si>
    <t>PP00090-0002</t>
  </si>
  <si>
    <t>Javier Garcia</t>
  </si>
  <si>
    <t>C16-00</t>
  </si>
  <si>
    <t>PP00102-0007</t>
  </si>
  <si>
    <t>M1372-BE</t>
  </si>
  <si>
    <t>PP00045-0020</t>
  </si>
  <si>
    <t>1288X</t>
  </si>
  <si>
    <t>PP00030-0034</t>
  </si>
  <si>
    <t>segundo envío-05.08.25</t>
  </si>
  <si>
    <t>PP00100-0002</t>
  </si>
  <si>
    <t>Tape 8520</t>
  </si>
  <si>
    <t>PP00084</t>
  </si>
  <si>
    <t>PP00084-0001</t>
  </si>
  <si>
    <t>Falcon Lakeside</t>
  </si>
  <si>
    <t>Jennifer Sil</t>
  </si>
  <si>
    <t>AVY47654</t>
  </si>
  <si>
    <t>PP00099</t>
  </si>
  <si>
    <t>PP00099-0001</t>
  </si>
  <si>
    <t>Prettl</t>
  </si>
  <si>
    <t>PP00064-0004</t>
  </si>
  <si>
    <t>DTNA</t>
  </si>
  <si>
    <t>CP-TKB0532</t>
  </si>
  <si>
    <t>PP00045-0021</t>
  </si>
  <si>
    <t>000686S101</t>
  </si>
  <si>
    <t>PP00085-0003</t>
  </si>
  <si>
    <t>49070303AA</t>
  </si>
  <si>
    <t>PP00045-0022</t>
  </si>
  <si>
    <t>PP00045-0023</t>
  </si>
  <si>
    <t>PP00045-0024</t>
  </si>
  <si>
    <t>PP00091</t>
  </si>
  <si>
    <t>PP00091-0001</t>
  </si>
  <si>
    <t>Kalas Manufacturing</t>
  </si>
  <si>
    <t>Matt Zeamer</t>
  </si>
  <si>
    <t>Prevost</t>
  </si>
  <si>
    <t>GRY</t>
  </si>
  <si>
    <t>PP00091-0002</t>
  </si>
  <si>
    <t>PP00026-0067</t>
  </si>
  <si>
    <t>CP-TKB0924 / 837X</t>
  </si>
  <si>
    <t>5mm</t>
  </si>
  <si>
    <t>25mm</t>
  </si>
  <si>
    <t>PP00026-0068</t>
  </si>
  <si>
    <t>PP00082-0015</t>
  </si>
  <si>
    <t>Vanja Romero</t>
  </si>
  <si>
    <t>503-19-25-BLK</t>
  </si>
  <si>
    <t>PP00030-0035</t>
  </si>
  <si>
    <t>704206 25 00</t>
  </si>
  <si>
    <t>PP00097</t>
  </si>
  <si>
    <t>PP00097-0001</t>
  </si>
  <si>
    <t>Marian Chicago</t>
  </si>
  <si>
    <t>Ryan Oakes</t>
  </si>
  <si>
    <t>PP00086-0002</t>
  </si>
  <si>
    <t>Marcos Marquez</t>
  </si>
  <si>
    <t>PP00086-0003</t>
  </si>
  <si>
    <t>PP00045-0025</t>
  </si>
  <si>
    <t>PP00045-0026</t>
  </si>
  <si>
    <t>Karla Medellin</t>
  </si>
  <si>
    <t>837X LT1 365mm perf</t>
  </si>
  <si>
    <t>837X LT1 425mm perf</t>
  </si>
  <si>
    <t>839-12BLACKTIW</t>
  </si>
  <si>
    <t>Customer PN "19507220000" no esta en la base de datos</t>
  </si>
  <si>
    <t>Cliente "Littlefuse" no esta en la base de datos</t>
  </si>
  <si>
    <t>Cual CUS es Bizlink - Mexico?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</si>
</sst>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0" fontId="3" fillId="0" borderId="0" xfId="0" applyFont="1"/>
    <xf numFmtId="0" fontId="3" fillId="0" borderId="2" xfId="1" applyFont="1" applyFill="1" applyBorder="1" applyAlignment="1">
      <alignment horizontal="left"/>
    </xf>
    <xf numFmtId="0" fontId="3" fillId="0" borderId="2" xfId="1" applyFont="1" applyFill="1" applyBorder="1" applyAlignment="1">
      <alignment horizontal="center"/>
    </xf>
    <xf numFmtId="14" fontId="3" fillId="0" borderId="2" xfId="1" applyNumberFormat="1" applyFont="1" applyFill="1" applyBorder="1" applyAlignment="1">
      <alignment horizontal="center"/>
    </xf>
    <xf numFmtId="14" fontId="3" fillId="0" borderId="2" xfId="1" applyNumberFormat="1" applyFont="1" applyFill="1" applyBorder="1" applyAlignment="1">
      <alignment horizontal="left"/>
    </xf>
    <xf numFmtId="0" fontId="3" fillId="0" borderId="2" xfId="1" applyFont="1" applyFill="1" applyBorder="1"/>
    <xf numFmtId="0" fontId="3" fillId="0" borderId="2" xfId="2" applyFont="1" applyFill="1" applyBorder="1" applyAlignment="1">
      <alignment horizontal="left" vertical="center"/>
    </xf>
    <xf numFmtId="0" fontId="3" fillId="0" borderId="2" xfId="2" applyFont="1" applyFill="1" applyBorder="1" applyAlignment="1">
      <alignment horizontal="left"/>
    </xf>
    <xf numFmtId="0" fontId="3" fillId="0" borderId="2" xfId="2" applyFont="1" applyFill="1" applyBorder="1" applyAlignment="1">
      <alignment horizontal="center"/>
    </xf>
    <xf numFmtId="14" fontId="3" fillId="0" borderId="2" xfId="2" applyNumberFormat="1" applyFont="1" applyFill="1" applyBorder="1" applyAlignment="1">
      <alignment horizontal="center"/>
    </xf>
    <xf numFmtId="14" fontId="3" fillId="0" borderId="2" xfId="2" applyNumberFormat="1" applyFont="1" applyFill="1" applyBorder="1"/>
    <xf numFmtId="14" fontId="3" fillId="0" borderId="2" xfId="2" applyNumberFormat="1" applyFont="1" applyFill="1" applyBorder="1" applyAlignment="1">
      <alignment horizontal="left"/>
    </xf>
    <xf numFmtId="0" fontId="3" fillId="0" borderId="1" xfId="2" applyFont="1" applyFill="1" applyBorder="1" applyAlignment="1">
      <alignment horizontal="left"/>
    </xf>
    <xf numFmtId="0" fontId="3" fillId="0" borderId="2" xfId="2" applyFont="1" applyFill="1" applyBorder="1"/>
    <xf numFmtId="0" fontId="3" fillId="0" borderId="2" xfId="1" applyFont="1" applyFill="1" applyBorder="1" applyAlignment="1">
      <alignment horizontal="left" vertical="center"/>
    </xf>
    <xf numFmtId="14" fontId="3" fillId="0" borderId="2" xfId="1" applyNumberFormat="1" applyFont="1" applyFill="1" applyBorder="1"/>
    <xf numFmtId="14" fontId="3" fillId="0" borderId="1" xfId="1" applyNumberFormat="1" applyFont="1" applyFill="1" applyBorder="1" applyAlignment="1">
      <alignment horizontal="left"/>
    </xf>
    <xf numFmtId="14" fontId="3" fillId="0" borderId="1" xfId="2" applyNumberFormat="1" applyFont="1" applyFill="1" applyBorder="1" applyAlignment="1">
      <alignment horizontal="left"/>
    </xf>
    <xf numFmtId="0" fontId="3" fillId="0" borderId="1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3" borderId="2" xfId="2" applyBorder="1" applyAlignment="1">
      <alignment horizontal="left" vertical="center"/>
    </xf>
    <xf numFmtId="0" fontId="2" fillId="3" borderId="2" xfId="2" applyBorder="1" applyAlignment="1">
      <alignment horizontal="left"/>
    </xf>
    <xf numFmtId="0" fontId="2" fillId="3" borderId="2" xfId="2" applyBorder="1" applyAlignment="1">
      <alignment horizontal="center"/>
    </xf>
    <xf numFmtId="14" fontId="2" fillId="3" borderId="2" xfId="2" applyNumberFormat="1" applyBorder="1" applyAlignment="1">
      <alignment horizontal="center"/>
    </xf>
    <xf numFmtId="14" fontId="2" fillId="3" borderId="2" xfId="2" applyNumberFormat="1" applyBorder="1"/>
    <xf numFmtId="0" fontId="2" fillId="3" borderId="2" xfId="2" applyBorder="1"/>
    <xf numFmtId="14" fontId="2" fillId="3" borderId="2" xfId="2" applyNumberFormat="1" applyBorder="1" applyAlignment="1">
      <alignment horizontal="left"/>
    </xf>
    <xf numFmtId="0" fontId="2" fillId="3" borderId="1" xfId="2" applyBorder="1" applyAlignment="1">
      <alignment horizontal="left"/>
    </xf>
    <xf numFmtId="14" fontId="2" fillId="3" borderId="1" xfId="2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2" fillId="3" borderId="2" xfId="2" applyBorder="1" applyAlignment="1">
      <alignment horizontal="center" vertical="center"/>
    </xf>
    <xf numFmtId="14" fontId="2" fillId="3" borderId="2" xfId="2" applyNumberFormat="1" applyBorder="1" applyAlignment="1">
      <alignment horizontal="right"/>
    </xf>
    <xf numFmtId="0" fontId="2" fillId="3" borderId="2" xfId="2" applyBorder="1" applyAlignment="1">
      <alignment horizontal="left" vertical="center" wrapText="1"/>
    </xf>
    <xf numFmtId="14" fontId="2" fillId="3" borderId="1" xfId="2" applyNumberFormat="1" applyBorder="1" applyAlignment="1">
      <alignment horizontal="center"/>
    </xf>
    <xf numFmtId="0" fontId="1" fillId="2" borderId="2" xfId="1" applyBorder="1" applyAlignment="1">
      <alignment horizontal="left" vertical="center"/>
    </xf>
    <xf numFmtId="0" fontId="1" fillId="2" borderId="2" xfId="1" applyBorder="1" applyAlignment="1">
      <alignment horizontal="left"/>
    </xf>
    <xf numFmtId="0" fontId="1" fillId="2" borderId="2" xfId="1" applyBorder="1" applyAlignment="1">
      <alignment horizontal="center"/>
    </xf>
    <xf numFmtId="14" fontId="1" fillId="2" borderId="2" xfId="1" applyNumberFormat="1" applyBorder="1" applyAlignment="1">
      <alignment horizontal="center"/>
    </xf>
    <xf numFmtId="14" fontId="1" fillId="2" borderId="2" xfId="1" applyNumberFormat="1" applyBorder="1"/>
    <xf numFmtId="14" fontId="1" fillId="2" borderId="2" xfId="1" applyNumberFormat="1" applyBorder="1" applyAlignment="1">
      <alignment horizontal="left"/>
    </xf>
    <xf numFmtId="0" fontId="1" fillId="2" borderId="1" xfId="1" applyBorder="1" applyAlignment="1">
      <alignment horizontal="left"/>
    </xf>
    <xf numFmtId="14" fontId="1" fillId="2" borderId="1" xfId="1" applyNumberFormat="1" applyBorder="1" applyAlignment="1">
      <alignment horizontal="left"/>
    </xf>
    <xf numFmtId="0" fontId="1" fillId="2" borderId="2" xfId="1" applyBorder="1"/>
    <xf numFmtId="14" fontId="6" fillId="3" borderId="2" xfId="2" applyNumberFormat="1" applyFont="1" applyBorder="1"/>
    <xf numFmtId="0" fontId="6" fillId="3" borderId="2" xfId="2" applyFont="1" applyBorder="1"/>
    <xf numFmtId="0" fontId="1" fillId="2" borderId="2" xfId="1" applyBorder="1" applyAlignment="1">
      <alignment horizontal="center" vertical="center"/>
    </xf>
    <xf numFmtId="14" fontId="7" fillId="0" borderId="2" xfId="2" applyNumberFormat="1" applyFont="1" applyFill="1" applyBorder="1"/>
    <xf numFmtId="14" fontId="1" fillId="2" borderId="2" xfId="1" applyNumberFormat="1" applyBorder="1" applyAlignment="1">
      <alignment horizontal="right"/>
    </xf>
    <xf numFmtId="0" fontId="7" fillId="0" borderId="2" xfId="2" applyFont="1" applyFill="1" applyBorder="1" applyAlignment="1">
      <alignment horizontal="left" vertical="center"/>
    </xf>
    <xf numFmtId="0" fontId="7" fillId="0" borderId="2" xfId="2" applyFont="1" applyFill="1" applyBorder="1" applyAlignment="1">
      <alignment horizontal="left"/>
    </xf>
    <xf numFmtId="0" fontId="7" fillId="0" borderId="2" xfId="2" applyFont="1" applyFill="1" applyBorder="1" applyAlignment="1">
      <alignment horizontal="center"/>
    </xf>
    <xf numFmtId="14" fontId="7" fillId="0" borderId="2" xfId="2" applyNumberFormat="1" applyFont="1" applyFill="1" applyBorder="1" applyAlignment="1">
      <alignment horizontal="center"/>
    </xf>
    <xf numFmtId="14" fontId="7" fillId="0" borderId="2" xfId="2" applyNumberFormat="1" applyFont="1" applyFill="1" applyBorder="1" applyAlignment="1">
      <alignment horizontal="left"/>
    </xf>
    <xf numFmtId="14" fontId="7" fillId="0" borderId="1" xfId="2" applyNumberFormat="1" applyFont="1" applyFill="1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2" xfId="1" applyBorder="1" applyAlignment="1">
      <alignment horizontal="left" vertical="center" wrapText="1"/>
    </xf>
    <xf numFmtId="0" fontId="2" fillId="3" borderId="2" xfId="2" quotePrefix="1" applyBorder="1" applyAlignment="1">
      <alignment horizontal="left" vertical="center"/>
    </xf>
    <xf numFmtId="0" fontId="1" fillId="2" borderId="1" xfId="1" applyBorder="1" applyAlignment="1">
      <alignment horizontal="center"/>
    </xf>
    <xf numFmtId="0" fontId="2" fillId="3" borderId="1" xfId="2" applyBorder="1"/>
    <xf numFmtId="0" fontId="8" fillId="2" borderId="2" xfId="1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14" fontId="3" fillId="0" borderId="0" xfId="2" applyNumberFormat="1" applyFont="1" applyFill="1" applyBorder="1" applyAlignment="1">
      <alignment horizontal="left"/>
    </xf>
    <xf numFmtId="14" fontId="3" fillId="0" borderId="0" xfId="1" applyNumberFormat="1" applyFont="1" applyFill="1" applyBorder="1" applyAlignment="1">
      <alignment horizontal="left"/>
    </xf>
    <xf numFmtId="14" fontId="7" fillId="0" borderId="0" xfId="2" applyNumberFormat="1" applyFont="1" applyFill="1" applyBorder="1" applyAlignment="1">
      <alignment horizontal="left"/>
    </xf>
    <xf numFmtId="0" fontId="3" fillId="0" borderId="0" xfId="1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center"/>
    </xf>
    <xf numFmtId="14" fontId="2" fillId="0" borderId="0" xfId="2" applyNumberFormat="1" applyFill="1" applyBorder="1" applyAlignment="1">
      <alignment horizontal="center"/>
    </xf>
    <xf numFmtId="14" fontId="1" fillId="0" borderId="0" xfId="1" applyNumberFormat="1" applyFill="1" applyBorder="1" applyAlignment="1">
      <alignment horizontal="left"/>
    </xf>
    <xf numFmtId="0" fontId="2" fillId="0" borderId="0" xfId="2" applyFill="1" applyBorder="1" applyAlignment="1">
      <alignment horizontal="left"/>
    </xf>
    <xf numFmtId="14" fontId="2" fillId="0" borderId="0" xfId="2" applyNumberFormat="1" applyFill="1" applyBorder="1" applyAlignment="1">
      <alignment horizontal="left"/>
    </xf>
    <xf numFmtId="0" fontId="1" fillId="0" borderId="0" xfId="1" applyFill="1" applyBorder="1" applyAlignment="1">
      <alignment horizontal="left"/>
    </xf>
    <xf numFmtId="0" fontId="1" fillId="0" borderId="0" xfId="1" applyFill="1" applyBorder="1" applyAlignment="1">
      <alignment horizontal="center"/>
    </xf>
    <xf numFmtId="0" fontId="9" fillId="0" borderId="2" xfId="1" applyFont="1" applyFill="1" applyBorder="1" applyAlignment="1">
      <alignment horizontal="center"/>
    </xf>
    <xf numFmtId="0" fontId="7" fillId="0" borderId="2" xfId="2" applyFont="1" applyFill="1" applyBorder="1"/>
    <xf numFmtId="14" fontId="10" fillId="2" borderId="2" xfId="1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2" applyFont="1" applyFill="1" applyBorder="1"/>
    <xf numFmtId="0" fontId="1" fillId="2" borderId="5" xfId="1" applyBorder="1" applyAlignment="1">
      <alignment horizontal="left"/>
    </xf>
    <xf numFmtId="0" fontId="1" fillId="2" borderId="5" xfId="1" applyBorder="1" applyAlignment="1">
      <alignment horizontal="center"/>
    </xf>
    <xf numFmtId="14" fontId="1" fillId="2" borderId="5" xfId="1" applyNumberFormat="1" applyBorder="1" applyAlignment="1">
      <alignment horizontal="left"/>
    </xf>
    <xf numFmtId="14" fontId="1" fillId="2" borderId="5" xfId="1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1" fillId="2" borderId="0" xfId="1" applyBorder="1" applyAlignment="1">
      <alignment horizontal="left"/>
    </xf>
    <xf numFmtId="0" fontId="1" fillId="2" borderId="8" xfId="1" applyBorder="1" applyAlignment="1">
      <alignment horizontal="left"/>
    </xf>
    <xf numFmtId="49" fontId="2" fillId="3" borderId="2" xfId="2" applyNumberFormat="1" applyBorder="1" applyAlignment="1">
      <alignment horizontal="center"/>
    </xf>
    <xf numFmtId="0" fontId="1" fillId="2" borderId="11" xfId="1" applyBorder="1" applyAlignment="1">
      <alignment horizontal="left" vertical="center"/>
    </xf>
    <xf numFmtId="0" fontId="1" fillId="2" borderId="12" xfId="1" applyBorder="1" applyAlignment="1">
      <alignment horizontal="left" vertical="center"/>
    </xf>
    <xf numFmtId="0" fontId="2" fillId="3" borderId="12" xfId="2" applyBorder="1" applyAlignment="1">
      <alignment horizontal="left" vertical="center"/>
    </xf>
    <xf numFmtId="0" fontId="3" fillId="0" borderId="12" xfId="2" applyFont="1" applyFill="1" applyBorder="1" applyAlignment="1">
      <alignment horizontal="left" vertical="center"/>
    </xf>
    <xf numFmtId="0" fontId="2" fillId="3" borderId="12" xfId="2" applyBorder="1"/>
    <xf numFmtId="0" fontId="2" fillId="3" borderId="12" xfId="2" applyBorder="1" applyAlignment="1">
      <alignment horizontal="left"/>
    </xf>
    <xf numFmtId="0" fontId="0" fillId="0" borderId="12" xfId="0" applyBorder="1"/>
    <xf numFmtId="0" fontId="3" fillId="0" borderId="12" xfId="1" applyFont="1" applyFill="1" applyBorder="1" applyAlignment="1">
      <alignment horizontal="left" vertical="center"/>
    </xf>
    <xf numFmtId="0" fontId="1" fillId="2" borderId="12" xfId="1" applyBorder="1" applyAlignment="1">
      <alignment horizontal="left"/>
    </xf>
    <xf numFmtId="0" fontId="7" fillId="0" borderId="12" xfId="2" applyFont="1" applyFill="1" applyBorder="1" applyAlignment="1">
      <alignment horizontal="left" vertical="center"/>
    </xf>
    <xf numFmtId="0" fontId="3" fillId="0" borderId="12" xfId="2" applyFont="1" applyFill="1" applyBorder="1" applyAlignment="1">
      <alignment horizontal="left"/>
    </xf>
    <xf numFmtId="0" fontId="0" fillId="0" borderId="5" xfId="0" applyBorder="1"/>
    <xf numFmtId="0" fontId="1" fillId="2" borderId="5" xfId="1" applyBorder="1"/>
    <xf numFmtId="0" fontId="1" fillId="2" borderId="11" xfId="1" applyBorder="1"/>
    <xf numFmtId="0" fontId="1" fillId="2" borderId="12" xfId="1" applyBorder="1"/>
    <xf numFmtId="0" fontId="0" fillId="0" borderId="11" xfId="0" applyBorder="1"/>
    <xf numFmtId="14" fontId="1" fillId="2" borderId="2" xfId="1" applyNumberFormat="1" applyBorder="1" applyAlignment="1">
      <alignment horizontal="center" vertical="center"/>
    </xf>
    <xf numFmtId="14" fontId="1" fillId="2" borderId="2" xfId="1" applyNumberFormat="1" applyBorder="1" applyAlignment="1">
      <alignment horizontal="left" vertical="center"/>
    </xf>
    <xf numFmtId="14" fontId="1" fillId="2" borderId="1" xfId="1" applyNumberFormat="1" applyBorder="1" applyAlignment="1">
      <alignment horizontal="center" vertical="center"/>
    </xf>
    <xf numFmtId="0" fontId="1" fillId="2" borderId="13" xfId="1" applyBorder="1" applyAlignment="1">
      <alignment horizontal="left" vertical="center"/>
    </xf>
    <xf numFmtId="14" fontId="11" fillId="0" borderId="0" xfId="2" applyNumberFormat="1" applyFont="1" applyFill="1" applyBorder="1" applyAlignment="1">
      <alignment horizontal="left"/>
    </xf>
    <xf numFmtId="0" fontId="11" fillId="0" borderId="0" xfId="0" applyFont="1"/>
    <xf numFmtId="0" fontId="0" fillId="4" borderId="0" xfId="0" applyFill="1"/>
    <xf numFmtId="0" fontId="12" fillId="5" borderId="0" xfId="0" applyFont="1" applyFill="1"/>
    <xf numFmtId="0" fontId="3" fillId="4" borderId="0" xfId="0" applyFont="1" applyFill="1"/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90B7-AB1A-4E5B-A081-F96148B648F1}">
  <dimension ref="A1:AF157"/>
  <sheetViews>
    <sheetView tabSelected="1" topLeftCell="A81" zoomScale="55" zoomScaleNormal="75" workbookViewId="0">
      <selection activeCell="AD84" sqref="AD84"/>
    </sheetView>
  </sheetViews>
  <sheetFormatPr baseColWidth="10" defaultColWidth="8.7265625" defaultRowHeight="14.5" x14ac:dyDescent="0.35"/>
  <cols>
    <col min="1" max="1" width="0.36328125" customWidth="1"/>
    <col min="2" max="2" width="8.984375E-2" customWidth="1"/>
    <col min="3" max="3" width="47.453125" style="1" customWidth="1"/>
    <col min="4" max="4" width="22.1796875" style="1" hidden="1" customWidth="1"/>
    <col min="5" max="5" width="21.81640625" style="1" customWidth="1"/>
    <col min="6" max="6" width="10.54296875" style="3" customWidth="1"/>
    <col min="7" max="7" width="8.7265625" style="3" customWidth="1"/>
    <col min="8" max="8" width="9.1796875" style="1" customWidth="1"/>
    <col min="9" max="9" width="22.81640625" style="1" bestFit="1" customWidth="1"/>
    <col min="10" max="10" width="23.26953125" style="3" bestFit="1" customWidth="1"/>
    <col min="11" max="11" width="6.81640625" style="3" customWidth="1"/>
    <col min="12" max="12" width="8.26953125" style="3" customWidth="1"/>
    <col min="13" max="13" width="9.453125" style="3" customWidth="1"/>
    <col min="14" max="14" width="12" style="3" customWidth="1"/>
    <col min="15" max="15" width="13.81640625" style="1" customWidth="1"/>
    <col min="16" max="16" width="17" style="1" customWidth="1"/>
    <col min="17" max="17" width="16" style="1" hidden="1" customWidth="1"/>
    <col min="18" max="18" width="16.81640625" style="1" hidden="1" customWidth="1"/>
    <col min="19" max="19" width="13" style="1" hidden="1" customWidth="1"/>
    <col min="20" max="20" width="5.08984375" style="1" hidden="1" customWidth="1"/>
    <col min="21" max="21" width="4.81640625" style="1" hidden="1" customWidth="1"/>
    <col min="22" max="22" width="5.08984375" style="1" hidden="1" customWidth="1"/>
    <col min="23" max="23" width="6.6328125" style="1" hidden="1" customWidth="1"/>
    <col min="24" max="24" width="15.54296875" style="1" bestFit="1" customWidth="1"/>
    <col min="25" max="25" width="15.1796875" style="1" bestFit="1" customWidth="1"/>
    <col min="26" max="26" width="16.81640625" style="1" bestFit="1" customWidth="1"/>
    <col min="27" max="27" width="13.1796875" style="1" customWidth="1"/>
    <col min="28" max="28" width="8.1796875" style="85" customWidth="1"/>
    <col min="29" max="29" width="10.08984375" customWidth="1"/>
    <col min="30" max="30" width="11.453125" customWidth="1"/>
    <col min="32" max="32" width="16.81640625" bestFit="1" customWidth="1"/>
    <col min="33" max="33" width="19.1796875" bestFit="1" customWidth="1"/>
    <col min="34" max="34" width="6.26953125" bestFit="1" customWidth="1"/>
    <col min="35" max="35" width="6.7265625" bestFit="1" customWidth="1"/>
    <col min="36" max="36" width="25.26953125" bestFit="1" customWidth="1"/>
    <col min="37" max="37" width="27.453125" bestFit="1" customWidth="1"/>
    <col min="38" max="38" width="22.453125" bestFit="1" customWidth="1"/>
    <col min="39" max="39" width="5.26953125" bestFit="1" customWidth="1"/>
    <col min="40" max="40" width="22.26953125" bestFit="1" customWidth="1"/>
    <col min="41" max="41" width="14.81640625" bestFit="1" customWidth="1"/>
    <col min="42" max="42" width="15" bestFit="1" customWidth="1"/>
    <col min="43" max="43" width="6.26953125" bestFit="1" customWidth="1"/>
    <col min="44" max="44" width="13" bestFit="1" customWidth="1"/>
    <col min="45" max="45" width="12.1796875" bestFit="1" customWidth="1"/>
    <col min="46" max="46" width="15.54296875" bestFit="1" customWidth="1"/>
    <col min="47" max="48" width="14.54296875" bestFit="1" customWidth="1"/>
    <col min="49" max="49" width="13.453125" bestFit="1" customWidth="1"/>
    <col min="50" max="50" width="10" bestFit="1" customWidth="1"/>
    <col min="51" max="51" width="17.7265625" bestFit="1" customWidth="1"/>
  </cols>
  <sheetData>
    <row r="1" spans="1:32" x14ac:dyDescent="0.35">
      <c r="A1" s="120" t="s">
        <v>0</v>
      </c>
      <c r="B1" s="120" t="s">
        <v>1</v>
      </c>
      <c r="C1" s="126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2" t="s">
        <v>7</v>
      </c>
      <c r="I1" s="122" t="s">
        <v>8</v>
      </c>
      <c r="J1" s="122" t="s">
        <v>9</v>
      </c>
      <c r="K1" s="122" t="s">
        <v>10</v>
      </c>
      <c r="L1" s="122" t="s">
        <v>11</v>
      </c>
      <c r="M1" s="122" t="s">
        <v>12</v>
      </c>
      <c r="N1" s="122" t="s">
        <v>13</v>
      </c>
      <c r="O1" s="124" t="s">
        <v>14</v>
      </c>
      <c r="P1" s="124"/>
      <c r="Q1" s="124">
        <v>2023</v>
      </c>
      <c r="R1" s="124"/>
      <c r="S1" s="124"/>
      <c r="T1" s="124">
        <v>2024</v>
      </c>
      <c r="U1" s="124"/>
      <c r="V1" s="124"/>
      <c r="W1" s="124"/>
      <c r="X1" s="124">
        <v>2025</v>
      </c>
      <c r="Y1" s="124"/>
      <c r="Z1" s="124"/>
      <c r="AA1" s="125"/>
      <c r="AB1" s="83"/>
    </row>
    <row r="2" spans="1:32" s="2" customFormat="1" ht="102" thickBot="1" x14ac:dyDescent="0.35">
      <c r="A2" s="121"/>
      <c r="B2" s="121"/>
      <c r="C2" s="127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61" t="s">
        <v>15</v>
      </c>
      <c r="P2" s="61" t="s">
        <v>16</v>
      </c>
      <c r="Q2" s="61" t="s">
        <v>17</v>
      </c>
      <c r="R2" s="61" t="s">
        <v>18</v>
      </c>
      <c r="S2" s="61" t="s">
        <v>19</v>
      </c>
      <c r="T2" s="61" t="s">
        <v>17</v>
      </c>
      <c r="U2" s="61" t="s">
        <v>20</v>
      </c>
      <c r="V2" s="61" t="s">
        <v>18</v>
      </c>
      <c r="W2" s="61" t="s">
        <v>19</v>
      </c>
      <c r="X2" s="61" t="s">
        <v>17</v>
      </c>
      <c r="Y2" s="61" t="s">
        <v>20</v>
      </c>
      <c r="Z2" s="61" t="s">
        <v>18</v>
      </c>
      <c r="AA2" s="62" t="s">
        <v>19</v>
      </c>
      <c r="AB2" s="84" t="s">
        <v>21</v>
      </c>
    </row>
    <row r="3" spans="1:32" ht="15.75" customHeight="1" x14ac:dyDescent="0.35">
      <c r="A3" s="107" t="s">
        <v>22</v>
      </c>
      <c r="B3" s="108" t="s">
        <v>23</v>
      </c>
      <c r="C3" s="95" t="s">
        <v>24</v>
      </c>
      <c r="D3" s="87" t="s">
        <v>25</v>
      </c>
      <c r="E3" s="87" t="s">
        <v>26</v>
      </c>
      <c r="F3" s="88" t="s">
        <v>27</v>
      </c>
      <c r="G3" s="88">
        <v>2</v>
      </c>
      <c r="H3" s="87">
        <v>34005</v>
      </c>
      <c r="I3" s="87" t="s">
        <v>28</v>
      </c>
      <c r="J3" s="88">
        <v>8560</v>
      </c>
      <c r="K3" s="88">
        <v>9</v>
      </c>
      <c r="L3" s="88">
        <v>50</v>
      </c>
      <c r="M3" s="88" t="s">
        <v>29</v>
      </c>
      <c r="N3" s="88">
        <v>46412</v>
      </c>
      <c r="O3" s="89">
        <v>45784</v>
      </c>
      <c r="P3" s="90">
        <v>45785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93"/>
      <c r="AB3" s="78"/>
      <c r="AC3" t="s">
        <v>30</v>
      </c>
      <c r="AD3" s="117"/>
    </row>
    <row r="4" spans="1:32" ht="15.75" customHeight="1" x14ac:dyDescent="0.35">
      <c r="A4" s="48" t="s">
        <v>31</v>
      </c>
      <c r="B4" s="109" t="s">
        <v>32</v>
      </c>
      <c r="C4" s="96" t="s">
        <v>33</v>
      </c>
      <c r="D4" s="40" t="s">
        <v>34</v>
      </c>
      <c r="E4" s="41" t="s">
        <v>35</v>
      </c>
      <c r="F4" s="42" t="s">
        <v>36</v>
      </c>
      <c r="G4" s="42">
        <v>2</v>
      </c>
      <c r="H4" s="40">
        <v>53400</v>
      </c>
      <c r="I4" s="40" t="s">
        <v>37</v>
      </c>
      <c r="J4" s="42" t="s">
        <v>38</v>
      </c>
      <c r="K4" s="42">
        <v>19</v>
      </c>
      <c r="L4" s="42">
        <v>10</v>
      </c>
      <c r="M4" s="42" t="s">
        <v>29</v>
      </c>
      <c r="N4" s="42">
        <v>16440</v>
      </c>
      <c r="O4" s="43">
        <v>44256</v>
      </c>
      <c r="P4" s="43">
        <v>44281</v>
      </c>
      <c r="Q4" s="44"/>
      <c r="R4" s="44"/>
      <c r="S4" s="48"/>
      <c r="T4" s="44"/>
      <c r="U4" s="44"/>
      <c r="V4" s="45">
        <v>45383</v>
      </c>
      <c r="W4" s="45">
        <v>45399</v>
      </c>
      <c r="X4" s="44"/>
      <c r="Y4" s="44">
        <v>45658</v>
      </c>
      <c r="Z4" s="45">
        <v>45772</v>
      </c>
      <c r="AA4" s="47">
        <v>45783</v>
      </c>
      <c r="AB4" s="75"/>
      <c r="AD4" s="117"/>
    </row>
    <row r="5" spans="1:32" ht="15.75" customHeight="1" x14ac:dyDescent="0.35">
      <c r="A5" s="48" t="s">
        <v>39</v>
      </c>
      <c r="B5" s="109" t="s">
        <v>40</v>
      </c>
      <c r="C5" s="96" t="s">
        <v>41</v>
      </c>
      <c r="D5" s="40" t="s">
        <v>42</v>
      </c>
      <c r="E5" s="40" t="s">
        <v>43</v>
      </c>
      <c r="F5" s="51" t="s">
        <v>27</v>
      </c>
      <c r="G5" s="42">
        <v>4</v>
      </c>
      <c r="H5" s="40">
        <v>53400</v>
      </c>
      <c r="I5" s="40">
        <v>40021743</v>
      </c>
      <c r="J5" s="42" t="s">
        <v>38</v>
      </c>
      <c r="K5" s="42">
        <v>19</v>
      </c>
      <c r="L5" s="42">
        <v>10</v>
      </c>
      <c r="M5" s="42" t="s">
        <v>29</v>
      </c>
      <c r="N5" s="42">
        <v>56697</v>
      </c>
      <c r="O5" s="43">
        <v>43697</v>
      </c>
      <c r="P5" s="43">
        <v>43717</v>
      </c>
      <c r="Q5" s="44">
        <v>45227</v>
      </c>
      <c r="R5" s="44">
        <v>45246</v>
      </c>
      <c r="S5" s="48"/>
      <c r="T5" s="44">
        <f>Q5+365</f>
        <v>45592</v>
      </c>
      <c r="U5" s="44">
        <f>T5-60</f>
        <v>45532</v>
      </c>
      <c r="V5" s="45">
        <v>45327</v>
      </c>
      <c r="W5" s="45"/>
      <c r="X5" s="44">
        <f>V5+365</f>
        <v>45692</v>
      </c>
      <c r="Y5" s="44">
        <f>X5-60</f>
        <v>45632</v>
      </c>
      <c r="Z5" s="45">
        <v>45712</v>
      </c>
      <c r="AA5" s="47">
        <v>45721</v>
      </c>
      <c r="AB5" s="75"/>
      <c r="AD5" s="117"/>
    </row>
    <row r="6" spans="1:32" ht="15.75" customHeight="1" x14ac:dyDescent="0.35">
      <c r="A6" s="31" t="s">
        <v>44</v>
      </c>
      <c r="B6" s="99" t="s">
        <v>45</v>
      </c>
      <c r="C6" s="97" t="s">
        <v>46</v>
      </c>
      <c r="D6" s="26" t="s">
        <v>47</v>
      </c>
      <c r="E6" s="27"/>
      <c r="F6" s="28" t="s">
        <v>27</v>
      </c>
      <c r="G6" s="28">
        <v>2</v>
      </c>
      <c r="H6" s="26">
        <v>53401</v>
      </c>
      <c r="I6" s="26">
        <v>130851</v>
      </c>
      <c r="J6" s="28" t="s">
        <v>48</v>
      </c>
      <c r="K6" s="28">
        <v>19</v>
      </c>
      <c r="L6" s="28">
        <v>5</v>
      </c>
      <c r="M6" s="28" t="s">
        <v>29</v>
      </c>
      <c r="N6" s="28">
        <v>132984</v>
      </c>
      <c r="O6" s="29">
        <v>45623</v>
      </c>
      <c r="P6" s="28"/>
      <c r="Q6" s="30"/>
      <c r="R6" s="31"/>
      <c r="S6" s="31"/>
      <c r="T6" s="30"/>
      <c r="U6" s="30"/>
      <c r="V6" s="32"/>
      <c r="W6" s="27"/>
      <c r="X6" s="30"/>
      <c r="Y6" s="30"/>
      <c r="Z6" s="32"/>
      <c r="AA6" s="33"/>
      <c r="AB6" s="68"/>
      <c r="AD6" s="117"/>
    </row>
    <row r="7" spans="1:32" ht="15.75" customHeight="1" x14ac:dyDescent="0.35">
      <c r="A7" s="31" t="s">
        <v>49</v>
      </c>
      <c r="B7" s="99" t="s">
        <v>50</v>
      </c>
      <c r="C7" s="97" t="s">
        <v>51</v>
      </c>
      <c r="D7" s="26" t="s">
        <v>52</v>
      </c>
      <c r="E7" s="27" t="s">
        <v>53</v>
      </c>
      <c r="F7" s="28" t="s">
        <v>27</v>
      </c>
      <c r="G7" s="28">
        <v>2</v>
      </c>
      <c r="H7" s="26">
        <v>53401</v>
      </c>
      <c r="I7" s="26" t="s">
        <v>54</v>
      </c>
      <c r="J7" s="28" t="s">
        <v>48</v>
      </c>
      <c r="K7" s="28">
        <v>19</v>
      </c>
      <c r="L7" s="28">
        <v>5</v>
      </c>
      <c r="M7" s="28" t="s">
        <v>29</v>
      </c>
      <c r="N7" s="28">
        <v>6345</v>
      </c>
      <c r="O7" s="29">
        <v>43697</v>
      </c>
      <c r="P7" s="28"/>
      <c r="Q7" s="30">
        <v>45037</v>
      </c>
      <c r="R7" s="30">
        <v>45075</v>
      </c>
      <c r="S7" s="30"/>
      <c r="T7" s="30">
        <f>Q7+365</f>
        <v>45402</v>
      </c>
      <c r="U7" s="30">
        <f>T7-60</f>
        <v>45342</v>
      </c>
      <c r="V7" s="32">
        <v>45463</v>
      </c>
      <c r="W7" s="32">
        <v>45475</v>
      </c>
      <c r="X7" s="30">
        <f>V7+365</f>
        <v>45828</v>
      </c>
      <c r="Y7" s="30">
        <f>X7-60</f>
        <v>45768</v>
      </c>
      <c r="Z7" s="32">
        <v>45791</v>
      </c>
      <c r="AA7" s="34"/>
      <c r="AB7" s="77"/>
      <c r="AD7" s="117"/>
    </row>
    <row r="8" spans="1:32" ht="15.75" customHeight="1" x14ac:dyDescent="0.35">
      <c r="A8" s="48" t="s">
        <v>55</v>
      </c>
      <c r="B8" s="109" t="s">
        <v>56</v>
      </c>
      <c r="C8" s="96" t="s">
        <v>57</v>
      </c>
      <c r="D8" s="40" t="s">
        <v>58</v>
      </c>
      <c r="E8" s="41"/>
      <c r="F8" s="42" t="s">
        <v>36</v>
      </c>
      <c r="G8" s="42">
        <v>4</v>
      </c>
      <c r="H8" s="41">
        <v>53402</v>
      </c>
      <c r="I8" s="41" t="s">
        <v>59</v>
      </c>
      <c r="J8" s="42" t="s">
        <v>48</v>
      </c>
      <c r="K8" s="42">
        <v>25</v>
      </c>
      <c r="L8" s="42">
        <v>5</v>
      </c>
      <c r="M8" s="42" t="s">
        <v>29</v>
      </c>
      <c r="N8" s="42">
        <v>21733</v>
      </c>
      <c r="O8" s="43">
        <v>45342</v>
      </c>
      <c r="P8" s="43">
        <v>45344</v>
      </c>
      <c r="Q8" s="30"/>
      <c r="R8" s="30"/>
      <c r="S8" s="30"/>
      <c r="T8" s="44"/>
      <c r="U8" s="44"/>
      <c r="V8" s="41"/>
      <c r="W8" s="41"/>
      <c r="X8" s="44">
        <f>O8+365</f>
        <v>45707</v>
      </c>
      <c r="Y8" s="44">
        <f>X8-60</f>
        <v>45647</v>
      </c>
      <c r="Z8" s="45">
        <v>45680</v>
      </c>
      <c r="AA8" s="47">
        <v>45688</v>
      </c>
      <c r="AB8" s="75"/>
      <c r="AC8" t="s">
        <v>60</v>
      </c>
      <c r="AD8" s="117"/>
    </row>
    <row r="9" spans="1:32" ht="15.75" customHeight="1" x14ac:dyDescent="0.35">
      <c r="A9" s="48" t="s">
        <v>55</v>
      </c>
      <c r="B9" s="109" t="s">
        <v>61</v>
      </c>
      <c r="C9" s="96" t="s">
        <v>57</v>
      </c>
      <c r="D9" s="40" t="s">
        <v>58</v>
      </c>
      <c r="E9" s="41" t="s">
        <v>35</v>
      </c>
      <c r="F9" s="42" t="s">
        <v>27</v>
      </c>
      <c r="G9" s="42">
        <v>4</v>
      </c>
      <c r="H9" s="41">
        <v>74164</v>
      </c>
      <c r="I9" s="41" t="s">
        <v>62</v>
      </c>
      <c r="J9" s="42" t="s">
        <v>63</v>
      </c>
      <c r="K9" s="42">
        <v>19</v>
      </c>
      <c r="L9" s="42">
        <v>5</v>
      </c>
      <c r="M9" s="42" t="s">
        <v>29</v>
      </c>
      <c r="N9" s="42">
        <v>21733</v>
      </c>
      <c r="O9" s="43">
        <v>43747</v>
      </c>
      <c r="P9" s="43">
        <v>43801</v>
      </c>
      <c r="Q9" s="44">
        <v>45175</v>
      </c>
      <c r="R9" s="44">
        <v>45183</v>
      </c>
      <c r="S9" s="44">
        <v>45222</v>
      </c>
      <c r="T9" s="44">
        <f>Q9+365</f>
        <v>45540</v>
      </c>
      <c r="U9" s="44">
        <f>T9-60</f>
        <v>45480</v>
      </c>
      <c r="V9" s="45">
        <v>45526</v>
      </c>
      <c r="W9" s="41"/>
      <c r="X9" s="44">
        <f>U9+365</f>
        <v>45845</v>
      </c>
      <c r="Y9" s="44">
        <f>X9-60</f>
        <v>45785</v>
      </c>
      <c r="Z9" s="45">
        <v>45813</v>
      </c>
      <c r="AA9" s="47">
        <v>45840</v>
      </c>
      <c r="AB9" s="76"/>
      <c r="AD9" s="117"/>
    </row>
    <row r="10" spans="1:32" ht="15.75" customHeight="1" x14ac:dyDescent="0.35">
      <c r="A10" s="31" t="s">
        <v>64</v>
      </c>
      <c r="B10" s="99" t="s">
        <v>65</v>
      </c>
      <c r="C10" s="97" t="s">
        <v>66</v>
      </c>
      <c r="D10" s="26" t="s">
        <v>67</v>
      </c>
      <c r="E10" s="27" t="s">
        <v>68</v>
      </c>
      <c r="F10" s="28" t="s">
        <v>36</v>
      </c>
      <c r="G10" s="28">
        <v>4</v>
      </c>
      <c r="H10" s="26">
        <v>74164</v>
      </c>
      <c r="I10" s="26" t="s">
        <v>69</v>
      </c>
      <c r="J10" s="28" t="s">
        <v>63</v>
      </c>
      <c r="K10" s="28">
        <v>19</v>
      </c>
      <c r="L10" s="28">
        <v>5</v>
      </c>
      <c r="M10" s="28" t="s">
        <v>29</v>
      </c>
      <c r="N10" s="28">
        <v>44331</v>
      </c>
      <c r="O10" s="29">
        <v>45699</v>
      </c>
      <c r="P10" s="29"/>
      <c r="Q10" s="30"/>
      <c r="R10" s="30"/>
      <c r="S10" s="31"/>
      <c r="T10" s="30"/>
      <c r="U10" s="30"/>
      <c r="V10" s="27"/>
      <c r="W10" s="27"/>
      <c r="X10" s="30"/>
      <c r="Y10" s="30"/>
      <c r="Z10" s="27"/>
      <c r="AA10" s="33"/>
      <c r="AB10" s="76"/>
      <c r="AD10" s="117"/>
    </row>
    <row r="11" spans="1:32" ht="15.75" customHeight="1" x14ac:dyDescent="0.35">
      <c r="A11" s="31" t="s">
        <v>70</v>
      </c>
      <c r="B11" s="99" t="s">
        <v>71</v>
      </c>
      <c r="C11" s="97" t="s">
        <v>72</v>
      </c>
      <c r="D11" s="26" t="s">
        <v>73</v>
      </c>
      <c r="E11" s="27" t="s">
        <v>74</v>
      </c>
      <c r="F11" s="28" t="s">
        <v>27</v>
      </c>
      <c r="G11" s="28">
        <v>4</v>
      </c>
      <c r="H11" s="26">
        <v>78112</v>
      </c>
      <c r="I11" s="26" t="s">
        <v>75</v>
      </c>
      <c r="J11" s="28" t="s">
        <v>76</v>
      </c>
      <c r="K11" s="28">
        <v>9</v>
      </c>
      <c r="L11" s="28" t="s">
        <v>77</v>
      </c>
      <c r="M11" s="28" t="s">
        <v>29</v>
      </c>
      <c r="N11" s="28">
        <v>9478</v>
      </c>
      <c r="O11" s="29">
        <v>45680</v>
      </c>
      <c r="P11" s="29"/>
      <c r="Q11" s="15"/>
      <c r="R11" s="15"/>
      <c r="S11" s="15"/>
      <c r="T11" s="30"/>
      <c r="U11" s="30"/>
      <c r="V11" s="32"/>
      <c r="W11" s="27"/>
      <c r="X11" s="30"/>
      <c r="Y11" s="30"/>
      <c r="Z11" s="32"/>
      <c r="AA11" s="33"/>
      <c r="AB11" s="76"/>
      <c r="AC11" t="s">
        <v>78</v>
      </c>
      <c r="AD11" s="117"/>
    </row>
    <row r="12" spans="1:32" ht="15.75" customHeight="1" x14ac:dyDescent="0.35">
      <c r="A12" s="48" t="s">
        <v>79</v>
      </c>
      <c r="B12" s="109" t="s">
        <v>80</v>
      </c>
      <c r="C12" s="96" t="s">
        <v>81</v>
      </c>
      <c r="D12" s="40" t="s">
        <v>82</v>
      </c>
      <c r="E12" s="41" t="s">
        <v>68</v>
      </c>
      <c r="F12" s="42" t="s">
        <v>36</v>
      </c>
      <c r="G12" s="42">
        <v>2</v>
      </c>
      <c r="H12" s="40">
        <v>92184</v>
      </c>
      <c r="I12" s="40">
        <v>48254</v>
      </c>
      <c r="J12" s="42" t="s">
        <v>83</v>
      </c>
      <c r="K12" s="42">
        <v>19</v>
      </c>
      <c r="L12" s="42">
        <v>25</v>
      </c>
      <c r="M12" s="42" t="s">
        <v>29</v>
      </c>
      <c r="N12" s="42">
        <v>645</v>
      </c>
      <c r="O12" s="43">
        <v>44280</v>
      </c>
      <c r="P12" s="43"/>
      <c r="Q12" s="44">
        <v>44980</v>
      </c>
      <c r="R12" s="44">
        <v>45075</v>
      </c>
      <c r="S12" s="53">
        <v>45208</v>
      </c>
      <c r="T12" s="44">
        <f>Q12+365</f>
        <v>45345</v>
      </c>
      <c r="U12" s="44">
        <f>T12-60</f>
        <v>45285</v>
      </c>
      <c r="V12" s="45">
        <v>45363</v>
      </c>
      <c r="W12" s="41"/>
      <c r="X12" s="44">
        <f>V12+365</f>
        <v>45728</v>
      </c>
      <c r="Y12" s="44">
        <f>X12-60</f>
        <v>45668</v>
      </c>
      <c r="Z12" s="45">
        <v>45674</v>
      </c>
      <c r="AA12" s="47">
        <v>45706</v>
      </c>
      <c r="AB12" s="75"/>
      <c r="AD12" s="117"/>
    </row>
    <row r="13" spans="1:32" ht="15.75" customHeight="1" x14ac:dyDescent="0.35">
      <c r="A13" s="48" t="s">
        <v>55</v>
      </c>
      <c r="B13" s="109" t="s">
        <v>84</v>
      </c>
      <c r="C13" s="96" t="s">
        <v>57</v>
      </c>
      <c r="D13" s="40" t="s">
        <v>58</v>
      </c>
      <c r="E13" s="41" t="s">
        <v>35</v>
      </c>
      <c r="F13" s="42" t="s">
        <v>27</v>
      </c>
      <c r="G13" s="42">
        <v>4</v>
      </c>
      <c r="H13" s="41">
        <v>92184</v>
      </c>
      <c r="I13" s="41" t="s">
        <v>85</v>
      </c>
      <c r="J13" s="42" t="s">
        <v>83</v>
      </c>
      <c r="K13" s="42">
        <v>19</v>
      </c>
      <c r="L13" s="42">
        <v>25</v>
      </c>
      <c r="M13" s="42" t="s">
        <v>29</v>
      </c>
      <c r="N13" s="42">
        <v>21733</v>
      </c>
      <c r="O13" s="43">
        <v>43692</v>
      </c>
      <c r="P13" s="43">
        <v>43692</v>
      </c>
      <c r="Q13" s="44">
        <v>45161</v>
      </c>
      <c r="R13" s="44">
        <v>45133</v>
      </c>
      <c r="S13" s="48"/>
      <c r="T13" s="44">
        <f>Q13+365</f>
        <v>45526</v>
      </c>
      <c r="U13" s="44">
        <f>T13-60</f>
        <v>45466</v>
      </c>
      <c r="V13" s="45">
        <v>45498</v>
      </c>
      <c r="W13" s="41"/>
      <c r="X13" s="44">
        <f>U13+365</f>
        <v>45831</v>
      </c>
      <c r="Y13" s="44">
        <f>X13-60</f>
        <v>45771</v>
      </c>
      <c r="Z13" s="45">
        <v>45791</v>
      </c>
      <c r="AA13" s="47">
        <v>45853</v>
      </c>
      <c r="AB13" s="76"/>
      <c r="AC13" t="s">
        <v>60</v>
      </c>
      <c r="AD13" s="117"/>
    </row>
    <row r="14" spans="1:32" ht="15.75" customHeight="1" x14ac:dyDescent="0.35">
      <c r="A14" s="31" t="s">
        <v>86</v>
      </c>
      <c r="B14" s="99" t="s">
        <v>87</v>
      </c>
      <c r="C14" s="97" t="s">
        <v>88</v>
      </c>
      <c r="D14" s="26" t="s">
        <v>89</v>
      </c>
      <c r="E14" s="27" t="s">
        <v>90</v>
      </c>
      <c r="F14" s="28" t="s">
        <v>36</v>
      </c>
      <c r="G14" s="28">
        <v>4</v>
      </c>
      <c r="H14" s="26">
        <v>94557</v>
      </c>
      <c r="I14" s="26">
        <v>19507220000</v>
      </c>
      <c r="J14" s="28" t="s">
        <v>91</v>
      </c>
      <c r="K14" s="28">
        <v>12</v>
      </c>
      <c r="L14" s="28">
        <v>25</v>
      </c>
      <c r="M14" s="28" t="s">
        <v>29</v>
      </c>
      <c r="N14" s="28">
        <v>432</v>
      </c>
      <c r="O14" s="29">
        <v>45475</v>
      </c>
      <c r="P14" s="29"/>
      <c r="Q14" s="30"/>
      <c r="R14" s="30"/>
      <c r="S14" s="31"/>
      <c r="T14" s="30"/>
      <c r="U14" s="30"/>
      <c r="V14" s="27"/>
      <c r="W14" s="27"/>
      <c r="X14" s="30">
        <f>O14+365</f>
        <v>45840</v>
      </c>
      <c r="Y14" s="30">
        <f>X14-60</f>
        <v>45780</v>
      </c>
      <c r="Z14" s="32">
        <v>45793</v>
      </c>
      <c r="AA14" s="33"/>
      <c r="AB14" s="76"/>
      <c r="AD14" s="118" t="s">
        <v>483</v>
      </c>
    </row>
    <row r="15" spans="1:32" ht="15.75" customHeight="1" x14ac:dyDescent="0.35">
      <c r="A15" s="31" t="s">
        <v>92</v>
      </c>
      <c r="B15" s="99" t="s">
        <v>93</v>
      </c>
      <c r="C15" s="97" t="s">
        <v>94</v>
      </c>
      <c r="D15" s="26" t="s">
        <v>95</v>
      </c>
      <c r="E15" s="27"/>
      <c r="F15" s="28" t="s">
        <v>27</v>
      </c>
      <c r="G15" s="28">
        <v>4</v>
      </c>
      <c r="H15" s="27">
        <v>99264</v>
      </c>
      <c r="I15" s="26" t="s">
        <v>96</v>
      </c>
      <c r="J15" s="28" t="s">
        <v>97</v>
      </c>
      <c r="K15" s="28">
        <v>38</v>
      </c>
      <c r="L15" s="28">
        <v>25</v>
      </c>
      <c r="M15" s="28" t="s">
        <v>29</v>
      </c>
      <c r="N15" s="28">
        <v>63372</v>
      </c>
      <c r="O15" s="29">
        <v>45593</v>
      </c>
      <c r="P15" s="29"/>
      <c r="Q15" s="15"/>
      <c r="R15" s="13"/>
      <c r="S15" s="13"/>
      <c r="T15" s="28"/>
      <c r="U15" s="30"/>
      <c r="V15" s="27"/>
      <c r="W15" s="27"/>
      <c r="X15" s="30">
        <f>O15+365</f>
        <v>45958</v>
      </c>
      <c r="Y15" s="30">
        <f>X15-60</f>
        <v>45898</v>
      </c>
      <c r="Z15" s="32">
        <v>45926</v>
      </c>
      <c r="AA15" s="33"/>
      <c r="AB15" s="68"/>
      <c r="AC15" s="5"/>
      <c r="AD15" s="119"/>
      <c r="AE15" s="5"/>
      <c r="AF15" s="5"/>
    </row>
    <row r="16" spans="1:32" ht="15.75" customHeight="1" x14ac:dyDescent="0.35">
      <c r="A16" s="31" t="s">
        <v>44</v>
      </c>
      <c r="B16" s="99" t="s">
        <v>98</v>
      </c>
      <c r="C16" s="97" t="s">
        <v>46</v>
      </c>
      <c r="D16" s="26" t="s">
        <v>47</v>
      </c>
      <c r="E16" s="27"/>
      <c r="F16" s="28" t="s">
        <v>27</v>
      </c>
      <c r="G16" s="28">
        <v>2</v>
      </c>
      <c r="H16" s="27">
        <v>99264</v>
      </c>
      <c r="I16" s="26">
        <v>131646</v>
      </c>
      <c r="J16" s="28" t="s">
        <v>97</v>
      </c>
      <c r="K16" s="28">
        <v>38</v>
      </c>
      <c r="L16" s="28">
        <v>25</v>
      </c>
      <c r="M16" s="28" t="s">
        <v>29</v>
      </c>
      <c r="N16" s="28">
        <v>132984</v>
      </c>
      <c r="O16" s="29">
        <v>45621</v>
      </c>
      <c r="P16" s="28"/>
      <c r="Q16" s="30"/>
      <c r="R16" s="31"/>
      <c r="S16" s="31"/>
      <c r="T16" s="30"/>
      <c r="U16" s="30"/>
      <c r="V16" s="32"/>
      <c r="W16" s="27"/>
      <c r="X16" s="30"/>
      <c r="Y16" s="30"/>
      <c r="Z16" s="32">
        <v>45685</v>
      </c>
      <c r="AA16" s="33"/>
      <c r="AB16" s="68"/>
      <c r="AD16" s="117"/>
    </row>
    <row r="17" spans="1:32" ht="15.75" customHeight="1" x14ac:dyDescent="0.35">
      <c r="A17" s="31" t="s">
        <v>99</v>
      </c>
      <c r="B17" s="99" t="s">
        <v>100</v>
      </c>
      <c r="C17" s="99" t="s">
        <v>101</v>
      </c>
      <c r="D17" s="31" t="s">
        <v>102</v>
      </c>
      <c r="E17" s="31"/>
      <c r="F17" s="28" t="s">
        <v>27</v>
      </c>
      <c r="G17" s="28">
        <v>4</v>
      </c>
      <c r="H17" s="31">
        <v>99264</v>
      </c>
      <c r="I17" s="31" t="s">
        <v>103</v>
      </c>
      <c r="J17" s="28" t="s">
        <v>97</v>
      </c>
      <c r="K17" s="28">
        <v>38</v>
      </c>
      <c r="L17" s="28">
        <v>25</v>
      </c>
      <c r="M17" s="28" t="s">
        <v>29</v>
      </c>
      <c r="N17" s="28">
        <v>20724</v>
      </c>
      <c r="O17" s="29">
        <v>45800</v>
      </c>
      <c r="P17" s="31"/>
      <c r="Q17" s="31"/>
      <c r="R17" s="31"/>
      <c r="S17" s="31"/>
      <c r="T17" s="31"/>
      <c r="U17" s="31"/>
      <c r="V17" s="31"/>
      <c r="W17" s="31"/>
      <c r="X17" s="30"/>
      <c r="Y17" s="30"/>
      <c r="Z17" s="31"/>
      <c r="AA17" s="66"/>
      <c r="AB17" s="86" t="s">
        <v>104</v>
      </c>
      <c r="AD17" s="117"/>
    </row>
    <row r="18" spans="1:32" ht="15.75" customHeight="1" x14ac:dyDescent="0.35">
      <c r="A18" s="31" t="s">
        <v>105</v>
      </c>
      <c r="B18" s="99" t="s">
        <v>106</v>
      </c>
      <c r="C18" s="99" t="s">
        <v>107</v>
      </c>
      <c r="D18" s="31" t="s">
        <v>108</v>
      </c>
      <c r="E18" s="31" t="s">
        <v>109</v>
      </c>
      <c r="F18" s="28" t="s">
        <v>36</v>
      </c>
      <c r="G18" s="28">
        <v>2</v>
      </c>
      <c r="H18" s="27">
        <v>99631</v>
      </c>
      <c r="I18" s="31" t="s">
        <v>110</v>
      </c>
      <c r="J18" s="28" t="s">
        <v>97</v>
      </c>
      <c r="K18" s="28">
        <v>19</v>
      </c>
      <c r="L18" s="28">
        <v>25</v>
      </c>
      <c r="M18" s="28" t="s">
        <v>29</v>
      </c>
      <c r="N18" s="28">
        <v>48001</v>
      </c>
      <c r="O18" s="29">
        <v>45299</v>
      </c>
      <c r="P18" s="29">
        <v>45313</v>
      </c>
      <c r="Q18" s="28"/>
      <c r="R18" s="28"/>
      <c r="S18" s="28"/>
      <c r="T18" s="28"/>
      <c r="U18" s="28"/>
      <c r="V18" s="32"/>
      <c r="W18" s="29"/>
      <c r="X18" s="30">
        <f>O18+365</f>
        <v>45664</v>
      </c>
      <c r="Y18" s="30">
        <f>X18-60</f>
        <v>45604</v>
      </c>
      <c r="Z18" s="32">
        <v>45663</v>
      </c>
      <c r="AA18" s="39"/>
      <c r="AB18" s="74"/>
      <c r="AD18" s="117"/>
    </row>
    <row r="19" spans="1:32" ht="15.75" customHeight="1" x14ac:dyDescent="0.35">
      <c r="A19" s="48" t="s">
        <v>79</v>
      </c>
      <c r="B19" s="109" t="s">
        <v>111</v>
      </c>
      <c r="C19" s="96" t="s">
        <v>81</v>
      </c>
      <c r="D19" s="40" t="s">
        <v>112</v>
      </c>
      <c r="E19" s="41" t="s">
        <v>113</v>
      </c>
      <c r="F19" s="42" t="s">
        <v>36</v>
      </c>
      <c r="G19" s="42">
        <v>2</v>
      </c>
      <c r="H19" s="40">
        <v>99631</v>
      </c>
      <c r="I19" s="40">
        <v>35376</v>
      </c>
      <c r="J19" s="42" t="s">
        <v>97</v>
      </c>
      <c r="K19" s="42">
        <v>19</v>
      </c>
      <c r="L19" s="42">
        <v>25</v>
      </c>
      <c r="M19" s="42" t="s">
        <v>29</v>
      </c>
      <c r="N19" s="42">
        <v>645</v>
      </c>
      <c r="O19" s="43">
        <v>44460</v>
      </c>
      <c r="P19" s="43"/>
      <c r="Q19" s="30"/>
      <c r="R19" s="30"/>
      <c r="S19" s="30"/>
      <c r="T19" s="44"/>
      <c r="U19" s="44"/>
      <c r="V19" s="45">
        <v>45393</v>
      </c>
      <c r="W19" s="45">
        <v>45441</v>
      </c>
      <c r="X19" s="44">
        <f>V19+365</f>
        <v>45758</v>
      </c>
      <c r="Y19" s="44">
        <f>X19-60</f>
        <v>45698</v>
      </c>
      <c r="Z19" s="45">
        <v>45712</v>
      </c>
      <c r="AA19" s="47">
        <v>45742</v>
      </c>
      <c r="AB19" s="75"/>
      <c r="AD19" s="117"/>
    </row>
    <row r="20" spans="1:32" ht="15.75" customHeight="1" x14ac:dyDescent="0.35">
      <c r="A20" s="31" t="s">
        <v>114</v>
      </c>
      <c r="B20" s="99" t="s">
        <v>115</v>
      </c>
      <c r="C20" s="97" t="s">
        <v>116</v>
      </c>
      <c r="D20" s="26" t="s">
        <v>117</v>
      </c>
      <c r="E20" s="27" t="s">
        <v>118</v>
      </c>
      <c r="F20" s="28" t="s">
        <v>27</v>
      </c>
      <c r="G20" s="28">
        <v>2</v>
      </c>
      <c r="H20" s="26">
        <v>99631</v>
      </c>
      <c r="I20" s="26" t="s">
        <v>119</v>
      </c>
      <c r="J20" s="28" t="s">
        <v>97</v>
      </c>
      <c r="K20" s="28">
        <v>19</v>
      </c>
      <c r="L20" s="28">
        <v>25</v>
      </c>
      <c r="M20" s="28" t="s">
        <v>29</v>
      </c>
      <c r="N20" s="28">
        <v>37054</v>
      </c>
      <c r="O20" s="29">
        <v>45356</v>
      </c>
      <c r="P20" s="28"/>
      <c r="Q20" s="30"/>
      <c r="R20" s="31"/>
      <c r="S20" s="31"/>
      <c r="T20" s="30"/>
      <c r="U20" s="30"/>
      <c r="V20" s="27"/>
      <c r="W20" s="27"/>
      <c r="X20" s="30">
        <f>O20+365</f>
        <v>45721</v>
      </c>
      <c r="Y20" s="30">
        <f>X20-60</f>
        <v>45661</v>
      </c>
      <c r="Z20" s="32">
        <v>45700</v>
      </c>
      <c r="AA20" s="33"/>
      <c r="AB20" s="76"/>
      <c r="AD20" s="117"/>
    </row>
    <row r="21" spans="1:32" ht="15.75" customHeight="1" x14ac:dyDescent="0.35">
      <c r="A21" s="31" t="s">
        <v>49</v>
      </c>
      <c r="B21" s="99" t="s">
        <v>120</v>
      </c>
      <c r="C21" s="97" t="s">
        <v>51</v>
      </c>
      <c r="D21" s="26" t="s">
        <v>52</v>
      </c>
      <c r="E21" s="27"/>
      <c r="F21" s="28" t="s">
        <v>27</v>
      </c>
      <c r="G21" s="28">
        <v>4</v>
      </c>
      <c r="H21" s="26">
        <v>99631</v>
      </c>
      <c r="I21" s="26" t="s">
        <v>97</v>
      </c>
      <c r="J21" s="28" t="s">
        <v>97</v>
      </c>
      <c r="K21" s="28">
        <v>19</v>
      </c>
      <c r="L21" s="28">
        <v>25</v>
      </c>
      <c r="M21" s="28" t="s">
        <v>29</v>
      </c>
      <c r="N21" s="28">
        <v>6345</v>
      </c>
      <c r="O21" s="29">
        <v>45463</v>
      </c>
      <c r="P21" s="27"/>
      <c r="Q21" s="30"/>
      <c r="R21" s="31"/>
      <c r="S21" s="31"/>
      <c r="T21" s="30"/>
      <c r="U21" s="30"/>
      <c r="V21" s="32"/>
      <c r="W21" s="27"/>
      <c r="X21" s="30"/>
      <c r="Y21" s="30"/>
      <c r="Z21" s="32">
        <v>45817</v>
      </c>
      <c r="AA21" s="33"/>
      <c r="AB21" s="76"/>
      <c r="AD21" s="117"/>
    </row>
    <row r="22" spans="1:32" ht="15.75" customHeight="1" x14ac:dyDescent="0.35">
      <c r="A22" s="48" t="s">
        <v>55</v>
      </c>
      <c r="B22" s="109" t="s">
        <v>121</v>
      </c>
      <c r="C22" s="96" t="s">
        <v>57</v>
      </c>
      <c r="D22" s="40" t="s">
        <v>58</v>
      </c>
      <c r="E22" s="41" t="s">
        <v>90</v>
      </c>
      <c r="F22" s="42" t="s">
        <v>27</v>
      </c>
      <c r="G22" s="42">
        <v>4</v>
      </c>
      <c r="H22" s="41">
        <v>99631</v>
      </c>
      <c r="I22" s="41" t="s">
        <v>122</v>
      </c>
      <c r="J22" s="42" t="s">
        <v>97</v>
      </c>
      <c r="K22" s="42">
        <v>19</v>
      </c>
      <c r="L22" s="42">
        <v>25</v>
      </c>
      <c r="M22" s="42" t="s">
        <v>29</v>
      </c>
      <c r="N22" s="42">
        <v>21733</v>
      </c>
      <c r="O22" s="43">
        <v>45020</v>
      </c>
      <c r="P22" s="43"/>
      <c r="Q22" s="30"/>
      <c r="R22" s="30"/>
      <c r="S22" s="30"/>
      <c r="T22" s="44">
        <f>O22+365</f>
        <v>45385</v>
      </c>
      <c r="U22" s="44">
        <f>T22-60</f>
        <v>45325</v>
      </c>
      <c r="V22" s="45">
        <v>45435</v>
      </c>
      <c r="W22" s="41"/>
      <c r="X22" s="44">
        <f>T22+365</f>
        <v>45750</v>
      </c>
      <c r="Y22" s="44">
        <f>X22-60</f>
        <v>45690</v>
      </c>
      <c r="Z22" s="45">
        <v>45709</v>
      </c>
      <c r="AA22" s="47">
        <v>45730</v>
      </c>
      <c r="AB22" s="75"/>
      <c r="AC22" t="s">
        <v>60</v>
      </c>
      <c r="AD22" s="117"/>
    </row>
    <row r="23" spans="1:32" ht="15.75" customHeight="1" x14ac:dyDescent="0.35">
      <c r="A23" s="31" t="s">
        <v>123</v>
      </c>
      <c r="B23" s="99" t="s">
        <v>124</v>
      </c>
      <c r="C23" s="97" t="s">
        <v>125</v>
      </c>
      <c r="D23" s="26" t="s">
        <v>126</v>
      </c>
      <c r="E23" s="27" t="s">
        <v>35</v>
      </c>
      <c r="F23" s="28" t="s">
        <v>27</v>
      </c>
      <c r="G23" s="28">
        <v>2</v>
      </c>
      <c r="H23" s="26">
        <v>99631</v>
      </c>
      <c r="I23" s="38" t="s">
        <v>127</v>
      </c>
      <c r="J23" s="28" t="s">
        <v>97</v>
      </c>
      <c r="K23" s="28">
        <v>19</v>
      </c>
      <c r="L23" s="28">
        <v>25</v>
      </c>
      <c r="M23" s="28" t="s">
        <v>29</v>
      </c>
      <c r="N23" s="28">
        <v>31384</v>
      </c>
      <c r="O23" s="29">
        <v>44223</v>
      </c>
      <c r="P23" s="28"/>
      <c r="Q23" s="30">
        <v>44959</v>
      </c>
      <c r="R23" s="30">
        <v>45075</v>
      </c>
      <c r="S23" s="30"/>
      <c r="T23" s="30">
        <f>Q23+365</f>
        <v>45324</v>
      </c>
      <c r="U23" s="30">
        <f>T23-60</f>
        <v>45264</v>
      </c>
      <c r="V23" s="32">
        <v>45359</v>
      </c>
      <c r="W23" s="27"/>
      <c r="X23" s="30">
        <f>V23+365</f>
        <v>45724</v>
      </c>
      <c r="Y23" s="30">
        <f>X23-60</f>
        <v>45664</v>
      </c>
      <c r="Z23" s="32">
        <v>45663</v>
      </c>
      <c r="AA23" s="33"/>
      <c r="AB23" s="76"/>
      <c r="AD23" s="117"/>
    </row>
    <row r="24" spans="1:32" ht="15.75" customHeight="1" x14ac:dyDescent="0.35">
      <c r="A24" s="31" t="s">
        <v>99</v>
      </c>
      <c r="B24" s="99" t="s">
        <v>128</v>
      </c>
      <c r="C24" s="99" t="s">
        <v>101</v>
      </c>
      <c r="D24" s="31" t="s">
        <v>102</v>
      </c>
      <c r="E24" s="31" t="s">
        <v>129</v>
      </c>
      <c r="F24" s="28" t="s">
        <v>27</v>
      </c>
      <c r="G24" s="28">
        <v>4</v>
      </c>
      <c r="H24" s="31">
        <v>99631</v>
      </c>
      <c r="I24" s="31" t="s">
        <v>130</v>
      </c>
      <c r="J24" s="28" t="s">
        <v>97</v>
      </c>
      <c r="K24" s="28">
        <v>19</v>
      </c>
      <c r="L24" s="28">
        <v>25</v>
      </c>
      <c r="M24" s="28" t="s">
        <v>29</v>
      </c>
      <c r="N24" s="28">
        <v>20724</v>
      </c>
      <c r="O24" s="29">
        <v>45800</v>
      </c>
      <c r="P24" s="31"/>
      <c r="Q24" s="31"/>
      <c r="R24" s="31"/>
      <c r="S24" s="31"/>
      <c r="T24" s="31"/>
      <c r="U24" s="31"/>
      <c r="V24" s="31"/>
      <c r="W24" s="31"/>
      <c r="X24" s="30"/>
      <c r="Y24" s="30"/>
      <c r="Z24" s="31"/>
      <c r="AA24" s="66"/>
      <c r="AB24" s="86" t="s">
        <v>104</v>
      </c>
      <c r="AD24" s="117"/>
    </row>
    <row r="25" spans="1:32" ht="15.75" customHeight="1" x14ac:dyDescent="0.35">
      <c r="A25" s="48" t="s">
        <v>131</v>
      </c>
      <c r="B25" s="109" t="s">
        <v>132</v>
      </c>
      <c r="C25" s="96" t="s">
        <v>133</v>
      </c>
      <c r="D25" s="40" t="s">
        <v>134</v>
      </c>
      <c r="E25" s="41" t="s">
        <v>90</v>
      </c>
      <c r="F25" s="42" t="s">
        <v>27</v>
      </c>
      <c r="G25" s="42">
        <v>2</v>
      </c>
      <c r="H25" s="40">
        <v>99631</v>
      </c>
      <c r="I25" s="40" t="s">
        <v>135</v>
      </c>
      <c r="J25" s="42" t="s">
        <v>97</v>
      </c>
      <c r="K25" s="42">
        <v>19</v>
      </c>
      <c r="L25" s="42">
        <v>25</v>
      </c>
      <c r="M25" s="42" t="s">
        <v>29</v>
      </c>
      <c r="N25" s="42">
        <v>17349</v>
      </c>
      <c r="O25" s="43">
        <v>44071</v>
      </c>
      <c r="P25" s="43">
        <v>44146</v>
      </c>
      <c r="Q25" s="44">
        <v>45086</v>
      </c>
      <c r="R25" s="44">
        <v>45086</v>
      </c>
      <c r="S25" s="44">
        <v>45086</v>
      </c>
      <c r="T25" s="44">
        <f>Q25+365</f>
        <v>45451</v>
      </c>
      <c r="U25" s="44">
        <f>T25-60</f>
        <v>45391</v>
      </c>
      <c r="V25" s="45">
        <v>45485</v>
      </c>
      <c r="W25" s="45">
        <v>45495</v>
      </c>
      <c r="X25" s="44">
        <f>U25+365</f>
        <v>45756</v>
      </c>
      <c r="Y25" s="44">
        <f>X25-60</f>
        <v>45696</v>
      </c>
      <c r="Z25" s="45">
        <v>45709</v>
      </c>
      <c r="AA25" s="47">
        <v>45719</v>
      </c>
      <c r="AB25" s="75"/>
      <c r="AD25" s="117"/>
    </row>
    <row r="26" spans="1:32" ht="15.75" customHeight="1" x14ac:dyDescent="0.35">
      <c r="A26" s="31" t="s">
        <v>99</v>
      </c>
      <c r="B26" s="99" t="s">
        <v>136</v>
      </c>
      <c r="C26" s="100" t="s">
        <v>101</v>
      </c>
      <c r="D26" s="27" t="s">
        <v>137</v>
      </c>
      <c r="E26" s="27"/>
      <c r="F26" s="28" t="s">
        <v>27</v>
      </c>
      <c r="G26" s="28">
        <v>4</v>
      </c>
      <c r="H26" s="27">
        <v>102360</v>
      </c>
      <c r="I26" s="27" t="s">
        <v>138</v>
      </c>
      <c r="J26" s="28" t="s">
        <v>91</v>
      </c>
      <c r="K26" s="28">
        <v>25</v>
      </c>
      <c r="L26" s="28">
        <v>25</v>
      </c>
      <c r="M26" s="28" t="s">
        <v>29</v>
      </c>
      <c r="N26" s="28">
        <v>20724</v>
      </c>
      <c r="O26" s="32">
        <v>45777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33"/>
      <c r="AB26" s="76"/>
      <c r="AD26" s="117"/>
    </row>
    <row r="27" spans="1:32" ht="15.75" customHeight="1" x14ac:dyDescent="0.35">
      <c r="A27" s="31" t="s">
        <v>99</v>
      </c>
      <c r="B27" s="99" t="s">
        <v>139</v>
      </c>
      <c r="C27" s="99" t="s">
        <v>101</v>
      </c>
      <c r="D27" s="31" t="s">
        <v>102</v>
      </c>
      <c r="E27" s="31" t="s">
        <v>140</v>
      </c>
      <c r="F27" s="28" t="s">
        <v>27</v>
      </c>
      <c r="G27" s="28">
        <v>4</v>
      </c>
      <c r="H27" s="27">
        <v>102792</v>
      </c>
      <c r="I27" s="31" t="s">
        <v>141</v>
      </c>
      <c r="J27" s="28" t="s">
        <v>91</v>
      </c>
      <c r="K27" s="28">
        <v>19</v>
      </c>
      <c r="L27" s="28">
        <v>25</v>
      </c>
      <c r="M27" s="28" t="s">
        <v>29</v>
      </c>
      <c r="N27" s="28">
        <v>20724</v>
      </c>
      <c r="O27" s="29">
        <v>45595</v>
      </c>
      <c r="P27" s="31"/>
      <c r="Q27" s="60"/>
      <c r="R27" s="60"/>
      <c r="S27" s="60"/>
      <c r="T27" s="31"/>
      <c r="U27" s="31"/>
      <c r="V27" s="31"/>
      <c r="W27" s="31"/>
      <c r="X27" s="30">
        <f>O27+365</f>
        <v>45960</v>
      </c>
      <c r="Y27" s="30">
        <f>X27-60</f>
        <v>45900</v>
      </c>
      <c r="Z27" s="30">
        <v>45926</v>
      </c>
      <c r="AA27" s="66"/>
      <c r="AB27"/>
      <c r="AD27" s="117"/>
    </row>
    <row r="28" spans="1:32" ht="15.75" customHeight="1" x14ac:dyDescent="0.35">
      <c r="A28" s="31" t="s">
        <v>142</v>
      </c>
      <c r="B28" s="99" t="s">
        <v>143</v>
      </c>
      <c r="C28" s="97" t="s">
        <v>144</v>
      </c>
      <c r="D28" s="26" t="s">
        <v>145</v>
      </c>
      <c r="E28" s="27" t="s">
        <v>146</v>
      </c>
      <c r="F28" s="28" t="s">
        <v>36</v>
      </c>
      <c r="G28" s="28">
        <v>2</v>
      </c>
      <c r="H28" s="26">
        <v>105407</v>
      </c>
      <c r="I28" s="26" t="s">
        <v>147</v>
      </c>
      <c r="J28" s="28">
        <v>8551</v>
      </c>
      <c r="K28" s="28">
        <v>19</v>
      </c>
      <c r="L28" s="28">
        <v>25</v>
      </c>
      <c r="M28" s="28" t="s">
        <v>29</v>
      </c>
      <c r="N28" s="28">
        <v>208903</v>
      </c>
      <c r="O28" s="29">
        <v>44942</v>
      </c>
      <c r="P28" s="28"/>
      <c r="Q28" s="30"/>
      <c r="R28" s="31"/>
      <c r="S28" s="31"/>
      <c r="T28" s="30">
        <f>O28+365</f>
        <v>45307</v>
      </c>
      <c r="U28" s="30">
        <f>T28-60</f>
        <v>45247</v>
      </c>
      <c r="V28" s="32">
        <v>45357</v>
      </c>
      <c r="W28" s="27"/>
      <c r="X28" s="30">
        <f>V28+365</f>
        <v>45722</v>
      </c>
      <c r="Y28" s="30">
        <f>X28-60</f>
        <v>45662</v>
      </c>
      <c r="Z28" s="32">
        <v>45663</v>
      </c>
      <c r="AA28" s="33"/>
      <c r="AB28" s="76"/>
      <c r="AD28" s="117"/>
    </row>
    <row r="29" spans="1:32" ht="15.75" customHeight="1" x14ac:dyDescent="0.35">
      <c r="A29" s="31" t="s">
        <v>49</v>
      </c>
      <c r="B29" s="99" t="s">
        <v>148</v>
      </c>
      <c r="C29" s="97" t="s">
        <v>51</v>
      </c>
      <c r="D29" s="26" t="s">
        <v>52</v>
      </c>
      <c r="E29" s="27" t="s">
        <v>35</v>
      </c>
      <c r="F29" s="28" t="s">
        <v>27</v>
      </c>
      <c r="G29" s="28">
        <v>2</v>
      </c>
      <c r="H29" s="26">
        <v>105407</v>
      </c>
      <c r="I29" s="26">
        <v>8551</v>
      </c>
      <c r="J29" s="28">
        <v>8551</v>
      </c>
      <c r="K29" s="28">
        <v>19</v>
      </c>
      <c r="L29" s="28">
        <v>25</v>
      </c>
      <c r="M29" s="28" t="s">
        <v>29</v>
      </c>
      <c r="N29" s="28">
        <v>6345</v>
      </c>
      <c r="O29" s="29">
        <v>43721</v>
      </c>
      <c r="P29" s="29">
        <v>43721</v>
      </c>
      <c r="Q29" s="30">
        <v>45181</v>
      </c>
      <c r="R29" s="30">
        <v>45133</v>
      </c>
      <c r="S29" s="31"/>
      <c r="T29" s="30">
        <f>Q29+365</f>
        <v>45546</v>
      </c>
      <c r="U29" s="30">
        <f>T29-60</f>
        <v>45486</v>
      </c>
      <c r="V29" s="32">
        <v>45510</v>
      </c>
      <c r="W29" s="32"/>
      <c r="X29" s="30">
        <f>U29+365</f>
        <v>45851</v>
      </c>
      <c r="Y29" s="30">
        <f>X29-60</f>
        <v>45791</v>
      </c>
      <c r="Z29" s="32">
        <v>45792</v>
      </c>
      <c r="AA29" s="34"/>
      <c r="AB29" s="77"/>
      <c r="AD29" s="117"/>
    </row>
    <row r="30" spans="1:32" s="5" customFormat="1" ht="15.75" customHeight="1" x14ac:dyDescent="0.35">
      <c r="A30" s="31" t="s">
        <v>149</v>
      </c>
      <c r="B30" s="99" t="s">
        <v>150</v>
      </c>
      <c r="C30" s="97" t="s">
        <v>151</v>
      </c>
      <c r="D30" s="26" t="s">
        <v>152</v>
      </c>
      <c r="E30" s="27" t="s">
        <v>153</v>
      </c>
      <c r="F30" s="28" t="s">
        <v>36</v>
      </c>
      <c r="G30" s="28">
        <v>4</v>
      </c>
      <c r="H30" s="26">
        <v>105407</v>
      </c>
      <c r="I30" s="26" t="s">
        <v>154</v>
      </c>
      <c r="J30" s="28">
        <v>8551</v>
      </c>
      <c r="K30" s="28">
        <v>19</v>
      </c>
      <c r="L30" s="28">
        <v>25</v>
      </c>
      <c r="M30" s="28" t="s">
        <v>29</v>
      </c>
      <c r="N30" s="28">
        <v>2426</v>
      </c>
      <c r="O30" s="29">
        <v>45205</v>
      </c>
      <c r="P30" s="28"/>
      <c r="Q30" s="20"/>
      <c r="R30" s="20"/>
      <c r="S30" s="10"/>
      <c r="T30" s="20">
        <f>O30+365</f>
        <v>45570</v>
      </c>
      <c r="U30" s="20">
        <f>T30-60</f>
        <v>45510</v>
      </c>
      <c r="V30" s="9">
        <v>45547</v>
      </c>
      <c r="W30" s="9">
        <v>45588</v>
      </c>
      <c r="X30" s="30">
        <f>T30+365</f>
        <v>45935</v>
      </c>
      <c r="Y30" s="30">
        <f>X30-60</f>
        <v>45875</v>
      </c>
      <c r="Z30" s="32">
        <v>45926</v>
      </c>
      <c r="AA30" s="34"/>
      <c r="AB30" s="70"/>
      <c r="AC30"/>
      <c r="AD30" s="118" t="s">
        <v>484</v>
      </c>
      <c r="AE30"/>
      <c r="AF30"/>
    </row>
    <row r="31" spans="1:32" s="5" customFormat="1" ht="15.75" customHeight="1" x14ac:dyDescent="0.35">
      <c r="A31" s="48" t="s">
        <v>155</v>
      </c>
      <c r="B31" s="109" t="s">
        <v>156</v>
      </c>
      <c r="C31" s="96" t="s">
        <v>157</v>
      </c>
      <c r="D31" s="40" t="s">
        <v>158</v>
      </c>
      <c r="E31" s="41"/>
      <c r="F31" s="42" t="s">
        <v>36</v>
      </c>
      <c r="G31" s="42">
        <v>4</v>
      </c>
      <c r="H31" s="40">
        <v>78112</v>
      </c>
      <c r="I31" s="40">
        <v>13347728</v>
      </c>
      <c r="J31" s="42" t="s">
        <v>76</v>
      </c>
      <c r="K31" s="42">
        <v>9</v>
      </c>
      <c r="L31" s="42">
        <v>50</v>
      </c>
      <c r="M31" s="42" t="s">
        <v>29</v>
      </c>
      <c r="N31" s="42">
        <v>87707</v>
      </c>
      <c r="O31" s="43">
        <v>45922</v>
      </c>
      <c r="P31" s="43">
        <v>45944</v>
      </c>
      <c r="Q31" s="30"/>
      <c r="R31" s="30"/>
      <c r="S31" s="31"/>
      <c r="T31" s="44"/>
      <c r="U31" s="44"/>
      <c r="V31" s="45"/>
      <c r="W31" s="45"/>
      <c r="X31" s="44"/>
      <c r="Y31" s="44"/>
      <c r="Z31" s="45"/>
      <c r="AA31" s="47"/>
      <c r="AB31" s="70"/>
      <c r="AC31"/>
      <c r="AD31" s="117"/>
      <c r="AE31"/>
      <c r="AF31"/>
    </row>
    <row r="32" spans="1:32" ht="15.75" customHeight="1" x14ac:dyDescent="0.35">
      <c r="A32" s="48" t="s">
        <v>39</v>
      </c>
      <c r="B32" s="109" t="s">
        <v>159</v>
      </c>
      <c r="C32" s="96" t="s">
        <v>41</v>
      </c>
      <c r="D32" s="40" t="s">
        <v>42</v>
      </c>
      <c r="E32" s="40" t="s">
        <v>90</v>
      </c>
      <c r="F32" s="51" t="s">
        <v>27</v>
      </c>
      <c r="G32" s="42">
        <v>4</v>
      </c>
      <c r="H32" s="40">
        <v>105407</v>
      </c>
      <c r="I32" s="40">
        <v>40021714</v>
      </c>
      <c r="J32" s="42">
        <v>8551</v>
      </c>
      <c r="K32" s="42">
        <v>19</v>
      </c>
      <c r="L32" s="42">
        <v>25</v>
      </c>
      <c r="M32" s="42" t="s">
        <v>29</v>
      </c>
      <c r="N32" s="42">
        <v>56697</v>
      </c>
      <c r="O32" s="43">
        <v>45327</v>
      </c>
      <c r="P32" s="43"/>
      <c r="Q32" s="44"/>
      <c r="R32" s="48"/>
      <c r="S32" s="48"/>
      <c r="T32" s="44"/>
      <c r="U32" s="44"/>
      <c r="V32" s="41"/>
      <c r="W32" s="41"/>
      <c r="X32" s="44">
        <f>O32+365</f>
        <v>45692</v>
      </c>
      <c r="Y32" s="44">
        <f>X32-60</f>
        <v>45632</v>
      </c>
      <c r="Z32" s="45">
        <v>45663</v>
      </c>
      <c r="AA32" s="47">
        <v>45687</v>
      </c>
      <c r="AB32" s="75"/>
      <c r="AD32" s="117"/>
      <c r="AE32" s="4"/>
      <c r="AF32" s="4"/>
    </row>
    <row r="33" spans="1:30" ht="15.75" customHeight="1" x14ac:dyDescent="0.35">
      <c r="A33" s="48" t="s">
        <v>131</v>
      </c>
      <c r="B33" s="109" t="s">
        <v>160</v>
      </c>
      <c r="C33" s="96" t="s">
        <v>133</v>
      </c>
      <c r="D33" s="40" t="s">
        <v>134</v>
      </c>
      <c r="E33" s="41" t="s">
        <v>161</v>
      </c>
      <c r="F33" s="42" t="s">
        <v>27</v>
      </c>
      <c r="G33" s="42">
        <v>2</v>
      </c>
      <c r="H33" s="40">
        <v>105407</v>
      </c>
      <c r="I33" s="40" t="s">
        <v>162</v>
      </c>
      <c r="J33" s="42">
        <v>8551</v>
      </c>
      <c r="K33" s="42">
        <v>19</v>
      </c>
      <c r="L33" s="42">
        <v>25</v>
      </c>
      <c r="M33" s="42" t="s">
        <v>29</v>
      </c>
      <c r="N33" s="42">
        <v>17349</v>
      </c>
      <c r="O33" s="43">
        <v>43865</v>
      </c>
      <c r="P33" s="43">
        <v>43886</v>
      </c>
      <c r="Q33" s="44">
        <v>44960</v>
      </c>
      <c r="R33" s="44">
        <v>44952</v>
      </c>
      <c r="S33" s="44">
        <v>45076</v>
      </c>
      <c r="T33" s="44">
        <f>Q33+365</f>
        <v>45325</v>
      </c>
      <c r="U33" s="44">
        <f>T33-60</f>
        <v>45265</v>
      </c>
      <c r="V33" s="45">
        <v>45362</v>
      </c>
      <c r="W33" s="45">
        <v>45371</v>
      </c>
      <c r="X33" s="44">
        <f>V33+365</f>
        <v>45727</v>
      </c>
      <c r="Y33" s="44">
        <f>X33-60</f>
        <v>45667</v>
      </c>
      <c r="Z33" s="45">
        <v>45663</v>
      </c>
      <c r="AA33" s="47">
        <v>45763</v>
      </c>
      <c r="AB33" s="75"/>
      <c r="AD33" s="117"/>
    </row>
    <row r="34" spans="1:30" ht="15.75" customHeight="1" x14ac:dyDescent="0.35">
      <c r="A34" s="48" t="s">
        <v>55</v>
      </c>
      <c r="B34" s="109" t="s">
        <v>163</v>
      </c>
      <c r="C34" s="96" t="s">
        <v>57</v>
      </c>
      <c r="D34" s="40" t="s">
        <v>58</v>
      </c>
      <c r="E34" s="41" t="s">
        <v>35</v>
      </c>
      <c r="F34" s="42" t="s">
        <v>27</v>
      </c>
      <c r="G34" s="42">
        <v>4</v>
      </c>
      <c r="H34" s="41">
        <v>107778</v>
      </c>
      <c r="I34" s="41" t="s">
        <v>164</v>
      </c>
      <c r="J34" s="42">
        <v>302</v>
      </c>
      <c r="K34" s="42">
        <v>12</v>
      </c>
      <c r="L34" s="42">
        <v>33</v>
      </c>
      <c r="M34" s="42" t="s">
        <v>165</v>
      </c>
      <c r="N34" s="42">
        <v>21733</v>
      </c>
      <c r="O34" s="43">
        <v>43774</v>
      </c>
      <c r="P34" s="43">
        <v>43801</v>
      </c>
      <c r="Q34" s="44"/>
      <c r="R34" s="44">
        <v>44992</v>
      </c>
      <c r="S34" s="44">
        <v>45085</v>
      </c>
      <c r="T34" s="44">
        <f>R34+365</f>
        <v>45357</v>
      </c>
      <c r="U34" s="44">
        <f>T34-60</f>
        <v>45297</v>
      </c>
      <c r="V34" s="45">
        <v>45357</v>
      </c>
      <c r="W34" s="45">
        <v>45385</v>
      </c>
      <c r="X34" s="44">
        <f>V34+365</f>
        <v>45722</v>
      </c>
      <c r="Y34" s="44">
        <f>X34-60</f>
        <v>45662</v>
      </c>
      <c r="Z34" s="45">
        <v>45749</v>
      </c>
      <c r="AA34" s="47">
        <v>45784</v>
      </c>
      <c r="AB34" s="75"/>
      <c r="AC34" t="s">
        <v>60</v>
      </c>
      <c r="AD34" s="117"/>
    </row>
    <row r="35" spans="1:30" ht="15.75" customHeight="1" x14ac:dyDescent="0.35">
      <c r="A35" s="48" t="s">
        <v>44</v>
      </c>
      <c r="B35" s="109" t="s">
        <v>166</v>
      </c>
      <c r="C35" s="96" t="s">
        <v>46</v>
      </c>
      <c r="D35" s="40" t="s">
        <v>47</v>
      </c>
      <c r="E35" s="41"/>
      <c r="F35" s="42" t="s">
        <v>27</v>
      </c>
      <c r="G35" s="42">
        <v>4</v>
      </c>
      <c r="H35" s="41">
        <v>117852</v>
      </c>
      <c r="I35" s="40">
        <v>146820</v>
      </c>
      <c r="J35" s="42" t="s">
        <v>167</v>
      </c>
      <c r="K35" s="42">
        <v>19</v>
      </c>
      <c r="L35" s="42">
        <v>20</v>
      </c>
      <c r="M35" s="42" t="s">
        <v>29</v>
      </c>
      <c r="N35" s="42">
        <v>132984</v>
      </c>
      <c r="O35" s="43">
        <v>45862</v>
      </c>
      <c r="P35" s="43">
        <v>45868</v>
      </c>
      <c r="Q35" s="44"/>
      <c r="R35" s="48"/>
      <c r="S35" s="48"/>
      <c r="T35" s="44"/>
      <c r="U35" s="44"/>
      <c r="V35" s="45"/>
      <c r="W35" s="41"/>
      <c r="X35" s="44"/>
      <c r="Y35" s="44"/>
      <c r="Z35" s="45"/>
      <c r="AA35" s="46"/>
      <c r="AB35" s="68" t="s">
        <v>104</v>
      </c>
      <c r="AD35" s="117"/>
    </row>
    <row r="36" spans="1:30" ht="15.75" customHeight="1" x14ac:dyDescent="0.35">
      <c r="A36" s="48" t="s">
        <v>131</v>
      </c>
      <c r="B36" s="109" t="s">
        <v>168</v>
      </c>
      <c r="C36" s="96" t="s">
        <v>133</v>
      </c>
      <c r="D36" s="40" t="s">
        <v>134</v>
      </c>
      <c r="E36" s="41" t="s">
        <v>169</v>
      </c>
      <c r="F36" s="42" t="s">
        <v>27</v>
      </c>
      <c r="G36" s="42">
        <v>2</v>
      </c>
      <c r="H36" s="40">
        <v>137809</v>
      </c>
      <c r="I36" s="40" t="s">
        <v>482</v>
      </c>
      <c r="J36" s="42">
        <v>839</v>
      </c>
      <c r="K36" s="42">
        <v>12</v>
      </c>
      <c r="L36" s="42">
        <v>25</v>
      </c>
      <c r="M36" s="42" t="s">
        <v>29</v>
      </c>
      <c r="N36" s="42">
        <v>17349</v>
      </c>
      <c r="O36" s="43">
        <v>44762</v>
      </c>
      <c r="P36" s="43">
        <v>44763</v>
      </c>
      <c r="Q36" s="44">
        <v>45127</v>
      </c>
      <c r="R36" s="45">
        <v>45184</v>
      </c>
      <c r="S36" s="45">
        <v>45184</v>
      </c>
      <c r="T36" s="44">
        <f>Q36+365</f>
        <v>45492</v>
      </c>
      <c r="U36" s="44">
        <f>T36-60</f>
        <v>45432</v>
      </c>
      <c r="V36" s="45">
        <v>45420</v>
      </c>
      <c r="W36" s="45">
        <v>45580</v>
      </c>
      <c r="X36" s="44">
        <f>U36+365</f>
        <v>45797</v>
      </c>
      <c r="Y36" s="44">
        <f>X36-60</f>
        <v>45737</v>
      </c>
      <c r="Z36" s="45">
        <v>45713</v>
      </c>
      <c r="AA36" s="47">
        <v>45995</v>
      </c>
      <c r="AB36" s="75"/>
      <c r="AD36" s="117"/>
    </row>
    <row r="37" spans="1:30" ht="15.75" customHeight="1" x14ac:dyDescent="0.35">
      <c r="A37" s="48" t="s">
        <v>79</v>
      </c>
      <c r="B37" s="109" t="s">
        <v>170</v>
      </c>
      <c r="C37" s="96" t="s">
        <v>81</v>
      </c>
      <c r="D37" s="40" t="s">
        <v>112</v>
      </c>
      <c r="E37" s="41" t="s">
        <v>68</v>
      </c>
      <c r="F37" s="42" t="s">
        <v>36</v>
      </c>
      <c r="G37" s="42">
        <v>2</v>
      </c>
      <c r="H37" s="40">
        <v>141009</v>
      </c>
      <c r="I37" s="40">
        <v>57028</v>
      </c>
      <c r="J37" s="42" t="s">
        <v>171</v>
      </c>
      <c r="K37" s="42">
        <v>19</v>
      </c>
      <c r="L37" s="42">
        <v>5</v>
      </c>
      <c r="M37" s="42" t="s">
        <v>29</v>
      </c>
      <c r="N37" s="42">
        <v>645</v>
      </c>
      <c r="O37" s="43">
        <v>45385</v>
      </c>
      <c r="P37" s="43">
        <v>45400</v>
      </c>
      <c r="Q37" s="30"/>
      <c r="R37" s="30"/>
      <c r="S37" s="30"/>
      <c r="T37" s="44"/>
      <c r="U37" s="44"/>
      <c r="V37" s="45">
        <v>45385</v>
      </c>
      <c r="W37" s="45">
        <v>45400</v>
      </c>
      <c r="X37" s="44">
        <f>O37+365</f>
        <v>45750</v>
      </c>
      <c r="Y37" s="44">
        <f>X37-60</f>
        <v>45690</v>
      </c>
      <c r="Z37" s="45">
        <v>45719</v>
      </c>
      <c r="AA37" s="47">
        <v>45742</v>
      </c>
      <c r="AB37" s="75"/>
      <c r="AD37" s="117"/>
    </row>
    <row r="38" spans="1:30" ht="15.75" customHeight="1" x14ac:dyDescent="0.35">
      <c r="A38" s="48" t="s">
        <v>172</v>
      </c>
      <c r="B38" s="109" t="s">
        <v>173</v>
      </c>
      <c r="C38" s="103" t="s">
        <v>174</v>
      </c>
      <c r="D38" s="41" t="s">
        <v>175</v>
      </c>
      <c r="E38" s="41"/>
      <c r="F38" s="42" t="s">
        <v>36</v>
      </c>
      <c r="G38" s="42"/>
      <c r="H38" s="41">
        <v>141009</v>
      </c>
      <c r="I38" s="41" t="s">
        <v>176</v>
      </c>
      <c r="J38" s="42" t="s">
        <v>171</v>
      </c>
      <c r="K38" s="42">
        <v>19</v>
      </c>
      <c r="L38" s="42">
        <v>5</v>
      </c>
      <c r="M38" s="42" t="s">
        <v>29</v>
      </c>
      <c r="N38" s="42">
        <v>40429</v>
      </c>
      <c r="O38" s="43">
        <v>45874</v>
      </c>
      <c r="P38" s="43">
        <v>45876</v>
      </c>
      <c r="Q38" s="15"/>
      <c r="R38" s="15"/>
      <c r="S38" s="18"/>
      <c r="T38" s="44"/>
      <c r="U38" s="44"/>
      <c r="V38" s="45"/>
      <c r="W38" s="41"/>
      <c r="X38" s="44"/>
      <c r="Y38" s="44"/>
      <c r="Z38" s="45"/>
      <c r="AA38" s="46"/>
      <c r="AB38" s="68" t="s">
        <v>104</v>
      </c>
      <c r="AD38" s="118" t="s">
        <v>485</v>
      </c>
    </row>
    <row r="39" spans="1:30" ht="15.75" customHeight="1" x14ac:dyDescent="0.35">
      <c r="A39" s="31" t="s">
        <v>177</v>
      </c>
      <c r="B39" s="99" t="s">
        <v>178</v>
      </c>
      <c r="C39" s="97" t="s">
        <v>179</v>
      </c>
      <c r="D39" s="26" t="s">
        <v>180</v>
      </c>
      <c r="E39" s="27" t="s">
        <v>35</v>
      </c>
      <c r="F39" s="28" t="s">
        <v>27</v>
      </c>
      <c r="G39" s="28">
        <v>2</v>
      </c>
      <c r="H39" s="26">
        <v>141009</v>
      </c>
      <c r="I39" s="26" t="s">
        <v>181</v>
      </c>
      <c r="J39" s="28" t="s">
        <v>171</v>
      </c>
      <c r="K39" s="28">
        <v>19</v>
      </c>
      <c r="L39" s="28">
        <v>5</v>
      </c>
      <c r="M39" s="28" t="s">
        <v>29</v>
      </c>
      <c r="N39" s="28"/>
      <c r="O39" s="29">
        <v>44202</v>
      </c>
      <c r="P39" s="29">
        <v>44203</v>
      </c>
      <c r="Q39" s="30">
        <v>44936</v>
      </c>
      <c r="R39" s="30">
        <v>45000</v>
      </c>
      <c r="S39" s="30">
        <v>45000</v>
      </c>
      <c r="T39" s="30">
        <f>Q39+365</f>
        <v>45301</v>
      </c>
      <c r="U39" s="30">
        <f>T39-60</f>
        <v>45241</v>
      </c>
      <c r="V39" s="32">
        <v>45406</v>
      </c>
      <c r="W39" s="27"/>
      <c r="X39" s="30">
        <f>V39+365</f>
        <v>45771</v>
      </c>
      <c r="Y39" s="30">
        <f t="shared" ref="Y39:Y44" si="0">X39-60</f>
        <v>45711</v>
      </c>
      <c r="Z39" s="32">
        <v>45719</v>
      </c>
      <c r="AA39" s="33"/>
      <c r="AB39" s="76"/>
      <c r="AD39" s="117"/>
    </row>
    <row r="40" spans="1:30" ht="15.75" customHeight="1" x14ac:dyDescent="0.35">
      <c r="A40" s="31" t="s">
        <v>39</v>
      </c>
      <c r="B40" s="99" t="s">
        <v>182</v>
      </c>
      <c r="C40" s="97" t="s">
        <v>41</v>
      </c>
      <c r="D40" s="26" t="s">
        <v>183</v>
      </c>
      <c r="E40" s="26" t="s">
        <v>35</v>
      </c>
      <c r="F40" s="36" t="s">
        <v>36</v>
      </c>
      <c r="G40" s="28">
        <v>4</v>
      </c>
      <c r="H40" s="26">
        <v>141009</v>
      </c>
      <c r="I40" s="26">
        <v>40021861</v>
      </c>
      <c r="J40" s="28" t="s">
        <v>171</v>
      </c>
      <c r="K40" s="28">
        <v>19</v>
      </c>
      <c r="L40" s="28">
        <v>5</v>
      </c>
      <c r="M40" s="28" t="s">
        <v>29</v>
      </c>
      <c r="N40" s="28">
        <v>56697</v>
      </c>
      <c r="O40" s="29">
        <v>44950</v>
      </c>
      <c r="P40" s="29">
        <v>44977</v>
      </c>
      <c r="Q40" s="30"/>
      <c r="R40" s="31"/>
      <c r="S40" s="31"/>
      <c r="T40" s="30">
        <f>O40+365</f>
        <v>45315</v>
      </c>
      <c r="U40" s="30">
        <f>T40-60</f>
        <v>45255</v>
      </c>
      <c r="V40" s="32">
        <v>45406</v>
      </c>
      <c r="W40" s="32">
        <v>45414</v>
      </c>
      <c r="X40" s="30">
        <f>V40+365</f>
        <v>45771</v>
      </c>
      <c r="Y40" s="30">
        <f t="shared" si="0"/>
        <v>45711</v>
      </c>
      <c r="Z40" s="32">
        <v>45728</v>
      </c>
      <c r="AA40" s="34"/>
      <c r="AB40" s="77"/>
      <c r="AD40" s="117"/>
    </row>
    <row r="41" spans="1:30" ht="15.75" customHeight="1" x14ac:dyDescent="0.35">
      <c r="A41" s="48" t="s">
        <v>79</v>
      </c>
      <c r="B41" s="109" t="s">
        <v>184</v>
      </c>
      <c r="C41" s="96" t="s">
        <v>81</v>
      </c>
      <c r="D41" s="40" t="s">
        <v>185</v>
      </c>
      <c r="E41" s="41" t="s">
        <v>113</v>
      </c>
      <c r="F41" s="42" t="s">
        <v>36</v>
      </c>
      <c r="G41" s="42">
        <v>2</v>
      </c>
      <c r="H41" s="40">
        <v>141654</v>
      </c>
      <c r="I41" s="40">
        <v>38421</v>
      </c>
      <c r="J41" s="42" t="s">
        <v>171</v>
      </c>
      <c r="K41" s="42">
        <v>25</v>
      </c>
      <c r="L41" s="42">
        <v>5</v>
      </c>
      <c r="M41" s="42" t="s">
        <v>29</v>
      </c>
      <c r="N41" s="42">
        <v>645</v>
      </c>
      <c r="O41" s="43">
        <v>44942</v>
      </c>
      <c r="P41" s="43">
        <v>45054</v>
      </c>
      <c r="Q41" s="30"/>
      <c r="R41" s="31"/>
      <c r="S41" s="31"/>
      <c r="T41" s="44">
        <f>P41+365</f>
        <v>45419</v>
      </c>
      <c r="U41" s="44">
        <f>T41-60</f>
        <v>45359</v>
      </c>
      <c r="V41" s="45">
        <v>45488</v>
      </c>
      <c r="W41" s="45">
        <v>45502</v>
      </c>
      <c r="X41" s="44">
        <f>T41+365</f>
        <v>45784</v>
      </c>
      <c r="Y41" s="44">
        <f t="shared" si="0"/>
        <v>45724</v>
      </c>
      <c r="Z41" s="45">
        <v>45733</v>
      </c>
      <c r="AA41" s="47">
        <v>45742</v>
      </c>
      <c r="AB41" s="75"/>
      <c r="AD41" s="117"/>
    </row>
    <row r="42" spans="1:30" ht="15.75" customHeight="1" x14ac:dyDescent="0.35">
      <c r="A42" s="31" t="s">
        <v>49</v>
      </c>
      <c r="B42" s="99" t="s">
        <v>186</v>
      </c>
      <c r="C42" s="97" t="s">
        <v>51</v>
      </c>
      <c r="D42" s="26" t="s">
        <v>52</v>
      </c>
      <c r="E42" s="27" t="s">
        <v>187</v>
      </c>
      <c r="F42" s="28" t="s">
        <v>27</v>
      </c>
      <c r="G42" s="28">
        <v>4</v>
      </c>
      <c r="H42" s="26">
        <v>146057</v>
      </c>
      <c r="I42" s="27" t="s">
        <v>188</v>
      </c>
      <c r="J42" s="28">
        <v>512</v>
      </c>
      <c r="K42" s="28">
        <v>19</v>
      </c>
      <c r="L42" s="28">
        <v>25</v>
      </c>
      <c r="M42" s="28" t="s">
        <v>165</v>
      </c>
      <c r="N42" s="28">
        <v>6345</v>
      </c>
      <c r="O42" s="29">
        <v>45422</v>
      </c>
      <c r="P42" s="29">
        <v>45433</v>
      </c>
      <c r="Q42" s="30"/>
      <c r="R42" s="30"/>
      <c r="S42" s="30"/>
      <c r="T42" s="30"/>
      <c r="U42" s="30"/>
      <c r="V42" s="27"/>
      <c r="W42" s="27"/>
      <c r="X42" s="30">
        <f>O42+365</f>
        <v>45787</v>
      </c>
      <c r="Y42" s="30">
        <f t="shared" si="0"/>
        <v>45727</v>
      </c>
      <c r="Z42" s="32">
        <v>45734</v>
      </c>
      <c r="AA42" s="33"/>
      <c r="AB42" s="76"/>
      <c r="AD42" s="117"/>
    </row>
    <row r="43" spans="1:30" ht="15.75" customHeight="1" x14ac:dyDescent="0.35">
      <c r="A43" s="31" t="s">
        <v>189</v>
      </c>
      <c r="B43" s="99" t="s">
        <v>190</v>
      </c>
      <c r="C43" s="97" t="s">
        <v>191</v>
      </c>
      <c r="D43" s="26" t="s">
        <v>192</v>
      </c>
      <c r="E43" s="27" t="s">
        <v>153</v>
      </c>
      <c r="F43" s="28" t="s">
        <v>36</v>
      </c>
      <c r="G43" s="28">
        <v>2</v>
      </c>
      <c r="H43" s="26">
        <v>146422</v>
      </c>
      <c r="I43" s="64" t="s">
        <v>193</v>
      </c>
      <c r="J43" s="28" t="s">
        <v>194</v>
      </c>
      <c r="K43" s="28">
        <v>19</v>
      </c>
      <c r="L43" s="28">
        <v>33</v>
      </c>
      <c r="M43" s="28" t="s">
        <v>29</v>
      </c>
      <c r="N43" s="28">
        <v>171837</v>
      </c>
      <c r="O43" s="29">
        <v>45083</v>
      </c>
      <c r="P43" s="29">
        <v>45085</v>
      </c>
      <c r="Q43" s="15"/>
      <c r="R43" s="18"/>
      <c r="S43" s="18"/>
      <c r="T43" s="30">
        <f>O43+365</f>
        <v>45448</v>
      </c>
      <c r="U43" s="30">
        <f>T43-60</f>
        <v>45388</v>
      </c>
      <c r="V43" s="32">
        <v>45488</v>
      </c>
      <c r="W43" s="27"/>
      <c r="X43" s="30">
        <f>T43+365</f>
        <v>45813</v>
      </c>
      <c r="Y43" s="30">
        <f t="shared" si="0"/>
        <v>45753</v>
      </c>
      <c r="Z43" s="32">
        <v>45812</v>
      </c>
      <c r="AA43" s="33"/>
      <c r="AB43" s="76"/>
      <c r="AD43" s="117"/>
    </row>
    <row r="44" spans="1:30" ht="15.75" customHeight="1" x14ac:dyDescent="0.35">
      <c r="A44" s="31" t="s">
        <v>105</v>
      </c>
      <c r="B44" s="99" t="s">
        <v>195</v>
      </c>
      <c r="C44" s="100" t="s">
        <v>107</v>
      </c>
      <c r="D44" s="27" t="s">
        <v>108</v>
      </c>
      <c r="E44" s="27" t="s">
        <v>109</v>
      </c>
      <c r="F44" s="28" t="s">
        <v>36</v>
      </c>
      <c r="G44" s="28">
        <v>2</v>
      </c>
      <c r="H44" s="27">
        <v>147094</v>
      </c>
      <c r="I44" s="27" t="s">
        <v>196</v>
      </c>
      <c r="J44" s="28" t="s">
        <v>97</v>
      </c>
      <c r="K44" s="28">
        <v>19</v>
      </c>
      <c r="L44" s="28">
        <v>25</v>
      </c>
      <c r="M44" s="28" t="s">
        <v>197</v>
      </c>
      <c r="N44" s="28">
        <v>48001</v>
      </c>
      <c r="O44" s="29">
        <v>45302</v>
      </c>
      <c r="P44" s="29">
        <v>45302</v>
      </c>
      <c r="Q44" s="28"/>
      <c r="R44" s="28"/>
      <c r="S44" s="28"/>
      <c r="T44" s="28"/>
      <c r="U44" s="28"/>
      <c r="V44" s="32"/>
      <c r="W44" s="29"/>
      <c r="X44" s="30">
        <f>O44+365</f>
        <v>45667</v>
      </c>
      <c r="Y44" s="30">
        <f t="shared" si="0"/>
        <v>45607</v>
      </c>
      <c r="Z44" s="32">
        <v>45663</v>
      </c>
      <c r="AA44" s="39"/>
      <c r="AB44" s="74"/>
      <c r="AD44" s="117"/>
    </row>
    <row r="45" spans="1:30" ht="15.75" customHeight="1" x14ac:dyDescent="0.35">
      <c r="A45" s="48" t="s">
        <v>79</v>
      </c>
      <c r="B45" s="109" t="s">
        <v>198</v>
      </c>
      <c r="C45" s="96" t="s">
        <v>81</v>
      </c>
      <c r="D45" s="40" t="s">
        <v>199</v>
      </c>
      <c r="E45" s="48" t="s">
        <v>109</v>
      </c>
      <c r="F45" s="42" t="s">
        <v>36</v>
      </c>
      <c r="G45" s="42">
        <v>4</v>
      </c>
      <c r="H45" s="40">
        <v>147094</v>
      </c>
      <c r="I45" s="40">
        <v>24582</v>
      </c>
      <c r="J45" s="42" t="s">
        <v>97</v>
      </c>
      <c r="K45" s="42">
        <v>19</v>
      </c>
      <c r="L45" s="42">
        <v>25</v>
      </c>
      <c r="M45" s="42" t="s">
        <v>197</v>
      </c>
      <c r="N45" s="42">
        <v>645</v>
      </c>
      <c r="O45" s="43">
        <v>45796</v>
      </c>
      <c r="P45" s="43">
        <v>45824</v>
      </c>
      <c r="Q45" s="44"/>
      <c r="R45" s="44"/>
      <c r="S45" s="44"/>
      <c r="T45" s="44"/>
      <c r="U45" s="44"/>
      <c r="V45" s="45"/>
      <c r="W45" s="45"/>
      <c r="X45" s="44"/>
      <c r="Y45" s="44"/>
      <c r="Z45" s="45"/>
      <c r="AA45" s="47"/>
      <c r="AB45" s="75"/>
      <c r="AD45" s="117"/>
    </row>
    <row r="46" spans="1:30" ht="15.75" customHeight="1" x14ac:dyDescent="0.35">
      <c r="A46" s="60" t="s">
        <v>55</v>
      </c>
      <c r="B46" s="101" t="s">
        <v>200</v>
      </c>
      <c r="C46" s="104" t="s">
        <v>57</v>
      </c>
      <c r="D46" s="54" t="s">
        <v>58</v>
      </c>
      <c r="E46" s="55" t="s">
        <v>35</v>
      </c>
      <c r="F46" s="56" t="s">
        <v>27</v>
      </c>
      <c r="G46" s="56">
        <v>4</v>
      </c>
      <c r="H46" s="55">
        <v>147094</v>
      </c>
      <c r="I46" s="55" t="s">
        <v>201</v>
      </c>
      <c r="J46" s="56" t="s">
        <v>97</v>
      </c>
      <c r="K46" s="56">
        <v>19</v>
      </c>
      <c r="L46" s="56">
        <v>25</v>
      </c>
      <c r="M46" s="56" t="s">
        <v>197</v>
      </c>
      <c r="N46" s="56">
        <v>21733</v>
      </c>
      <c r="O46" s="57"/>
      <c r="P46" s="57"/>
      <c r="Q46" s="52"/>
      <c r="R46" s="52"/>
      <c r="S46" s="52"/>
      <c r="T46" s="55"/>
      <c r="U46" s="52"/>
      <c r="V46" s="58">
        <v>45498</v>
      </c>
      <c r="W46" s="58">
        <v>45520</v>
      </c>
      <c r="X46" s="15">
        <f>V46+365</f>
        <v>45863</v>
      </c>
      <c r="Y46" s="15">
        <f>X46-60</f>
        <v>45803</v>
      </c>
      <c r="Z46" s="58"/>
      <c r="AA46" s="59"/>
      <c r="AB46" s="71"/>
      <c r="AD46" s="117"/>
    </row>
    <row r="47" spans="1:30" ht="15.75" customHeight="1" x14ac:dyDescent="0.35">
      <c r="A47" s="31" t="s">
        <v>202</v>
      </c>
      <c r="B47" s="99" t="s">
        <v>203</v>
      </c>
      <c r="C47" s="97" t="s">
        <v>204</v>
      </c>
      <c r="D47" s="26" t="s">
        <v>205</v>
      </c>
      <c r="E47" s="27" t="s">
        <v>90</v>
      </c>
      <c r="F47" s="28" t="s">
        <v>206</v>
      </c>
      <c r="G47" s="28">
        <v>4</v>
      </c>
      <c r="H47" s="27">
        <v>147094</v>
      </c>
      <c r="I47" s="27" t="s">
        <v>207</v>
      </c>
      <c r="J47" s="28" t="s">
        <v>97</v>
      </c>
      <c r="K47" s="28">
        <v>19</v>
      </c>
      <c r="L47" s="28">
        <v>25</v>
      </c>
      <c r="M47" s="28" t="s">
        <v>197</v>
      </c>
      <c r="N47" s="28">
        <v>21733</v>
      </c>
      <c r="O47" s="29">
        <v>44998</v>
      </c>
      <c r="P47" s="29"/>
      <c r="Q47" s="30"/>
      <c r="R47" s="30"/>
      <c r="S47" s="30"/>
      <c r="T47" s="30"/>
      <c r="U47" s="30"/>
      <c r="V47" s="32">
        <v>45498</v>
      </c>
      <c r="W47" s="32">
        <v>45520</v>
      </c>
      <c r="X47" s="30">
        <f>V47+365</f>
        <v>45863</v>
      </c>
      <c r="Y47" s="30">
        <f>X47-60</f>
        <v>45803</v>
      </c>
      <c r="Z47" s="32">
        <v>45796</v>
      </c>
      <c r="AA47" s="34"/>
      <c r="AB47" s="77"/>
      <c r="AD47" s="117"/>
    </row>
    <row r="48" spans="1:30" ht="15.75" customHeight="1" x14ac:dyDescent="0.35">
      <c r="A48" s="48" t="s">
        <v>208</v>
      </c>
      <c r="B48" s="109" t="s">
        <v>209</v>
      </c>
      <c r="C48" s="103" t="s">
        <v>210</v>
      </c>
      <c r="D48" s="41" t="s">
        <v>211</v>
      </c>
      <c r="E48" s="41" t="s">
        <v>68</v>
      </c>
      <c r="F48" s="42" t="s">
        <v>36</v>
      </c>
      <c r="G48" s="42">
        <v>4</v>
      </c>
      <c r="H48" s="41">
        <v>147094</v>
      </c>
      <c r="I48" s="41">
        <v>80001837</v>
      </c>
      <c r="J48" s="42" t="s">
        <v>97</v>
      </c>
      <c r="K48" s="42">
        <v>19</v>
      </c>
      <c r="L48" s="42">
        <v>25</v>
      </c>
      <c r="M48" s="42" t="s">
        <v>197</v>
      </c>
      <c r="N48" s="42">
        <v>3093</v>
      </c>
      <c r="O48" s="43">
        <v>45545</v>
      </c>
      <c r="P48" s="43">
        <v>45799</v>
      </c>
      <c r="Q48" s="42"/>
      <c r="R48" s="42"/>
      <c r="S48" s="42"/>
      <c r="T48" s="42"/>
      <c r="U48" s="42"/>
      <c r="V48" s="41"/>
      <c r="W48" s="42"/>
      <c r="X48" s="44"/>
      <c r="Y48" s="44"/>
      <c r="Z48" s="41"/>
      <c r="AA48" s="65"/>
      <c r="AB48" s="79"/>
      <c r="AD48" s="117"/>
    </row>
    <row r="49" spans="1:30" ht="15.75" customHeight="1" x14ac:dyDescent="0.35">
      <c r="A49" s="31" t="s">
        <v>39</v>
      </c>
      <c r="B49" s="99" t="s">
        <v>212</v>
      </c>
      <c r="C49" s="97" t="s">
        <v>41</v>
      </c>
      <c r="D49" s="26" t="s">
        <v>183</v>
      </c>
      <c r="E49" s="26" t="s">
        <v>90</v>
      </c>
      <c r="F49" s="36" t="s">
        <v>36</v>
      </c>
      <c r="G49" s="28">
        <v>2</v>
      </c>
      <c r="H49" s="26">
        <v>147094</v>
      </c>
      <c r="I49" s="26">
        <v>40002433</v>
      </c>
      <c r="J49" s="28" t="s">
        <v>97</v>
      </c>
      <c r="K49" s="28">
        <v>19</v>
      </c>
      <c r="L49" s="28">
        <v>25</v>
      </c>
      <c r="M49" s="28" t="s">
        <v>197</v>
      </c>
      <c r="N49" s="28">
        <v>56697</v>
      </c>
      <c r="O49" s="29">
        <v>44830</v>
      </c>
      <c r="P49" s="28"/>
      <c r="Q49" s="30">
        <v>45195</v>
      </c>
      <c r="R49" s="30">
        <v>45246</v>
      </c>
      <c r="S49" s="31"/>
      <c r="T49" s="30">
        <f>Q49+365</f>
        <v>45560</v>
      </c>
      <c r="U49" s="30">
        <f>T49-60</f>
        <v>45500</v>
      </c>
      <c r="V49" s="32">
        <v>45545</v>
      </c>
      <c r="W49" s="32">
        <v>45548</v>
      </c>
      <c r="X49" s="30">
        <f>V49+365</f>
        <v>45910</v>
      </c>
      <c r="Y49" s="30">
        <f t="shared" ref="Y49:Y55" si="1">X49-60</f>
        <v>45850</v>
      </c>
      <c r="Z49" s="32">
        <v>45796</v>
      </c>
      <c r="AA49" s="34"/>
      <c r="AB49" s="77"/>
      <c r="AD49" s="117"/>
    </row>
    <row r="50" spans="1:30" ht="15.75" customHeight="1" x14ac:dyDescent="0.35">
      <c r="A50" s="48" t="s">
        <v>79</v>
      </c>
      <c r="B50" s="109" t="s">
        <v>213</v>
      </c>
      <c r="C50" s="96" t="s">
        <v>81</v>
      </c>
      <c r="D50" s="40" t="s">
        <v>185</v>
      </c>
      <c r="E50" s="41" t="s">
        <v>68</v>
      </c>
      <c r="F50" s="42" t="s">
        <v>36</v>
      </c>
      <c r="G50" s="42">
        <v>2</v>
      </c>
      <c r="H50" s="40">
        <v>147739</v>
      </c>
      <c r="I50" s="40">
        <v>20581</v>
      </c>
      <c r="J50" s="42">
        <v>317</v>
      </c>
      <c r="K50" s="42">
        <v>19</v>
      </c>
      <c r="L50" s="42">
        <v>33</v>
      </c>
      <c r="M50" s="42" t="s">
        <v>197</v>
      </c>
      <c r="N50" s="42">
        <v>645</v>
      </c>
      <c r="O50" s="43"/>
      <c r="P50" s="43">
        <v>44133</v>
      </c>
      <c r="Q50" s="30">
        <v>45135</v>
      </c>
      <c r="R50" s="30">
        <v>45183</v>
      </c>
      <c r="S50" s="31"/>
      <c r="T50" s="44">
        <f>Q50+365</f>
        <v>45500</v>
      </c>
      <c r="U50" s="44">
        <f>T50-60</f>
        <v>45440</v>
      </c>
      <c r="V50" s="45">
        <v>45498</v>
      </c>
      <c r="W50" s="41"/>
      <c r="X50" s="44">
        <f>U50+365</f>
        <v>45805</v>
      </c>
      <c r="Y50" s="44">
        <f t="shared" si="1"/>
        <v>45745</v>
      </c>
      <c r="Z50" s="45">
        <v>45734</v>
      </c>
      <c r="AA50" s="47">
        <v>45742</v>
      </c>
      <c r="AB50" s="75"/>
      <c r="AD50" s="117"/>
    </row>
    <row r="51" spans="1:30" ht="15.75" customHeight="1" x14ac:dyDescent="0.35">
      <c r="A51" s="31" t="s">
        <v>214</v>
      </c>
      <c r="B51" s="99" t="s">
        <v>215</v>
      </c>
      <c r="C51" s="97" t="s">
        <v>216</v>
      </c>
      <c r="D51" s="26" t="s">
        <v>217</v>
      </c>
      <c r="E51" s="27" t="s">
        <v>109</v>
      </c>
      <c r="F51" s="28" t="s">
        <v>27</v>
      </c>
      <c r="G51" s="28">
        <v>4</v>
      </c>
      <c r="H51" s="27">
        <v>147739</v>
      </c>
      <c r="I51" s="26" t="s">
        <v>218</v>
      </c>
      <c r="J51" s="28">
        <v>317</v>
      </c>
      <c r="K51" s="28">
        <v>19</v>
      </c>
      <c r="L51" s="28">
        <v>33</v>
      </c>
      <c r="M51" s="28" t="s">
        <v>197</v>
      </c>
      <c r="N51" s="28">
        <v>237925</v>
      </c>
      <c r="O51" s="29">
        <v>45435</v>
      </c>
      <c r="P51" s="29"/>
      <c r="Q51" s="30"/>
      <c r="R51" s="30"/>
      <c r="S51" s="31"/>
      <c r="T51" s="30"/>
      <c r="U51" s="30"/>
      <c r="V51" s="27"/>
      <c r="W51" s="27"/>
      <c r="X51" s="30">
        <f>O51+365</f>
        <v>45800</v>
      </c>
      <c r="Y51" s="30">
        <f t="shared" si="1"/>
        <v>45740</v>
      </c>
      <c r="Z51" s="32">
        <v>45734</v>
      </c>
      <c r="AA51" s="33"/>
      <c r="AB51" s="76"/>
      <c r="AD51" s="117"/>
    </row>
    <row r="52" spans="1:30" ht="15.75" customHeight="1" x14ac:dyDescent="0.35">
      <c r="A52" s="60" t="s">
        <v>79</v>
      </c>
      <c r="B52" s="101" t="s">
        <v>219</v>
      </c>
      <c r="C52" s="98" t="s">
        <v>81</v>
      </c>
      <c r="D52" s="11" t="s">
        <v>112</v>
      </c>
      <c r="E52" s="12"/>
      <c r="F52" s="13" t="s">
        <v>36</v>
      </c>
      <c r="G52" s="13">
        <v>4</v>
      </c>
      <c r="H52" s="11">
        <v>148121</v>
      </c>
      <c r="I52" s="11">
        <v>58564</v>
      </c>
      <c r="J52" s="13">
        <v>512</v>
      </c>
      <c r="K52" s="13">
        <v>19</v>
      </c>
      <c r="L52" s="13">
        <v>25</v>
      </c>
      <c r="M52" s="13" t="s">
        <v>197</v>
      </c>
      <c r="N52" s="13">
        <v>645</v>
      </c>
      <c r="O52" s="14">
        <v>45624</v>
      </c>
      <c r="P52" s="14">
        <v>45638</v>
      </c>
      <c r="Q52" s="30"/>
      <c r="R52" s="30"/>
      <c r="S52" s="30"/>
      <c r="T52" s="15"/>
      <c r="U52" s="15"/>
      <c r="V52" s="16"/>
      <c r="W52" s="16"/>
      <c r="X52" s="20">
        <f>O52+365</f>
        <v>45989</v>
      </c>
      <c r="Y52" s="20">
        <f t="shared" si="1"/>
        <v>45929</v>
      </c>
      <c r="Z52" s="9"/>
      <c r="AA52" s="22"/>
      <c r="AB52" s="69"/>
      <c r="AD52" s="117"/>
    </row>
    <row r="53" spans="1:30" ht="15.75" customHeight="1" x14ac:dyDescent="0.35">
      <c r="A53" s="31" t="s">
        <v>79</v>
      </c>
      <c r="B53" s="99" t="s">
        <v>220</v>
      </c>
      <c r="C53" s="97" t="s">
        <v>81</v>
      </c>
      <c r="D53" s="26" t="s">
        <v>82</v>
      </c>
      <c r="E53" s="27" t="s">
        <v>35</v>
      </c>
      <c r="F53" s="28" t="s">
        <v>36</v>
      </c>
      <c r="G53" s="28">
        <v>2</v>
      </c>
      <c r="H53" s="26">
        <v>151210</v>
      </c>
      <c r="I53" s="26">
        <v>23464</v>
      </c>
      <c r="J53" s="28" t="s">
        <v>83</v>
      </c>
      <c r="K53" s="28">
        <v>19</v>
      </c>
      <c r="L53" s="28">
        <v>25</v>
      </c>
      <c r="M53" s="28" t="s">
        <v>197</v>
      </c>
      <c r="N53" s="28">
        <v>645</v>
      </c>
      <c r="O53" s="28"/>
      <c r="P53" s="29">
        <v>44133</v>
      </c>
      <c r="Q53" s="44"/>
      <c r="R53" s="44">
        <v>45198</v>
      </c>
      <c r="S53" s="44">
        <v>45208</v>
      </c>
      <c r="T53" s="44">
        <f>R53+365</f>
        <v>45563</v>
      </c>
      <c r="U53" s="44">
        <f>T53-60</f>
        <v>45503</v>
      </c>
      <c r="V53" s="45">
        <v>45547</v>
      </c>
      <c r="W53" s="45"/>
      <c r="X53" s="30">
        <f>V53+365</f>
        <v>45912</v>
      </c>
      <c r="Y53" s="30">
        <f t="shared" si="1"/>
        <v>45852</v>
      </c>
      <c r="Z53" s="32">
        <v>45926</v>
      </c>
      <c r="AA53" s="34"/>
      <c r="AB53" s="69"/>
      <c r="AD53" s="117"/>
    </row>
    <row r="54" spans="1:30" ht="15.75" customHeight="1" x14ac:dyDescent="0.35">
      <c r="A54" s="31" t="s">
        <v>49</v>
      </c>
      <c r="B54" s="99" t="s">
        <v>221</v>
      </c>
      <c r="C54" s="97" t="s">
        <v>51</v>
      </c>
      <c r="D54" s="26" t="s">
        <v>222</v>
      </c>
      <c r="E54" s="27" t="s">
        <v>68</v>
      </c>
      <c r="F54" s="28" t="s">
        <v>27</v>
      </c>
      <c r="G54" s="28">
        <v>4</v>
      </c>
      <c r="H54" s="26">
        <v>151210</v>
      </c>
      <c r="I54" s="26" t="s">
        <v>223</v>
      </c>
      <c r="J54" s="28" t="s">
        <v>83</v>
      </c>
      <c r="K54" s="28">
        <v>19</v>
      </c>
      <c r="L54" s="28">
        <v>25</v>
      </c>
      <c r="M54" s="28" t="s">
        <v>197</v>
      </c>
      <c r="N54" s="28">
        <v>6345</v>
      </c>
      <c r="O54" s="29">
        <v>45608</v>
      </c>
      <c r="P54" s="27"/>
      <c r="Q54" s="44"/>
      <c r="R54" s="48"/>
      <c r="S54" s="48"/>
      <c r="T54" s="30"/>
      <c r="U54" s="30"/>
      <c r="V54" s="32"/>
      <c r="W54" s="27"/>
      <c r="X54" s="30">
        <f>O54+365</f>
        <v>45973</v>
      </c>
      <c r="Y54" s="30">
        <f t="shared" si="1"/>
        <v>45913</v>
      </c>
      <c r="Z54" s="32">
        <v>45926</v>
      </c>
      <c r="AA54" s="34"/>
      <c r="AB54" s="75"/>
      <c r="AD54" s="117"/>
    </row>
    <row r="55" spans="1:30" ht="15.75" customHeight="1" x14ac:dyDescent="0.35">
      <c r="A55" s="31" t="s">
        <v>214</v>
      </c>
      <c r="B55" s="99" t="s">
        <v>224</v>
      </c>
      <c r="C55" s="97" t="s">
        <v>216</v>
      </c>
      <c r="D55" s="26" t="s">
        <v>225</v>
      </c>
      <c r="E55" s="27" t="s">
        <v>109</v>
      </c>
      <c r="F55" s="28" t="s">
        <v>27</v>
      </c>
      <c r="G55" s="28">
        <v>2</v>
      </c>
      <c r="H55" s="26">
        <v>153519</v>
      </c>
      <c r="I55" s="26">
        <v>49070172</v>
      </c>
      <c r="J55" s="28">
        <v>839</v>
      </c>
      <c r="K55" s="28">
        <v>19</v>
      </c>
      <c r="L55" s="28">
        <v>25</v>
      </c>
      <c r="M55" s="28" t="s">
        <v>165</v>
      </c>
      <c r="N55" s="28">
        <v>237925</v>
      </c>
      <c r="O55" s="29">
        <v>43647</v>
      </c>
      <c r="P55" s="29" t="s">
        <v>226</v>
      </c>
      <c r="Q55" s="15">
        <v>45027</v>
      </c>
      <c r="R55" s="15">
        <v>45075</v>
      </c>
      <c r="S55" s="18"/>
      <c r="T55" s="30">
        <f>Q55+365</f>
        <v>45392</v>
      </c>
      <c r="U55" s="30">
        <f>T55-60</f>
        <v>45332</v>
      </c>
      <c r="V55" s="32">
        <v>45497</v>
      </c>
      <c r="W55" s="27"/>
      <c r="X55" s="30">
        <f>V55+365</f>
        <v>45862</v>
      </c>
      <c r="Y55" s="30">
        <f t="shared" si="1"/>
        <v>45802</v>
      </c>
      <c r="Z55" s="32">
        <v>45842</v>
      </c>
      <c r="AA55" s="33"/>
      <c r="AB55" s="68"/>
      <c r="AD55" s="117"/>
    </row>
    <row r="56" spans="1:30" ht="15.75" customHeight="1" x14ac:dyDescent="0.35">
      <c r="A56" s="31" t="s">
        <v>227</v>
      </c>
      <c r="B56" s="99" t="s">
        <v>228</v>
      </c>
      <c r="C56" s="97" t="s">
        <v>229</v>
      </c>
      <c r="D56" s="26" t="s">
        <v>230</v>
      </c>
      <c r="E56" s="27" t="s">
        <v>68</v>
      </c>
      <c r="F56" s="28" t="s">
        <v>36</v>
      </c>
      <c r="G56" s="28">
        <v>4</v>
      </c>
      <c r="H56" s="27">
        <v>153519</v>
      </c>
      <c r="I56" s="26" t="s">
        <v>231</v>
      </c>
      <c r="J56" s="28">
        <v>839</v>
      </c>
      <c r="K56" s="28">
        <v>19</v>
      </c>
      <c r="L56" s="28">
        <v>25</v>
      </c>
      <c r="M56" s="28" t="s">
        <v>165</v>
      </c>
      <c r="N56" s="28">
        <v>7055</v>
      </c>
      <c r="O56" s="94" t="s">
        <v>232</v>
      </c>
      <c r="P56" s="29"/>
      <c r="Q56" s="52"/>
      <c r="R56" s="52"/>
      <c r="S56" s="81"/>
      <c r="T56" s="30"/>
      <c r="U56" s="30"/>
      <c r="V56" s="27"/>
      <c r="W56" s="27"/>
      <c r="X56" s="30"/>
      <c r="Y56" s="30"/>
      <c r="Z56" s="32"/>
      <c r="AA56" s="33"/>
      <c r="AB56" s="76"/>
      <c r="AD56" s="117"/>
    </row>
    <row r="57" spans="1:30" ht="15.75" customHeight="1" x14ac:dyDescent="0.35">
      <c r="A57" s="48" t="s">
        <v>79</v>
      </c>
      <c r="B57" s="109" t="s">
        <v>233</v>
      </c>
      <c r="C57" s="96" t="s">
        <v>81</v>
      </c>
      <c r="D57" s="40" t="s">
        <v>82</v>
      </c>
      <c r="E57" s="41" t="s">
        <v>68</v>
      </c>
      <c r="F57" s="42" t="s">
        <v>36</v>
      </c>
      <c r="G57" s="42">
        <v>2</v>
      </c>
      <c r="H57" s="40">
        <v>154505</v>
      </c>
      <c r="I57" s="40">
        <v>49997</v>
      </c>
      <c r="J57" s="42" t="s">
        <v>234</v>
      </c>
      <c r="K57" s="42">
        <v>19</v>
      </c>
      <c r="L57" s="42">
        <v>25</v>
      </c>
      <c r="M57" s="42" t="s">
        <v>29</v>
      </c>
      <c r="N57" s="42">
        <v>645</v>
      </c>
      <c r="O57" s="43">
        <v>44522</v>
      </c>
      <c r="P57" s="43">
        <v>44593</v>
      </c>
      <c r="Q57" s="30">
        <v>44958</v>
      </c>
      <c r="R57" s="30">
        <v>45075</v>
      </c>
      <c r="S57" s="37">
        <v>45112</v>
      </c>
      <c r="T57" s="44">
        <f>Q57+365</f>
        <v>45323</v>
      </c>
      <c r="U57" s="44">
        <f>T57-60</f>
        <v>45263</v>
      </c>
      <c r="V57" s="45">
        <v>45362</v>
      </c>
      <c r="W57" s="41"/>
      <c r="X57" s="44">
        <f>V57+365</f>
        <v>45727</v>
      </c>
      <c r="Y57" s="44">
        <f>X57-60</f>
        <v>45667</v>
      </c>
      <c r="Z57" s="45">
        <v>45663</v>
      </c>
      <c r="AA57" s="47">
        <v>45742</v>
      </c>
      <c r="AB57" s="75"/>
      <c r="AD57" s="117"/>
    </row>
    <row r="58" spans="1:30" ht="15.75" customHeight="1" x14ac:dyDescent="0.35">
      <c r="A58" s="48" t="s">
        <v>55</v>
      </c>
      <c r="B58" s="109" t="s">
        <v>235</v>
      </c>
      <c r="C58" s="96" t="s">
        <v>57</v>
      </c>
      <c r="D58" s="40" t="s">
        <v>58</v>
      </c>
      <c r="E58" s="41" t="s">
        <v>35</v>
      </c>
      <c r="F58" s="42" t="s">
        <v>27</v>
      </c>
      <c r="G58" s="42">
        <v>4</v>
      </c>
      <c r="H58" s="41">
        <v>154505</v>
      </c>
      <c r="I58" s="41" t="s">
        <v>236</v>
      </c>
      <c r="J58" s="42" t="s">
        <v>234</v>
      </c>
      <c r="K58" s="42">
        <v>19</v>
      </c>
      <c r="L58" s="42">
        <v>25</v>
      </c>
      <c r="M58" s="42" t="s">
        <v>29</v>
      </c>
      <c r="N58" s="42">
        <v>21733</v>
      </c>
      <c r="O58" s="43">
        <v>44848</v>
      </c>
      <c r="P58" s="43"/>
      <c r="Q58" s="30">
        <v>45178</v>
      </c>
      <c r="R58" s="30">
        <v>44943</v>
      </c>
      <c r="S58" s="30">
        <v>45070</v>
      </c>
      <c r="T58" s="44">
        <f>Q58+365</f>
        <v>45543</v>
      </c>
      <c r="U58" s="44">
        <f>T58-60</f>
        <v>45483</v>
      </c>
      <c r="V58" s="45">
        <v>44813</v>
      </c>
      <c r="W58" s="45">
        <v>45320</v>
      </c>
      <c r="X58" s="44">
        <f>U58+365</f>
        <v>45848</v>
      </c>
      <c r="Y58" s="44">
        <f>X58-60</f>
        <v>45788</v>
      </c>
      <c r="Z58" s="45">
        <v>45792</v>
      </c>
      <c r="AA58" s="47">
        <v>45923</v>
      </c>
      <c r="AB58" s="77"/>
      <c r="AC58" t="s">
        <v>60</v>
      </c>
      <c r="AD58" s="117"/>
    </row>
    <row r="59" spans="1:30" x14ac:dyDescent="0.35">
      <c r="A59" s="31" t="s">
        <v>237</v>
      </c>
      <c r="B59" s="99" t="s">
        <v>238</v>
      </c>
      <c r="C59" s="97" t="s">
        <v>239</v>
      </c>
      <c r="D59" s="26" t="s">
        <v>240</v>
      </c>
      <c r="E59" s="27" t="s">
        <v>241</v>
      </c>
      <c r="F59" s="28" t="s">
        <v>36</v>
      </c>
      <c r="G59" s="28">
        <v>4</v>
      </c>
      <c r="H59" s="26">
        <v>155849</v>
      </c>
      <c r="I59" s="26" t="s">
        <v>242</v>
      </c>
      <c r="J59" s="28">
        <v>8571</v>
      </c>
      <c r="K59" s="28">
        <v>32</v>
      </c>
      <c r="L59" s="28">
        <v>7.5</v>
      </c>
      <c r="M59" s="28" t="s">
        <v>29</v>
      </c>
      <c r="N59" s="28">
        <v>31461</v>
      </c>
      <c r="O59" s="29">
        <v>45502</v>
      </c>
      <c r="P59" s="29"/>
      <c r="Q59" s="30"/>
      <c r="R59" s="30"/>
      <c r="S59" s="31"/>
      <c r="T59" s="30"/>
      <c r="U59" s="30"/>
      <c r="V59" s="27"/>
      <c r="W59" s="27"/>
      <c r="X59" s="30">
        <f>O59+365</f>
        <v>45867</v>
      </c>
      <c r="Y59" s="30">
        <f>X59-60</f>
        <v>45807</v>
      </c>
      <c r="Z59" s="32">
        <v>45796</v>
      </c>
      <c r="AA59" s="33"/>
      <c r="AB59" s="76"/>
      <c r="AD59" s="117"/>
    </row>
    <row r="60" spans="1:30" x14ac:dyDescent="0.35">
      <c r="A60" s="48" t="s">
        <v>243</v>
      </c>
      <c r="B60" s="109" t="s">
        <v>244</v>
      </c>
      <c r="C60" s="96" t="s">
        <v>245</v>
      </c>
      <c r="D60" s="41" t="s">
        <v>246</v>
      </c>
      <c r="E60" s="41" t="s">
        <v>68</v>
      </c>
      <c r="F60" s="42" t="s">
        <v>27</v>
      </c>
      <c r="G60" s="42">
        <v>4</v>
      </c>
      <c r="H60" s="41">
        <v>156030</v>
      </c>
      <c r="I60" s="41" t="s">
        <v>247</v>
      </c>
      <c r="J60" s="42" t="s">
        <v>247</v>
      </c>
      <c r="K60" s="42">
        <v>19</v>
      </c>
      <c r="L60" s="42">
        <v>25</v>
      </c>
      <c r="M60" s="42" t="s">
        <v>29</v>
      </c>
      <c r="N60" s="42">
        <v>12417</v>
      </c>
      <c r="O60" s="45">
        <v>45712</v>
      </c>
      <c r="P60" s="45">
        <v>45726</v>
      </c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6"/>
      <c r="AB60" s="78"/>
      <c r="AD60" s="117"/>
    </row>
    <row r="61" spans="1:30" ht="15.75" customHeight="1" x14ac:dyDescent="0.35">
      <c r="A61" s="48" t="s">
        <v>49</v>
      </c>
      <c r="B61" s="109" t="s">
        <v>248</v>
      </c>
      <c r="C61" s="96" t="s">
        <v>51</v>
      </c>
      <c r="D61" s="40" t="s">
        <v>52</v>
      </c>
      <c r="E61" s="41" t="s">
        <v>249</v>
      </c>
      <c r="F61" s="42" t="s">
        <v>27</v>
      </c>
      <c r="G61" s="42">
        <v>2</v>
      </c>
      <c r="H61" s="40">
        <v>156030</v>
      </c>
      <c r="I61" s="40" t="s">
        <v>250</v>
      </c>
      <c r="J61" s="42" t="s">
        <v>247</v>
      </c>
      <c r="K61" s="42">
        <v>19</v>
      </c>
      <c r="L61" s="42">
        <v>25</v>
      </c>
      <c r="M61" s="42" t="s">
        <v>29</v>
      </c>
      <c r="N61" s="42">
        <v>6345</v>
      </c>
      <c r="O61" s="43">
        <v>43787</v>
      </c>
      <c r="P61" s="43">
        <v>43788</v>
      </c>
      <c r="Q61" s="44">
        <v>45065</v>
      </c>
      <c r="R61" s="44">
        <v>45077</v>
      </c>
      <c r="S61" s="44">
        <v>45077</v>
      </c>
      <c r="T61" s="44">
        <f>Q61+365</f>
        <v>45430</v>
      </c>
      <c r="U61" s="44">
        <f>T61-60</f>
        <v>45370</v>
      </c>
      <c r="V61" s="45">
        <v>45463</v>
      </c>
      <c r="W61" s="45">
        <v>45476</v>
      </c>
      <c r="X61" s="44">
        <f>U61+365</f>
        <v>45735</v>
      </c>
      <c r="Y61" s="44">
        <f t="shared" ref="Y61:Y74" si="2">X61-60</f>
        <v>45675</v>
      </c>
      <c r="Z61" s="45">
        <v>45681</v>
      </c>
      <c r="AA61" s="47">
        <v>45687</v>
      </c>
      <c r="AB61" s="75"/>
      <c r="AD61" s="117"/>
    </row>
    <row r="62" spans="1:30" ht="15.75" customHeight="1" x14ac:dyDescent="0.35">
      <c r="A62" s="31" t="s">
        <v>251</v>
      </c>
      <c r="B62" s="99" t="s">
        <v>252</v>
      </c>
      <c r="C62" s="97" t="s">
        <v>253</v>
      </c>
      <c r="D62" s="26" t="s">
        <v>67</v>
      </c>
      <c r="E62" s="27" t="s">
        <v>68</v>
      </c>
      <c r="F62" s="28" t="s">
        <v>36</v>
      </c>
      <c r="G62" s="28">
        <v>2</v>
      </c>
      <c r="H62" s="26">
        <v>156030</v>
      </c>
      <c r="I62" s="26">
        <v>10035139</v>
      </c>
      <c r="J62" s="28" t="s">
        <v>247</v>
      </c>
      <c r="K62" s="28">
        <v>19</v>
      </c>
      <c r="L62" s="28">
        <v>25</v>
      </c>
      <c r="M62" s="28" t="s">
        <v>29</v>
      </c>
      <c r="N62" s="28">
        <v>260156</v>
      </c>
      <c r="O62" s="29">
        <v>45589</v>
      </c>
      <c r="P62" s="29"/>
      <c r="Q62" s="15"/>
      <c r="R62" s="15"/>
      <c r="S62" s="18"/>
      <c r="T62" s="30"/>
      <c r="U62" s="30"/>
      <c r="V62" s="27"/>
      <c r="W62" s="27"/>
      <c r="X62" s="30">
        <f>O62+365</f>
        <v>45954</v>
      </c>
      <c r="Y62" s="30">
        <f t="shared" si="2"/>
        <v>45894</v>
      </c>
      <c r="Z62" s="32">
        <v>45926</v>
      </c>
      <c r="AA62" s="33"/>
      <c r="AB62" s="68"/>
      <c r="AD62" s="117"/>
    </row>
    <row r="63" spans="1:30" ht="15.75" customHeight="1" x14ac:dyDescent="0.35">
      <c r="A63" s="48" t="s">
        <v>55</v>
      </c>
      <c r="B63" s="109" t="s">
        <v>254</v>
      </c>
      <c r="C63" s="96" t="s">
        <v>57</v>
      </c>
      <c r="D63" s="40" t="s">
        <v>58</v>
      </c>
      <c r="E63" s="41" t="s">
        <v>90</v>
      </c>
      <c r="F63" s="42" t="s">
        <v>27</v>
      </c>
      <c r="G63" s="42">
        <v>4</v>
      </c>
      <c r="H63" s="41">
        <v>156317</v>
      </c>
      <c r="I63" s="41" t="s">
        <v>255</v>
      </c>
      <c r="J63" s="42">
        <v>317</v>
      </c>
      <c r="K63" s="42">
        <v>19</v>
      </c>
      <c r="L63" s="42">
        <v>33</v>
      </c>
      <c r="M63" s="42" t="s">
        <v>165</v>
      </c>
      <c r="N63" s="42">
        <v>21733</v>
      </c>
      <c r="O63" s="43">
        <v>43774</v>
      </c>
      <c r="P63" s="43">
        <v>43801</v>
      </c>
      <c r="Q63" s="44"/>
      <c r="R63" s="44">
        <v>45022</v>
      </c>
      <c r="S63" s="44">
        <v>45070</v>
      </c>
      <c r="T63" s="44">
        <f>R63+365</f>
        <v>45387</v>
      </c>
      <c r="U63" s="44">
        <f t="shared" ref="U63:U71" si="3">T63-60</f>
        <v>45327</v>
      </c>
      <c r="V63" s="45">
        <v>45307</v>
      </c>
      <c r="W63" s="45">
        <v>45320</v>
      </c>
      <c r="X63" s="44">
        <f>V63+365</f>
        <v>45672</v>
      </c>
      <c r="Y63" s="44">
        <f t="shared" si="2"/>
        <v>45612</v>
      </c>
      <c r="Z63" s="45">
        <v>45692</v>
      </c>
      <c r="AA63" s="47">
        <v>45698</v>
      </c>
      <c r="AB63" s="75"/>
      <c r="AC63" t="s">
        <v>60</v>
      </c>
      <c r="AD63" s="117"/>
    </row>
    <row r="64" spans="1:30" ht="15.75" customHeight="1" x14ac:dyDescent="0.35">
      <c r="A64" s="31" t="s">
        <v>172</v>
      </c>
      <c r="B64" s="99" t="s">
        <v>256</v>
      </c>
      <c r="C64" s="97" t="s">
        <v>174</v>
      </c>
      <c r="D64" s="26" t="s">
        <v>175</v>
      </c>
      <c r="E64" s="27" t="s">
        <v>153</v>
      </c>
      <c r="F64" s="28" t="s">
        <v>36</v>
      </c>
      <c r="G64" s="28">
        <v>2</v>
      </c>
      <c r="H64" s="26">
        <v>156361</v>
      </c>
      <c r="I64" s="26" t="s">
        <v>257</v>
      </c>
      <c r="J64" s="28" t="s">
        <v>258</v>
      </c>
      <c r="K64" s="28">
        <v>19</v>
      </c>
      <c r="L64" s="28">
        <v>25</v>
      </c>
      <c r="M64" s="28" t="s">
        <v>29</v>
      </c>
      <c r="N64" s="28">
        <v>40429</v>
      </c>
      <c r="O64" s="29">
        <v>44202</v>
      </c>
      <c r="P64" s="29">
        <v>44216</v>
      </c>
      <c r="Q64" s="30">
        <v>44959</v>
      </c>
      <c r="R64" s="30">
        <v>45075</v>
      </c>
      <c r="S64" s="31"/>
      <c r="T64" s="30">
        <f>Q64+365</f>
        <v>45324</v>
      </c>
      <c r="U64" s="30">
        <f t="shared" si="3"/>
        <v>45264</v>
      </c>
      <c r="V64" s="32">
        <v>45362</v>
      </c>
      <c r="W64" s="27"/>
      <c r="X64" s="30">
        <f>V64+365</f>
        <v>45727</v>
      </c>
      <c r="Y64" s="30">
        <f t="shared" si="2"/>
        <v>45667</v>
      </c>
      <c r="Z64" s="32">
        <v>45673</v>
      </c>
      <c r="AA64" s="33"/>
      <c r="AB64" s="76"/>
      <c r="AD64" s="118" t="s">
        <v>485</v>
      </c>
    </row>
    <row r="65" spans="1:32" ht="15.75" customHeight="1" x14ac:dyDescent="0.35">
      <c r="A65" s="31" t="s">
        <v>259</v>
      </c>
      <c r="B65" s="99" t="s">
        <v>260</v>
      </c>
      <c r="C65" s="97" t="s">
        <v>261</v>
      </c>
      <c r="D65" s="26" t="s">
        <v>262</v>
      </c>
      <c r="E65" s="27" t="s">
        <v>35</v>
      </c>
      <c r="F65" s="28" t="s">
        <v>27</v>
      </c>
      <c r="G65" s="28">
        <v>2</v>
      </c>
      <c r="H65" s="26">
        <v>156361</v>
      </c>
      <c r="I65" s="26" t="s">
        <v>263</v>
      </c>
      <c r="J65" s="28" t="s">
        <v>258</v>
      </c>
      <c r="K65" s="28">
        <v>19</v>
      </c>
      <c r="L65" s="28">
        <v>25</v>
      </c>
      <c r="M65" s="28" t="s">
        <v>29</v>
      </c>
      <c r="N65" s="28">
        <v>161440</v>
      </c>
      <c r="O65" s="29">
        <v>45127</v>
      </c>
      <c r="P65" s="29">
        <v>45127</v>
      </c>
      <c r="Q65" s="30"/>
      <c r="R65" s="31"/>
      <c r="S65" s="31"/>
      <c r="T65" s="30">
        <f>O65+365</f>
        <v>45492</v>
      </c>
      <c r="U65" s="30">
        <f t="shared" si="3"/>
        <v>45432</v>
      </c>
      <c r="V65" s="32">
        <v>45485</v>
      </c>
      <c r="W65" s="27"/>
      <c r="X65" s="30">
        <f>T65+365</f>
        <v>45857</v>
      </c>
      <c r="Y65" s="30">
        <f t="shared" si="2"/>
        <v>45797</v>
      </c>
      <c r="Z65" s="32">
        <v>45798</v>
      </c>
      <c r="AA65" s="33"/>
      <c r="AB65" s="76"/>
      <c r="AD65" s="117"/>
    </row>
    <row r="66" spans="1:32" ht="15.75" customHeight="1" x14ac:dyDescent="0.35">
      <c r="A66" s="31" t="s">
        <v>39</v>
      </c>
      <c r="B66" s="99" t="s">
        <v>264</v>
      </c>
      <c r="C66" s="97" t="s">
        <v>41</v>
      </c>
      <c r="D66" s="26" t="s">
        <v>42</v>
      </c>
      <c r="E66" s="26" t="s">
        <v>35</v>
      </c>
      <c r="F66" s="36" t="s">
        <v>27</v>
      </c>
      <c r="G66" s="28">
        <v>2</v>
      </c>
      <c r="H66" s="26">
        <v>156361</v>
      </c>
      <c r="I66" s="26">
        <v>40021778</v>
      </c>
      <c r="J66" s="28" t="s">
        <v>258</v>
      </c>
      <c r="K66" s="28">
        <v>19</v>
      </c>
      <c r="L66" s="28">
        <v>25</v>
      </c>
      <c r="M66" s="28" t="s">
        <v>29</v>
      </c>
      <c r="N66" s="28">
        <v>56697</v>
      </c>
      <c r="O66" s="29">
        <v>43374</v>
      </c>
      <c r="P66" s="29">
        <v>43430</v>
      </c>
      <c r="Q66" s="30">
        <v>45127</v>
      </c>
      <c r="R66" s="30">
        <v>45184</v>
      </c>
      <c r="S66" s="31"/>
      <c r="T66" s="30">
        <f t="shared" ref="T66:T71" si="4">Q66+365</f>
        <v>45492</v>
      </c>
      <c r="U66" s="30">
        <f t="shared" si="3"/>
        <v>45432</v>
      </c>
      <c r="V66" s="32">
        <v>45485</v>
      </c>
      <c r="W66" s="32">
        <v>45524</v>
      </c>
      <c r="X66" s="30">
        <f>V66+365</f>
        <v>45850</v>
      </c>
      <c r="Y66" s="30">
        <f t="shared" si="2"/>
        <v>45790</v>
      </c>
      <c r="Z66" s="32">
        <v>45709</v>
      </c>
      <c r="AA66" s="34"/>
      <c r="AB66" s="77"/>
      <c r="AD66" s="117"/>
    </row>
    <row r="67" spans="1:32" ht="15.75" customHeight="1" x14ac:dyDescent="0.35">
      <c r="A67" s="48" t="s">
        <v>131</v>
      </c>
      <c r="B67" s="109" t="s">
        <v>265</v>
      </c>
      <c r="C67" s="96" t="s">
        <v>133</v>
      </c>
      <c r="D67" s="40" t="s">
        <v>134</v>
      </c>
      <c r="E67" s="41" t="s">
        <v>153</v>
      </c>
      <c r="F67" s="42" t="s">
        <v>27</v>
      </c>
      <c r="G67" s="42">
        <v>2</v>
      </c>
      <c r="H67" s="40">
        <v>156361</v>
      </c>
      <c r="I67" s="40" t="s">
        <v>266</v>
      </c>
      <c r="J67" s="42" t="s">
        <v>258</v>
      </c>
      <c r="K67" s="42">
        <v>19</v>
      </c>
      <c r="L67" s="42">
        <v>25</v>
      </c>
      <c r="M67" s="42" t="s">
        <v>29</v>
      </c>
      <c r="N67" s="42">
        <v>17349</v>
      </c>
      <c r="O67" s="43">
        <v>43865</v>
      </c>
      <c r="P67" s="43">
        <v>43888</v>
      </c>
      <c r="Q67" s="44">
        <v>44960</v>
      </c>
      <c r="R67" s="44">
        <v>44993</v>
      </c>
      <c r="S67" s="44">
        <v>44994</v>
      </c>
      <c r="T67" s="44">
        <f t="shared" si="4"/>
        <v>45325</v>
      </c>
      <c r="U67" s="44">
        <f t="shared" si="3"/>
        <v>45265</v>
      </c>
      <c r="V67" s="45">
        <v>45362</v>
      </c>
      <c r="W67" s="41"/>
      <c r="X67" s="44">
        <f>V67+365</f>
        <v>45727</v>
      </c>
      <c r="Y67" s="44">
        <f t="shared" si="2"/>
        <v>45667</v>
      </c>
      <c r="Z67" s="45">
        <v>45673</v>
      </c>
      <c r="AA67" s="47">
        <v>45677</v>
      </c>
      <c r="AB67" s="75"/>
      <c r="AD67" s="117"/>
    </row>
    <row r="68" spans="1:32" ht="15.75" customHeight="1" x14ac:dyDescent="0.35">
      <c r="A68" s="48" t="s">
        <v>131</v>
      </c>
      <c r="B68" s="109" t="s">
        <v>267</v>
      </c>
      <c r="C68" s="96" t="s">
        <v>133</v>
      </c>
      <c r="D68" s="40" t="s">
        <v>134</v>
      </c>
      <c r="E68" s="41" t="s">
        <v>90</v>
      </c>
      <c r="F68" s="42" t="s">
        <v>27</v>
      </c>
      <c r="G68" s="42">
        <v>2</v>
      </c>
      <c r="H68" s="40">
        <v>157238</v>
      </c>
      <c r="I68" s="40" t="s">
        <v>268</v>
      </c>
      <c r="J68" s="42" t="s">
        <v>97</v>
      </c>
      <c r="K68" s="42">
        <v>9</v>
      </c>
      <c r="L68" s="42">
        <v>25</v>
      </c>
      <c r="M68" s="42" t="s">
        <v>29</v>
      </c>
      <c r="N68" s="42">
        <v>17349</v>
      </c>
      <c r="O68" s="43">
        <v>44071</v>
      </c>
      <c r="P68" s="43">
        <v>44146</v>
      </c>
      <c r="Q68" s="44">
        <v>45086</v>
      </c>
      <c r="R68" s="44">
        <v>45086</v>
      </c>
      <c r="S68" s="44">
        <v>45086</v>
      </c>
      <c r="T68" s="44">
        <f t="shared" si="4"/>
        <v>45451</v>
      </c>
      <c r="U68" s="44">
        <f t="shared" si="3"/>
        <v>45391</v>
      </c>
      <c r="V68" s="45">
        <v>45485</v>
      </c>
      <c r="W68" s="45">
        <v>45495</v>
      </c>
      <c r="X68" s="44">
        <f>U68+365</f>
        <v>45756</v>
      </c>
      <c r="Y68" s="44">
        <f t="shared" si="2"/>
        <v>45696</v>
      </c>
      <c r="Z68" s="45">
        <v>45709</v>
      </c>
      <c r="AA68" s="47">
        <v>45719</v>
      </c>
      <c r="AB68" s="75"/>
      <c r="AD68" s="117"/>
    </row>
    <row r="69" spans="1:32" ht="15.75" customHeight="1" x14ac:dyDescent="0.35">
      <c r="A69" s="48" t="s">
        <v>55</v>
      </c>
      <c r="B69" s="109" t="s">
        <v>269</v>
      </c>
      <c r="C69" s="96" t="s">
        <v>57</v>
      </c>
      <c r="D69" s="40" t="s">
        <v>58</v>
      </c>
      <c r="E69" s="41" t="s">
        <v>35</v>
      </c>
      <c r="F69" s="42" t="s">
        <v>27</v>
      </c>
      <c r="G69" s="42">
        <v>2</v>
      </c>
      <c r="H69" s="41">
        <v>158014</v>
      </c>
      <c r="I69" s="41">
        <v>63316302</v>
      </c>
      <c r="J69" s="42" t="s">
        <v>270</v>
      </c>
      <c r="K69" s="42">
        <v>25</v>
      </c>
      <c r="L69" s="42">
        <v>25</v>
      </c>
      <c r="M69" s="42" t="s">
        <v>271</v>
      </c>
      <c r="N69" s="42">
        <v>21733</v>
      </c>
      <c r="O69" s="43">
        <v>43747</v>
      </c>
      <c r="P69" s="43">
        <v>43801</v>
      </c>
      <c r="Q69" s="20">
        <v>45073</v>
      </c>
      <c r="R69" s="20">
        <v>44943</v>
      </c>
      <c r="S69" s="20">
        <v>45070</v>
      </c>
      <c r="T69" s="44">
        <f t="shared" si="4"/>
        <v>45438</v>
      </c>
      <c r="U69" s="44">
        <f t="shared" si="3"/>
        <v>45378</v>
      </c>
      <c r="V69" s="45">
        <v>45300</v>
      </c>
      <c r="W69" s="45">
        <v>45320</v>
      </c>
      <c r="X69" s="44">
        <f>U69+365</f>
        <v>45743</v>
      </c>
      <c r="Y69" s="44">
        <f t="shared" si="2"/>
        <v>45683</v>
      </c>
      <c r="Z69" s="45">
        <v>45681</v>
      </c>
      <c r="AA69" s="47">
        <v>45923</v>
      </c>
      <c r="AB69" s="77"/>
      <c r="AC69" t="s">
        <v>60</v>
      </c>
      <c r="AD69" s="117"/>
    </row>
    <row r="70" spans="1:32" ht="15.75" customHeight="1" x14ac:dyDescent="0.35">
      <c r="A70" s="31" t="s">
        <v>49</v>
      </c>
      <c r="B70" s="99" t="s">
        <v>272</v>
      </c>
      <c r="C70" s="97" t="s">
        <v>51</v>
      </c>
      <c r="D70" s="26" t="s">
        <v>52</v>
      </c>
      <c r="E70" s="27" t="s">
        <v>153</v>
      </c>
      <c r="F70" s="28" t="s">
        <v>27</v>
      </c>
      <c r="G70" s="28">
        <v>2</v>
      </c>
      <c r="H70" s="26">
        <v>162216</v>
      </c>
      <c r="I70" s="26" t="s">
        <v>273</v>
      </c>
      <c r="J70" s="28">
        <v>839</v>
      </c>
      <c r="K70" s="28">
        <v>9</v>
      </c>
      <c r="L70" s="28">
        <v>25</v>
      </c>
      <c r="M70" s="28" t="s">
        <v>165</v>
      </c>
      <c r="N70" s="28">
        <v>6345</v>
      </c>
      <c r="O70" s="29">
        <v>43787</v>
      </c>
      <c r="P70" s="29">
        <v>43788</v>
      </c>
      <c r="Q70" s="30">
        <v>45067</v>
      </c>
      <c r="R70" s="30">
        <v>45034</v>
      </c>
      <c r="S70" s="30">
        <v>45035</v>
      </c>
      <c r="T70" s="30">
        <f t="shared" si="4"/>
        <v>45432</v>
      </c>
      <c r="U70" s="30">
        <f t="shared" si="3"/>
        <v>45372</v>
      </c>
      <c r="V70" s="32">
        <v>45422</v>
      </c>
      <c r="W70" s="27"/>
      <c r="X70" s="30">
        <f>U70+365</f>
        <v>45737</v>
      </c>
      <c r="Y70" s="30">
        <f t="shared" si="2"/>
        <v>45677</v>
      </c>
      <c r="Z70" s="32">
        <v>45686</v>
      </c>
      <c r="AA70" s="33"/>
      <c r="AB70" s="76"/>
      <c r="AD70" s="117"/>
    </row>
    <row r="71" spans="1:32" ht="15.75" customHeight="1" x14ac:dyDescent="0.35">
      <c r="A71" s="31" t="s">
        <v>274</v>
      </c>
      <c r="B71" s="99" t="s">
        <v>275</v>
      </c>
      <c r="C71" s="97" t="s">
        <v>276</v>
      </c>
      <c r="D71" s="26" t="s">
        <v>277</v>
      </c>
      <c r="E71" s="27" t="s">
        <v>278</v>
      </c>
      <c r="F71" s="28" t="s">
        <v>27</v>
      </c>
      <c r="G71" s="28">
        <v>2</v>
      </c>
      <c r="H71" s="26">
        <v>162216</v>
      </c>
      <c r="I71" s="38" t="s">
        <v>279</v>
      </c>
      <c r="J71" s="28">
        <v>839</v>
      </c>
      <c r="K71" s="28">
        <v>9</v>
      </c>
      <c r="L71" s="28">
        <v>25</v>
      </c>
      <c r="M71" s="28" t="s">
        <v>165</v>
      </c>
      <c r="N71" s="28"/>
      <c r="O71" s="29">
        <v>43635</v>
      </c>
      <c r="P71" s="28"/>
      <c r="Q71" s="30">
        <v>44988</v>
      </c>
      <c r="R71" s="30">
        <v>45000</v>
      </c>
      <c r="S71" s="31"/>
      <c r="T71" s="30">
        <f t="shared" si="4"/>
        <v>45353</v>
      </c>
      <c r="U71" s="30">
        <f t="shared" si="3"/>
        <v>45293</v>
      </c>
      <c r="V71" s="32">
        <v>45439</v>
      </c>
      <c r="W71" s="27"/>
      <c r="X71" s="30">
        <f>V71+365</f>
        <v>45804</v>
      </c>
      <c r="Y71" s="30">
        <f t="shared" si="2"/>
        <v>45744</v>
      </c>
      <c r="Z71" s="32">
        <v>45734</v>
      </c>
      <c r="AA71" s="33"/>
      <c r="AB71" s="76"/>
      <c r="AC71" t="s">
        <v>280</v>
      </c>
      <c r="AD71" s="117"/>
    </row>
    <row r="72" spans="1:32" ht="15.75" customHeight="1" x14ac:dyDescent="0.35">
      <c r="A72" s="31" t="s">
        <v>55</v>
      </c>
      <c r="B72" s="99" t="s">
        <v>281</v>
      </c>
      <c r="C72" s="100" t="s">
        <v>57</v>
      </c>
      <c r="D72" s="27" t="s">
        <v>58</v>
      </c>
      <c r="E72" s="27"/>
      <c r="F72" s="28" t="s">
        <v>27</v>
      </c>
      <c r="G72" s="28">
        <v>4</v>
      </c>
      <c r="H72" s="27">
        <v>163271</v>
      </c>
      <c r="I72" s="27" t="s">
        <v>282</v>
      </c>
      <c r="J72" s="28" t="s">
        <v>97</v>
      </c>
      <c r="K72" s="28">
        <v>25</v>
      </c>
      <c r="L72" s="28">
        <v>25</v>
      </c>
      <c r="M72" s="28" t="s">
        <v>197</v>
      </c>
      <c r="N72" s="28">
        <v>21733</v>
      </c>
      <c r="O72" s="29">
        <v>45212</v>
      </c>
      <c r="P72" s="29">
        <v>45251</v>
      </c>
      <c r="Q72" s="12"/>
      <c r="R72" s="12"/>
      <c r="S72" s="12"/>
      <c r="T72" s="12"/>
      <c r="U72" s="12"/>
      <c r="V72" s="16">
        <v>45547</v>
      </c>
      <c r="W72" s="12"/>
      <c r="X72" s="30">
        <f>V72+365</f>
        <v>45912</v>
      </c>
      <c r="Y72" s="30">
        <f t="shared" si="2"/>
        <v>45852</v>
      </c>
      <c r="Z72" s="32">
        <v>45930</v>
      </c>
      <c r="AA72" s="33"/>
      <c r="AB72" s="68"/>
      <c r="AD72" s="117"/>
    </row>
    <row r="73" spans="1:32" ht="15.75" customHeight="1" x14ac:dyDescent="0.35">
      <c r="A73" s="31" t="s">
        <v>283</v>
      </c>
      <c r="B73" s="99" t="s">
        <v>284</v>
      </c>
      <c r="C73" s="97" t="s">
        <v>285</v>
      </c>
      <c r="D73" s="26" t="s">
        <v>286</v>
      </c>
      <c r="E73" s="27" t="s">
        <v>287</v>
      </c>
      <c r="F73" s="28" t="s">
        <v>36</v>
      </c>
      <c r="G73" s="28">
        <v>2</v>
      </c>
      <c r="H73" s="26">
        <v>164194</v>
      </c>
      <c r="I73" s="26" t="s">
        <v>288</v>
      </c>
      <c r="J73" s="28" t="s">
        <v>289</v>
      </c>
      <c r="K73" s="28">
        <v>35</v>
      </c>
      <c r="L73" s="28">
        <v>10</v>
      </c>
      <c r="M73" s="28" t="s">
        <v>29</v>
      </c>
      <c r="N73" s="28">
        <v>53381</v>
      </c>
      <c r="O73" s="29">
        <v>44070</v>
      </c>
      <c r="P73" s="29">
        <v>44138</v>
      </c>
      <c r="Q73" s="30">
        <v>45059</v>
      </c>
      <c r="R73" s="30">
        <v>45060</v>
      </c>
      <c r="S73" s="31"/>
      <c r="T73" s="30">
        <f>Q73+365</f>
        <v>45424</v>
      </c>
      <c r="U73" s="30">
        <f>T73-60</f>
        <v>45364</v>
      </c>
      <c r="V73" s="32">
        <v>45488</v>
      </c>
      <c r="W73" s="27"/>
      <c r="X73" s="30">
        <f>U73+365</f>
        <v>45729</v>
      </c>
      <c r="Y73" s="30">
        <f t="shared" si="2"/>
        <v>45669</v>
      </c>
      <c r="Z73" s="32">
        <v>45685</v>
      </c>
      <c r="AA73" s="33"/>
      <c r="AB73" s="76"/>
      <c r="AC73" t="s">
        <v>60</v>
      </c>
      <c r="AD73" s="117"/>
    </row>
    <row r="74" spans="1:32" ht="15.75" customHeight="1" x14ac:dyDescent="0.35">
      <c r="A74" s="48" t="s">
        <v>49</v>
      </c>
      <c r="B74" s="109" t="s">
        <v>290</v>
      </c>
      <c r="C74" s="96" t="s">
        <v>51</v>
      </c>
      <c r="D74" s="40" t="s">
        <v>52</v>
      </c>
      <c r="E74" s="41" t="s">
        <v>291</v>
      </c>
      <c r="F74" s="42" t="s">
        <v>27</v>
      </c>
      <c r="G74" s="42">
        <v>4</v>
      </c>
      <c r="H74" s="40">
        <v>164194</v>
      </c>
      <c r="I74" s="40" t="s">
        <v>292</v>
      </c>
      <c r="J74" s="42" t="s">
        <v>292</v>
      </c>
      <c r="K74" s="42">
        <v>35</v>
      </c>
      <c r="L74" s="42">
        <v>10</v>
      </c>
      <c r="M74" s="42" t="s">
        <v>29</v>
      </c>
      <c r="N74" s="42">
        <v>6345</v>
      </c>
      <c r="O74" s="43">
        <v>45083</v>
      </c>
      <c r="P74" s="41"/>
      <c r="Q74" s="44"/>
      <c r="R74" s="48"/>
      <c r="S74" s="48"/>
      <c r="T74" s="44">
        <f>O74+365</f>
        <v>45448</v>
      </c>
      <c r="U74" s="44">
        <f>T74-60</f>
        <v>45388</v>
      </c>
      <c r="V74" s="45">
        <v>45488</v>
      </c>
      <c r="W74" s="41"/>
      <c r="X74" s="44">
        <f>T74+365</f>
        <v>45813</v>
      </c>
      <c r="Y74" s="44">
        <f t="shared" si="2"/>
        <v>45753</v>
      </c>
      <c r="Z74" s="45">
        <v>45812</v>
      </c>
      <c r="AA74" s="47">
        <v>45817</v>
      </c>
      <c r="AB74" s="75"/>
      <c r="AD74" s="117"/>
    </row>
    <row r="75" spans="1:32" ht="15.75" customHeight="1" x14ac:dyDescent="0.35">
      <c r="A75" s="31" t="s">
        <v>293</v>
      </c>
      <c r="B75" s="99" t="s">
        <v>294</v>
      </c>
      <c r="C75" s="97" t="s">
        <v>295</v>
      </c>
      <c r="D75" s="26" t="s">
        <v>296</v>
      </c>
      <c r="E75" s="27" t="s">
        <v>297</v>
      </c>
      <c r="F75" s="28" t="s">
        <v>36</v>
      </c>
      <c r="G75" s="28">
        <v>4</v>
      </c>
      <c r="H75" s="26">
        <v>164194</v>
      </c>
      <c r="I75" s="26" t="s">
        <v>289</v>
      </c>
      <c r="J75" s="28" t="s">
        <v>298</v>
      </c>
      <c r="K75" s="28">
        <v>35</v>
      </c>
      <c r="L75" s="28">
        <v>10</v>
      </c>
      <c r="M75" s="28" t="s">
        <v>29</v>
      </c>
      <c r="N75" s="28">
        <v>23248</v>
      </c>
      <c r="O75" s="29">
        <v>45842</v>
      </c>
      <c r="P75" s="29"/>
      <c r="Q75" s="30">
        <v>44979</v>
      </c>
      <c r="R75" s="30">
        <v>45075</v>
      </c>
      <c r="S75" s="30">
        <v>45117</v>
      </c>
      <c r="T75" s="30"/>
      <c r="U75" s="30"/>
      <c r="V75" s="32"/>
      <c r="W75" s="27"/>
      <c r="X75" s="30"/>
      <c r="Y75" s="30"/>
      <c r="Z75" s="32"/>
      <c r="AA75" s="33"/>
      <c r="AB75" s="68" t="s">
        <v>104</v>
      </c>
      <c r="AD75" s="117"/>
    </row>
    <row r="76" spans="1:32" ht="15.75" customHeight="1" x14ac:dyDescent="0.35">
      <c r="A76" s="48" t="s">
        <v>39</v>
      </c>
      <c r="B76" s="109" t="s">
        <v>299</v>
      </c>
      <c r="C76" s="96" t="s">
        <v>41</v>
      </c>
      <c r="D76" s="40" t="s">
        <v>300</v>
      </c>
      <c r="E76" s="48" t="s">
        <v>35</v>
      </c>
      <c r="F76" s="42" t="s">
        <v>36</v>
      </c>
      <c r="G76" s="42">
        <v>2</v>
      </c>
      <c r="H76" s="41">
        <v>169355</v>
      </c>
      <c r="I76" s="41">
        <v>40021787</v>
      </c>
      <c r="J76" s="42">
        <v>8510</v>
      </c>
      <c r="K76" s="42">
        <v>19</v>
      </c>
      <c r="L76" s="42">
        <v>10</v>
      </c>
      <c r="M76" s="42" t="s">
        <v>29</v>
      </c>
      <c r="N76" s="42">
        <v>56697</v>
      </c>
      <c r="O76" s="42"/>
      <c r="P76" s="43">
        <v>45182</v>
      </c>
      <c r="Q76" s="15"/>
      <c r="R76" s="18"/>
      <c r="S76" s="18"/>
      <c r="T76" s="15">
        <f>P76+365</f>
        <v>45547</v>
      </c>
      <c r="U76" s="15">
        <f>T76-60</f>
        <v>45487</v>
      </c>
      <c r="V76" s="16">
        <v>45510</v>
      </c>
      <c r="W76" s="12"/>
      <c r="X76" s="44">
        <f>V76+365</f>
        <v>45875</v>
      </c>
      <c r="Y76" s="44">
        <f>X76-60</f>
        <v>45815</v>
      </c>
      <c r="Z76" s="45">
        <v>45926</v>
      </c>
      <c r="AA76" s="47">
        <v>45952</v>
      </c>
      <c r="AB76" s="68"/>
      <c r="AD76" s="117"/>
      <c r="AE76" s="4"/>
      <c r="AF76" s="4"/>
    </row>
    <row r="77" spans="1:32" ht="15.75" customHeight="1" x14ac:dyDescent="0.35">
      <c r="A77" s="48" t="s">
        <v>55</v>
      </c>
      <c r="B77" s="109" t="s">
        <v>301</v>
      </c>
      <c r="C77" s="96" t="s">
        <v>57</v>
      </c>
      <c r="D77" s="40" t="s">
        <v>58</v>
      </c>
      <c r="E77" s="41" t="s">
        <v>90</v>
      </c>
      <c r="F77" s="42" t="s">
        <v>27</v>
      </c>
      <c r="G77" s="42">
        <v>4</v>
      </c>
      <c r="H77" s="41">
        <v>172178</v>
      </c>
      <c r="I77" s="41" t="s">
        <v>302</v>
      </c>
      <c r="J77" s="42">
        <v>880</v>
      </c>
      <c r="K77" s="42">
        <v>19</v>
      </c>
      <c r="L77" s="42">
        <v>5</v>
      </c>
      <c r="M77" s="42" t="s">
        <v>29</v>
      </c>
      <c r="N77" s="42">
        <v>21733</v>
      </c>
      <c r="O77" s="43">
        <v>44410</v>
      </c>
      <c r="P77" s="43">
        <v>44420</v>
      </c>
      <c r="Q77" s="44">
        <v>45175</v>
      </c>
      <c r="R77" s="44">
        <v>45183</v>
      </c>
      <c r="S77" s="44">
        <v>45222</v>
      </c>
      <c r="T77" s="44">
        <f>Q77+365</f>
        <v>45540</v>
      </c>
      <c r="U77" s="44">
        <f>T77-60</f>
        <v>45480</v>
      </c>
      <c r="V77" s="45">
        <v>45526</v>
      </c>
      <c r="W77" s="41"/>
      <c r="X77" s="44">
        <f>U77+365</f>
        <v>45845</v>
      </c>
      <c r="Y77" s="44">
        <f>X77-60</f>
        <v>45785</v>
      </c>
      <c r="Z77" s="45">
        <v>45813</v>
      </c>
      <c r="AA77" s="47">
        <v>45840</v>
      </c>
      <c r="AB77" s="76"/>
      <c r="AD77" s="117"/>
    </row>
    <row r="78" spans="1:32" ht="15.75" customHeight="1" x14ac:dyDescent="0.35">
      <c r="A78" s="48" t="s">
        <v>39</v>
      </c>
      <c r="B78" s="109" t="s">
        <v>303</v>
      </c>
      <c r="C78" s="96" t="s">
        <v>41</v>
      </c>
      <c r="D78" s="40" t="s">
        <v>42</v>
      </c>
      <c r="E78" s="40" t="s">
        <v>35</v>
      </c>
      <c r="F78" s="51" t="s">
        <v>27</v>
      </c>
      <c r="G78" s="42">
        <v>4</v>
      </c>
      <c r="H78" s="40">
        <v>172412</v>
      </c>
      <c r="I78" s="40">
        <v>40021836</v>
      </c>
      <c r="J78" s="51">
        <v>835</v>
      </c>
      <c r="K78" s="51">
        <v>19</v>
      </c>
      <c r="L78" s="51">
        <v>25</v>
      </c>
      <c r="M78" s="51" t="s">
        <v>29</v>
      </c>
      <c r="N78" s="42">
        <v>56697</v>
      </c>
      <c r="O78" s="111">
        <v>45551</v>
      </c>
      <c r="P78" s="111">
        <v>45554</v>
      </c>
      <c r="Q78" s="25"/>
      <c r="R78" s="25"/>
      <c r="S78" s="25"/>
      <c r="T78" s="25"/>
      <c r="U78" s="25"/>
      <c r="V78" s="19"/>
      <c r="W78" s="25"/>
      <c r="X78" s="44">
        <f>O78+365</f>
        <v>45916</v>
      </c>
      <c r="Y78" s="44">
        <f>X78-60</f>
        <v>45856</v>
      </c>
      <c r="Z78" s="112">
        <v>45926</v>
      </c>
      <c r="AA78" s="113">
        <v>45952</v>
      </c>
      <c r="AB78" s="72"/>
      <c r="AD78" s="117"/>
      <c r="AE78" s="4"/>
      <c r="AF78" s="4"/>
    </row>
    <row r="79" spans="1:32" ht="15.75" customHeight="1" x14ac:dyDescent="0.35">
      <c r="A79" s="31" t="s">
        <v>49</v>
      </c>
      <c r="B79" s="99" t="s">
        <v>304</v>
      </c>
      <c r="C79" s="97" t="s">
        <v>51</v>
      </c>
      <c r="D79" s="27" t="s">
        <v>305</v>
      </c>
      <c r="E79" s="27" t="s">
        <v>35</v>
      </c>
      <c r="F79" s="28" t="s">
        <v>36</v>
      </c>
      <c r="G79" s="28">
        <v>4</v>
      </c>
      <c r="H79" s="27">
        <v>172994</v>
      </c>
      <c r="I79" s="27" t="s">
        <v>306</v>
      </c>
      <c r="J79" s="28">
        <v>8550</v>
      </c>
      <c r="K79" s="28">
        <v>19</v>
      </c>
      <c r="L79" s="28">
        <v>25</v>
      </c>
      <c r="M79" s="28" t="s">
        <v>29</v>
      </c>
      <c r="N79" s="28">
        <v>6345</v>
      </c>
      <c r="O79" s="32">
        <v>45770</v>
      </c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33"/>
      <c r="AB79" s="76"/>
      <c r="AD79" s="117"/>
    </row>
    <row r="80" spans="1:32" ht="15.75" customHeight="1" x14ac:dyDescent="0.35">
      <c r="A80" s="48" t="s">
        <v>131</v>
      </c>
      <c r="B80" s="109" t="s">
        <v>307</v>
      </c>
      <c r="C80" s="96" t="s">
        <v>133</v>
      </c>
      <c r="D80" s="40" t="s">
        <v>134</v>
      </c>
      <c r="E80" s="41" t="s">
        <v>118</v>
      </c>
      <c r="F80" s="42" t="s">
        <v>27</v>
      </c>
      <c r="G80" s="42">
        <v>2</v>
      </c>
      <c r="H80" s="40">
        <v>172994</v>
      </c>
      <c r="I80" s="40" t="s">
        <v>308</v>
      </c>
      <c r="J80" s="42">
        <v>8550</v>
      </c>
      <c r="K80" s="42">
        <v>19</v>
      </c>
      <c r="L80" s="42">
        <v>25</v>
      </c>
      <c r="M80" s="42" t="s">
        <v>29</v>
      </c>
      <c r="N80" s="42">
        <v>17349</v>
      </c>
      <c r="O80" s="43">
        <v>43865</v>
      </c>
      <c r="P80" s="43">
        <v>43886</v>
      </c>
      <c r="Q80" s="44">
        <v>44960</v>
      </c>
      <c r="R80" s="44">
        <v>44952</v>
      </c>
      <c r="S80" s="44">
        <v>44953</v>
      </c>
      <c r="T80" s="44">
        <f>Q80+365</f>
        <v>45325</v>
      </c>
      <c r="U80" s="44">
        <f>T80-60</f>
        <v>45265</v>
      </c>
      <c r="V80" s="45">
        <v>45302</v>
      </c>
      <c r="W80" s="45">
        <v>45378</v>
      </c>
      <c r="X80" s="44">
        <f>V80+365</f>
        <v>45667</v>
      </c>
      <c r="Y80" s="44">
        <f>X80-60</f>
        <v>45607</v>
      </c>
      <c r="Z80" s="45">
        <v>45695</v>
      </c>
      <c r="AA80" s="47">
        <v>45699</v>
      </c>
      <c r="AB80" s="75"/>
      <c r="AD80" s="117"/>
    </row>
    <row r="81" spans="1:32" ht="15.75" customHeight="1" x14ac:dyDescent="0.35">
      <c r="A81" s="31" t="s">
        <v>309</v>
      </c>
      <c r="B81" s="99" t="s">
        <v>310</v>
      </c>
      <c r="C81" s="100" t="s">
        <v>311</v>
      </c>
      <c r="D81" s="27" t="s">
        <v>312</v>
      </c>
      <c r="E81" s="27" t="s">
        <v>313</v>
      </c>
      <c r="F81" s="28" t="s">
        <v>36</v>
      </c>
      <c r="G81" s="28">
        <v>4</v>
      </c>
      <c r="H81" s="27">
        <v>172995</v>
      </c>
      <c r="I81" s="27">
        <v>198217</v>
      </c>
      <c r="J81" s="28" t="s">
        <v>314</v>
      </c>
      <c r="K81" s="28">
        <v>35</v>
      </c>
      <c r="L81" s="28">
        <v>10</v>
      </c>
      <c r="M81" s="28" t="s">
        <v>29</v>
      </c>
      <c r="N81" s="28">
        <v>17916</v>
      </c>
      <c r="O81" s="37">
        <v>45800</v>
      </c>
      <c r="P81" s="29"/>
      <c r="Q81" s="30"/>
      <c r="R81" s="30"/>
      <c r="S81" s="31"/>
      <c r="T81" s="30"/>
      <c r="U81" s="30"/>
      <c r="V81" s="32"/>
      <c r="W81" s="27"/>
      <c r="X81" s="30"/>
      <c r="Y81" s="30"/>
      <c r="Z81" s="32"/>
      <c r="AA81" s="33"/>
      <c r="AB81" s="76"/>
      <c r="AD81" s="117"/>
    </row>
    <row r="82" spans="1:32" ht="15.75" customHeight="1" x14ac:dyDescent="0.35">
      <c r="A82" s="31" t="s">
        <v>44</v>
      </c>
      <c r="B82" s="99" t="s">
        <v>315</v>
      </c>
      <c r="C82" s="97" t="s">
        <v>46</v>
      </c>
      <c r="D82" s="26" t="s">
        <v>47</v>
      </c>
      <c r="E82" s="27" t="s">
        <v>316</v>
      </c>
      <c r="F82" s="28" t="s">
        <v>27</v>
      </c>
      <c r="G82" s="28">
        <v>4</v>
      </c>
      <c r="H82" s="26">
        <v>172995</v>
      </c>
      <c r="I82" s="26">
        <v>149607</v>
      </c>
      <c r="J82" s="28" t="s">
        <v>314</v>
      </c>
      <c r="K82" s="28">
        <v>35</v>
      </c>
      <c r="L82" s="28">
        <v>10</v>
      </c>
      <c r="M82" s="28" t="s">
        <v>317</v>
      </c>
      <c r="N82" s="28">
        <v>132984</v>
      </c>
      <c r="O82" s="29">
        <v>45796</v>
      </c>
      <c r="P82" s="28"/>
      <c r="Q82" s="30"/>
      <c r="R82" s="31"/>
      <c r="S82" s="31"/>
      <c r="T82" s="30"/>
      <c r="U82" s="30"/>
      <c r="V82" s="32"/>
      <c r="W82" s="27"/>
      <c r="X82" s="30"/>
      <c r="Y82" s="30"/>
      <c r="Z82" s="32"/>
      <c r="AA82" s="33"/>
      <c r="AB82" s="68"/>
      <c r="AD82" s="117"/>
    </row>
    <row r="83" spans="1:32" ht="15.75" customHeight="1" x14ac:dyDescent="0.35">
      <c r="A83" s="31" t="s">
        <v>44</v>
      </c>
      <c r="B83" s="99" t="s">
        <v>318</v>
      </c>
      <c r="C83" s="97" t="s">
        <v>46</v>
      </c>
      <c r="D83" s="26" t="s">
        <v>47</v>
      </c>
      <c r="E83" s="27"/>
      <c r="F83" s="28" t="s">
        <v>27</v>
      </c>
      <c r="G83" s="28">
        <v>4</v>
      </c>
      <c r="H83" s="27">
        <v>172995</v>
      </c>
      <c r="I83" s="26">
        <v>149607</v>
      </c>
      <c r="J83" s="28" t="s">
        <v>97</v>
      </c>
      <c r="K83" s="28">
        <v>35</v>
      </c>
      <c r="L83" s="28">
        <v>10</v>
      </c>
      <c r="M83" s="28" t="s">
        <v>29</v>
      </c>
      <c r="N83" s="28">
        <v>132984</v>
      </c>
      <c r="O83" s="29">
        <v>45796</v>
      </c>
      <c r="P83" s="28"/>
      <c r="Q83" s="30"/>
      <c r="R83" s="31"/>
      <c r="S83" s="31"/>
      <c r="T83" s="30"/>
      <c r="U83" s="30"/>
      <c r="V83" s="32"/>
      <c r="W83" s="27"/>
      <c r="X83" s="30"/>
      <c r="Y83" s="30"/>
      <c r="Z83" s="32"/>
      <c r="AA83" s="33"/>
      <c r="AB83" s="68" t="s">
        <v>104</v>
      </c>
      <c r="AD83" s="117"/>
    </row>
    <row r="84" spans="1:32" ht="15.75" customHeight="1" x14ac:dyDescent="0.35">
      <c r="A84" s="31" t="s">
        <v>283</v>
      </c>
      <c r="B84" s="99" t="s">
        <v>319</v>
      </c>
      <c r="C84" s="97" t="s">
        <v>285</v>
      </c>
      <c r="D84" s="26" t="s">
        <v>320</v>
      </c>
      <c r="E84" s="27" t="s">
        <v>287</v>
      </c>
      <c r="F84" s="28" t="s">
        <v>36</v>
      </c>
      <c r="G84" s="28">
        <v>2</v>
      </c>
      <c r="H84" s="26">
        <v>172995</v>
      </c>
      <c r="I84" s="26" t="s">
        <v>321</v>
      </c>
      <c r="J84" s="28" t="s">
        <v>314</v>
      </c>
      <c r="K84" s="28">
        <v>35</v>
      </c>
      <c r="L84" s="28">
        <v>10</v>
      </c>
      <c r="M84" s="28" t="s">
        <v>29</v>
      </c>
      <c r="N84" s="28">
        <v>53381</v>
      </c>
      <c r="O84" s="29">
        <v>44223</v>
      </c>
      <c r="P84" s="29"/>
      <c r="Q84" s="30">
        <v>44936</v>
      </c>
      <c r="R84" s="30">
        <v>45075</v>
      </c>
      <c r="S84" s="30">
        <v>45173</v>
      </c>
      <c r="T84" s="30">
        <f>Q84+365</f>
        <v>45301</v>
      </c>
      <c r="U84" s="30">
        <f>T84-60</f>
        <v>45241</v>
      </c>
      <c r="V84" s="32">
        <v>45359</v>
      </c>
      <c r="W84" s="27"/>
      <c r="X84" s="30">
        <f>V84+365</f>
        <v>45724</v>
      </c>
      <c r="Y84" s="30">
        <f>X84-60</f>
        <v>45664</v>
      </c>
      <c r="Z84" s="32">
        <v>45663</v>
      </c>
      <c r="AA84" s="33"/>
      <c r="AB84" s="76"/>
      <c r="AC84" t="s">
        <v>60</v>
      </c>
      <c r="AD84" s="117"/>
    </row>
    <row r="85" spans="1:32" ht="15.75" customHeight="1" x14ac:dyDescent="0.35">
      <c r="A85" s="31" t="s">
        <v>49</v>
      </c>
      <c r="B85" s="99" t="s">
        <v>322</v>
      </c>
      <c r="C85" s="97" t="s">
        <v>51</v>
      </c>
      <c r="D85" s="26" t="s">
        <v>52</v>
      </c>
      <c r="E85" s="27" t="s">
        <v>35</v>
      </c>
      <c r="F85" s="28" t="s">
        <v>27</v>
      </c>
      <c r="G85" s="28">
        <v>2</v>
      </c>
      <c r="H85" s="26">
        <v>173024</v>
      </c>
      <c r="I85" s="26" t="s">
        <v>323</v>
      </c>
      <c r="J85" s="28">
        <v>505</v>
      </c>
      <c r="K85" s="28">
        <v>19</v>
      </c>
      <c r="L85" s="28">
        <v>25</v>
      </c>
      <c r="M85" s="28" t="s">
        <v>324</v>
      </c>
      <c r="N85" s="28">
        <v>6345</v>
      </c>
      <c r="O85" s="29">
        <v>45296</v>
      </c>
      <c r="P85" s="27"/>
      <c r="Q85" s="49"/>
      <c r="R85" s="50"/>
      <c r="S85" s="50"/>
      <c r="T85" s="30">
        <v>45526</v>
      </c>
      <c r="U85" s="30">
        <v>45526</v>
      </c>
      <c r="V85" s="32">
        <v>45667</v>
      </c>
      <c r="W85" s="27"/>
      <c r="X85" s="30">
        <f>V85+365</f>
        <v>46032</v>
      </c>
      <c r="Y85" s="30">
        <f>X85-60</f>
        <v>45972</v>
      </c>
      <c r="Z85" s="32"/>
      <c r="AA85" s="33"/>
      <c r="AB85" s="76"/>
    </row>
    <row r="86" spans="1:32" ht="15.75" customHeight="1" x14ac:dyDescent="0.35">
      <c r="A86" s="60" t="s">
        <v>325</v>
      </c>
      <c r="B86" s="101" t="s">
        <v>326</v>
      </c>
      <c r="C86" s="102" t="s">
        <v>327</v>
      </c>
      <c r="D86" s="19" t="s">
        <v>328</v>
      </c>
      <c r="E86" s="6" t="s">
        <v>35</v>
      </c>
      <c r="F86" s="7" t="s">
        <v>36</v>
      </c>
      <c r="G86" s="7">
        <v>2</v>
      </c>
      <c r="H86" s="19">
        <v>173024</v>
      </c>
      <c r="I86" s="19" t="s">
        <v>329</v>
      </c>
      <c r="J86" s="7">
        <v>505</v>
      </c>
      <c r="K86" s="7">
        <v>19</v>
      </c>
      <c r="L86" s="7">
        <v>25</v>
      </c>
      <c r="M86" s="7" t="s">
        <v>324</v>
      </c>
      <c r="N86" s="80">
        <v>261959</v>
      </c>
      <c r="O86" s="8">
        <v>44902</v>
      </c>
      <c r="P86" s="8">
        <v>44907</v>
      </c>
      <c r="Q86" s="8">
        <v>45267</v>
      </c>
      <c r="R86" s="20">
        <v>45280</v>
      </c>
      <c r="S86" s="20"/>
      <c r="T86" s="20">
        <f>Q86+365</f>
        <v>45632</v>
      </c>
      <c r="U86" s="20">
        <f>T86-60</f>
        <v>45572</v>
      </c>
      <c r="V86" s="9">
        <v>45581</v>
      </c>
      <c r="W86" s="9">
        <v>45602</v>
      </c>
      <c r="X86" s="20">
        <f>U86+365</f>
        <v>45937</v>
      </c>
      <c r="Y86" s="20">
        <f>X86-60</f>
        <v>45877</v>
      </c>
      <c r="Z86" s="9"/>
      <c r="AA86" s="21"/>
      <c r="AB86" s="70"/>
      <c r="AC86" t="s">
        <v>60</v>
      </c>
    </row>
    <row r="87" spans="1:32" ht="15.75" customHeight="1" x14ac:dyDescent="0.35">
      <c r="A87" s="31" t="s">
        <v>49</v>
      </c>
      <c r="B87" s="99" t="s">
        <v>330</v>
      </c>
      <c r="C87" s="97" t="s">
        <v>51</v>
      </c>
      <c r="D87" s="26" t="s">
        <v>52</v>
      </c>
      <c r="E87" s="27" t="s">
        <v>331</v>
      </c>
      <c r="F87" s="28" t="s">
        <v>27</v>
      </c>
      <c r="G87" s="28">
        <v>2</v>
      </c>
      <c r="H87" s="26">
        <v>173540</v>
      </c>
      <c r="I87" s="26" t="s">
        <v>332</v>
      </c>
      <c r="J87" s="28">
        <v>512</v>
      </c>
      <c r="K87" s="28">
        <v>19</v>
      </c>
      <c r="L87" s="28">
        <v>25</v>
      </c>
      <c r="M87" s="28" t="s">
        <v>29</v>
      </c>
      <c r="N87" s="28">
        <v>6345</v>
      </c>
      <c r="O87" s="29">
        <v>43549</v>
      </c>
      <c r="P87" s="29">
        <v>43549</v>
      </c>
      <c r="Q87" s="30">
        <v>45040</v>
      </c>
      <c r="R87" s="30">
        <v>45075</v>
      </c>
      <c r="S87" s="31"/>
      <c r="T87" s="30">
        <f>Q87+365</f>
        <v>45405</v>
      </c>
      <c r="U87" s="30">
        <f>T87-60</f>
        <v>45345</v>
      </c>
      <c r="V87" s="32">
        <v>45400</v>
      </c>
      <c r="W87" s="32">
        <v>45405</v>
      </c>
      <c r="X87" s="30">
        <f>V87+365</f>
        <v>45765</v>
      </c>
      <c r="Y87" s="30">
        <f>X87-60</f>
        <v>45705</v>
      </c>
      <c r="Z87" s="32">
        <v>45719</v>
      </c>
      <c r="AA87" s="34"/>
      <c r="AB87" s="77"/>
    </row>
    <row r="88" spans="1:32" ht="15.75" customHeight="1" x14ac:dyDescent="0.35">
      <c r="A88" s="31" t="s">
        <v>39</v>
      </c>
      <c r="B88" s="99" t="s">
        <v>333</v>
      </c>
      <c r="C88" s="97" t="s">
        <v>41</v>
      </c>
      <c r="D88" s="26" t="s">
        <v>183</v>
      </c>
      <c r="E88" s="26" t="s">
        <v>90</v>
      </c>
      <c r="F88" s="36" t="s">
        <v>36</v>
      </c>
      <c r="G88" s="28">
        <v>4</v>
      </c>
      <c r="H88" s="26">
        <v>173540</v>
      </c>
      <c r="I88" s="26">
        <v>40194891</v>
      </c>
      <c r="J88" s="28">
        <v>512</v>
      </c>
      <c r="K88" s="28">
        <v>19</v>
      </c>
      <c r="L88" s="28">
        <v>25</v>
      </c>
      <c r="M88" s="28" t="s">
        <v>29</v>
      </c>
      <c r="N88" s="28">
        <v>56697</v>
      </c>
      <c r="O88" s="29">
        <v>45051</v>
      </c>
      <c r="P88" s="29">
        <v>45071</v>
      </c>
      <c r="Q88" s="15"/>
      <c r="R88" s="18"/>
      <c r="S88" s="18"/>
      <c r="T88" s="30">
        <f>O88+365</f>
        <v>45416</v>
      </c>
      <c r="U88" s="30">
        <f>T88-60</f>
        <v>45356</v>
      </c>
      <c r="V88" s="32"/>
      <c r="W88" s="27"/>
      <c r="X88" s="30">
        <f>T88+365</f>
        <v>45781</v>
      </c>
      <c r="Y88" s="30">
        <f>X88-60</f>
        <v>45721</v>
      </c>
      <c r="Z88" s="32">
        <v>45733</v>
      </c>
      <c r="AA88" s="33"/>
      <c r="AB88" s="76"/>
      <c r="AE88" s="4"/>
      <c r="AF88" s="4"/>
    </row>
    <row r="89" spans="1:32" ht="15.75" customHeight="1" x14ac:dyDescent="0.35">
      <c r="A89" s="48" t="s">
        <v>243</v>
      </c>
      <c r="B89" s="109" t="s">
        <v>334</v>
      </c>
      <c r="C89" s="103" t="s">
        <v>245</v>
      </c>
      <c r="D89" s="41" t="s">
        <v>246</v>
      </c>
      <c r="E89" s="41" t="s">
        <v>68</v>
      </c>
      <c r="F89" s="42" t="s">
        <v>36</v>
      </c>
      <c r="G89" s="42">
        <v>4</v>
      </c>
      <c r="H89" s="41">
        <v>173540</v>
      </c>
      <c r="I89" s="41" t="s">
        <v>335</v>
      </c>
      <c r="J89" s="42">
        <v>512</v>
      </c>
      <c r="K89" s="42">
        <v>19</v>
      </c>
      <c r="L89" s="42">
        <v>25</v>
      </c>
      <c r="M89" s="42" t="s">
        <v>29</v>
      </c>
      <c r="N89" s="42">
        <v>14217</v>
      </c>
      <c r="O89" s="45">
        <v>45874</v>
      </c>
      <c r="P89" s="45">
        <v>45884</v>
      </c>
      <c r="Q89" s="35"/>
      <c r="R89" s="35"/>
      <c r="S89" s="35"/>
      <c r="T89" s="41"/>
      <c r="U89" s="41"/>
      <c r="V89" s="41"/>
      <c r="W89" s="41"/>
      <c r="X89" s="41"/>
      <c r="Y89" s="41"/>
      <c r="Z89" s="41"/>
      <c r="AA89" s="46"/>
      <c r="AB89" s="1"/>
    </row>
    <row r="90" spans="1:32" ht="15.75" customHeight="1" x14ac:dyDescent="0.35">
      <c r="A90" s="48" t="s">
        <v>79</v>
      </c>
      <c r="B90" s="109" t="s">
        <v>336</v>
      </c>
      <c r="C90" s="96" t="s">
        <v>81</v>
      </c>
      <c r="D90" s="40" t="s">
        <v>112</v>
      </c>
      <c r="E90" s="41" t="s">
        <v>337</v>
      </c>
      <c r="F90" s="42" t="s">
        <v>36</v>
      </c>
      <c r="G90" s="42">
        <v>2</v>
      </c>
      <c r="H90" s="40">
        <v>174060</v>
      </c>
      <c r="I90" s="40">
        <v>21099</v>
      </c>
      <c r="J90" s="42" t="s">
        <v>338</v>
      </c>
      <c r="K90" s="42">
        <v>19</v>
      </c>
      <c r="L90" s="42">
        <v>5</v>
      </c>
      <c r="M90" s="42" t="s">
        <v>29</v>
      </c>
      <c r="N90" s="42">
        <v>645</v>
      </c>
      <c r="O90" s="43">
        <v>45385</v>
      </c>
      <c r="P90" s="43">
        <v>45420</v>
      </c>
      <c r="Q90" s="30"/>
      <c r="R90" s="30"/>
      <c r="S90" s="30"/>
      <c r="T90" s="44"/>
      <c r="U90" s="44"/>
      <c r="V90" s="45">
        <v>45385</v>
      </c>
      <c r="W90" s="45">
        <v>45420</v>
      </c>
      <c r="X90" s="44">
        <f>O90+365</f>
        <v>45750</v>
      </c>
      <c r="Y90" s="44">
        <f>X90-60</f>
        <v>45690</v>
      </c>
      <c r="Z90" s="45">
        <v>45712</v>
      </c>
      <c r="AA90" s="47">
        <v>45742</v>
      </c>
      <c r="AB90" s="75"/>
    </row>
    <row r="91" spans="1:32" ht="15.75" customHeight="1" x14ac:dyDescent="0.35">
      <c r="A91" s="60" t="s">
        <v>39</v>
      </c>
      <c r="B91" s="101" t="s">
        <v>339</v>
      </c>
      <c r="C91" s="98" t="s">
        <v>41</v>
      </c>
      <c r="D91" s="11"/>
      <c r="E91" s="11"/>
      <c r="F91" s="24"/>
      <c r="G91" s="13">
        <v>4</v>
      </c>
      <c r="H91" s="11">
        <v>174060</v>
      </c>
      <c r="I91" s="11">
        <v>40002226</v>
      </c>
      <c r="J91" s="13" t="s">
        <v>338</v>
      </c>
      <c r="K91" s="13">
        <v>19</v>
      </c>
      <c r="L91" s="13">
        <v>5</v>
      </c>
      <c r="M91" s="13" t="s">
        <v>29</v>
      </c>
      <c r="N91" s="13">
        <v>56697</v>
      </c>
      <c r="O91" s="14"/>
      <c r="P91" s="14"/>
      <c r="Q91" s="15"/>
      <c r="R91" s="18"/>
      <c r="S91" s="18"/>
      <c r="T91" s="15"/>
      <c r="U91" s="15"/>
      <c r="V91" s="16">
        <v>45338</v>
      </c>
      <c r="W91" s="16">
        <v>45349</v>
      </c>
      <c r="X91" s="15">
        <f>V91+365</f>
        <v>45703</v>
      </c>
      <c r="Y91" s="52">
        <f>X91-60</f>
        <v>45643</v>
      </c>
      <c r="Z91" s="16"/>
      <c r="AA91" s="17"/>
      <c r="AB91" s="68"/>
    </row>
    <row r="92" spans="1:32" ht="15.75" customHeight="1" x14ac:dyDescent="0.35">
      <c r="A92" s="31" t="s">
        <v>99</v>
      </c>
      <c r="B92" s="99" t="s">
        <v>340</v>
      </c>
      <c r="C92" s="97" t="s">
        <v>101</v>
      </c>
      <c r="D92" s="26" t="s">
        <v>341</v>
      </c>
      <c r="E92" s="27" t="s">
        <v>342</v>
      </c>
      <c r="F92" s="28" t="s">
        <v>27</v>
      </c>
      <c r="G92" s="28">
        <v>2</v>
      </c>
      <c r="H92" s="26">
        <v>174062</v>
      </c>
      <c r="I92" s="26" t="s">
        <v>343</v>
      </c>
      <c r="J92" s="28" t="s">
        <v>338</v>
      </c>
      <c r="K92" s="28">
        <v>38</v>
      </c>
      <c r="L92" s="28">
        <v>5</v>
      </c>
      <c r="M92" s="28" t="s">
        <v>29</v>
      </c>
      <c r="N92" s="28">
        <v>20724</v>
      </c>
      <c r="O92" s="29">
        <v>45504</v>
      </c>
      <c r="P92" s="28"/>
      <c r="Q92" s="15"/>
      <c r="R92" s="15"/>
      <c r="S92" s="18"/>
      <c r="T92" s="30"/>
      <c r="U92" s="30"/>
      <c r="V92" s="32"/>
      <c r="W92" s="27"/>
      <c r="X92" s="30">
        <f>O92+365</f>
        <v>45869</v>
      </c>
      <c r="Y92" s="30">
        <f>X92-60</f>
        <v>45809</v>
      </c>
      <c r="Z92" s="32">
        <v>45869</v>
      </c>
      <c r="AA92" s="33"/>
      <c r="AB92" s="68"/>
      <c r="AC92" s="4"/>
      <c r="AD92" s="4"/>
      <c r="AE92" s="4"/>
      <c r="AF92" s="4"/>
    </row>
    <row r="93" spans="1:32" ht="15.75" customHeight="1" x14ac:dyDescent="0.35">
      <c r="A93" s="48" t="s">
        <v>344</v>
      </c>
      <c r="B93" s="109" t="s">
        <v>345</v>
      </c>
      <c r="C93" s="96" t="s">
        <v>346</v>
      </c>
      <c r="D93" s="41" t="s">
        <v>58</v>
      </c>
      <c r="E93" s="41" t="s">
        <v>313</v>
      </c>
      <c r="F93" s="42" t="s">
        <v>36</v>
      </c>
      <c r="G93" s="42">
        <v>4</v>
      </c>
      <c r="H93" s="41">
        <v>174104</v>
      </c>
      <c r="I93" s="41" t="s">
        <v>347</v>
      </c>
      <c r="J93" s="42">
        <v>505</v>
      </c>
      <c r="K93" s="42">
        <v>19</v>
      </c>
      <c r="L93" s="42">
        <v>25</v>
      </c>
      <c r="M93" s="42" t="s">
        <v>29</v>
      </c>
      <c r="N93" s="42">
        <v>109517</v>
      </c>
      <c r="O93" s="43">
        <v>45739</v>
      </c>
      <c r="P93" s="43">
        <v>45749</v>
      </c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6"/>
      <c r="AB93" s="78"/>
    </row>
    <row r="94" spans="1:32" ht="15.75" customHeight="1" x14ac:dyDescent="0.35">
      <c r="A94" s="48" t="s">
        <v>55</v>
      </c>
      <c r="B94" s="109" t="s">
        <v>348</v>
      </c>
      <c r="C94" s="96" t="s">
        <v>57</v>
      </c>
      <c r="D94" s="40" t="s">
        <v>58</v>
      </c>
      <c r="E94" s="41" t="s">
        <v>90</v>
      </c>
      <c r="F94" s="42" t="s">
        <v>27</v>
      </c>
      <c r="G94" s="42">
        <v>4</v>
      </c>
      <c r="H94" s="41">
        <v>174104</v>
      </c>
      <c r="I94" s="41" t="s">
        <v>349</v>
      </c>
      <c r="J94" s="42">
        <v>505</v>
      </c>
      <c r="K94" s="42">
        <v>19</v>
      </c>
      <c r="L94" s="42">
        <v>25</v>
      </c>
      <c r="M94" s="42" t="s">
        <v>29</v>
      </c>
      <c r="N94" s="42">
        <v>21733</v>
      </c>
      <c r="O94" s="43">
        <v>43747</v>
      </c>
      <c r="P94" s="43">
        <v>43801</v>
      </c>
      <c r="Q94" s="44">
        <v>45175</v>
      </c>
      <c r="R94" s="44">
        <v>45183</v>
      </c>
      <c r="S94" s="44">
        <v>45222</v>
      </c>
      <c r="T94" s="44">
        <f>Q94+365</f>
        <v>45540</v>
      </c>
      <c r="U94" s="44">
        <f>T94-60</f>
        <v>45480</v>
      </c>
      <c r="V94" s="45">
        <v>45526</v>
      </c>
      <c r="W94" s="41"/>
      <c r="X94" s="44">
        <f>U94+365</f>
        <v>45845</v>
      </c>
      <c r="Y94" s="44">
        <f>X94-60</f>
        <v>45785</v>
      </c>
      <c r="Z94" s="45">
        <v>45813</v>
      </c>
      <c r="AA94" s="47">
        <v>45840</v>
      </c>
      <c r="AB94" s="76"/>
    </row>
    <row r="95" spans="1:32" ht="15.75" customHeight="1" x14ac:dyDescent="0.35">
      <c r="A95" s="31" t="s">
        <v>39</v>
      </c>
      <c r="B95" s="99" t="s">
        <v>350</v>
      </c>
      <c r="C95" s="97" t="s">
        <v>41</v>
      </c>
      <c r="D95" s="26" t="s">
        <v>300</v>
      </c>
      <c r="E95" s="31" t="s">
        <v>351</v>
      </c>
      <c r="F95" s="28" t="s">
        <v>36</v>
      </c>
      <c r="G95" s="28">
        <v>4</v>
      </c>
      <c r="H95" s="27">
        <v>174104</v>
      </c>
      <c r="I95" s="27">
        <v>40193540</v>
      </c>
      <c r="J95" s="28">
        <v>505</v>
      </c>
      <c r="K95" s="28">
        <v>19</v>
      </c>
      <c r="L95" s="28">
        <v>25</v>
      </c>
      <c r="M95" s="28" t="s">
        <v>29</v>
      </c>
      <c r="N95" s="28">
        <v>56697</v>
      </c>
      <c r="O95" s="29">
        <v>45223</v>
      </c>
      <c r="P95" s="29"/>
      <c r="Q95" s="30">
        <v>45549</v>
      </c>
      <c r="R95" s="30">
        <v>45489</v>
      </c>
      <c r="S95" s="32">
        <v>45510</v>
      </c>
      <c r="T95" s="37">
        <f>O95+365</f>
        <v>45588</v>
      </c>
      <c r="U95" s="37">
        <f>T95-60</f>
        <v>45528</v>
      </c>
      <c r="V95" s="30"/>
      <c r="W95" s="32"/>
      <c r="X95" s="30">
        <f>T95+365</f>
        <v>45953</v>
      </c>
      <c r="Y95" s="30">
        <f>X95-60</f>
        <v>45893</v>
      </c>
      <c r="Z95" s="32">
        <v>45898</v>
      </c>
      <c r="AA95" s="33"/>
      <c r="AB95" s="76"/>
      <c r="AE95" s="4"/>
      <c r="AF95" s="4"/>
    </row>
    <row r="96" spans="1:32" ht="15.75" customHeight="1" x14ac:dyDescent="0.35">
      <c r="A96" s="48" t="s">
        <v>79</v>
      </c>
      <c r="B96" s="109" t="s">
        <v>352</v>
      </c>
      <c r="C96" s="96" t="s">
        <v>81</v>
      </c>
      <c r="D96" s="40" t="s">
        <v>185</v>
      </c>
      <c r="E96" s="41" t="s">
        <v>113</v>
      </c>
      <c r="F96" s="42" t="s">
        <v>36</v>
      </c>
      <c r="G96" s="42">
        <v>2</v>
      </c>
      <c r="H96" s="40">
        <v>174352</v>
      </c>
      <c r="I96" s="40">
        <v>30804</v>
      </c>
      <c r="J96" s="42" t="s">
        <v>353</v>
      </c>
      <c r="K96" s="42">
        <v>19</v>
      </c>
      <c r="L96" s="42">
        <v>15</v>
      </c>
      <c r="M96" s="42" t="s">
        <v>29</v>
      </c>
      <c r="N96" s="42">
        <v>645</v>
      </c>
      <c r="O96" s="43">
        <v>44823</v>
      </c>
      <c r="P96" s="43">
        <v>44881</v>
      </c>
      <c r="Q96" s="44">
        <v>45188</v>
      </c>
      <c r="R96" s="44">
        <v>45246</v>
      </c>
      <c r="S96" s="44">
        <v>45251</v>
      </c>
      <c r="T96" s="44">
        <f>Q96+365</f>
        <v>45553</v>
      </c>
      <c r="U96" s="44">
        <f>T96-60</f>
        <v>45493</v>
      </c>
      <c r="V96" s="45">
        <v>45517</v>
      </c>
      <c r="W96" s="41"/>
      <c r="X96" s="44">
        <f>U96+365</f>
        <v>45858</v>
      </c>
      <c r="Y96" s="44">
        <f>X96-60</f>
        <v>45798</v>
      </c>
      <c r="Z96" s="45">
        <v>45790</v>
      </c>
      <c r="AA96" s="47">
        <v>45841</v>
      </c>
      <c r="AB96" s="76"/>
    </row>
    <row r="97" spans="1:29" ht="15.75" customHeight="1" x14ac:dyDescent="0.35">
      <c r="A97" s="31" t="s">
        <v>172</v>
      </c>
      <c r="B97" s="99" t="s">
        <v>354</v>
      </c>
      <c r="C97" s="97" t="s">
        <v>174</v>
      </c>
      <c r="D97" s="26" t="s">
        <v>175</v>
      </c>
      <c r="E97" s="27" t="s">
        <v>153</v>
      </c>
      <c r="F97" s="28" t="s">
        <v>36</v>
      </c>
      <c r="G97" s="28">
        <v>2</v>
      </c>
      <c r="H97" s="26">
        <v>93433</v>
      </c>
      <c r="I97" s="26" t="s">
        <v>355</v>
      </c>
      <c r="J97" s="28" t="s">
        <v>83</v>
      </c>
      <c r="K97" s="28">
        <v>25</v>
      </c>
      <c r="L97" s="28">
        <v>25</v>
      </c>
      <c r="M97" s="28" t="s">
        <v>29</v>
      </c>
      <c r="N97" s="28">
        <v>40429</v>
      </c>
      <c r="O97" s="29">
        <v>45952</v>
      </c>
      <c r="P97" s="29"/>
      <c r="Q97" s="44"/>
      <c r="R97" s="44"/>
      <c r="S97" s="44"/>
      <c r="T97" s="44"/>
      <c r="U97" s="44"/>
      <c r="V97" s="45"/>
      <c r="W97" s="41"/>
      <c r="X97" s="30"/>
      <c r="Y97" s="30"/>
      <c r="Z97" s="32"/>
      <c r="AA97" s="34"/>
      <c r="AB97" s="76" t="s">
        <v>104</v>
      </c>
    </row>
    <row r="98" spans="1:29" ht="15.75" customHeight="1" x14ac:dyDescent="0.35">
      <c r="A98" s="31" t="s">
        <v>44</v>
      </c>
      <c r="B98" s="99" t="s">
        <v>356</v>
      </c>
      <c r="C98" s="97" t="s">
        <v>46</v>
      </c>
      <c r="D98" s="26" t="s">
        <v>47</v>
      </c>
      <c r="E98" s="27"/>
      <c r="F98" s="28" t="s">
        <v>27</v>
      </c>
      <c r="G98" s="28">
        <v>2</v>
      </c>
      <c r="H98" s="26">
        <v>174352</v>
      </c>
      <c r="I98" s="26">
        <v>138950</v>
      </c>
      <c r="J98" s="28" t="s">
        <v>353</v>
      </c>
      <c r="K98" s="28">
        <v>19</v>
      </c>
      <c r="L98" s="28">
        <v>15</v>
      </c>
      <c r="M98" s="28" t="s">
        <v>29</v>
      </c>
      <c r="N98" s="28">
        <v>132984</v>
      </c>
      <c r="O98" s="29">
        <v>45621</v>
      </c>
      <c r="P98" s="28"/>
      <c r="Q98" s="30"/>
      <c r="R98" s="31"/>
      <c r="S98" s="31"/>
      <c r="T98" s="30"/>
      <c r="U98" s="30"/>
      <c r="V98" s="32"/>
      <c r="W98" s="27"/>
      <c r="X98" s="30"/>
      <c r="Y98" s="30"/>
      <c r="Z98" s="32"/>
      <c r="AA98" s="33"/>
      <c r="AB98" s="68"/>
    </row>
    <row r="99" spans="1:29" ht="15.75" customHeight="1" x14ac:dyDescent="0.35">
      <c r="A99" s="31" t="s">
        <v>39</v>
      </c>
      <c r="B99" s="99" t="s">
        <v>357</v>
      </c>
      <c r="C99" s="97" t="s">
        <v>41</v>
      </c>
      <c r="D99" s="26" t="s">
        <v>183</v>
      </c>
      <c r="E99" s="26" t="s">
        <v>43</v>
      </c>
      <c r="F99" s="36" t="s">
        <v>36</v>
      </c>
      <c r="G99" s="28">
        <v>4</v>
      </c>
      <c r="H99" s="26">
        <v>174352</v>
      </c>
      <c r="I99" s="26">
        <v>40021860</v>
      </c>
      <c r="J99" s="28" t="s">
        <v>353</v>
      </c>
      <c r="K99" s="28">
        <v>19</v>
      </c>
      <c r="L99" s="28">
        <v>15</v>
      </c>
      <c r="M99" s="28" t="s">
        <v>29</v>
      </c>
      <c r="N99" s="28">
        <v>56697</v>
      </c>
      <c r="O99" s="29">
        <v>44963</v>
      </c>
      <c r="P99" s="29">
        <v>45051</v>
      </c>
      <c r="Q99" s="30"/>
      <c r="R99" s="31"/>
      <c r="S99" s="31"/>
      <c r="T99" s="30">
        <f>O99+365</f>
        <v>45328</v>
      </c>
      <c r="U99" s="30">
        <f>T99-60</f>
        <v>45268</v>
      </c>
      <c r="V99" s="32">
        <v>45362</v>
      </c>
      <c r="W99" s="27"/>
      <c r="X99" s="30">
        <f>V99+365</f>
        <v>45727</v>
      </c>
      <c r="Y99" s="30">
        <f>X99-60</f>
        <v>45667</v>
      </c>
      <c r="Z99" s="32">
        <v>45663</v>
      </c>
      <c r="AA99" s="33"/>
      <c r="AB99" s="76"/>
    </row>
    <row r="100" spans="1:29" ht="15.75" customHeight="1" x14ac:dyDescent="0.35">
      <c r="A100" s="107" t="s">
        <v>22</v>
      </c>
      <c r="B100" s="108" t="s">
        <v>358</v>
      </c>
      <c r="C100" s="96" t="s">
        <v>24</v>
      </c>
      <c r="D100" s="40" t="s">
        <v>25</v>
      </c>
      <c r="E100" s="41" t="s">
        <v>359</v>
      </c>
      <c r="F100" s="42" t="s">
        <v>27</v>
      </c>
      <c r="G100" s="42">
        <v>2</v>
      </c>
      <c r="H100" s="40">
        <v>174352</v>
      </c>
      <c r="I100" s="40" t="s">
        <v>360</v>
      </c>
      <c r="J100" s="42" t="s">
        <v>353</v>
      </c>
      <c r="K100" s="42">
        <v>19</v>
      </c>
      <c r="L100" s="42">
        <v>15</v>
      </c>
      <c r="M100" s="42" t="s">
        <v>29</v>
      </c>
      <c r="N100" s="42">
        <v>46412</v>
      </c>
      <c r="O100" s="43">
        <v>44684</v>
      </c>
      <c r="P100" s="43">
        <v>44693</v>
      </c>
      <c r="Q100" s="44">
        <v>45049</v>
      </c>
      <c r="R100" s="44">
        <v>45075</v>
      </c>
      <c r="S100" s="44">
        <v>45076</v>
      </c>
      <c r="T100" s="44">
        <f>Q100+365</f>
        <v>45414</v>
      </c>
      <c r="U100" s="44">
        <f>T100-60</f>
        <v>45354</v>
      </c>
      <c r="V100" s="45">
        <v>45463</v>
      </c>
      <c r="W100" s="45">
        <v>45513</v>
      </c>
      <c r="X100" s="44">
        <f>U100+365</f>
        <v>45719</v>
      </c>
      <c r="Y100" s="44">
        <f>X100-60</f>
        <v>45659</v>
      </c>
      <c r="Z100" s="45">
        <v>45663</v>
      </c>
      <c r="AA100" s="47">
        <v>45680</v>
      </c>
    </row>
    <row r="101" spans="1:29" ht="15.75" customHeight="1" x14ac:dyDescent="0.35">
      <c r="A101" s="48" t="s">
        <v>131</v>
      </c>
      <c r="B101" s="109" t="s">
        <v>361</v>
      </c>
      <c r="C101" s="96" t="s">
        <v>133</v>
      </c>
      <c r="D101" s="40" t="s">
        <v>134</v>
      </c>
      <c r="E101" s="41" t="s">
        <v>68</v>
      </c>
      <c r="F101" s="42" t="s">
        <v>27</v>
      </c>
      <c r="G101" s="42">
        <v>2</v>
      </c>
      <c r="H101" s="40">
        <v>176641</v>
      </c>
      <c r="I101" s="40" t="s">
        <v>362</v>
      </c>
      <c r="J101" s="42">
        <v>8550</v>
      </c>
      <c r="K101" s="42">
        <v>19</v>
      </c>
      <c r="L101" s="42">
        <v>25</v>
      </c>
      <c r="M101" s="42" t="s">
        <v>165</v>
      </c>
      <c r="N101" s="42">
        <v>17349</v>
      </c>
      <c r="O101" s="43">
        <v>43865</v>
      </c>
      <c r="P101" s="43">
        <v>43886</v>
      </c>
      <c r="Q101" s="44">
        <v>44960</v>
      </c>
      <c r="R101" s="44">
        <v>44952</v>
      </c>
      <c r="S101" s="44">
        <v>44953</v>
      </c>
      <c r="T101" s="44">
        <f>Q101+365</f>
        <v>45325</v>
      </c>
      <c r="U101" s="44">
        <f>T101-60</f>
        <v>45265</v>
      </c>
      <c r="V101" s="45">
        <v>45406</v>
      </c>
      <c r="W101" s="45">
        <v>45411</v>
      </c>
      <c r="X101" s="44">
        <f>V101+365</f>
        <v>45771</v>
      </c>
      <c r="Y101" s="44">
        <f>X101-60</f>
        <v>45711</v>
      </c>
      <c r="Z101" s="45">
        <v>45733</v>
      </c>
      <c r="AA101" s="47">
        <v>45765</v>
      </c>
      <c r="AB101" s="75"/>
    </row>
    <row r="102" spans="1:29" ht="15.75" customHeight="1" x14ac:dyDescent="0.35">
      <c r="A102" s="31" t="s">
        <v>39</v>
      </c>
      <c r="B102" s="99" t="s">
        <v>363</v>
      </c>
      <c r="C102" s="97" t="s">
        <v>41</v>
      </c>
      <c r="D102" s="26" t="s">
        <v>42</v>
      </c>
      <c r="E102" s="26" t="s">
        <v>35</v>
      </c>
      <c r="F102" s="36" t="s">
        <v>27</v>
      </c>
      <c r="G102" s="28">
        <v>2</v>
      </c>
      <c r="H102" s="26">
        <v>176644</v>
      </c>
      <c r="I102" s="26">
        <v>40021804</v>
      </c>
      <c r="J102" s="28">
        <v>8551</v>
      </c>
      <c r="K102" s="28">
        <v>9</v>
      </c>
      <c r="L102" s="28">
        <v>25</v>
      </c>
      <c r="M102" s="28" t="s">
        <v>29</v>
      </c>
      <c r="N102" s="28">
        <v>56697</v>
      </c>
      <c r="O102" s="29">
        <v>43775</v>
      </c>
      <c r="P102" s="29">
        <v>43805</v>
      </c>
      <c r="Q102" s="30">
        <v>45127</v>
      </c>
      <c r="R102" s="30">
        <v>45184</v>
      </c>
      <c r="S102" s="30"/>
      <c r="T102" s="30">
        <f>Q102+365</f>
        <v>45492</v>
      </c>
      <c r="U102" s="30">
        <f>T102-60</f>
        <v>45432</v>
      </c>
      <c r="V102" s="32">
        <v>45485</v>
      </c>
      <c r="W102" s="32">
        <v>45524</v>
      </c>
      <c r="X102" s="30">
        <f>V102+365</f>
        <v>45850</v>
      </c>
      <c r="Y102" s="30">
        <f>X102-60</f>
        <v>45790</v>
      </c>
      <c r="Z102" s="32">
        <v>45709</v>
      </c>
      <c r="AA102" s="34"/>
      <c r="AB102" s="77"/>
    </row>
    <row r="103" spans="1:29" ht="15.75" customHeight="1" x14ac:dyDescent="0.35">
      <c r="A103" s="48" t="s">
        <v>131</v>
      </c>
      <c r="B103" s="109" t="s">
        <v>364</v>
      </c>
      <c r="C103" s="96" t="s">
        <v>133</v>
      </c>
      <c r="D103" s="40" t="s">
        <v>134</v>
      </c>
      <c r="E103" s="41" t="s">
        <v>118</v>
      </c>
      <c r="F103" s="42" t="s">
        <v>27</v>
      </c>
      <c r="G103" s="42">
        <v>2</v>
      </c>
      <c r="H103" s="40">
        <v>176644</v>
      </c>
      <c r="I103" s="40" t="s">
        <v>365</v>
      </c>
      <c r="J103" s="42">
        <v>8551</v>
      </c>
      <c r="K103" s="42">
        <v>9</v>
      </c>
      <c r="L103" s="42">
        <v>25</v>
      </c>
      <c r="M103" s="42" t="s">
        <v>29</v>
      </c>
      <c r="N103" s="42">
        <v>17349</v>
      </c>
      <c r="O103" s="43">
        <v>43865</v>
      </c>
      <c r="P103" s="43">
        <v>43886</v>
      </c>
      <c r="Q103" s="44">
        <v>44960</v>
      </c>
      <c r="R103" s="44">
        <v>45075</v>
      </c>
      <c r="S103" s="44">
        <v>45076</v>
      </c>
      <c r="T103" s="44">
        <f>Q103+365</f>
        <v>45325</v>
      </c>
      <c r="U103" s="44">
        <f>T103-60</f>
        <v>45265</v>
      </c>
      <c r="V103" s="45">
        <v>45362</v>
      </c>
      <c r="W103" s="45"/>
      <c r="X103" s="44">
        <f>V103+365</f>
        <v>45727</v>
      </c>
      <c r="Y103" s="44">
        <f>X103-60</f>
        <v>45667</v>
      </c>
      <c r="Z103" s="45">
        <v>45695</v>
      </c>
      <c r="AA103" s="47">
        <v>45699</v>
      </c>
      <c r="AB103" s="75"/>
    </row>
    <row r="104" spans="1:29" ht="15.75" customHeight="1" x14ac:dyDescent="0.35">
      <c r="A104" s="107" t="s">
        <v>22</v>
      </c>
      <c r="B104" s="108" t="s">
        <v>366</v>
      </c>
      <c r="C104" s="96" t="s">
        <v>24</v>
      </c>
      <c r="D104" s="40" t="s">
        <v>25</v>
      </c>
      <c r="E104" s="41" t="s">
        <v>367</v>
      </c>
      <c r="F104" s="42" t="s">
        <v>27</v>
      </c>
      <c r="G104" s="42">
        <v>4</v>
      </c>
      <c r="H104" s="40">
        <v>176644</v>
      </c>
      <c r="I104" s="48" t="s">
        <v>368</v>
      </c>
      <c r="J104" s="42">
        <v>8551</v>
      </c>
      <c r="K104" s="42">
        <v>9</v>
      </c>
      <c r="L104" s="42">
        <v>25</v>
      </c>
      <c r="M104" s="42" t="s">
        <v>29</v>
      </c>
      <c r="N104" s="42">
        <v>46412</v>
      </c>
      <c r="O104" s="43">
        <v>45821</v>
      </c>
      <c r="P104" s="43">
        <v>45826</v>
      </c>
      <c r="Q104" s="44"/>
      <c r="R104" s="44"/>
      <c r="S104" s="44"/>
      <c r="T104" s="44"/>
      <c r="U104" s="44"/>
      <c r="V104" s="45"/>
      <c r="W104" s="45"/>
      <c r="X104" s="44"/>
      <c r="Y104" s="44"/>
      <c r="Z104" s="45"/>
      <c r="AA104" s="47"/>
      <c r="AB104" s="75" t="s">
        <v>104</v>
      </c>
      <c r="AC104" t="s">
        <v>369</v>
      </c>
    </row>
    <row r="105" spans="1:29" ht="15.75" customHeight="1" x14ac:dyDescent="0.35">
      <c r="A105" s="106" t="s">
        <v>22</v>
      </c>
      <c r="B105" s="110" t="s">
        <v>370</v>
      </c>
      <c r="C105" s="102" t="s">
        <v>24</v>
      </c>
      <c r="D105" s="19" t="s">
        <v>25</v>
      </c>
      <c r="E105" s="6" t="s">
        <v>359</v>
      </c>
      <c r="F105" s="7" t="s">
        <v>27</v>
      </c>
      <c r="G105" s="7">
        <v>2</v>
      </c>
      <c r="H105" s="19">
        <v>176646</v>
      </c>
      <c r="I105" s="60" t="s">
        <v>371</v>
      </c>
      <c r="J105" s="7" t="s">
        <v>167</v>
      </c>
      <c r="K105" s="7">
        <v>25</v>
      </c>
      <c r="L105" s="7">
        <v>25</v>
      </c>
      <c r="M105" s="7" t="s">
        <v>29</v>
      </c>
      <c r="N105" s="7">
        <v>46412</v>
      </c>
      <c r="O105" s="8">
        <v>43892</v>
      </c>
      <c r="P105" s="8">
        <v>43892</v>
      </c>
      <c r="Q105" s="20">
        <v>44968</v>
      </c>
      <c r="R105" s="20">
        <v>45075</v>
      </c>
      <c r="S105" s="20">
        <v>45076</v>
      </c>
      <c r="T105" s="20">
        <f>Q105+365</f>
        <v>45333</v>
      </c>
      <c r="U105" s="20">
        <f>T105-60</f>
        <v>45273</v>
      </c>
      <c r="V105" s="9">
        <v>45363</v>
      </c>
      <c r="W105" s="9">
        <v>45371</v>
      </c>
      <c r="X105" s="15">
        <f>V105+365</f>
        <v>45728</v>
      </c>
      <c r="Y105" s="20">
        <f t="shared" ref="Y105:Y115" si="5">X105-60</f>
        <v>45668</v>
      </c>
      <c r="Z105" s="9"/>
      <c r="AA105" s="21"/>
      <c r="AB105" s="70"/>
    </row>
    <row r="106" spans="1:29" ht="15.75" customHeight="1" x14ac:dyDescent="0.35">
      <c r="A106" s="48" t="s">
        <v>79</v>
      </c>
      <c r="B106" s="109" t="s">
        <v>372</v>
      </c>
      <c r="C106" s="96" t="s">
        <v>81</v>
      </c>
      <c r="D106" s="40" t="s">
        <v>185</v>
      </c>
      <c r="E106" s="41" t="s">
        <v>68</v>
      </c>
      <c r="F106" s="42" t="s">
        <v>36</v>
      </c>
      <c r="G106" s="42">
        <v>2</v>
      </c>
      <c r="H106" s="40">
        <v>176660</v>
      </c>
      <c r="I106" s="40">
        <v>35175</v>
      </c>
      <c r="J106" s="42">
        <v>317</v>
      </c>
      <c r="K106" s="42">
        <v>19</v>
      </c>
      <c r="L106" s="42">
        <v>33</v>
      </c>
      <c r="M106" s="42" t="s">
        <v>29</v>
      </c>
      <c r="N106" s="42">
        <v>645</v>
      </c>
      <c r="O106" s="43"/>
      <c r="P106" s="43">
        <v>44133</v>
      </c>
      <c r="Q106" s="30">
        <v>45135</v>
      </c>
      <c r="R106" s="30">
        <v>45075</v>
      </c>
      <c r="S106" s="31"/>
      <c r="T106" s="44">
        <f>Q106+365</f>
        <v>45500</v>
      </c>
      <c r="U106" s="44">
        <f>T106-60</f>
        <v>45440</v>
      </c>
      <c r="V106" s="45">
        <v>45492</v>
      </c>
      <c r="W106" s="45">
        <v>45502</v>
      </c>
      <c r="X106" s="44">
        <f>U106+365</f>
        <v>45805</v>
      </c>
      <c r="Y106" s="44">
        <f t="shared" si="5"/>
        <v>45745</v>
      </c>
      <c r="Z106" s="45">
        <v>45734</v>
      </c>
      <c r="AA106" s="47">
        <v>45742</v>
      </c>
      <c r="AB106" s="75"/>
    </row>
    <row r="107" spans="1:29" ht="15.75" customHeight="1" x14ac:dyDescent="0.35">
      <c r="A107" s="60" t="s">
        <v>55</v>
      </c>
      <c r="B107" s="101" t="s">
        <v>373</v>
      </c>
      <c r="C107" s="98" t="s">
        <v>57</v>
      </c>
      <c r="D107" s="11" t="s">
        <v>58</v>
      </c>
      <c r="E107" s="12"/>
      <c r="F107" s="13" t="s">
        <v>27</v>
      </c>
      <c r="G107" s="13">
        <v>4</v>
      </c>
      <c r="H107" s="12">
        <v>176660</v>
      </c>
      <c r="I107" s="12" t="s">
        <v>374</v>
      </c>
      <c r="J107" s="13">
        <v>317</v>
      </c>
      <c r="K107" s="13">
        <v>19</v>
      </c>
      <c r="L107" s="13">
        <v>33</v>
      </c>
      <c r="M107" s="13" t="s">
        <v>29</v>
      </c>
      <c r="N107" s="13">
        <v>21733</v>
      </c>
      <c r="O107" s="14">
        <v>44405</v>
      </c>
      <c r="P107" s="14">
        <v>44419</v>
      </c>
      <c r="Q107" s="15"/>
      <c r="R107" s="15"/>
      <c r="S107" s="15"/>
      <c r="T107" s="15"/>
      <c r="U107" s="15"/>
      <c r="V107" s="16">
        <v>45526</v>
      </c>
      <c r="W107" s="12"/>
      <c r="X107" s="20">
        <f>V107+365</f>
        <v>45891</v>
      </c>
      <c r="Y107" s="20">
        <f t="shared" si="5"/>
        <v>45831</v>
      </c>
      <c r="Z107" s="16"/>
      <c r="AA107" s="17"/>
      <c r="AB107" s="68"/>
    </row>
    <row r="108" spans="1:29" ht="15.75" customHeight="1" x14ac:dyDescent="0.35">
      <c r="A108" s="48" t="s">
        <v>131</v>
      </c>
      <c r="B108" s="109" t="s">
        <v>375</v>
      </c>
      <c r="C108" s="96" t="s">
        <v>133</v>
      </c>
      <c r="D108" s="40" t="s">
        <v>134</v>
      </c>
      <c r="E108" s="41" t="s">
        <v>109</v>
      </c>
      <c r="F108" s="42" t="s">
        <v>27</v>
      </c>
      <c r="G108" s="42">
        <v>2</v>
      </c>
      <c r="H108" s="40">
        <v>176660</v>
      </c>
      <c r="I108" s="63" t="s">
        <v>376</v>
      </c>
      <c r="J108" s="42">
        <v>317</v>
      </c>
      <c r="K108" s="42">
        <v>19</v>
      </c>
      <c r="L108" s="42">
        <v>33</v>
      </c>
      <c r="M108" s="42" t="s">
        <v>29</v>
      </c>
      <c r="N108" s="42">
        <v>17349</v>
      </c>
      <c r="O108" s="43">
        <v>44138</v>
      </c>
      <c r="P108" s="43">
        <v>44159</v>
      </c>
      <c r="Q108" s="44">
        <v>45135</v>
      </c>
      <c r="R108" s="45">
        <v>45184</v>
      </c>
      <c r="S108" s="45">
        <v>45184</v>
      </c>
      <c r="T108" s="44">
        <f>Q108+365</f>
        <v>45500</v>
      </c>
      <c r="U108" s="44">
        <f>T108-60</f>
        <v>45440</v>
      </c>
      <c r="V108" s="45">
        <v>45489</v>
      </c>
      <c r="W108" s="45">
        <v>45496</v>
      </c>
      <c r="X108" s="44">
        <f>U108+365</f>
        <v>45805</v>
      </c>
      <c r="Y108" s="44">
        <f t="shared" si="5"/>
        <v>45745</v>
      </c>
      <c r="Z108" s="45">
        <v>45734</v>
      </c>
      <c r="AA108" s="47">
        <v>45765</v>
      </c>
      <c r="AB108" s="75"/>
    </row>
    <row r="109" spans="1:29" ht="15.75" customHeight="1" x14ac:dyDescent="0.35">
      <c r="A109" s="60" t="s">
        <v>237</v>
      </c>
      <c r="B109" s="101" t="s">
        <v>377</v>
      </c>
      <c r="C109" s="105" t="s">
        <v>239</v>
      </c>
      <c r="D109" s="12" t="s">
        <v>240</v>
      </c>
      <c r="E109" s="12" t="s">
        <v>140</v>
      </c>
      <c r="F109" s="13" t="s">
        <v>36</v>
      </c>
      <c r="G109" s="13">
        <v>2</v>
      </c>
      <c r="H109" s="12">
        <v>176660</v>
      </c>
      <c r="I109" s="12" t="s">
        <v>378</v>
      </c>
      <c r="J109" s="13">
        <v>317</v>
      </c>
      <c r="K109" s="13">
        <v>19</v>
      </c>
      <c r="L109" s="13">
        <v>33</v>
      </c>
      <c r="M109" s="13" t="s">
        <v>29</v>
      </c>
      <c r="N109" s="13">
        <v>31461</v>
      </c>
      <c r="O109" s="14">
        <v>45223</v>
      </c>
      <c r="P109" s="13"/>
      <c r="Q109" s="13"/>
      <c r="R109" s="13"/>
      <c r="S109" s="13"/>
      <c r="T109" s="14">
        <v>45528</v>
      </c>
      <c r="U109" s="14">
        <v>45589</v>
      </c>
      <c r="V109" s="16">
        <v>45526</v>
      </c>
      <c r="W109" s="13"/>
      <c r="X109" s="15">
        <f>V109+365</f>
        <v>45891</v>
      </c>
      <c r="Y109" s="20">
        <f t="shared" si="5"/>
        <v>45831</v>
      </c>
      <c r="Z109" s="16"/>
      <c r="AA109" s="23"/>
      <c r="AB109" s="73"/>
    </row>
    <row r="110" spans="1:29" s="116" customFormat="1" ht="15.75" customHeight="1" x14ac:dyDescent="0.35">
      <c r="A110" s="31" t="s">
        <v>49</v>
      </c>
      <c r="B110" s="99" t="s">
        <v>379</v>
      </c>
      <c r="C110" s="97" t="s">
        <v>51</v>
      </c>
      <c r="D110" s="26" t="s">
        <v>52</v>
      </c>
      <c r="E110" s="27" t="s">
        <v>380</v>
      </c>
      <c r="F110" s="28" t="s">
        <v>27</v>
      </c>
      <c r="G110" s="28">
        <v>2</v>
      </c>
      <c r="H110" s="26">
        <v>177184</v>
      </c>
      <c r="I110" s="26" t="s">
        <v>381</v>
      </c>
      <c r="J110" s="28">
        <v>839</v>
      </c>
      <c r="K110" s="28">
        <v>9</v>
      </c>
      <c r="L110" s="28">
        <v>25</v>
      </c>
      <c r="M110" s="28" t="s">
        <v>29</v>
      </c>
      <c r="N110" s="28">
        <v>6345</v>
      </c>
      <c r="O110" s="29">
        <v>44464</v>
      </c>
      <c r="P110" s="29"/>
      <c r="Q110" s="30">
        <v>45034</v>
      </c>
      <c r="R110" s="37">
        <v>45028</v>
      </c>
      <c r="S110" s="32">
        <v>45028</v>
      </c>
      <c r="T110" s="30">
        <f>Q110+365</f>
        <v>45399</v>
      </c>
      <c r="U110" s="30">
        <f t="shared" ref="U110:U115" si="6">T110-60</f>
        <v>45339</v>
      </c>
      <c r="V110" s="32">
        <v>45390</v>
      </c>
      <c r="W110" s="32">
        <v>45392</v>
      </c>
      <c r="X110" s="30">
        <f>V110+365</f>
        <v>45755</v>
      </c>
      <c r="Y110" s="30">
        <f t="shared" si="5"/>
        <v>45695</v>
      </c>
      <c r="Z110" s="32">
        <v>45709</v>
      </c>
      <c r="AA110" s="34"/>
      <c r="AB110" s="115"/>
    </row>
    <row r="111" spans="1:29" ht="15.75" customHeight="1" x14ac:dyDescent="0.35">
      <c r="A111" s="48" t="s">
        <v>131</v>
      </c>
      <c r="B111" s="109" t="s">
        <v>382</v>
      </c>
      <c r="C111" s="96" t="s">
        <v>133</v>
      </c>
      <c r="D111" s="40" t="s">
        <v>134</v>
      </c>
      <c r="E111" s="41" t="s">
        <v>169</v>
      </c>
      <c r="F111" s="42" t="s">
        <v>27</v>
      </c>
      <c r="G111" s="42">
        <v>2</v>
      </c>
      <c r="H111" s="40">
        <v>177184</v>
      </c>
      <c r="I111" s="40" t="s">
        <v>383</v>
      </c>
      <c r="J111" s="42">
        <v>839</v>
      </c>
      <c r="K111" s="42">
        <v>9</v>
      </c>
      <c r="L111" s="42">
        <v>25</v>
      </c>
      <c r="M111" s="42" t="s">
        <v>29</v>
      </c>
      <c r="N111" s="42">
        <v>17349</v>
      </c>
      <c r="O111" s="43">
        <v>44693</v>
      </c>
      <c r="P111" s="43">
        <v>44694</v>
      </c>
      <c r="Q111" s="44">
        <v>45058</v>
      </c>
      <c r="R111" s="45">
        <v>45075</v>
      </c>
      <c r="S111" s="45">
        <v>45076</v>
      </c>
      <c r="T111" s="44">
        <f>Q111+365</f>
        <v>45423</v>
      </c>
      <c r="U111" s="44">
        <f t="shared" si="6"/>
        <v>45363</v>
      </c>
      <c r="V111" s="45">
        <v>45511</v>
      </c>
      <c r="W111" s="45">
        <v>45516</v>
      </c>
      <c r="X111" s="44">
        <f>U111+365</f>
        <v>45728</v>
      </c>
      <c r="Y111" s="44">
        <f t="shared" si="5"/>
        <v>45668</v>
      </c>
      <c r="Z111" s="45">
        <v>45695</v>
      </c>
      <c r="AA111" s="47">
        <v>45699</v>
      </c>
      <c r="AB111" s="75"/>
    </row>
    <row r="112" spans="1:29" ht="15.75" customHeight="1" x14ac:dyDescent="0.35">
      <c r="A112" s="60" t="s">
        <v>105</v>
      </c>
      <c r="B112" s="101" t="s">
        <v>384</v>
      </c>
      <c r="C112" s="98" t="s">
        <v>107</v>
      </c>
      <c r="D112" s="11" t="s">
        <v>108</v>
      </c>
      <c r="E112" s="12" t="s">
        <v>385</v>
      </c>
      <c r="F112" s="13" t="s">
        <v>36</v>
      </c>
      <c r="G112" s="13">
        <v>2</v>
      </c>
      <c r="H112" s="11">
        <v>177227</v>
      </c>
      <c r="I112" s="11" t="s">
        <v>386</v>
      </c>
      <c r="J112" s="13">
        <v>839</v>
      </c>
      <c r="K112" s="13">
        <v>19</v>
      </c>
      <c r="L112" s="13">
        <v>25</v>
      </c>
      <c r="M112" s="13" t="s">
        <v>29</v>
      </c>
      <c r="N112" s="13">
        <v>48001</v>
      </c>
      <c r="O112" s="14">
        <v>45162</v>
      </c>
      <c r="P112" s="14">
        <v>45202</v>
      </c>
      <c r="Q112" s="15"/>
      <c r="R112" s="18"/>
      <c r="S112" s="18"/>
      <c r="T112" s="15">
        <f>O112+365</f>
        <v>45527</v>
      </c>
      <c r="U112" s="15">
        <f t="shared" si="6"/>
        <v>45467</v>
      </c>
      <c r="V112" s="16">
        <v>45510</v>
      </c>
      <c r="W112" s="12"/>
      <c r="X112" s="15">
        <f>T112+365</f>
        <v>45892</v>
      </c>
      <c r="Y112" s="15">
        <f t="shared" si="5"/>
        <v>45832</v>
      </c>
      <c r="Z112" s="16"/>
      <c r="AA112" s="17"/>
      <c r="AB112" s="68"/>
    </row>
    <row r="113" spans="1:32" ht="15.75" customHeight="1" x14ac:dyDescent="0.35">
      <c r="A113" s="31" t="s">
        <v>49</v>
      </c>
      <c r="B113" s="99" t="s">
        <v>387</v>
      </c>
      <c r="C113" s="97" t="s">
        <v>51</v>
      </c>
      <c r="D113" s="26" t="s">
        <v>52</v>
      </c>
      <c r="E113" s="27" t="s">
        <v>388</v>
      </c>
      <c r="F113" s="28" t="s">
        <v>27</v>
      </c>
      <c r="G113" s="28">
        <v>2</v>
      </c>
      <c r="H113" s="26">
        <v>177227</v>
      </c>
      <c r="I113" s="26" t="s">
        <v>389</v>
      </c>
      <c r="J113" s="28">
        <v>839</v>
      </c>
      <c r="K113" s="28">
        <v>19</v>
      </c>
      <c r="L113" s="28">
        <v>25</v>
      </c>
      <c r="M113" s="28" t="s">
        <v>29</v>
      </c>
      <c r="N113" s="28">
        <v>6345</v>
      </c>
      <c r="O113" s="29">
        <v>43787</v>
      </c>
      <c r="P113" s="29">
        <v>43788</v>
      </c>
      <c r="Q113" s="30">
        <v>45190</v>
      </c>
      <c r="R113" s="30">
        <v>45205</v>
      </c>
      <c r="S113" s="30"/>
      <c r="T113" s="30">
        <f>Q113+365</f>
        <v>45555</v>
      </c>
      <c r="U113" s="30">
        <f t="shared" si="6"/>
        <v>45495</v>
      </c>
      <c r="V113" s="32">
        <v>45526</v>
      </c>
      <c r="W113" s="32">
        <v>45546</v>
      </c>
      <c r="X113" s="30">
        <f>U113+365</f>
        <v>45860</v>
      </c>
      <c r="Y113" s="30">
        <f t="shared" si="5"/>
        <v>45800</v>
      </c>
      <c r="Z113" s="32">
        <v>45796</v>
      </c>
      <c r="AA113" s="34"/>
      <c r="AB113" s="77"/>
    </row>
    <row r="114" spans="1:32" ht="15.75" customHeight="1" x14ac:dyDescent="0.35">
      <c r="A114" s="31" t="s">
        <v>189</v>
      </c>
      <c r="B114" s="99" t="s">
        <v>390</v>
      </c>
      <c r="C114" s="97" t="s">
        <v>191</v>
      </c>
      <c r="D114" s="26" t="s">
        <v>192</v>
      </c>
      <c r="E114" s="27" t="s">
        <v>153</v>
      </c>
      <c r="F114" s="28" t="s">
        <v>36</v>
      </c>
      <c r="G114" s="28">
        <v>2</v>
      </c>
      <c r="H114" s="26">
        <v>177227</v>
      </c>
      <c r="I114" s="64" t="s">
        <v>391</v>
      </c>
      <c r="J114" s="28">
        <v>839</v>
      </c>
      <c r="K114" s="28">
        <v>19</v>
      </c>
      <c r="L114" s="28">
        <v>25</v>
      </c>
      <c r="M114" s="28" t="s">
        <v>29</v>
      </c>
      <c r="N114" s="28">
        <v>171837</v>
      </c>
      <c r="O114" s="29">
        <v>45079</v>
      </c>
      <c r="P114" s="29">
        <v>45085</v>
      </c>
      <c r="Q114" s="30"/>
      <c r="R114" s="31"/>
      <c r="S114" s="31"/>
      <c r="T114" s="30">
        <f>O114+365</f>
        <v>45444</v>
      </c>
      <c r="U114" s="30">
        <f t="shared" si="6"/>
        <v>45384</v>
      </c>
      <c r="V114" s="32">
        <v>45463</v>
      </c>
      <c r="W114" s="27"/>
      <c r="X114" s="30">
        <f>T114+365</f>
        <v>45809</v>
      </c>
      <c r="Y114" s="30">
        <f t="shared" si="5"/>
        <v>45749</v>
      </c>
      <c r="Z114" s="32">
        <v>45791</v>
      </c>
      <c r="AA114" s="33"/>
      <c r="AB114" s="76"/>
    </row>
    <row r="115" spans="1:32" ht="15.75" customHeight="1" x14ac:dyDescent="0.35">
      <c r="A115" s="48" t="s">
        <v>55</v>
      </c>
      <c r="B115" s="109" t="s">
        <v>392</v>
      </c>
      <c r="C115" s="96" t="s">
        <v>57</v>
      </c>
      <c r="D115" s="40" t="s">
        <v>58</v>
      </c>
      <c r="E115" s="41" t="s">
        <v>90</v>
      </c>
      <c r="F115" s="42" t="s">
        <v>27</v>
      </c>
      <c r="G115" s="42">
        <v>4</v>
      </c>
      <c r="H115" s="41">
        <v>177227</v>
      </c>
      <c r="I115" s="41">
        <v>7023911900</v>
      </c>
      <c r="J115" s="42">
        <v>839</v>
      </c>
      <c r="K115" s="42">
        <v>19</v>
      </c>
      <c r="L115" s="42">
        <v>25</v>
      </c>
      <c r="M115" s="42" t="s">
        <v>29</v>
      </c>
      <c r="N115" s="42">
        <v>21733</v>
      </c>
      <c r="O115" s="43">
        <v>44830</v>
      </c>
      <c r="P115" s="43">
        <v>44833</v>
      </c>
      <c r="Q115" s="44">
        <v>45195</v>
      </c>
      <c r="R115" s="44">
        <v>45245</v>
      </c>
      <c r="S115" s="48"/>
      <c r="T115" s="44">
        <f>Q115+365</f>
        <v>45560</v>
      </c>
      <c r="U115" s="44">
        <f t="shared" si="6"/>
        <v>45500</v>
      </c>
      <c r="V115" s="45">
        <v>45526</v>
      </c>
      <c r="W115" s="41"/>
      <c r="X115" s="44">
        <f>U115+365</f>
        <v>45865</v>
      </c>
      <c r="Y115" s="44">
        <f t="shared" si="5"/>
        <v>45805</v>
      </c>
      <c r="Z115" s="45">
        <v>45796</v>
      </c>
      <c r="AA115" s="47">
        <v>45811</v>
      </c>
      <c r="AB115" s="75"/>
      <c r="AC115" t="s">
        <v>60</v>
      </c>
    </row>
    <row r="116" spans="1:32" ht="15.75" customHeight="1" x14ac:dyDescent="0.35">
      <c r="A116" s="48" t="s">
        <v>172</v>
      </c>
      <c r="B116" s="109" t="s">
        <v>393</v>
      </c>
      <c r="C116" s="103" t="s">
        <v>174</v>
      </c>
      <c r="D116" s="41" t="s">
        <v>175</v>
      </c>
      <c r="E116" s="41"/>
      <c r="F116" s="42" t="s">
        <v>36</v>
      </c>
      <c r="G116" s="42"/>
      <c r="H116" s="41">
        <v>179030</v>
      </c>
      <c r="I116" s="41" t="s">
        <v>394</v>
      </c>
      <c r="J116" s="42">
        <v>317</v>
      </c>
      <c r="K116" s="42">
        <v>9</v>
      </c>
      <c r="L116" s="42">
        <v>33</v>
      </c>
      <c r="M116" s="42" t="s">
        <v>165</v>
      </c>
      <c r="N116" s="42">
        <v>40430</v>
      </c>
      <c r="O116" s="43">
        <v>45874</v>
      </c>
      <c r="P116" s="43">
        <v>45876</v>
      </c>
      <c r="Q116" s="15"/>
      <c r="R116" s="15"/>
      <c r="S116" s="18"/>
      <c r="T116" s="44"/>
      <c r="U116" s="44"/>
      <c r="V116" s="45"/>
      <c r="W116" s="41"/>
      <c r="X116" s="44"/>
      <c r="Y116" s="44"/>
      <c r="Z116" s="45"/>
      <c r="AA116" s="46"/>
      <c r="AB116" s="68" t="s">
        <v>104</v>
      </c>
    </row>
    <row r="117" spans="1:32" ht="15.75" customHeight="1" x14ac:dyDescent="0.35">
      <c r="A117" s="48" t="s">
        <v>39</v>
      </c>
      <c r="B117" s="109" t="s">
        <v>395</v>
      </c>
      <c r="C117" s="96" t="s">
        <v>41</v>
      </c>
      <c r="D117" s="40" t="s">
        <v>42</v>
      </c>
      <c r="E117" s="40" t="s">
        <v>35</v>
      </c>
      <c r="F117" s="51" t="s">
        <v>27</v>
      </c>
      <c r="G117" s="42">
        <v>2</v>
      </c>
      <c r="H117" s="40">
        <v>180389</v>
      </c>
      <c r="I117" s="40">
        <v>40021815</v>
      </c>
      <c r="J117" s="42" t="s">
        <v>258</v>
      </c>
      <c r="K117" s="42">
        <v>9</v>
      </c>
      <c r="L117" s="42">
        <v>25</v>
      </c>
      <c r="M117" s="42" t="s">
        <v>29</v>
      </c>
      <c r="N117" s="42">
        <v>56697</v>
      </c>
      <c r="O117" s="43">
        <v>43892</v>
      </c>
      <c r="P117" s="42"/>
      <c r="Q117" s="44">
        <v>44936</v>
      </c>
      <c r="R117" s="44">
        <v>45075</v>
      </c>
      <c r="S117" s="44">
        <v>45083</v>
      </c>
      <c r="T117" s="44">
        <f>Q117+365</f>
        <v>45301</v>
      </c>
      <c r="U117" s="44">
        <f>T117-60</f>
        <v>45241</v>
      </c>
      <c r="V117" s="45">
        <v>45362</v>
      </c>
      <c r="W117" s="41"/>
      <c r="X117" s="44">
        <f>V117+365</f>
        <v>45727</v>
      </c>
      <c r="Y117" s="44">
        <f>X117-60</f>
        <v>45667</v>
      </c>
      <c r="Z117" s="45">
        <v>45673</v>
      </c>
      <c r="AA117" s="47">
        <v>45687</v>
      </c>
      <c r="AB117" s="75"/>
    </row>
    <row r="118" spans="1:32" ht="15.75" customHeight="1" x14ac:dyDescent="0.35">
      <c r="A118" s="48" t="s">
        <v>131</v>
      </c>
      <c r="B118" s="109" t="s">
        <v>396</v>
      </c>
      <c r="C118" s="96" t="s">
        <v>133</v>
      </c>
      <c r="D118" s="40" t="s">
        <v>134</v>
      </c>
      <c r="E118" s="41" t="s">
        <v>90</v>
      </c>
      <c r="F118" s="42" t="s">
        <v>27</v>
      </c>
      <c r="G118" s="42">
        <v>2</v>
      </c>
      <c r="H118" s="40">
        <v>180389</v>
      </c>
      <c r="I118" s="40" t="s">
        <v>397</v>
      </c>
      <c r="J118" s="42" t="s">
        <v>258</v>
      </c>
      <c r="K118" s="42">
        <v>9</v>
      </c>
      <c r="L118" s="42">
        <v>25</v>
      </c>
      <c r="M118" s="42" t="s">
        <v>29</v>
      </c>
      <c r="N118" s="42">
        <v>17349</v>
      </c>
      <c r="O118" s="43">
        <v>44208</v>
      </c>
      <c r="P118" s="43">
        <v>44216</v>
      </c>
      <c r="Q118" s="30">
        <v>44959</v>
      </c>
      <c r="R118" s="30">
        <v>45075</v>
      </c>
      <c r="S118" s="30">
        <v>45076</v>
      </c>
      <c r="T118" s="44">
        <f>Q118+365</f>
        <v>45324</v>
      </c>
      <c r="U118" s="44">
        <f>T118-60</f>
        <v>45264</v>
      </c>
      <c r="V118" s="45">
        <v>45362</v>
      </c>
      <c r="W118" s="45">
        <v>45371</v>
      </c>
      <c r="X118" s="44">
        <f>V118+365</f>
        <v>45727</v>
      </c>
      <c r="Y118" s="44">
        <f>X118-60</f>
        <v>45667</v>
      </c>
      <c r="Z118" s="45">
        <v>45785</v>
      </c>
      <c r="AA118" s="47">
        <v>45786</v>
      </c>
      <c r="AB118" s="75"/>
    </row>
    <row r="119" spans="1:32" ht="15.75" customHeight="1" x14ac:dyDescent="0.35">
      <c r="A119" s="48" t="s">
        <v>39</v>
      </c>
      <c r="B119" s="109" t="s">
        <v>398</v>
      </c>
      <c r="C119" s="96" t="s">
        <v>41</v>
      </c>
      <c r="D119" s="40" t="s">
        <v>42</v>
      </c>
      <c r="E119" s="40" t="s">
        <v>35</v>
      </c>
      <c r="F119" s="51" t="s">
        <v>27</v>
      </c>
      <c r="G119" s="42">
        <v>4</v>
      </c>
      <c r="H119" s="40">
        <v>180814</v>
      </c>
      <c r="I119" s="40">
        <v>40021779</v>
      </c>
      <c r="J119" s="42" t="s">
        <v>258</v>
      </c>
      <c r="K119" s="42">
        <v>25</v>
      </c>
      <c r="L119" s="42">
        <v>25</v>
      </c>
      <c r="M119" s="42" t="s">
        <v>29</v>
      </c>
      <c r="N119" s="42">
        <v>56697</v>
      </c>
      <c r="O119" s="43">
        <v>43697</v>
      </c>
      <c r="P119" s="43">
        <v>43717</v>
      </c>
      <c r="Q119" s="44">
        <v>45127</v>
      </c>
      <c r="R119" s="44">
        <v>45184</v>
      </c>
      <c r="S119" s="48"/>
      <c r="T119" s="44">
        <f>Q119+365</f>
        <v>45492</v>
      </c>
      <c r="U119" s="44">
        <f>T119-60</f>
        <v>45432</v>
      </c>
      <c r="V119" s="45">
        <v>45509</v>
      </c>
      <c r="W119" s="41"/>
      <c r="X119" s="44">
        <f>V119+365</f>
        <v>45874</v>
      </c>
      <c r="Y119" s="44">
        <f>X119-60</f>
        <v>45814</v>
      </c>
      <c r="Z119" s="45">
        <v>45709</v>
      </c>
      <c r="AA119" s="47">
        <v>45721</v>
      </c>
      <c r="AB119" s="75"/>
    </row>
    <row r="120" spans="1:32" ht="15.75" customHeight="1" x14ac:dyDescent="0.35">
      <c r="A120" s="31" t="s">
        <v>142</v>
      </c>
      <c r="B120" s="99" t="s">
        <v>399</v>
      </c>
      <c r="C120" s="97" t="s">
        <v>144</v>
      </c>
      <c r="D120" s="26" t="s">
        <v>145</v>
      </c>
      <c r="E120" s="27" t="s">
        <v>109</v>
      </c>
      <c r="F120" s="28" t="s">
        <v>27</v>
      </c>
      <c r="G120" s="28">
        <v>2</v>
      </c>
      <c r="H120" s="26">
        <v>183452</v>
      </c>
      <c r="I120" s="26" t="s">
        <v>400</v>
      </c>
      <c r="J120" s="28" t="s">
        <v>247</v>
      </c>
      <c r="K120" s="28">
        <v>25</v>
      </c>
      <c r="L120" s="28">
        <v>25</v>
      </c>
      <c r="M120" s="28" t="s">
        <v>29</v>
      </c>
      <c r="N120" s="28">
        <v>208903</v>
      </c>
      <c r="O120" s="29">
        <v>45232</v>
      </c>
      <c r="P120" s="28"/>
      <c r="Q120" s="30"/>
      <c r="R120" s="31"/>
      <c r="S120" s="31"/>
      <c r="T120" s="30"/>
      <c r="U120" s="30"/>
      <c r="V120" s="32"/>
      <c r="W120" s="27"/>
      <c r="X120" s="30"/>
      <c r="Y120" s="30"/>
      <c r="Z120" s="32">
        <v>45719</v>
      </c>
      <c r="AA120" s="33"/>
      <c r="AB120" s="76"/>
    </row>
    <row r="121" spans="1:32" ht="15.75" customHeight="1" x14ac:dyDescent="0.35">
      <c r="A121" s="48" t="s">
        <v>55</v>
      </c>
      <c r="B121" s="109" t="s">
        <v>401</v>
      </c>
      <c r="C121" s="96" t="s">
        <v>57</v>
      </c>
      <c r="D121" s="40" t="s">
        <v>58</v>
      </c>
      <c r="E121" s="41"/>
      <c r="F121" s="42" t="s">
        <v>27</v>
      </c>
      <c r="G121" s="42">
        <v>4</v>
      </c>
      <c r="H121" s="41">
        <v>183452</v>
      </c>
      <c r="I121" s="41" t="s">
        <v>402</v>
      </c>
      <c r="J121" s="42" t="s">
        <v>247</v>
      </c>
      <c r="K121" s="42">
        <v>25</v>
      </c>
      <c r="L121" s="42">
        <v>25</v>
      </c>
      <c r="M121" s="42" t="s">
        <v>29</v>
      </c>
      <c r="N121" s="42">
        <v>21733</v>
      </c>
      <c r="O121" s="45">
        <v>45800</v>
      </c>
      <c r="P121" s="43">
        <v>45811</v>
      </c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6"/>
      <c r="AB121" s="78" t="s">
        <v>104</v>
      </c>
    </row>
    <row r="122" spans="1:32" ht="15.75" customHeight="1" x14ac:dyDescent="0.35">
      <c r="A122" s="48" t="s">
        <v>55</v>
      </c>
      <c r="B122" s="109" t="s">
        <v>403</v>
      </c>
      <c r="C122" s="103" t="s">
        <v>57</v>
      </c>
      <c r="D122" s="41" t="s">
        <v>58</v>
      </c>
      <c r="E122" s="41"/>
      <c r="F122" s="42" t="s">
        <v>27</v>
      </c>
      <c r="G122" s="42">
        <v>4</v>
      </c>
      <c r="H122" s="41">
        <v>184244</v>
      </c>
      <c r="I122" s="41" t="s">
        <v>404</v>
      </c>
      <c r="J122" s="42" t="s">
        <v>405</v>
      </c>
      <c r="K122" s="42">
        <v>25</v>
      </c>
      <c r="L122" s="42">
        <v>20</v>
      </c>
      <c r="M122" s="42" t="s">
        <v>29</v>
      </c>
      <c r="N122" s="42">
        <v>21733</v>
      </c>
      <c r="O122" s="45">
        <v>45842</v>
      </c>
      <c r="P122" s="45">
        <v>45857</v>
      </c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6"/>
      <c r="AB122" s="78" t="s">
        <v>104</v>
      </c>
    </row>
    <row r="123" spans="1:32" ht="15.75" customHeight="1" x14ac:dyDescent="0.35">
      <c r="A123" s="31" t="s">
        <v>39</v>
      </c>
      <c r="B123" s="99" t="s">
        <v>406</v>
      </c>
      <c r="C123" s="97" t="s">
        <v>41</v>
      </c>
      <c r="D123" s="26" t="s">
        <v>407</v>
      </c>
      <c r="E123" s="26" t="s">
        <v>90</v>
      </c>
      <c r="F123" s="36" t="s">
        <v>27</v>
      </c>
      <c r="G123" s="28">
        <v>2</v>
      </c>
      <c r="H123" s="26">
        <v>191015</v>
      </c>
      <c r="I123" s="26">
        <v>40002497</v>
      </c>
      <c r="J123" s="28" t="s">
        <v>405</v>
      </c>
      <c r="K123" s="28">
        <v>19</v>
      </c>
      <c r="L123" s="28">
        <v>33</v>
      </c>
      <c r="M123" s="28" t="s">
        <v>197</v>
      </c>
      <c r="N123" s="28">
        <v>56697</v>
      </c>
      <c r="O123" s="29">
        <v>45047</v>
      </c>
      <c r="P123" s="29">
        <v>45068</v>
      </c>
      <c r="Q123" s="30"/>
      <c r="R123" s="31"/>
      <c r="S123" s="31"/>
      <c r="T123" s="30">
        <f>O123+365</f>
        <v>45412</v>
      </c>
      <c r="U123" s="30">
        <f>T123-60</f>
        <v>45352</v>
      </c>
      <c r="V123" s="32">
        <v>45497</v>
      </c>
      <c r="W123" s="32">
        <v>45524</v>
      </c>
      <c r="X123" s="30">
        <f>T123+365</f>
        <v>45777</v>
      </c>
      <c r="Y123" s="30">
        <f>X123-60</f>
        <v>45717</v>
      </c>
      <c r="Z123" s="32">
        <v>45733</v>
      </c>
      <c r="AA123" s="34"/>
      <c r="AB123" s="77"/>
      <c r="AE123" s="4"/>
      <c r="AF123" s="4"/>
    </row>
    <row r="124" spans="1:32" x14ac:dyDescent="0.35">
      <c r="A124" s="48" t="s">
        <v>79</v>
      </c>
      <c r="B124" s="109" t="s">
        <v>408</v>
      </c>
      <c r="C124" s="96" t="s">
        <v>81</v>
      </c>
      <c r="D124" s="40" t="s">
        <v>185</v>
      </c>
      <c r="E124" s="41" t="s">
        <v>68</v>
      </c>
      <c r="F124" s="42" t="s">
        <v>36</v>
      </c>
      <c r="G124" s="42">
        <v>2</v>
      </c>
      <c r="H124" s="40">
        <v>193234</v>
      </c>
      <c r="I124" s="40">
        <v>52239</v>
      </c>
      <c r="J124" s="42" t="s">
        <v>171</v>
      </c>
      <c r="K124" s="42">
        <v>19</v>
      </c>
      <c r="L124" s="42">
        <v>5</v>
      </c>
      <c r="M124" s="42" t="s">
        <v>197</v>
      </c>
      <c r="N124" s="42">
        <v>645</v>
      </c>
      <c r="O124" s="43">
        <v>44804</v>
      </c>
      <c r="P124" s="43">
        <v>44834</v>
      </c>
      <c r="Q124" s="44">
        <v>45169</v>
      </c>
      <c r="R124" s="44">
        <v>45183</v>
      </c>
      <c r="S124" s="53">
        <v>45208</v>
      </c>
      <c r="T124" s="44">
        <f>Q124+365</f>
        <v>45534</v>
      </c>
      <c r="U124" s="44">
        <f>T124-60</f>
        <v>45474</v>
      </c>
      <c r="V124" s="45">
        <v>45526</v>
      </c>
      <c r="W124" s="45">
        <v>45530</v>
      </c>
      <c r="X124" s="44">
        <f>U124+365</f>
        <v>45839</v>
      </c>
      <c r="Y124" s="44">
        <f>X124-60</f>
        <v>45779</v>
      </c>
      <c r="Z124" s="45">
        <v>45812</v>
      </c>
      <c r="AA124" s="47">
        <v>45825</v>
      </c>
      <c r="AB124" s="75"/>
    </row>
    <row r="125" spans="1:32" ht="15.75" customHeight="1" x14ac:dyDescent="0.35">
      <c r="A125" s="48" t="s">
        <v>409</v>
      </c>
      <c r="B125" s="109" t="s">
        <v>410</v>
      </c>
      <c r="C125" s="96" t="s">
        <v>411</v>
      </c>
      <c r="D125" s="40" t="s">
        <v>412</v>
      </c>
      <c r="E125" s="41"/>
      <c r="F125" s="42" t="s">
        <v>36</v>
      </c>
      <c r="G125" s="42">
        <v>4</v>
      </c>
      <c r="H125" s="40">
        <v>193306</v>
      </c>
      <c r="I125" s="41" t="s">
        <v>413</v>
      </c>
      <c r="J125" s="42">
        <v>317</v>
      </c>
      <c r="K125" s="42">
        <v>9</v>
      </c>
      <c r="L125" s="42">
        <v>33</v>
      </c>
      <c r="M125" s="42" t="s">
        <v>197</v>
      </c>
      <c r="N125" s="42">
        <v>188887</v>
      </c>
      <c r="O125" s="43">
        <v>45867</v>
      </c>
      <c r="P125" s="43">
        <v>45869</v>
      </c>
      <c r="Q125" s="44"/>
      <c r="R125" s="44"/>
      <c r="S125" s="44"/>
      <c r="T125" s="44"/>
      <c r="U125" s="44"/>
      <c r="V125" s="45"/>
      <c r="W125" s="41"/>
      <c r="X125" s="44"/>
      <c r="Y125" s="44"/>
      <c r="Z125" s="45"/>
      <c r="AA125" s="46"/>
      <c r="AB125" s="68"/>
      <c r="AC125" t="s">
        <v>60</v>
      </c>
    </row>
    <row r="126" spans="1:32" ht="15.75" customHeight="1" x14ac:dyDescent="0.35">
      <c r="A126" s="31" t="s">
        <v>49</v>
      </c>
      <c r="B126" s="99" t="s">
        <v>414</v>
      </c>
      <c r="C126" s="97" t="s">
        <v>51</v>
      </c>
      <c r="D126" s="26" t="s">
        <v>52</v>
      </c>
      <c r="E126" s="27" t="s">
        <v>35</v>
      </c>
      <c r="F126" s="28" t="s">
        <v>27</v>
      </c>
      <c r="G126" s="28">
        <v>2</v>
      </c>
      <c r="H126" s="26">
        <v>197512</v>
      </c>
      <c r="I126" s="26" t="s">
        <v>415</v>
      </c>
      <c r="J126" s="28">
        <v>505</v>
      </c>
      <c r="K126" s="28">
        <v>19</v>
      </c>
      <c r="L126" s="28">
        <v>25</v>
      </c>
      <c r="M126" s="28" t="s">
        <v>416</v>
      </c>
      <c r="N126" s="28">
        <v>6345</v>
      </c>
      <c r="O126" s="29">
        <v>45296</v>
      </c>
      <c r="P126" s="27"/>
      <c r="Q126" s="49"/>
      <c r="R126" s="50"/>
      <c r="S126" s="50"/>
      <c r="T126" s="30">
        <v>45526</v>
      </c>
      <c r="U126" s="30">
        <v>45526</v>
      </c>
      <c r="V126" s="32">
        <v>45667</v>
      </c>
      <c r="W126" s="27"/>
      <c r="X126" s="30">
        <f>V126+365</f>
        <v>46032</v>
      </c>
      <c r="Y126" s="30">
        <f>X126-60</f>
        <v>45972</v>
      </c>
      <c r="Z126" s="32"/>
      <c r="AA126" s="33"/>
      <c r="AB126" s="76"/>
    </row>
    <row r="127" spans="1:32" ht="15.75" customHeight="1" x14ac:dyDescent="0.35">
      <c r="A127" s="60" t="s">
        <v>325</v>
      </c>
      <c r="B127" s="101" t="s">
        <v>417</v>
      </c>
      <c r="C127" s="102" t="s">
        <v>327</v>
      </c>
      <c r="D127" s="19" t="s">
        <v>328</v>
      </c>
      <c r="E127" s="6" t="s">
        <v>35</v>
      </c>
      <c r="F127" s="7" t="s">
        <v>36</v>
      </c>
      <c r="G127" s="7">
        <v>2</v>
      </c>
      <c r="H127" s="19">
        <v>197512</v>
      </c>
      <c r="I127" s="19" t="s">
        <v>418</v>
      </c>
      <c r="J127" s="7">
        <v>505</v>
      </c>
      <c r="K127" s="7">
        <v>19</v>
      </c>
      <c r="L127" s="7">
        <v>25</v>
      </c>
      <c r="M127" s="7" t="s">
        <v>416</v>
      </c>
      <c r="N127" s="80">
        <v>261959</v>
      </c>
      <c r="O127" s="8">
        <v>44902</v>
      </c>
      <c r="P127" s="8">
        <v>44907</v>
      </c>
      <c r="Q127" s="8">
        <v>45267</v>
      </c>
      <c r="R127" s="20">
        <v>45219</v>
      </c>
      <c r="S127" s="20"/>
      <c r="T127" s="20">
        <f>Q127+365</f>
        <v>45632</v>
      </c>
      <c r="U127" s="20">
        <f>T127-60</f>
        <v>45572</v>
      </c>
      <c r="V127" s="9">
        <v>45581</v>
      </c>
      <c r="W127" s="9">
        <v>45602</v>
      </c>
      <c r="X127" s="20">
        <f>U127+365</f>
        <v>45937</v>
      </c>
      <c r="Y127" s="20">
        <f>X127-60</f>
        <v>45877</v>
      </c>
      <c r="Z127" s="9"/>
      <c r="AA127" s="21"/>
      <c r="AB127" s="70"/>
      <c r="AC127" t="s">
        <v>60</v>
      </c>
    </row>
    <row r="128" spans="1:32" ht="15.75" customHeight="1" x14ac:dyDescent="0.35">
      <c r="A128" s="31" t="s">
        <v>283</v>
      </c>
      <c r="B128" s="99" t="s">
        <v>419</v>
      </c>
      <c r="C128" s="97" t="s">
        <v>285</v>
      </c>
      <c r="D128" s="26" t="s">
        <v>286</v>
      </c>
      <c r="E128" s="27"/>
      <c r="F128" s="28" t="s">
        <v>36</v>
      </c>
      <c r="G128" s="28">
        <v>2</v>
      </c>
      <c r="H128" s="26">
        <v>197514</v>
      </c>
      <c r="I128" s="26" t="s">
        <v>420</v>
      </c>
      <c r="J128" s="28">
        <v>505</v>
      </c>
      <c r="K128" s="28">
        <v>19</v>
      </c>
      <c r="L128" s="28">
        <v>25</v>
      </c>
      <c r="M128" s="28" t="s">
        <v>421</v>
      </c>
      <c r="N128" s="28">
        <v>53381</v>
      </c>
      <c r="O128" s="29">
        <v>43599</v>
      </c>
      <c r="P128" s="29"/>
      <c r="Q128" s="15">
        <v>45040</v>
      </c>
      <c r="R128" s="15">
        <v>45075</v>
      </c>
      <c r="S128" s="18"/>
      <c r="T128" s="30">
        <f>Q128+365</f>
        <v>45405</v>
      </c>
      <c r="U128" s="30">
        <f>T128-60</f>
        <v>45345</v>
      </c>
      <c r="V128" s="32">
        <v>45497</v>
      </c>
      <c r="W128" s="27"/>
      <c r="X128" s="30">
        <f>V128+365</f>
        <v>45862</v>
      </c>
      <c r="Y128" s="30">
        <f>X128-60</f>
        <v>45802</v>
      </c>
      <c r="Z128" s="32">
        <v>45842</v>
      </c>
      <c r="AA128" s="33"/>
      <c r="AB128" s="68"/>
    </row>
    <row r="129" spans="1:32" ht="15.75" customHeight="1" x14ac:dyDescent="0.35">
      <c r="A129" s="48" t="s">
        <v>243</v>
      </c>
      <c r="B129" s="109" t="s">
        <v>422</v>
      </c>
      <c r="C129" s="103" t="s">
        <v>245</v>
      </c>
      <c r="D129" s="41" t="s">
        <v>246</v>
      </c>
      <c r="E129" s="41" t="s">
        <v>68</v>
      </c>
      <c r="F129" s="42" t="s">
        <v>36</v>
      </c>
      <c r="G129" s="42">
        <v>4</v>
      </c>
      <c r="H129" s="41">
        <v>197514</v>
      </c>
      <c r="I129" s="41" t="s">
        <v>423</v>
      </c>
      <c r="J129" s="42">
        <v>505</v>
      </c>
      <c r="K129" s="42">
        <v>19</v>
      </c>
      <c r="L129" s="42">
        <v>25</v>
      </c>
      <c r="M129" s="42" t="s">
        <v>421</v>
      </c>
      <c r="N129" s="42">
        <v>12417</v>
      </c>
      <c r="O129" s="45">
        <v>45874</v>
      </c>
      <c r="P129" s="45">
        <v>45884</v>
      </c>
      <c r="Q129" s="35"/>
      <c r="R129" s="35"/>
      <c r="S129" s="35"/>
      <c r="T129" s="41"/>
      <c r="U129" s="41"/>
      <c r="V129" s="41"/>
      <c r="W129" s="41"/>
      <c r="X129" s="41"/>
      <c r="Y129" s="41"/>
      <c r="Z129" s="41"/>
      <c r="AA129" s="46"/>
      <c r="AB129" s="1"/>
    </row>
    <row r="130" spans="1:32" ht="15.75" customHeight="1" x14ac:dyDescent="0.35">
      <c r="A130" s="31" t="s">
        <v>293</v>
      </c>
      <c r="B130" s="99" t="s">
        <v>424</v>
      </c>
      <c r="C130" s="97" t="s">
        <v>295</v>
      </c>
      <c r="D130" s="26" t="s">
        <v>425</v>
      </c>
      <c r="E130" s="27"/>
      <c r="F130" s="28" t="s">
        <v>36</v>
      </c>
      <c r="G130" s="28">
        <v>2</v>
      </c>
      <c r="H130" s="26">
        <v>202913</v>
      </c>
      <c r="I130" s="26" t="s">
        <v>426</v>
      </c>
      <c r="J130" s="28" t="s">
        <v>405</v>
      </c>
      <c r="K130" s="28">
        <v>19</v>
      </c>
      <c r="L130" s="28">
        <v>33</v>
      </c>
      <c r="M130" s="28" t="s">
        <v>416</v>
      </c>
      <c r="N130" s="28">
        <v>23248</v>
      </c>
      <c r="O130" s="29">
        <v>44614</v>
      </c>
      <c r="P130" s="29">
        <v>44643</v>
      </c>
      <c r="Q130" s="30">
        <v>44979</v>
      </c>
      <c r="R130" s="30">
        <v>45075</v>
      </c>
      <c r="S130" s="30">
        <v>45117</v>
      </c>
      <c r="T130" s="30">
        <f>Q130+365</f>
        <v>45344</v>
      </c>
      <c r="U130" s="30">
        <f>T130-60</f>
        <v>45284</v>
      </c>
      <c r="V130" s="32">
        <v>45406</v>
      </c>
      <c r="W130" s="27"/>
      <c r="X130" s="30">
        <f>V130+365</f>
        <v>45771</v>
      </c>
      <c r="Y130" s="30">
        <f>X130-60</f>
        <v>45711</v>
      </c>
      <c r="Z130" s="32">
        <v>45743</v>
      </c>
      <c r="AA130" s="33"/>
      <c r="AB130" s="76"/>
    </row>
    <row r="131" spans="1:32" ht="15.75" customHeight="1" x14ac:dyDescent="0.35">
      <c r="A131" s="31" t="s">
        <v>99</v>
      </c>
      <c r="B131" s="99" t="s">
        <v>427</v>
      </c>
      <c r="C131" s="97" t="s">
        <v>101</v>
      </c>
      <c r="D131" s="26" t="s">
        <v>341</v>
      </c>
      <c r="E131" s="27" t="s">
        <v>68</v>
      </c>
      <c r="F131" s="28" t="s">
        <v>27</v>
      </c>
      <c r="G131" s="28">
        <v>2</v>
      </c>
      <c r="H131" s="26">
        <v>202913</v>
      </c>
      <c r="I131" s="26" t="s">
        <v>428</v>
      </c>
      <c r="J131" s="28" t="s">
        <v>405</v>
      </c>
      <c r="K131" s="28">
        <v>19</v>
      </c>
      <c r="L131" s="28">
        <v>33</v>
      </c>
      <c r="M131" s="28" t="s">
        <v>416</v>
      </c>
      <c r="N131" s="28">
        <v>20724</v>
      </c>
      <c r="O131" s="29">
        <v>44830</v>
      </c>
      <c r="P131" s="28"/>
      <c r="Q131" s="30">
        <v>45195</v>
      </c>
      <c r="R131" s="30">
        <v>45184</v>
      </c>
      <c r="S131" s="31"/>
      <c r="T131" s="30">
        <f>Q131+365</f>
        <v>45560</v>
      </c>
      <c r="U131" s="30">
        <f>T131-60</f>
        <v>45500</v>
      </c>
      <c r="V131" s="32">
        <v>45526</v>
      </c>
      <c r="W131" s="27"/>
      <c r="X131" s="30">
        <f>U131+365</f>
        <v>45865</v>
      </c>
      <c r="Y131" s="30">
        <f>X131-60</f>
        <v>45805</v>
      </c>
      <c r="Z131" s="32">
        <v>45843</v>
      </c>
      <c r="AA131" s="33"/>
      <c r="AB131" s="68"/>
      <c r="AC131" s="4"/>
      <c r="AD131" s="4"/>
      <c r="AE131" s="4"/>
      <c r="AF131" s="4"/>
    </row>
    <row r="132" spans="1:32" ht="15.75" customHeight="1" x14ac:dyDescent="0.35">
      <c r="A132" s="48" t="s">
        <v>79</v>
      </c>
      <c r="B132" s="109" t="s">
        <v>429</v>
      </c>
      <c r="C132" s="96" t="s">
        <v>81</v>
      </c>
      <c r="D132" s="40" t="s">
        <v>185</v>
      </c>
      <c r="E132" s="41" t="s">
        <v>113</v>
      </c>
      <c r="F132" s="42" t="s">
        <v>36</v>
      </c>
      <c r="G132" s="42">
        <v>2</v>
      </c>
      <c r="H132" s="40">
        <v>205138</v>
      </c>
      <c r="I132" s="40">
        <v>48452</v>
      </c>
      <c r="J132" s="42" t="s">
        <v>430</v>
      </c>
      <c r="K132" s="42">
        <v>19</v>
      </c>
      <c r="L132" s="42">
        <v>25</v>
      </c>
      <c r="M132" s="42" t="s">
        <v>271</v>
      </c>
      <c r="N132" s="42">
        <v>645</v>
      </c>
      <c r="O132" s="43">
        <v>44942</v>
      </c>
      <c r="P132" s="43">
        <v>45054</v>
      </c>
      <c r="Q132" s="44"/>
      <c r="R132" s="48"/>
      <c r="S132" s="48"/>
      <c r="T132" s="44">
        <f>P132+365</f>
        <v>45419</v>
      </c>
      <c r="U132" s="44">
        <f>T132-60</f>
        <v>45359</v>
      </c>
      <c r="V132" s="45">
        <v>45511</v>
      </c>
      <c r="W132" s="45">
        <v>45537</v>
      </c>
      <c r="X132" s="44">
        <f>T132+365</f>
        <v>45784</v>
      </c>
      <c r="Y132" s="44">
        <f>X132-60</f>
        <v>45724</v>
      </c>
      <c r="Z132" s="45">
        <v>45712</v>
      </c>
      <c r="AA132" s="47">
        <v>45859</v>
      </c>
      <c r="AB132" s="77"/>
    </row>
    <row r="133" spans="1:32" ht="15.75" customHeight="1" x14ac:dyDescent="0.35">
      <c r="A133" s="31" t="s">
        <v>55</v>
      </c>
      <c r="B133" s="99" t="s">
        <v>431</v>
      </c>
      <c r="C133" s="97" t="s">
        <v>57</v>
      </c>
      <c r="D133" s="26" t="s">
        <v>58</v>
      </c>
      <c r="E133" s="27" t="s">
        <v>35</v>
      </c>
      <c r="F133" s="28" t="s">
        <v>27</v>
      </c>
      <c r="G133" s="28">
        <v>2</v>
      </c>
      <c r="H133" s="27">
        <v>205138</v>
      </c>
      <c r="I133" s="27">
        <v>71076600</v>
      </c>
      <c r="J133" s="28" t="s">
        <v>430</v>
      </c>
      <c r="K133" s="28">
        <v>19</v>
      </c>
      <c r="L133" s="28">
        <v>25</v>
      </c>
      <c r="M133" s="28" t="s">
        <v>271</v>
      </c>
      <c r="N133" s="28">
        <v>21733</v>
      </c>
      <c r="O133" s="29">
        <v>44370</v>
      </c>
      <c r="P133" s="28"/>
      <c r="Q133" s="15">
        <v>45059</v>
      </c>
      <c r="R133" s="15">
        <v>45183</v>
      </c>
      <c r="S133" s="15">
        <v>45222</v>
      </c>
      <c r="T133" s="30">
        <f>Q133+365</f>
        <v>45424</v>
      </c>
      <c r="U133" s="30">
        <f>T133-60</f>
        <v>45364</v>
      </c>
      <c r="V133" s="32">
        <v>45509</v>
      </c>
      <c r="W133" s="27"/>
      <c r="X133" s="30">
        <f>U133+365</f>
        <v>45729</v>
      </c>
      <c r="Y133" s="30">
        <f>X133-60</f>
        <v>45669</v>
      </c>
      <c r="Z133" s="32">
        <v>45681</v>
      </c>
      <c r="AA133" s="33"/>
      <c r="AB133" s="76"/>
      <c r="AC133" t="s">
        <v>60</v>
      </c>
      <c r="AD133" t="s">
        <v>432</v>
      </c>
    </row>
    <row r="134" spans="1:32" ht="15.75" customHeight="1" x14ac:dyDescent="0.35">
      <c r="A134" s="48" t="s">
        <v>208</v>
      </c>
      <c r="B134" s="109" t="s">
        <v>433</v>
      </c>
      <c r="C134" s="96" t="s">
        <v>210</v>
      </c>
      <c r="D134" s="40" t="s">
        <v>211</v>
      </c>
      <c r="E134" s="41" t="s">
        <v>35</v>
      </c>
      <c r="F134" s="42" t="s">
        <v>36</v>
      </c>
      <c r="G134" s="42">
        <v>4</v>
      </c>
      <c r="H134" s="40">
        <v>211245</v>
      </c>
      <c r="I134" s="40" t="s">
        <v>434</v>
      </c>
      <c r="J134" s="42">
        <v>8520</v>
      </c>
      <c r="K134" s="42">
        <v>19</v>
      </c>
      <c r="L134" s="42">
        <v>33</v>
      </c>
      <c r="M134" s="42" t="s">
        <v>29</v>
      </c>
      <c r="N134" s="42">
        <v>3093</v>
      </c>
      <c r="O134" s="43">
        <v>44998</v>
      </c>
      <c r="P134" s="42"/>
      <c r="Q134" s="44"/>
      <c r="R134" s="48"/>
      <c r="S134" s="48"/>
      <c r="T134" s="44">
        <f>O134+365</f>
        <v>45363</v>
      </c>
      <c r="U134" s="44">
        <f>T134-60</f>
        <v>45303</v>
      </c>
      <c r="V134" s="45">
        <v>45363</v>
      </c>
      <c r="W134" s="41"/>
      <c r="X134" s="44">
        <f>T134+365</f>
        <v>45728</v>
      </c>
      <c r="Y134" s="44">
        <f>X134-60</f>
        <v>45668</v>
      </c>
      <c r="Z134" s="45">
        <v>45674</v>
      </c>
      <c r="AA134" s="47">
        <v>45687</v>
      </c>
      <c r="AB134" s="75"/>
    </row>
    <row r="135" spans="1:32" ht="15.75" customHeight="1" x14ac:dyDescent="0.35">
      <c r="A135" s="31" t="s">
        <v>435</v>
      </c>
      <c r="B135" s="99" t="s">
        <v>436</v>
      </c>
      <c r="C135" s="97" t="s">
        <v>437</v>
      </c>
      <c r="D135" s="26" t="s">
        <v>438</v>
      </c>
      <c r="E135" s="27"/>
      <c r="F135" s="28" t="s">
        <v>27</v>
      </c>
      <c r="G135" s="28">
        <v>2</v>
      </c>
      <c r="H135" s="27">
        <v>213803</v>
      </c>
      <c r="I135" s="26" t="s">
        <v>439</v>
      </c>
      <c r="J135" s="28" t="s">
        <v>63</v>
      </c>
      <c r="K135" s="28">
        <v>24.35</v>
      </c>
      <c r="L135" s="28">
        <v>102</v>
      </c>
      <c r="M135" s="28" t="s">
        <v>29</v>
      </c>
      <c r="N135" s="28"/>
      <c r="O135" s="29"/>
      <c r="P135" s="29"/>
      <c r="Q135" s="30"/>
      <c r="R135" s="30"/>
      <c r="S135" s="31"/>
      <c r="T135" s="30"/>
      <c r="U135" s="30"/>
      <c r="V135" s="27"/>
      <c r="W135" s="27"/>
      <c r="X135" s="30"/>
      <c r="Y135" s="30"/>
      <c r="Z135" s="32">
        <v>45686</v>
      </c>
      <c r="AA135" s="33"/>
      <c r="AB135" s="76"/>
    </row>
    <row r="136" spans="1:32" ht="15.75" customHeight="1" x14ac:dyDescent="0.35">
      <c r="A136" s="31" t="s">
        <v>440</v>
      </c>
      <c r="B136" s="99" t="s">
        <v>441</v>
      </c>
      <c r="C136" s="97" t="s">
        <v>442</v>
      </c>
      <c r="D136" s="26" t="s">
        <v>67</v>
      </c>
      <c r="E136" s="27"/>
      <c r="F136" s="28" t="s">
        <v>36</v>
      </c>
      <c r="G136" s="28">
        <v>2</v>
      </c>
      <c r="H136" s="27">
        <v>172994</v>
      </c>
      <c r="I136" s="26">
        <v>1009933</v>
      </c>
      <c r="J136" s="28">
        <v>8550</v>
      </c>
      <c r="K136" s="28">
        <v>19</v>
      </c>
      <c r="L136" s="28">
        <v>25</v>
      </c>
      <c r="M136" s="28" t="s">
        <v>29</v>
      </c>
      <c r="N136" s="28">
        <v>9736</v>
      </c>
      <c r="O136" s="29">
        <v>45922</v>
      </c>
      <c r="P136" s="29"/>
      <c r="Q136" s="30"/>
      <c r="R136" s="30"/>
      <c r="S136" s="31"/>
      <c r="T136" s="30"/>
      <c r="U136" s="30"/>
      <c r="V136" s="27"/>
      <c r="W136" s="27"/>
      <c r="X136" s="30"/>
      <c r="Y136" s="30"/>
      <c r="Z136" s="32"/>
      <c r="AA136" s="33"/>
      <c r="AB136" s="76"/>
    </row>
    <row r="137" spans="1:32" ht="15.75" customHeight="1" x14ac:dyDescent="0.35">
      <c r="A137" s="31" t="s">
        <v>251</v>
      </c>
      <c r="B137" s="99" t="s">
        <v>443</v>
      </c>
      <c r="C137" s="97" t="s">
        <v>253</v>
      </c>
      <c r="D137" s="26" t="s">
        <v>67</v>
      </c>
      <c r="E137" s="27" t="s">
        <v>444</v>
      </c>
      <c r="F137" s="28" t="s">
        <v>36</v>
      </c>
      <c r="G137" s="28">
        <v>4</v>
      </c>
      <c r="H137" s="26">
        <v>215150</v>
      </c>
      <c r="I137" s="26">
        <v>10035750</v>
      </c>
      <c r="J137" s="28" t="s">
        <v>445</v>
      </c>
      <c r="K137" s="28">
        <v>10</v>
      </c>
      <c r="L137" s="28">
        <v>75</v>
      </c>
      <c r="M137" s="28" t="s">
        <v>416</v>
      </c>
      <c r="N137" s="28">
        <v>260156</v>
      </c>
      <c r="O137" s="29">
        <v>45862</v>
      </c>
      <c r="P137" s="29"/>
      <c r="Q137" s="30"/>
      <c r="R137" s="30"/>
      <c r="S137" s="31"/>
      <c r="T137" s="30"/>
      <c r="U137" s="30"/>
      <c r="V137" s="27"/>
      <c r="W137" s="27"/>
      <c r="X137" s="30"/>
      <c r="Y137" s="30"/>
      <c r="Z137" s="27"/>
      <c r="AA137" s="33"/>
      <c r="AB137" s="68"/>
    </row>
    <row r="138" spans="1:32" ht="15.75" customHeight="1" x14ac:dyDescent="0.35">
      <c r="A138" s="48" t="s">
        <v>79</v>
      </c>
      <c r="B138" s="109" t="s">
        <v>446</v>
      </c>
      <c r="C138" s="96" t="s">
        <v>81</v>
      </c>
      <c r="D138" s="40" t="s">
        <v>199</v>
      </c>
      <c r="E138" s="41" t="s">
        <v>68</v>
      </c>
      <c r="F138" s="42" t="s">
        <v>36</v>
      </c>
      <c r="G138" s="42">
        <v>2</v>
      </c>
      <c r="H138" s="40">
        <v>216708</v>
      </c>
      <c r="I138" s="40" t="s">
        <v>447</v>
      </c>
      <c r="J138" s="42" t="s">
        <v>353</v>
      </c>
      <c r="K138" s="42">
        <v>19</v>
      </c>
      <c r="L138" s="42">
        <v>15</v>
      </c>
      <c r="M138" s="42" t="s">
        <v>197</v>
      </c>
      <c r="N138" s="42">
        <v>645</v>
      </c>
      <c r="O138" s="43">
        <v>45366</v>
      </c>
      <c r="P138" s="43">
        <v>45373</v>
      </c>
      <c r="Q138" s="30"/>
      <c r="R138" s="30"/>
      <c r="S138" s="30"/>
      <c r="T138" s="44"/>
      <c r="U138" s="44"/>
      <c r="V138" s="45">
        <v>45357</v>
      </c>
      <c r="W138" s="45">
        <v>45366</v>
      </c>
      <c r="X138" s="44">
        <f>O138+365</f>
        <v>45731</v>
      </c>
      <c r="Y138" s="44">
        <f>X138-60</f>
        <v>45671</v>
      </c>
      <c r="Z138" s="45">
        <v>45685</v>
      </c>
      <c r="AA138" s="47">
        <v>45742</v>
      </c>
      <c r="AB138" s="75"/>
    </row>
    <row r="139" spans="1:32" ht="15.75" customHeight="1" x14ac:dyDescent="0.35">
      <c r="A139" s="31" t="s">
        <v>214</v>
      </c>
      <c r="B139" s="99" t="s">
        <v>448</v>
      </c>
      <c r="C139" s="97" t="s">
        <v>216</v>
      </c>
      <c r="D139" s="26" t="s">
        <v>217</v>
      </c>
      <c r="E139" s="27" t="s">
        <v>109</v>
      </c>
      <c r="F139" s="28" t="s">
        <v>27</v>
      </c>
      <c r="G139" s="28">
        <v>4</v>
      </c>
      <c r="H139" s="27">
        <v>219084</v>
      </c>
      <c r="I139" s="26" t="s">
        <v>449</v>
      </c>
      <c r="J139" s="28">
        <v>317</v>
      </c>
      <c r="K139" s="28">
        <v>19</v>
      </c>
      <c r="L139" s="28">
        <v>33</v>
      </c>
      <c r="M139" s="28" t="s">
        <v>416</v>
      </c>
      <c r="N139" s="28">
        <v>237925</v>
      </c>
      <c r="O139" s="29">
        <v>45435</v>
      </c>
      <c r="P139" s="29"/>
      <c r="Q139" s="30"/>
      <c r="R139" s="30"/>
      <c r="S139" s="31"/>
      <c r="T139" s="30"/>
      <c r="U139" s="30"/>
      <c r="V139" s="27"/>
      <c r="W139" s="27"/>
      <c r="X139" s="30">
        <f>O139+365</f>
        <v>45800</v>
      </c>
      <c r="Y139" s="30">
        <f>X139-60</f>
        <v>45740</v>
      </c>
      <c r="Z139" s="32">
        <v>45734</v>
      </c>
      <c r="AA139" s="33"/>
      <c r="AB139" s="76"/>
    </row>
    <row r="140" spans="1:32" x14ac:dyDescent="0.35">
      <c r="A140" s="48" t="s">
        <v>79</v>
      </c>
      <c r="B140" s="109" t="s">
        <v>450</v>
      </c>
      <c r="C140" s="96" t="s">
        <v>81</v>
      </c>
      <c r="D140" s="40" t="s">
        <v>112</v>
      </c>
      <c r="E140" s="41"/>
      <c r="F140" s="42" t="s">
        <v>36</v>
      </c>
      <c r="G140" s="42">
        <v>2</v>
      </c>
      <c r="H140" s="40">
        <v>223136</v>
      </c>
      <c r="I140" s="40">
        <v>52099</v>
      </c>
      <c r="J140" s="42">
        <v>317</v>
      </c>
      <c r="K140" s="42">
        <v>19</v>
      </c>
      <c r="L140" s="42">
        <v>33</v>
      </c>
      <c r="M140" s="42" t="s">
        <v>324</v>
      </c>
      <c r="N140" s="42">
        <v>645</v>
      </c>
      <c r="O140" s="43">
        <v>45168</v>
      </c>
      <c r="P140" s="43"/>
      <c r="Q140" s="30"/>
      <c r="R140" s="30"/>
      <c r="S140" s="30"/>
      <c r="T140" s="44"/>
      <c r="U140" s="44"/>
      <c r="V140" s="45">
        <v>45537</v>
      </c>
      <c r="W140" s="45">
        <v>45880</v>
      </c>
      <c r="X140" s="44">
        <v>45902</v>
      </c>
      <c r="Y140" s="82">
        <v>45840</v>
      </c>
      <c r="Z140" s="45"/>
      <c r="AA140" s="47"/>
      <c r="AB140" s="75"/>
    </row>
    <row r="141" spans="1:32" ht="15.75" customHeight="1" x14ac:dyDescent="0.35">
      <c r="A141" s="60" t="s">
        <v>79</v>
      </c>
      <c r="B141" s="101" t="s">
        <v>451</v>
      </c>
      <c r="C141" s="98" t="s">
        <v>81</v>
      </c>
      <c r="D141" s="11" t="s">
        <v>112</v>
      </c>
      <c r="E141" s="12" t="s">
        <v>68</v>
      </c>
      <c r="F141" s="13" t="s">
        <v>36</v>
      </c>
      <c r="G141" s="13">
        <v>4</v>
      </c>
      <c r="H141" s="11">
        <v>231952</v>
      </c>
      <c r="I141" s="11">
        <v>53386</v>
      </c>
      <c r="J141" s="13" t="s">
        <v>83</v>
      </c>
      <c r="K141" s="13">
        <v>19</v>
      </c>
      <c r="L141" s="13">
        <v>66</v>
      </c>
      <c r="M141" s="13" t="s">
        <v>29</v>
      </c>
      <c r="N141" s="13">
        <v>645</v>
      </c>
      <c r="O141" s="14">
        <v>44908</v>
      </c>
      <c r="P141" s="14">
        <v>44949</v>
      </c>
      <c r="Q141" s="30"/>
      <c r="R141" s="30"/>
      <c r="S141" s="30"/>
      <c r="T141" s="15">
        <f>P141+364</f>
        <v>45313</v>
      </c>
      <c r="U141" s="15">
        <f>T141-60</f>
        <v>45253</v>
      </c>
      <c r="V141" s="16">
        <v>45414</v>
      </c>
      <c r="W141" s="16"/>
      <c r="X141" s="20">
        <f>T141+365</f>
        <v>45678</v>
      </c>
      <c r="Y141" s="20">
        <f>X141-60</f>
        <v>45618</v>
      </c>
      <c r="Z141" s="9"/>
      <c r="AA141" s="22"/>
      <c r="AB141" s="69"/>
    </row>
    <row r="142" spans="1:32" ht="15.75" customHeight="1" x14ac:dyDescent="0.35">
      <c r="A142" s="60" t="s">
        <v>79</v>
      </c>
      <c r="B142" s="101" t="s">
        <v>452</v>
      </c>
      <c r="C142" s="98" t="s">
        <v>81</v>
      </c>
      <c r="D142" s="11" t="s">
        <v>112</v>
      </c>
      <c r="E142" s="12" t="s">
        <v>68</v>
      </c>
      <c r="F142" s="13" t="s">
        <v>36</v>
      </c>
      <c r="G142" s="13">
        <v>4</v>
      </c>
      <c r="H142" s="11">
        <v>231953</v>
      </c>
      <c r="I142" s="11">
        <v>53390</v>
      </c>
      <c r="J142" s="13" t="s">
        <v>83</v>
      </c>
      <c r="K142" s="13">
        <v>19</v>
      </c>
      <c r="L142" s="13">
        <v>66</v>
      </c>
      <c r="M142" s="13" t="s">
        <v>197</v>
      </c>
      <c r="N142" s="13">
        <v>645</v>
      </c>
      <c r="O142" s="14">
        <v>44908</v>
      </c>
      <c r="P142" s="14">
        <v>44949</v>
      </c>
      <c r="Q142" s="30"/>
      <c r="R142" s="30"/>
      <c r="S142" s="30"/>
      <c r="T142" s="15">
        <f>P142+364</f>
        <v>45313</v>
      </c>
      <c r="U142" s="15">
        <f>T142-60</f>
        <v>45253</v>
      </c>
      <c r="V142" s="16">
        <v>45771</v>
      </c>
      <c r="W142" s="16"/>
      <c r="X142" s="20">
        <f>T142+365</f>
        <v>45678</v>
      </c>
      <c r="Y142" s="20">
        <f>X142-60</f>
        <v>45618</v>
      </c>
      <c r="Z142" s="9"/>
      <c r="AA142" s="22"/>
      <c r="AB142" s="69"/>
    </row>
    <row r="143" spans="1:32" ht="15.75" customHeight="1" x14ac:dyDescent="0.35">
      <c r="A143" s="31" t="s">
        <v>453</v>
      </c>
      <c r="B143" s="99" t="s">
        <v>454</v>
      </c>
      <c r="C143" s="97" t="s">
        <v>455</v>
      </c>
      <c r="D143" s="26" t="s">
        <v>456</v>
      </c>
      <c r="E143" s="27" t="s">
        <v>457</v>
      </c>
      <c r="F143" s="28" t="s">
        <v>27</v>
      </c>
      <c r="G143" s="28">
        <v>4</v>
      </c>
      <c r="H143" s="26">
        <v>224247</v>
      </c>
      <c r="I143" s="26">
        <v>2195</v>
      </c>
      <c r="J143" s="28" t="s">
        <v>97</v>
      </c>
      <c r="K143" s="28">
        <v>19</v>
      </c>
      <c r="L143" s="28">
        <v>25</v>
      </c>
      <c r="M143" s="28" t="s">
        <v>458</v>
      </c>
      <c r="N143" s="28">
        <v>16966</v>
      </c>
      <c r="O143" s="29">
        <v>45922</v>
      </c>
      <c r="P143" s="29"/>
      <c r="Q143" s="30"/>
      <c r="R143" s="30"/>
      <c r="S143" s="30"/>
      <c r="T143" s="30"/>
      <c r="U143" s="30"/>
      <c r="V143" s="32"/>
      <c r="W143" s="32"/>
      <c r="X143" s="30"/>
      <c r="Y143" s="30"/>
      <c r="Z143" s="32"/>
      <c r="AA143" s="34"/>
      <c r="AB143" s="69" t="s">
        <v>104</v>
      </c>
    </row>
    <row r="144" spans="1:32" ht="15.75" customHeight="1" x14ac:dyDescent="0.35">
      <c r="A144" s="48" t="s">
        <v>453</v>
      </c>
      <c r="B144" s="109" t="s">
        <v>459</v>
      </c>
      <c r="C144" s="96" t="s">
        <v>455</v>
      </c>
      <c r="D144" s="40" t="s">
        <v>456</v>
      </c>
      <c r="E144" s="41" t="s">
        <v>457</v>
      </c>
      <c r="F144" s="42" t="s">
        <v>27</v>
      </c>
      <c r="G144" s="42">
        <v>4</v>
      </c>
      <c r="H144" s="40">
        <v>261304</v>
      </c>
      <c r="I144" s="40">
        <v>2196</v>
      </c>
      <c r="J144" s="42" t="s">
        <v>76</v>
      </c>
      <c r="K144" s="42">
        <v>19</v>
      </c>
      <c r="L144" s="42">
        <v>66</v>
      </c>
      <c r="M144" s="42" t="s">
        <v>458</v>
      </c>
      <c r="N144" s="42">
        <v>16966</v>
      </c>
      <c r="O144" s="43">
        <v>45947</v>
      </c>
      <c r="P144" s="43">
        <v>45953</v>
      </c>
      <c r="Q144" s="30"/>
      <c r="R144" s="30"/>
      <c r="S144" s="30"/>
      <c r="T144" s="30"/>
      <c r="U144" s="30"/>
      <c r="V144" s="32"/>
      <c r="W144" s="32"/>
      <c r="X144" s="44"/>
      <c r="Y144" s="44"/>
      <c r="Z144" s="45"/>
      <c r="AA144" s="47"/>
      <c r="AB144" s="69" t="s">
        <v>104</v>
      </c>
    </row>
    <row r="145" spans="1:29" ht="15.75" customHeight="1" x14ac:dyDescent="0.35">
      <c r="A145" s="31" t="s">
        <v>39</v>
      </c>
      <c r="B145" s="99" t="s">
        <v>460</v>
      </c>
      <c r="C145" s="97" t="s">
        <v>41</v>
      </c>
      <c r="D145" s="26" t="s">
        <v>407</v>
      </c>
      <c r="E145" s="26" t="s">
        <v>90</v>
      </c>
      <c r="F145" s="36" t="s">
        <v>36</v>
      </c>
      <c r="G145" s="28">
        <v>4</v>
      </c>
      <c r="H145" s="26">
        <v>234350</v>
      </c>
      <c r="I145" s="26">
        <v>40194876</v>
      </c>
      <c r="J145" s="28" t="s">
        <v>461</v>
      </c>
      <c r="K145" s="28" t="s">
        <v>462</v>
      </c>
      <c r="L145" s="28" t="s">
        <v>463</v>
      </c>
      <c r="M145" s="28" t="s">
        <v>197</v>
      </c>
      <c r="N145" s="28">
        <v>56697</v>
      </c>
      <c r="O145" s="29">
        <v>45034</v>
      </c>
      <c r="P145" s="29">
        <v>45035</v>
      </c>
      <c r="Q145" s="30"/>
      <c r="R145" s="31"/>
      <c r="S145" s="31"/>
      <c r="T145" s="30">
        <f>O145+365</f>
        <v>45399</v>
      </c>
      <c r="U145" s="30">
        <f>T145-60</f>
        <v>45339</v>
      </c>
      <c r="V145" s="32">
        <v>45497</v>
      </c>
      <c r="W145" s="27"/>
      <c r="X145" s="30">
        <f>V145+365</f>
        <v>45862</v>
      </c>
      <c r="Y145" s="30">
        <f>X145-60</f>
        <v>45802</v>
      </c>
      <c r="Z145" s="32">
        <v>45733</v>
      </c>
      <c r="AA145" s="33"/>
      <c r="AB145" s="76"/>
    </row>
    <row r="146" spans="1:29" ht="15.75" customHeight="1" x14ac:dyDescent="0.35">
      <c r="A146" s="31" t="s">
        <v>39</v>
      </c>
      <c r="B146" s="99" t="s">
        <v>464</v>
      </c>
      <c r="C146" s="97" t="s">
        <v>41</v>
      </c>
      <c r="D146" s="26" t="s">
        <v>42</v>
      </c>
      <c r="E146" s="26" t="s">
        <v>90</v>
      </c>
      <c r="F146" s="36" t="s">
        <v>27</v>
      </c>
      <c r="G146" s="28">
        <v>2</v>
      </c>
      <c r="H146" s="26">
        <v>235687</v>
      </c>
      <c r="I146" s="26">
        <v>40002498</v>
      </c>
      <c r="J146" s="28" t="s">
        <v>405</v>
      </c>
      <c r="K146" s="28">
        <v>25</v>
      </c>
      <c r="L146" s="28">
        <v>33</v>
      </c>
      <c r="M146" s="28" t="s">
        <v>197</v>
      </c>
      <c r="N146" s="28">
        <v>56697</v>
      </c>
      <c r="O146" s="29">
        <v>45063</v>
      </c>
      <c r="P146" s="29">
        <v>45069</v>
      </c>
      <c r="Q146" s="30"/>
      <c r="R146" s="31"/>
      <c r="S146" s="31"/>
      <c r="T146" s="30">
        <f>O146+365</f>
        <v>45428</v>
      </c>
      <c r="U146" s="30">
        <f>T146-60</f>
        <v>45368</v>
      </c>
      <c r="V146" s="32">
        <v>45498</v>
      </c>
      <c r="W146" s="32">
        <v>45524</v>
      </c>
      <c r="X146" s="30">
        <f>V146+365</f>
        <v>45863</v>
      </c>
      <c r="Y146" s="30">
        <f>X146-60</f>
        <v>45803</v>
      </c>
      <c r="Z146" s="32">
        <v>45743</v>
      </c>
      <c r="AA146" s="34"/>
      <c r="AB146" s="77"/>
    </row>
    <row r="147" spans="1:29" x14ac:dyDescent="0.35">
      <c r="A147" s="48" t="s">
        <v>49</v>
      </c>
      <c r="B147" s="109" t="s">
        <v>465</v>
      </c>
      <c r="C147" s="96" t="s">
        <v>51</v>
      </c>
      <c r="D147" s="41" t="s">
        <v>466</v>
      </c>
      <c r="E147" s="41" t="s">
        <v>109</v>
      </c>
      <c r="F147" s="42" t="s">
        <v>27</v>
      </c>
      <c r="G147" s="42">
        <v>4</v>
      </c>
      <c r="H147" s="41">
        <v>237976</v>
      </c>
      <c r="I147" s="41" t="s">
        <v>467</v>
      </c>
      <c r="J147" s="42">
        <v>503</v>
      </c>
      <c r="K147" s="42">
        <v>19</v>
      </c>
      <c r="L147" s="42">
        <v>25</v>
      </c>
      <c r="M147" s="42" t="s">
        <v>29</v>
      </c>
      <c r="N147" s="42">
        <v>6345</v>
      </c>
      <c r="O147" s="45">
        <v>45715</v>
      </c>
      <c r="P147" s="45">
        <v>45716</v>
      </c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6"/>
      <c r="AB147" s="78"/>
    </row>
    <row r="148" spans="1:29" x14ac:dyDescent="0.35">
      <c r="A148" s="48" t="s">
        <v>55</v>
      </c>
      <c r="B148" s="109" t="s">
        <v>468</v>
      </c>
      <c r="C148" s="103" t="s">
        <v>57</v>
      </c>
      <c r="D148" s="41" t="s">
        <v>58</v>
      </c>
      <c r="E148" s="41"/>
      <c r="F148" s="42" t="s">
        <v>27</v>
      </c>
      <c r="G148" s="42">
        <v>4</v>
      </c>
      <c r="H148" s="41"/>
      <c r="I148" s="67" t="s">
        <v>469</v>
      </c>
      <c r="J148" s="42" t="s">
        <v>97</v>
      </c>
      <c r="K148" s="42">
        <v>25</v>
      </c>
      <c r="L148" s="42">
        <v>25</v>
      </c>
      <c r="M148" s="42" t="s">
        <v>29</v>
      </c>
      <c r="N148" s="42">
        <v>21733</v>
      </c>
      <c r="O148" s="45">
        <v>45712</v>
      </c>
      <c r="P148" s="45">
        <v>45784</v>
      </c>
      <c r="Q148" s="92"/>
      <c r="R148" s="92"/>
      <c r="S148" s="92"/>
      <c r="T148" s="41"/>
      <c r="U148" s="41"/>
      <c r="V148" s="41"/>
      <c r="W148" s="41"/>
      <c r="X148" s="41"/>
      <c r="Y148" s="41"/>
      <c r="Z148" s="41"/>
      <c r="AA148" s="41"/>
      <c r="AB148" s="78"/>
      <c r="AC148" t="s">
        <v>60</v>
      </c>
    </row>
    <row r="149" spans="1:29" x14ac:dyDescent="0.35">
      <c r="A149" s="31" t="s">
        <v>470</v>
      </c>
      <c r="B149" s="99" t="s">
        <v>471</v>
      </c>
      <c r="C149" s="97" t="s">
        <v>472</v>
      </c>
      <c r="D149" s="27" t="s">
        <v>473</v>
      </c>
      <c r="E149" s="27" t="s">
        <v>68</v>
      </c>
      <c r="F149" s="28" t="s">
        <v>27</v>
      </c>
      <c r="G149" s="28">
        <v>4</v>
      </c>
      <c r="H149" s="27"/>
      <c r="I149" s="27">
        <v>10518645</v>
      </c>
      <c r="J149" s="28">
        <v>512</v>
      </c>
      <c r="K149" s="28">
        <v>19</v>
      </c>
      <c r="L149" s="28">
        <v>25</v>
      </c>
      <c r="M149" s="28" t="s">
        <v>197</v>
      </c>
      <c r="N149" s="28">
        <v>26485</v>
      </c>
      <c r="O149" s="32">
        <v>45812</v>
      </c>
      <c r="P149" s="27"/>
      <c r="Q149" s="91"/>
      <c r="R149" s="91"/>
      <c r="S149" s="91"/>
      <c r="T149" s="27"/>
      <c r="U149" s="27"/>
      <c r="V149" s="27"/>
      <c r="W149" s="27"/>
      <c r="X149" s="27"/>
      <c r="Y149" s="27"/>
      <c r="Z149" s="27"/>
      <c r="AA149" s="27"/>
      <c r="AB149" s="76"/>
    </row>
    <row r="150" spans="1:29" x14ac:dyDescent="0.35">
      <c r="A150" s="48" t="s">
        <v>309</v>
      </c>
      <c r="B150" s="109" t="s">
        <v>474</v>
      </c>
      <c r="C150" s="103" t="s">
        <v>311</v>
      </c>
      <c r="D150" s="41" t="s">
        <v>475</v>
      </c>
      <c r="E150" s="41" t="s">
        <v>118</v>
      </c>
      <c r="F150" s="42" t="s">
        <v>36</v>
      </c>
      <c r="G150" s="42">
        <v>4</v>
      </c>
      <c r="H150" s="41">
        <v>174352</v>
      </c>
      <c r="I150" s="41">
        <v>162844</v>
      </c>
      <c r="J150" s="42" t="s">
        <v>353</v>
      </c>
      <c r="K150" s="42">
        <v>19</v>
      </c>
      <c r="L150" s="42">
        <v>15</v>
      </c>
      <c r="M150" s="42" t="s">
        <v>29</v>
      </c>
      <c r="N150" s="42">
        <v>11287</v>
      </c>
      <c r="O150" s="53">
        <v>45905</v>
      </c>
      <c r="P150" s="45">
        <v>45917</v>
      </c>
      <c r="T150" s="41"/>
      <c r="U150" s="41"/>
      <c r="V150" s="41"/>
      <c r="W150" s="41"/>
      <c r="X150" s="41"/>
      <c r="Y150" s="41"/>
      <c r="Z150" s="41"/>
      <c r="AA150" s="41"/>
      <c r="AB150" s="85" t="s">
        <v>104</v>
      </c>
    </row>
    <row r="151" spans="1:29" x14ac:dyDescent="0.35">
      <c r="A151" s="31" t="s">
        <v>309</v>
      </c>
      <c r="B151" s="99" t="s">
        <v>476</v>
      </c>
      <c r="C151" s="100" t="s">
        <v>311</v>
      </c>
      <c r="D151" s="27" t="s">
        <v>312</v>
      </c>
      <c r="E151" s="27" t="s">
        <v>118</v>
      </c>
      <c r="F151" s="28" t="s">
        <v>36</v>
      </c>
      <c r="G151" s="28">
        <v>4</v>
      </c>
      <c r="H151" s="27">
        <v>111200</v>
      </c>
      <c r="I151" s="27">
        <v>108250</v>
      </c>
      <c r="J151" s="28">
        <v>880</v>
      </c>
      <c r="K151" s="28">
        <v>19</v>
      </c>
      <c r="L151" s="28">
        <v>15</v>
      </c>
      <c r="M151" s="28" t="s">
        <v>29</v>
      </c>
      <c r="N151" s="28">
        <v>17916</v>
      </c>
      <c r="O151" s="37">
        <v>45947</v>
      </c>
      <c r="P151" s="29"/>
      <c r="Q151" s="30"/>
      <c r="R151" s="30"/>
      <c r="S151" s="32"/>
      <c r="T151" s="27"/>
      <c r="U151" s="30"/>
      <c r="V151" s="30"/>
      <c r="W151" s="32"/>
      <c r="X151" s="30"/>
      <c r="Y151" s="30"/>
      <c r="Z151" s="32"/>
      <c r="AA151" s="33"/>
    </row>
    <row r="152" spans="1:29" x14ac:dyDescent="0.35">
      <c r="A152" s="48" t="s">
        <v>79</v>
      </c>
      <c r="B152" s="109" t="s">
        <v>477</v>
      </c>
      <c r="C152" s="114" t="s">
        <v>81</v>
      </c>
      <c r="D152" s="41" t="s">
        <v>479</v>
      </c>
      <c r="E152" s="41" t="s">
        <v>68</v>
      </c>
      <c r="F152" s="42" t="s">
        <v>36</v>
      </c>
      <c r="G152" s="42">
        <v>4</v>
      </c>
      <c r="H152" s="41">
        <v>158562</v>
      </c>
      <c r="I152" s="41">
        <v>61393</v>
      </c>
      <c r="J152" s="42" t="s">
        <v>480</v>
      </c>
      <c r="K152" s="42">
        <v>65</v>
      </c>
      <c r="L152" s="42">
        <v>50</v>
      </c>
      <c r="M152" s="42" t="s">
        <v>29</v>
      </c>
      <c r="N152" s="42">
        <v>645</v>
      </c>
      <c r="O152" s="45">
        <v>45982</v>
      </c>
      <c r="P152" s="45">
        <v>45994</v>
      </c>
      <c r="X152" s="41"/>
      <c r="Y152" s="41"/>
      <c r="Z152" s="41"/>
      <c r="AA152" s="41"/>
    </row>
    <row r="153" spans="1:29" x14ac:dyDescent="0.35">
      <c r="A153" s="48" t="s">
        <v>79</v>
      </c>
      <c r="B153" s="109" t="s">
        <v>478</v>
      </c>
      <c r="C153" s="114" t="s">
        <v>81</v>
      </c>
      <c r="D153" s="41" t="s">
        <v>479</v>
      </c>
      <c r="E153" s="41" t="s">
        <v>68</v>
      </c>
      <c r="F153" s="42" t="s">
        <v>36</v>
      </c>
      <c r="G153" s="42">
        <v>4</v>
      </c>
      <c r="H153" s="41">
        <v>158562</v>
      </c>
      <c r="I153" s="41">
        <v>61392</v>
      </c>
      <c r="J153" s="42" t="s">
        <v>481</v>
      </c>
      <c r="K153" s="42">
        <v>65</v>
      </c>
      <c r="L153" s="42">
        <v>50</v>
      </c>
      <c r="M153" s="42" t="s">
        <v>29</v>
      </c>
      <c r="N153" s="42">
        <v>645</v>
      </c>
      <c r="O153" s="45">
        <v>45988</v>
      </c>
      <c r="P153" s="45">
        <v>45994</v>
      </c>
      <c r="X153" s="41"/>
      <c r="Y153" s="41"/>
      <c r="Z153" s="41"/>
      <c r="AA153" s="41"/>
    </row>
    <row r="157" spans="1:29" x14ac:dyDescent="0.35">
      <c r="D157"/>
    </row>
  </sheetData>
  <autoFilter ref="A1:AD153" xr:uid="{758B90B7-AB1A-4E5B-A081-F96148B648F1}">
    <filterColumn colId="14" showButton="0"/>
    <filterColumn colId="16" showButton="0"/>
    <filterColumn colId="17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18">
    <mergeCell ref="D1:D2"/>
    <mergeCell ref="F1:F2"/>
    <mergeCell ref="B1:B2"/>
    <mergeCell ref="G1:G2"/>
    <mergeCell ref="A1:A2"/>
    <mergeCell ref="X1:AA1"/>
    <mergeCell ref="Q1:S1"/>
    <mergeCell ref="T1:W1"/>
    <mergeCell ref="C1:C2"/>
    <mergeCell ref="E1:E2"/>
    <mergeCell ref="H1:H2"/>
    <mergeCell ref="I1:I2"/>
    <mergeCell ref="J1:J2"/>
    <mergeCell ref="K1:K2"/>
    <mergeCell ref="L1:L2"/>
    <mergeCell ref="M1:M2"/>
    <mergeCell ref="N1:N2"/>
    <mergeCell ref="O1:P1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1DCF064A99D441887C557583945FE2" ma:contentTypeVersion="12" ma:contentTypeDescription="Create a new document." ma:contentTypeScope="" ma:versionID="1503b9b205337d75aa5f767cc62a7702">
  <xsd:schema xmlns:xsd="http://www.w3.org/2001/XMLSchema" xmlns:xs="http://www.w3.org/2001/XMLSchema" xmlns:p="http://schemas.microsoft.com/office/2006/metadata/properties" xmlns:ns2="b65375f3-1c6a-4efc-a0ff-b5cb5b57e446" xmlns:ns3="31bae7fc-a932-48d2-a4fd-52f4a9d31701" targetNamespace="http://schemas.microsoft.com/office/2006/metadata/properties" ma:root="true" ma:fieldsID="21ad5753573771d6f3ee7676f6ebd6fe" ns2:_="" ns3:_="">
    <xsd:import namespace="b65375f3-1c6a-4efc-a0ff-b5cb5b57e446"/>
    <xsd:import namespace="31bae7fc-a932-48d2-a4fd-52f4a9d31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375f3-1c6a-4efc-a0ff-b5cb5b57e4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3a5857-6af6-4703-b05b-a237cc2ed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ae7fc-a932-48d2-a4fd-52f4a9d3170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5f931b9-0e5f-48f3-a006-78b29223bd37}" ma:internalName="TaxCatchAll" ma:showField="CatchAllData" ma:web="31bae7fc-a932-48d2-a4fd-52f4a9d31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bae7fc-a932-48d2-a4fd-52f4a9d31701" xsi:nil="true"/>
    <lcf76f155ced4ddcb4097134ff3c332f xmlns="b65375f3-1c6a-4efc-a0ff-b5cb5b57e4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448566-7888-4E1F-84FC-0358235317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4208C4-AE65-4D97-8DB4-3DB3FCA5CA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375f3-1c6a-4efc-a0ff-b5cb5b57e446"/>
    <ds:schemaRef ds:uri="31bae7fc-a932-48d2-a4fd-52f4a9d31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085BB8-DFD3-4E6F-B77A-58E7F0942069}">
  <ds:schemaRefs>
    <ds:schemaRef ds:uri="http://schemas.microsoft.com/office/2006/metadata/properties"/>
    <ds:schemaRef ds:uri="http://schemas.microsoft.com/office/infopath/2007/PartnerControls"/>
    <ds:schemaRef ds:uri="31bae7fc-a932-48d2-a4fd-52f4a9d31701"/>
    <ds:schemaRef ds:uri="b65375f3-1c6a-4efc-a0ff-b5cb5b57e4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PPAPs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Acosta</dc:creator>
  <cp:keywords/>
  <dc:description/>
  <cp:lastModifiedBy>Santiago Andrade</cp:lastModifiedBy>
  <cp:revision/>
  <dcterms:created xsi:type="dcterms:W3CDTF">2023-11-29T21:23:22Z</dcterms:created>
  <dcterms:modified xsi:type="dcterms:W3CDTF">2026-01-29T03:14:51Z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0x010100151DCF064A99D441887C557583945FE2</vt:lpwstr>
  </property>
  <property fmtid="{D5CDD505-2E9C-101B-9397-08002B2CF9AE}" pid="3" name="Order">
    <vt:r8>11132600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