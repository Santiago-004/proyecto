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y\Downloads\"/>
    </mc:Choice>
  </mc:AlternateContent>
  <xr:revisionPtr revIDLastSave="0" documentId="13_ncr:1_{95735E56-91C2-446A-AD9B-24C8E2C6C179}" xr6:coauthVersionLast="47" xr6:coauthVersionMax="47" xr10:uidLastSave="{00000000-0000-0000-0000-000000000000}"/>
  <bookViews>
    <workbookView xWindow="-110" yWindow="-110" windowWidth="19420" windowHeight="11500" xr2:uid="{BD8CC6CC-6167-438A-A6F9-D2E83A13C2EF}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_xlnm._FilterDatabase" localSheetId="0" hidden="1">Hoja1!$A$1:$AJ$1128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66" i="1" l="1"/>
  <c r="AI1128" i="1" l="1"/>
  <c r="AJ1128" i="1" s="1"/>
  <c r="AI1127" i="1"/>
  <c r="AJ1127" i="1" s="1"/>
  <c r="AI1126" i="1"/>
  <c r="AJ1126" i="1" s="1"/>
  <c r="AI1125" i="1"/>
  <c r="AJ1125" i="1" s="1"/>
  <c r="AI1124" i="1"/>
  <c r="AJ1124" i="1" s="1"/>
  <c r="AI1123" i="1"/>
  <c r="AJ1123" i="1" s="1"/>
  <c r="AI1122" i="1"/>
  <c r="AJ1122" i="1" s="1"/>
  <c r="AI1121" i="1"/>
  <c r="AJ1121" i="1" s="1"/>
  <c r="AI1119" i="1"/>
  <c r="AJ1119" i="1" s="1"/>
  <c r="AI1118" i="1"/>
  <c r="AJ1118" i="1" s="1"/>
  <c r="AI1117" i="1"/>
  <c r="AJ1117" i="1" s="1"/>
  <c r="AI1116" i="1"/>
  <c r="AJ1116" i="1" s="1"/>
  <c r="AI1006" i="1"/>
  <c r="AJ1006" i="1" s="1"/>
  <c r="AI1005" i="1"/>
  <c r="AJ1005" i="1" s="1"/>
  <c r="AI998" i="1"/>
  <c r="AJ998" i="1" s="1"/>
  <c r="AI997" i="1"/>
  <c r="AJ997" i="1" s="1"/>
  <c r="AI996" i="1"/>
  <c r="AJ996" i="1" s="1"/>
  <c r="AI990" i="1"/>
  <c r="AJ990" i="1" s="1"/>
  <c r="AI989" i="1"/>
  <c r="AJ989" i="1" s="1"/>
  <c r="AI961" i="1"/>
  <c r="AJ961" i="1" s="1"/>
  <c r="AG1128" i="1"/>
  <c r="AG1127" i="1"/>
  <c r="AG1126" i="1"/>
  <c r="AG1125" i="1"/>
  <c r="AG1124" i="1"/>
  <c r="AG1123" i="1"/>
  <c r="AG1122" i="1"/>
  <c r="AG1121" i="1"/>
  <c r="AG1120" i="1"/>
  <c r="AJ1120" i="1" s="1"/>
  <c r="AG1119" i="1"/>
  <c r="AG1118" i="1"/>
  <c r="AG1117" i="1"/>
  <c r="AG1116" i="1"/>
  <c r="AG1115" i="1"/>
  <c r="AH1115" i="1" s="1"/>
  <c r="AI1115" i="1" s="1"/>
  <c r="AJ1115" i="1" s="1"/>
  <c r="AG1114" i="1"/>
  <c r="AH1114" i="1" s="1"/>
  <c r="AG1113" i="1"/>
  <c r="AH1113" i="1" s="1"/>
  <c r="AI1113" i="1" s="1"/>
  <c r="AJ1113" i="1" s="1"/>
  <c r="AG1112" i="1"/>
  <c r="AH1112" i="1" s="1"/>
  <c r="AI1112" i="1" s="1"/>
  <c r="AJ1112" i="1" s="1"/>
  <c r="AG1111" i="1"/>
  <c r="AH1111" i="1" s="1"/>
  <c r="AI1111" i="1" s="1"/>
  <c r="AJ1111" i="1" s="1"/>
  <c r="AG1110" i="1"/>
  <c r="AH1110" i="1" s="1"/>
  <c r="AI1110" i="1" s="1"/>
  <c r="AJ1110" i="1" s="1"/>
  <c r="AG1109" i="1"/>
  <c r="AH1109" i="1" s="1"/>
  <c r="AI1109" i="1" s="1"/>
  <c r="AJ1109" i="1" s="1"/>
  <c r="AG1108" i="1"/>
  <c r="AH1108" i="1" s="1"/>
  <c r="AI1108" i="1" s="1"/>
  <c r="AJ1108" i="1" s="1"/>
  <c r="AG1107" i="1"/>
  <c r="AH1107" i="1" s="1"/>
  <c r="AI1107" i="1" s="1"/>
  <c r="AJ1107" i="1" s="1"/>
  <c r="AG1106" i="1"/>
  <c r="AH1106" i="1" s="1"/>
  <c r="AI1106" i="1" s="1"/>
  <c r="AJ1106" i="1" s="1"/>
  <c r="AG1105" i="1"/>
  <c r="AH1105" i="1" s="1"/>
  <c r="AI1105" i="1" s="1"/>
  <c r="AJ1105" i="1" s="1"/>
  <c r="AG1104" i="1"/>
  <c r="AH1104" i="1" s="1"/>
  <c r="AI1104" i="1" s="1"/>
  <c r="AJ1104" i="1" s="1"/>
  <c r="AG1103" i="1"/>
  <c r="AH1103" i="1" s="1"/>
  <c r="AI1103" i="1" s="1"/>
  <c r="AJ1103" i="1" s="1"/>
  <c r="AG1102" i="1"/>
  <c r="AH1102" i="1" s="1"/>
  <c r="AI1102" i="1" s="1"/>
  <c r="AJ1102" i="1" s="1"/>
  <c r="AG1101" i="1"/>
  <c r="AH1101" i="1" s="1"/>
  <c r="AI1101" i="1" s="1"/>
  <c r="AJ1101" i="1" s="1"/>
  <c r="AG1100" i="1"/>
  <c r="AH1100" i="1" s="1"/>
  <c r="AI1100" i="1" s="1"/>
  <c r="AJ1100" i="1" s="1"/>
  <c r="AG1099" i="1"/>
  <c r="AH1099" i="1" s="1"/>
  <c r="AI1099" i="1" s="1"/>
  <c r="AJ1099" i="1" s="1"/>
  <c r="AG1097" i="1"/>
  <c r="AH1097" i="1" s="1"/>
  <c r="AG1096" i="1"/>
  <c r="AH1096" i="1" s="1"/>
  <c r="AI1096" i="1" s="1"/>
  <c r="AJ1096" i="1" s="1"/>
  <c r="AG1095" i="1"/>
  <c r="AH1095" i="1" s="1"/>
  <c r="AI1095" i="1" s="1"/>
  <c r="AJ1095" i="1" s="1"/>
  <c r="AG1094" i="1"/>
  <c r="AH1094" i="1" s="1"/>
  <c r="AI1094" i="1" s="1"/>
  <c r="AJ1094" i="1" s="1"/>
  <c r="AG1093" i="1"/>
  <c r="AH1093" i="1" s="1"/>
  <c r="AI1093" i="1" s="1"/>
  <c r="AJ1093" i="1" s="1"/>
  <c r="AG1092" i="1"/>
  <c r="AH1092" i="1" s="1"/>
  <c r="AI1092" i="1" s="1"/>
  <c r="AJ1092" i="1" s="1"/>
  <c r="AG1091" i="1"/>
  <c r="AH1091" i="1" s="1"/>
  <c r="AI1091" i="1" s="1"/>
  <c r="AJ1091" i="1" s="1"/>
  <c r="AG1090" i="1"/>
  <c r="AH1090" i="1" s="1"/>
  <c r="AI1090" i="1" s="1"/>
  <c r="AJ1090" i="1" s="1"/>
  <c r="AG1089" i="1"/>
  <c r="AH1089" i="1" s="1"/>
  <c r="AI1089" i="1" s="1"/>
  <c r="AJ1089" i="1" s="1"/>
  <c r="AG1088" i="1"/>
  <c r="AH1088" i="1" s="1"/>
  <c r="AI1088" i="1" s="1"/>
  <c r="AJ1088" i="1" s="1"/>
  <c r="AG1087" i="1"/>
  <c r="AH1087" i="1" s="1"/>
  <c r="AI1087" i="1" s="1"/>
  <c r="AJ1087" i="1" s="1"/>
  <c r="AG1086" i="1"/>
  <c r="AH1086" i="1" s="1"/>
  <c r="AI1086" i="1" s="1"/>
  <c r="AJ1086" i="1" s="1"/>
  <c r="AG1085" i="1"/>
  <c r="AH1085" i="1" s="1"/>
  <c r="AI1085" i="1" s="1"/>
  <c r="AJ1085" i="1" s="1"/>
  <c r="AG1084" i="1"/>
  <c r="AH1084" i="1" s="1"/>
  <c r="AI1084" i="1" s="1"/>
  <c r="AJ1084" i="1" s="1"/>
  <c r="AG1083" i="1"/>
  <c r="AH1083" i="1" s="1"/>
  <c r="AI1083" i="1" s="1"/>
  <c r="AJ1083" i="1" s="1"/>
  <c r="AG1082" i="1"/>
  <c r="AH1082" i="1" s="1"/>
  <c r="AI1082" i="1" s="1"/>
  <c r="AJ1082" i="1" s="1"/>
  <c r="AG1081" i="1"/>
  <c r="AH1081" i="1" s="1"/>
  <c r="AI1081" i="1" s="1"/>
  <c r="AJ1081" i="1" s="1"/>
  <c r="AG1080" i="1"/>
  <c r="AH1080" i="1" s="1"/>
  <c r="AI1080" i="1" s="1"/>
  <c r="AJ1080" i="1" s="1"/>
  <c r="AG1079" i="1"/>
  <c r="AH1079" i="1" s="1"/>
  <c r="AI1079" i="1" s="1"/>
  <c r="AJ1079" i="1" s="1"/>
  <c r="AG1078" i="1"/>
  <c r="AH1078" i="1" s="1"/>
  <c r="AI1078" i="1" s="1"/>
  <c r="AJ1078" i="1" s="1"/>
  <c r="AG1077" i="1"/>
  <c r="AH1077" i="1" s="1"/>
  <c r="AI1077" i="1" s="1"/>
  <c r="AJ1077" i="1" s="1"/>
  <c r="AG1076" i="1"/>
  <c r="AH1076" i="1" s="1"/>
  <c r="AI1076" i="1" s="1"/>
  <c r="AJ1076" i="1" s="1"/>
  <c r="AG1075" i="1"/>
  <c r="AH1075" i="1" s="1"/>
  <c r="AI1075" i="1" s="1"/>
  <c r="AJ1075" i="1" s="1"/>
  <c r="AG1074" i="1"/>
  <c r="AH1074" i="1" s="1"/>
  <c r="AI1074" i="1" s="1"/>
  <c r="AJ1074" i="1" s="1"/>
  <c r="AG1073" i="1"/>
  <c r="AH1073" i="1" s="1"/>
  <c r="AI1073" i="1" s="1"/>
  <c r="AJ1073" i="1" s="1"/>
  <c r="AG1072" i="1"/>
  <c r="AH1072" i="1" s="1"/>
  <c r="AI1072" i="1" s="1"/>
  <c r="AJ1072" i="1" s="1"/>
  <c r="AG1071" i="1"/>
  <c r="AH1071" i="1" s="1"/>
  <c r="AI1071" i="1" s="1"/>
  <c r="AJ1071" i="1" s="1"/>
  <c r="AG1070" i="1"/>
  <c r="AH1070" i="1" s="1"/>
  <c r="AI1070" i="1" s="1"/>
  <c r="AJ1070" i="1" s="1"/>
  <c r="AG1069" i="1"/>
  <c r="AH1069" i="1" s="1"/>
  <c r="AI1069" i="1" s="1"/>
  <c r="AJ1069" i="1" s="1"/>
  <c r="AG1068" i="1"/>
  <c r="AH1068" i="1" s="1"/>
  <c r="AI1068" i="1" s="1"/>
  <c r="AJ1068" i="1" s="1"/>
  <c r="AG1067" i="1"/>
  <c r="AH1067" i="1" s="1"/>
  <c r="AI1067" i="1" s="1"/>
  <c r="AJ1067" i="1" s="1"/>
  <c r="AG1066" i="1"/>
  <c r="AH1066" i="1" s="1"/>
  <c r="AI1066" i="1" s="1"/>
  <c r="AJ1066" i="1" s="1"/>
  <c r="AG1065" i="1"/>
  <c r="AH1065" i="1" s="1"/>
  <c r="AI1065" i="1" s="1"/>
  <c r="AJ1065" i="1" s="1"/>
  <c r="AG1064" i="1"/>
  <c r="AH1064" i="1" s="1"/>
  <c r="AI1064" i="1" s="1"/>
  <c r="AJ1064" i="1" s="1"/>
  <c r="AG1063" i="1"/>
  <c r="AH1063" i="1" s="1"/>
  <c r="AI1063" i="1" s="1"/>
  <c r="AJ1063" i="1" s="1"/>
  <c r="AG1062" i="1"/>
  <c r="AH1062" i="1" s="1"/>
  <c r="AI1062" i="1" s="1"/>
  <c r="AJ1062" i="1" s="1"/>
  <c r="AG1061" i="1"/>
  <c r="AH1061" i="1" s="1"/>
  <c r="AI1061" i="1" s="1"/>
  <c r="AJ1061" i="1" s="1"/>
  <c r="AG1060" i="1"/>
  <c r="AH1060" i="1" s="1"/>
  <c r="AI1060" i="1" s="1"/>
  <c r="AJ1060" i="1" s="1"/>
  <c r="AG1059" i="1"/>
  <c r="AH1059" i="1" s="1"/>
  <c r="AI1059" i="1" s="1"/>
  <c r="AJ1059" i="1" s="1"/>
  <c r="AG1058" i="1"/>
  <c r="AH1058" i="1" s="1"/>
  <c r="AI1058" i="1" s="1"/>
  <c r="AJ1058" i="1" s="1"/>
  <c r="AG1057" i="1"/>
  <c r="AH1057" i="1" s="1"/>
  <c r="AI1057" i="1" s="1"/>
  <c r="AJ1057" i="1" s="1"/>
  <c r="AG1056" i="1"/>
  <c r="AH1056" i="1" s="1"/>
  <c r="AI1056" i="1" s="1"/>
  <c r="AJ1056" i="1" s="1"/>
  <c r="AG1055" i="1"/>
  <c r="AH1055" i="1" s="1"/>
  <c r="AI1055" i="1" s="1"/>
  <c r="AJ1055" i="1" s="1"/>
  <c r="AG1054" i="1"/>
  <c r="AH1054" i="1" s="1"/>
  <c r="AI1054" i="1" s="1"/>
  <c r="AJ1054" i="1" s="1"/>
  <c r="AG1053" i="1"/>
  <c r="AH1053" i="1" s="1"/>
  <c r="AI1053" i="1" s="1"/>
  <c r="AJ1053" i="1" s="1"/>
  <c r="AG1052" i="1"/>
  <c r="AH1052" i="1" s="1"/>
  <c r="AI1052" i="1" s="1"/>
  <c r="AJ1052" i="1" s="1"/>
  <c r="AG1040" i="1"/>
  <c r="AH1040" i="1" s="1"/>
  <c r="AI1040" i="1" s="1"/>
  <c r="AJ1040" i="1" s="1"/>
  <c r="AG1039" i="1"/>
  <c r="AH1039" i="1" s="1"/>
  <c r="AI1039" i="1" s="1"/>
  <c r="AJ1039" i="1" s="1"/>
  <c r="AG1038" i="1"/>
  <c r="AH1038" i="1" s="1"/>
  <c r="AI1038" i="1" s="1"/>
  <c r="AJ1038" i="1" s="1"/>
  <c r="AG1037" i="1"/>
  <c r="AH1037" i="1" s="1"/>
  <c r="AI1037" i="1" s="1"/>
  <c r="AJ1037" i="1" s="1"/>
  <c r="AG1036" i="1"/>
  <c r="AH1036" i="1" s="1"/>
  <c r="AI1036" i="1" s="1"/>
  <c r="AJ1036" i="1" s="1"/>
  <c r="AG1035" i="1"/>
  <c r="AH1035" i="1" s="1"/>
  <c r="AI1035" i="1" s="1"/>
  <c r="AJ1035" i="1" s="1"/>
  <c r="AG1034" i="1"/>
  <c r="AH1034" i="1" s="1"/>
  <c r="AI1034" i="1" s="1"/>
  <c r="AJ1034" i="1" s="1"/>
  <c r="AG1033" i="1"/>
  <c r="AH1033" i="1" s="1"/>
  <c r="AI1033" i="1" s="1"/>
  <c r="AJ1033" i="1" s="1"/>
  <c r="AG1032" i="1"/>
  <c r="AH1032" i="1" s="1"/>
  <c r="AI1032" i="1" s="1"/>
  <c r="AJ1032" i="1" s="1"/>
  <c r="AG1031" i="1"/>
  <c r="AH1031" i="1" s="1"/>
  <c r="AI1031" i="1" s="1"/>
  <c r="AJ1031" i="1" s="1"/>
  <c r="AG1030" i="1"/>
  <c r="AH1030" i="1" s="1"/>
  <c r="AI1030" i="1" s="1"/>
  <c r="AJ1030" i="1" s="1"/>
  <c r="AG1029" i="1"/>
  <c r="AH1029" i="1" s="1"/>
  <c r="AI1029" i="1" s="1"/>
  <c r="AJ1029" i="1" s="1"/>
  <c r="AG1028" i="1"/>
  <c r="AH1028" i="1" s="1"/>
  <c r="AI1028" i="1" s="1"/>
  <c r="AJ1028" i="1" s="1"/>
  <c r="AG1027" i="1"/>
  <c r="AH1027" i="1" s="1"/>
  <c r="AI1027" i="1" s="1"/>
  <c r="AJ1027" i="1" s="1"/>
  <c r="AG1026" i="1"/>
  <c r="AH1026" i="1" s="1"/>
  <c r="AI1026" i="1" s="1"/>
  <c r="AJ1026" i="1" s="1"/>
  <c r="AG1025" i="1"/>
  <c r="AH1025" i="1" s="1"/>
  <c r="AI1025" i="1" s="1"/>
  <c r="AJ1025" i="1" s="1"/>
  <c r="AG1024" i="1"/>
  <c r="AH1024" i="1" s="1"/>
  <c r="AI1024" i="1" s="1"/>
  <c r="AJ1024" i="1" s="1"/>
  <c r="AG1023" i="1"/>
  <c r="AH1023" i="1" s="1"/>
  <c r="AI1023" i="1" s="1"/>
  <c r="AJ1023" i="1" s="1"/>
  <c r="AG1022" i="1"/>
  <c r="AH1022" i="1" s="1"/>
  <c r="AI1022" i="1" s="1"/>
  <c r="AJ1022" i="1" s="1"/>
  <c r="AG1021" i="1"/>
  <c r="AH1021" i="1" s="1"/>
  <c r="AI1021" i="1" s="1"/>
  <c r="AJ1021" i="1" s="1"/>
  <c r="AG1020" i="1"/>
  <c r="AH1020" i="1" s="1"/>
  <c r="AI1020" i="1" s="1"/>
  <c r="AJ1020" i="1" s="1"/>
  <c r="AG1019" i="1"/>
  <c r="AH1019" i="1" s="1"/>
  <c r="AI1019" i="1" s="1"/>
  <c r="AJ1019" i="1" s="1"/>
  <c r="AG1018" i="1"/>
  <c r="AH1018" i="1" s="1"/>
  <c r="AI1018" i="1" s="1"/>
  <c r="AJ1018" i="1" s="1"/>
  <c r="AG1017" i="1"/>
  <c r="AH1017" i="1" s="1"/>
  <c r="AI1017" i="1" s="1"/>
  <c r="AJ1017" i="1" s="1"/>
  <c r="AG1016" i="1"/>
  <c r="AH1016" i="1" s="1"/>
  <c r="AI1016" i="1" s="1"/>
  <c r="AJ1016" i="1" s="1"/>
  <c r="AG1015" i="1"/>
  <c r="AH1015" i="1" s="1"/>
  <c r="AI1015" i="1" s="1"/>
  <c r="AJ1015" i="1" s="1"/>
  <c r="AG1014" i="1"/>
  <c r="AH1014" i="1" s="1"/>
  <c r="AI1014" i="1" s="1"/>
  <c r="AJ1014" i="1" s="1"/>
  <c r="AG1013" i="1"/>
  <c r="AH1013" i="1" s="1"/>
  <c r="AI1013" i="1" s="1"/>
  <c r="AJ1013" i="1" s="1"/>
  <c r="AG1012" i="1"/>
  <c r="AH1012" i="1" s="1"/>
  <c r="AI1012" i="1" s="1"/>
  <c r="AJ1012" i="1" s="1"/>
  <c r="AG1011" i="1"/>
  <c r="AH1011" i="1" s="1"/>
  <c r="AI1011" i="1" s="1"/>
  <c r="AJ1011" i="1" s="1"/>
  <c r="AG1010" i="1"/>
  <c r="AH1010" i="1" s="1"/>
  <c r="AI1010" i="1" s="1"/>
  <c r="AJ1010" i="1" s="1"/>
  <c r="AG1009" i="1"/>
  <c r="AH1009" i="1" s="1"/>
  <c r="AI1009" i="1" s="1"/>
  <c r="AJ1009" i="1" s="1"/>
  <c r="AG1008" i="1"/>
  <c r="AH1008" i="1" s="1"/>
  <c r="AI1008" i="1" s="1"/>
  <c r="AJ1008" i="1" s="1"/>
  <c r="AG1007" i="1"/>
  <c r="AH1007" i="1" s="1"/>
  <c r="AI1007" i="1" s="1"/>
  <c r="AJ1007" i="1" s="1"/>
  <c r="AG1006" i="1"/>
  <c r="AG1005" i="1"/>
  <c r="AG1004" i="1"/>
  <c r="AH1004" i="1" s="1"/>
  <c r="AI1004" i="1" s="1"/>
  <c r="AJ1004" i="1" s="1"/>
  <c r="AG1003" i="1"/>
  <c r="AH1003" i="1" s="1"/>
  <c r="AI1003" i="1" s="1"/>
  <c r="AJ1003" i="1" s="1"/>
  <c r="AG1002" i="1"/>
  <c r="AH1002" i="1" s="1"/>
  <c r="AI1002" i="1" s="1"/>
  <c r="AJ1002" i="1" s="1"/>
  <c r="AG1001" i="1"/>
  <c r="AH1001" i="1" s="1"/>
  <c r="AI1001" i="1" s="1"/>
  <c r="AJ1001" i="1" s="1"/>
  <c r="AG1000" i="1"/>
  <c r="AH1000" i="1" s="1"/>
  <c r="AI1000" i="1" s="1"/>
  <c r="AJ1000" i="1" s="1"/>
  <c r="AG999" i="1"/>
  <c r="AH999" i="1" s="1"/>
  <c r="AI999" i="1" s="1"/>
  <c r="AJ999" i="1" s="1"/>
  <c r="AG998" i="1"/>
  <c r="AG997" i="1"/>
  <c r="AG996" i="1"/>
  <c r="AG995" i="1"/>
  <c r="AH995" i="1" s="1"/>
  <c r="AI995" i="1" s="1"/>
  <c r="AJ995" i="1" s="1"/>
  <c r="AG994" i="1"/>
  <c r="AH994" i="1" s="1"/>
  <c r="AI994" i="1" s="1"/>
  <c r="AJ994" i="1" s="1"/>
  <c r="AG993" i="1"/>
  <c r="AH993" i="1" s="1"/>
  <c r="AI993" i="1" s="1"/>
  <c r="AJ993" i="1" s="1"/>
  <c r="AG992" i="1"/>
  <c r="AH992" i="1" s="1"/>
  <c r="AI992" i="1" s="1"/>
  <c r="AJ992" i="1" s="1"/>
  <c r="AG991" i="1"/>
  <c r="AH991" i="1" s="1"/>
  <c r="AI991" i="1" s="1"/>
  <c r="AJ991" i="1" s="1"/>
  <c r="AG990" i="1"/>
  <c r="AG989" i="1"/>
  <c r="AG988" i="1"/>
  <c r="AH988" i="1" s="1"/>
  <c r="AI988" i="1" s="1"/>
  <c r="AJ988" i="1" s="1"/>
  <c r="AG987" i="1"/>
  <c r="AH987" i="1" s="1"/>
  <c r="AI987" i="1" s="1"/>
  <c r="AJ987" i="1" s="1"/>
  <c r="AG986" i="1"/>
  <c r="AH986" i="1" s="1"/>
  <c r="AI986" i="1" s="1"/>
  <c r="AJ986" i="1" s="1"/>
  <c r="AG985" i="1"/>
  <c r="AH985" i="1" s="1"/>
  <c r="AI985" i="1" s="1"/>
  <c r="AJ985" i="1" s="1"/>
  <c r="AG984" i="1"/>
  <c r="AH984" i="1" s="1"/>
  <c r="AI984" i="1" s="1"/>
  <c r="AJ984" i="1" s="1"/>
  <c r="AG983" i="1"/>
  <c r="AH983" i="1" s="1"/>
  <c r="AI983" i="1" s="1"/>
  <c r="AJ983" i="1" s="1"/>
  <c r="AG982" i="1"/>
  <c r="AH982" i="1" s="1"/>
  <c r="AI982" i="1" s="1"/>
  <c r="AJ982" i="1" s="1"/>
  <c r="AG981" i="1"/>
  <c r="AH981" i="1" s="1"/>
  <c r="AI981" i="1" s="1"/>
  <c r="AJ981" i="1" s="1"/>
  <c r="AG980" i="1"/>
  <c r="AH980" i="1" s="1"/>
  <c r="AI980" i="1" s="1"/>
  <c r="AJ980" i="1" s="1"/>
  <c r="AG979" i="1"/>
  <c r="AH979" i="1" s="1"/>
  <c r="AI979" i="1" s="1"/>
  <c r="AJ979" i="1" s="1"/>
  <c r="AG978" i="1"/>
  <c r="AH978" i="1" s="1"/>
  <c r="AI978" i="1" s="1"/>
  <c r="AJ978" i="1" s="1"/>
  <c r="AG977" i="1"/>
  <c r="AH977" i="1" s="1"/>
  <c r="AI977" i="1" s="1"/>
  <c r="AJ977" i="1" s="1"/>
  <c r="AG976" i="1"/>
  <c r="AH976" i="1" s="1"/>
  <c r="AI976" i="1" s="1"/>
  <c r="AJ976" i="1" s="1"/>
  <c r="AG975" i="1"/>
  <c r="AH975" i="1" s="1"/>
  <c r="AI975" i="1" s="1"/>
  <c r="AJ975" i="1" s="1"/>
  <c r="AG974" i="1"/>
  <c r="AH974" i="1" s="1"/>
  <c r="AI974" i="1" s="1"/>
  <c r="AJ974" i="1" s="1"/>
  <c r="AG973" i="1"/>
  <c r="AH973" i="1" s="1"/>
  <c r="AI973" i="1" s="1"/>
  <c r="AJ973" i="1" s="1"/>
  <c r="AG972" i="1"/>
  <c r="AH972" i="1" s="1"/>
  <c r="AI972" i="1" s="1"/>
  <c r="AJ972" i="1" s="1"/>
  <c r="AG971" i="1"/>
  <c r="AH971" i="1" s="1"/>
  <c r="AI971" i="1" s="1"/>
  <c r="AJ971" i="1" s="1"/>
  <c r="AG961" i="1"/>
  <c r="AG959" i="1"/>
  <c r="AH959" i="1" s="1"/>
  <c r="AI959" i="1" s="1"/>
  <c r="AJ959" i="1" s="1"/>
  <c r="AG958" i="1"/>
  <c r="AH958" i="1" s="1"/>
  <c r="AI958" i="1" s="1"/>
  <c r="AJ958" i="1" s="1"/>
  <c r="AG957" i="1"/>
  <c r="AH957" i="1" s="1"/>
  <c r="AI957" i="1" s="1"/>
  <c r="AJ957" i="1" s="1"/>
  <c r="AG956" i="1"/>
  <c r="AH956" i="1" s="1"/>
  <c r="AI956" i="1" s="1"/>
  <c r="AJ956" i="1" s="1"/>
  <c r="AG955" i="1"/>
  <c r="AH955" i="1" s="1"/>
  <c r="AI955" i="1" s="1"/>
  <c r="AJ955" i="1" s="1"/>
  <c r="AG954" i="1"/>
  <c r="AH954" i="1" s="1"/>
  <c r="AI954" i="1" s="1"/>
  <c r="AJ954" i="1" s="1"/>
  <c r="AG953" i="1"/>
  <c r="AI953" i="1" s="1"/>
  <c r="AJ953" i="1" s="1"/>
  <c r="AG952" i="1"/>
  <c r="AH952" i="1" s="1"/>
  <c r="AI952" i="1" s="1"/>
  <c r="AJ952" i="1" s="1"/>
  <c r="AG951" i="1"/>
  <c r="AH951" i="1" s="1"/>
  <c r="AI951" i="1" s="1"/>
  <c r="AJ951" i="1" s="1"/>
  <c r="AG950" i="1"/>
  <c r="AH950" i="1" s="1"/>
  <c r="AI950" i="1" s="1"/>
  <c r="AJ950" i="1" s="1"/>
  <c r="AG949" i="1"/>
  <c r="AH949" i="1" s="1"/>
  <c r="AI949" i="1" s="1"/>
  <c r="AJ949" i="1" s="1"/>
  <c r="AG948" i="1"/>
  <c r="AH948" i="1" s="1"/>
  <c r="AI948" i="1" s="1"/>
  <c r="AJ948" i="1" s="1"/>
  <c r="AG947" i="1"/>
  <c r="AH947" i="1" s="1"/>
  <c r="AI947" i="1" s="1"/>
  <c r="AJ947" i="1" s="1"/>
  <c r="AG946" i="1"/>
  <c r="AH946" i="1" s="1"/>
  <c r="AI946" i="1" s="1"/>
  <c r="AJ946" i="1" s="1"/>
  <c r="AG945" i="1"/>
  <c r="AH945" i="1" s="1"/>
  <c r="AI945" i="1" s="1"/>
  <c r="AJ945" i="1" s="1"/>
  <c r="AG944" i="1"/>
  <c r="AH944" i="1" s="1"/>
  <c r="AI944" i="1" s="1"/>
  <c r="AJ944" i="1" s="1"/>
  <c r="AG943" i="1"/>
  <c r="AH943" i="1" s="1"/>
  <c r="AI943" i="1" s="1"/>
  <c r="AJ943" i="1" s="1"/>
  <c r="AG942" i="1"/>
  <c r="AH942" i="1" s="1"/>
  <c r="AI942" i="1" s="1"/>
  <c r="AJ942" i="1" s="1"/>
  <c r="AG941" i="1"/>
  <c r="AH941" i="1" s="1"/>
  <c r="AI941" i="1" s="1"/>
  <c r="AJ941" i="1" s="1"/>
  <c r="AG940" i="1"/>
  <c r="AH940" i="1" s="1"/>
  <c r="AI940" i="1" s="1"/>
  <c r="AJ940" i="1" s="1"/>
  <c r="AG939" i="1"/>
  <c r="AH939" i="1" s="1"/>
  <c r="AI939" i="1" s="1"/>
  <c r="AJ939" i="1" s="1"/>
  <c r="AG938" i="1"/>
  <c r="AH938" i="1" s="1"/>
  <c r="AI938" i="1" s="1"/>
  <c r="AJ938" i="1" s="1"/>
  <c r="AG937" i="1"/>
  <c r="AH937" i="1" s="1"/>
  <c r="AI937" i="1" s="1"/>
  <c r="AJ937" i="1" s="1"/>
  <c r="AG936" i="1"/>
  <c r="AH936" i="1" s="1"/>
  <c r="AI936" i="1" s="1"/>
  <c r="AJ936" i="1" s="1"/>
  <c r="AG935" i="1"/>
  <c r="AH935" i="1" s="1"/>
  <c r="AI935" i="1" s="1"/>
  <c r="AJ935" i="1" s="1"/>
  <c r="AG934" i="1"/>
  <c r="AH934" i="1" s="1"/>
  <c r="AI934" i="1" s="1"/>
  <c r="AJ934" i="1" s="1"/>
  <c r="AG933" i="1"/>
  <c r="AH933" i="1" s="1"/>
  <c r="AI933" i="1" s="1"/>
  <c r="AJ933" i="1" s="1"/>
  <c r="AG932" i="1"/>
  <c r="AH932" i="1" s="1"/>
  <c r="AI932" i="1" s="1"/>
  <c r="AJ932" i="1" s="1"/>
  <c r="AG931" i="1"/>
  <c r="AH931" i="1" s="1"/>
  <c r="AI931" i="1" s="1"/>
  <c r="AJ931" i="1" s="1"/>
  <c r="AG930" i="1"/>
  <c r="AH930" i="1" s="1"/>
  <c r="AI930" i="1" s="1"/>
  <c r="AJ930" i="1" s="1"/>
  <c r="AG929" i="1"/>
  <c r="AH929" i="1" s="1"/>
  <c r="AI929" i="1" s="1"/>
  <c r="AJ929" i="1" s="1"/>
  <c r="AG928" i="1"/>
  <c r="AH928" i="1" s="1"/>
  <c r="AI928" i="1" s="1"/>
  <c r="AJ928" i="1" s="1"/>
  <c r="AG927" i="1"/>
  <c r="AH927" i="1" s="1"/>
  <c r="AI927" i="1" s="1"/>
  <c r="AJ927" i="1" s="1"/>
  <c r="AG926" i="1"/>
  <c r="AH926" i="1" s="1"/>
  <c r="AI926" i="1" s="1"/>
  <c r="AJ926" i="1" s="1"/>
  <c r="AG925" i="1"/>
  <c r="AH925" i="1" s="1"/>
  <c r="AI925" i="1" s="1"/>
  <c r="AJ925" i="1" s="1"/>
  <c r="AG924" i="1"/>
  <c r="AH924" i="1" s="1"/>
  <c r="AI924" i="1" s="1"/>
  <c r="AJ924" i="1" s="1"/>
  <c r="AG923" i="1"/>
  <c r="AH923" i="1" s="1"/>
  <c r="AI923" i="1" s="1"/>
  <c r="AJ923" i="1" s="1"/>
  <c r="AG922" i="1"/>
  <c r="AH922" i="1" s="1"/>
  <c r="AI922" i="1" s="1"/>
  <c r="AJ922" i="1" s="1"/>
  <c r="AG921" i="1"/>
  <c r="AH921" i="1" s="1"/>
  <c r="AI921" i="1" s="1"/>
  <c r="AJ921" i="1" s="1"/>
  <c r="AG920" i="1"/>
  <c r="AH920" i="1" s="1"/>
  <c r="AI920" i="1" s="1"/>
  <c r="AJ920" i="1" s="1"/>
  <c r="AG919" i="1"/>
  <c r="AH919" i="1" s="1"/>
  <c r="AI919" i="1" s="1"/>
  <c r="AJ919" i="1" s="1"/>
  <c r="AG918" i="1"/>
  <c r="AH918" i="1" s="1"/>
  <c r="AI918" i="1" s="1"/>
  <c r="AJ918" i="1" s="1"/>
  <c r="AG917" i="1"/>
  <c r="AH917" i="1" s="1"/>
  <c r="AI917" i="1" s="1"/>
  <c r="AJ917" i="1" s="1"/>
  <c r="AG916" i="1"/>
  <c r="AH916" i="1" s="1"/>
  <c r="AI916" i="1" s="1"/>
  <c r="AJ916" i="1" s="1"/>
  <c r="AG915" i="1"/>
  <c r="AH915" i="1" s="1"/>
  <c r="AI915" i="1" s="1"/>
  <c r="AJ915" i="1" s="1"/>
  <c r="AG914" i="1"/>
  <c r="AH914" i="1" s="1"/>
  <c r="AI914" i="1" s="1"/>
  <c r="AJ914" i="1" s="1"/>
  <c r="AG913" i="1"/>
  <c r="AH913" i="1" s="1"/>
  <c r="AI913" i="1" s="1"/>
  <c r="AJ913" i="1" s="1"/>
  <c r="AG912" i="1"/>
  <c r="AH912" i="1" s="1"/>
  <c r="AI912" i="1" s="1"/>
  <c r="AJ912" i="1" s="1"/>
  <c r="AG911" i="1"/>
  <c r="AH911" i="1" s="1"/>
  <c r="AI911" i="1" s="1"/>
  <c r="AJ911" i="1" s="1"/>
  <c r="AG910" i="1"/>
  <c r="AH910" i="1" s="1"/>
  <c r="AI910" i="1" s="1"/>
  <c r="AJ910" i="1" s="1"/>
  <c r="AG909" i="1"/>
  <c r="AH909" i="1" s="1"/>
  <c r="AI909" i="1" s="1"/>
  <c r="AJ909" i="1" s="1"/>
  <c r="AG908" i="1"/>
  <c r="AH908" i="1" s="1"/>
  <c r="AI908" i="1" s="1"/>
  <c r="AJ908" i="1" s="1"/>
  <c r="AG907" i="1"/>
  <c r="AH907" i="1" s="1"/>
  <c r="AI907" i="1" s="1"/>
  <c r="AJ907" i="1" s="1"/>
  <c r="AG906" i="1"/>
  <c r="AH906" i="1" s="1"/>
  <c r="AI906" i="1" s="1"/>
  <c r="AJ906" i="1" s="1"/>
  <c r="AG905" i="1"/>
  <c r="AH905" i="1" s="1"/>
  <c r="AI905" i="1" s="1"/>
  <c r="AJ905" i="1" s="1"/>
  <c r="AG904" i="1"/>
  <c r="AH904" i="1" s="1"/>
  <c r="AI904" i="1" s="1"/>
  <c r="AJ904" i="1" s="1"/>
  <c r="AG903" i="1"/>
  <c r="AH903" i="1" s="1"/>
  <c r="AI903" i="1" s="1"/>
  <c r="AJ903" i="1" s="1"/>
  <c r="AG902" i="1"/>
  <c r="AH902" i="1" s="1"/>
  <c r="AI902" i="1" s="1"/>
  <c r="AJ902" i="1" s="1"/>
  <c r="AG901" i="1"/>
  <c r="AH901" i="1" s="1"/>
  <c r="AI901" i="1" s="1"/>
  <c r="AJ901" i="1" s="1"/>
  <c r="AG899" i="1"/>
  <c r="AH899" i="1" s="1"/>
  <c r="AI899" i="1" s="1"/>
  <c r="AJ899" i="1" s="1"/>
  <c r="AG898" i="1"/>
  <c r="AH898" i="1" s="1"/>
  <c r="AI898" i="1" s="1"/>
  <c r="AJ898" i="1" s="1"/>
  <c r="AG897" i="1"/>
  <c r="AH897" i="1" s="1"/>
  <c r="AI897" i="1" s="1"/>
  <c r="AJ897" i="1" s="1"/>
  <c r="AG896" i="1"/>
  <c r="AH896" i="1" s="1"/>
  <c r="AI896" i="1" s="1"/>
  <c r="AJ896" i="1" s="1"/>
  <c r="AG895" i="1"/>
  <c r="AH895" i="1" s="1"/>
  <c r="AI895" i="1" s="1"/>
  <c r="AJ895" i="1" s="1"/>
  <c r="AG894" i="1"/>
  <c r="AH894" i="1" s="1"/>
  <c r="AI894" i="1" s="1"/>
  <c r="AJ894" i="1" s="1"/>
  <c r="AG893" i="1"/>
  <c r="AH893" i="1" s="1"/>
  <c r="AI893" i="1" s="1"/>
  <c r="AJ893" i="1" s="1"/>
  <c r="AG892" i="1"/>
  <c r="AH892" i="1" s="1"/>
  <c r="AI892" i="1" s="1"/>
  <c r="AJ892" i="1" s="1"/>
  <c r="AG891" i="1"/>
  <c r="AH891" i="1" s="1"/>
  <c r="AI891" i="1" s="1"/>
  <c r="AJ891" i="1" s="1"/>
  <c r="AG890" i="1"/>
  <c r="AH890" i="1" s="1"/>
  <c r="AI890" i="1" s="1"/>
  <c r="AJ890" i="1" s="1"/>
  <c r="AG889" i="1"/>
  <c r="AH889" i="1" s="1"/>
  <c r="AI889" i="1" s="1"/>
  <c r="AJ889" i="1" s="1"/>
  <c r="AG888" i="1"/>
  <c r="AH888" i="1" s="1"/>
  <c r="AI888" i="1" s="1"/>
  <c r="AJ888" i="1" s="1"/>
  <c r="AG887" i="1"/>
  <c r="AH887" i="1" s="1"/>
  <c r="AI887" i="1" s="1"/>
  <c r="AJ887" i="1" s="1"/>
  <c r="AG886" i="1"/>
  <c r="AH886" i="1" s="1"/>
  <c r="AI886" i="1" s="1"/>
  <c r="AJ886" i="1" s="1"/>
  <c r="AG885" i="1"/>
  <c r="AH885" i="1" s="1"/>
  <c r="AI885" i="1" s="1"/>
  <c r="AJ885" i="1" s="1"/>
  <c r="AG884" i="1"/>
  <c r="AH884" i="1" s="1"/>
  <c r="AI884" i="1" s="1"/>
  <c r="AJ884" i="1" s="1"/>
  <c r="AG883" i="1"/>
  <c r="AH883" i="1" s="1"/>
  <c r="AI883" i="1" s="1"/>
  <c r="AJ883" i="1" s="1"/>
  <c r="AG881" i="1"/>
  <c r="AH881" i="1" s="1"/>
  <c r="AI881" i="1" s="1"/>
  <c r="AJ881" i="1" s="1"/>
  <c r="AG880" i="1"/>
  <c r="AH880" i="1" s="1"/>
  <c r="AI880" i="1" s="1"/>
  <c r="AJ880" i="1" s="1"/>
  <c r="AG879" i="1"/>
  <c r="AH879" i="1" s="1"/>
  <c r="AI879" i="1" s="1"/>
  <c r="AJ879" i="1" s="1"/>
  <c r="AG878" i="1"/>
  <c r="AH878" i="1" s="1"/>
  <c r="AI878" i="1" s="1"/>
  <c r="AJ878" i="1" s="1"/>
  <c r="AG877" i="1"/>
  <c r="AH877" i="1" s="1"/>
  <c r="AI877" i="1" s="1"/>
  <c r="AJ877" i="1" s="1"/>
  <c r="AG876" i="1"/>
  <c r="AH876" i="1" s="1"/>
  <c r="AI876" i="1" s="1"/>
  <c r="AJ876" i="1" s="1"/>
  <c r="AG875" i="1"/>
  <c r="AH875" i="1" s="1"/>
  <c r="AI875" i="1" s="1"/>
  <c r="AJ875" i="1" s="1"/>
  <c r="AG872" i="1"/>
  <c r="AH872" i="1" s="1"/>
  <c r="AI872" i="1" s="1"/>
  <c r="AJ872" i="1" s="1"/>
  <c r="AG871" i="1"/>
  <c r="AH871" i="1" s="1"/>
  <c r="AI871" i="1" s="1"/>
  <c r="AJ871" i="1" s="1"/>
  <c r="AG870" i="1"/>
  <c r="AH870" i="1" s="1"/>
  <c r="AI870" i="1" s="1"/>
  <c r="AJ870" i="1" s="1"/>
  <c r="AG869" i="1"/>
  <c r="AH869" i="1" s="1"/>
  <c r="AI869" i="1" s="1"/>
  <c r="AJ869" i="1" s="1"/>
  <c r="AG868" i="1"/>
  <c r="AH868" i="1" s="1"/>
  <c r="AI868" i="1" s="1"/>
  <c r="AJ868" i="1" s="1"/>
  <c r="AG867" i="1"/>
  <c r="AH867" i="1" s="1"/>
  <c r="AI867" i="1" s="1"/>
  <c r="AJ867" i="1" s="1"/>
  <c r="AG866" i="1"/>
  <c r="AH866" i="1" s="1"/>
  <c r="AI866" i="1" s="1"/>
  <c r="AJ866" i="1" s="1"/>
  <c r="AG865" i="1"/>
  <c r="AH865" i="1" s="1"/>
  <c r="AI865" i="1" s="1"/>
  <c r="AJ865" i="1" s="1"/>
  <c r="AG864" i="1"/>
  <c r="AH864" i="1" s="1"/>
  <c r="AI864" i="1" s="1"/>
  <c r="AJ864" i="1" s="1"/>
  <c r="AG863" i="1"/>
  <c r="AH863" i="1" s="1"/>
  <c r="AI863" i="1" s="1"/>
  <c r="AJ863" i="1" s="1"/>
  <c r="AG862" i="1"/>
  <c r="AH862" i="1" s="1"/>
  <c r="AI862" i="1" s="1"/>
  <c r="AJ862" i="1" s="1"/>
  <c r="AG861" i="1"/>
  <c r="AH861" i="1" s="1"/>
  <c r="AI861" i="1" s="1"/>
  <c r="AJ861" i="1" s="1"/>
  <c r="AG860" i="1"/>
  <c r="AH860" i="1" s="1"/>
  <c r="AI860" i="1" s="1"/>
  <c r="AJ860" i="1" s="1"/>
  <c r="AG859" i="1"/>
  <c r="AH859" i="1" s="1"/>
  <c r="AI859" i="1" s="1"/>
  <c r="AJ859" i="1" s="1"/>
  <c r="AG858" i="1"/>
  <c r="AH858" i="1" s="1"/>
  <c r="AI858" i="1" s="1"/>
  <c r="AJ858" i="1" s="1"/>
  <c r="AG857" i="1"/>
  <c r="AH857" i="1" s="1"/>
  <c r="AI857" i="1" s="1"/>
  <c r="AJ857" i="1" s="1"/>
  <c r="AG856" i="1"/>
  <c r="AH856" i="1" s="1"/>
  <c r="AI856" i="1" s="1"/>
  <c r="AJ856" i="1" s="1"/>
  <c r="AG855" i="1"/>
  <c r="AH855" i="1" s="1"/>
  <c r="AI855" i="1" s="1"/>
  <c r="AJ855" i="1" s="1"/>
  <c r="AG854" i="1"/>
  <c r="AH854" i="1" s="1"/>
  <c r="AI854" i="1" s="1"/>
  <c r="AJ854" i="1" s="1"/>
  <c r="AG853" i="1"/>
  <c r="AH853" i="1" s="1"/>
  <c r="AI853" i="1" s="1"/>
  <c r="AJ853" i="1" s="1"/>
  <c r="AG852" i="1"/>
  <c r="AH852" i="1" s="1"/>
  <c r="AI852" i="1" s="1"/>
  <c r="AJ852" i="1" s="1"/>
  <c r="AG851" i="1"/>
  <c r="AH851" i="1" s="1"/>
  <c r="AI851" i="1" s="1"/>
  <c r="AJ851" i="1" s="1"/>
  <c r="AG850" i="1"/>
  <c r="AH850" i="1" s="1"/>
  <c r="AI850" i="1" s="1"/>
  <c r="AJ850" i="1" s="1"/>
  <c r="AG849" i="1"/>
  <c r="AH849" i="1" s="1"/>
  <c r="AI849" i="1" s="1"/>
  <c r="AJ849" i="1" s="1"/>
  <c r="AG848" i="1"/>
  <c r="AH848" i="1" s="1"/>
  <c r="AI848" i="1" s="1"/>
  <c r="AJ848" i="1" s="1"/>
  <c r="AG847" i="1"/>
  <c r="AH847" i="1" s="1"/>
  <c r="AI847" i="1" s="1"/>
  <c r="AJ847" i="1" s="1"/>
  <c r="AG846" i="1"/>
  <c r="AH846" i="1" s="1"/>
  <c r="AI846" i="1" s="1"/>
  <c r="AJ846" i="1" s="1"/>
  <c r="AG845" i="1"/>
  <c r="AH845" i="1" s="1"/>
  <c r="AI845" i="1" s="1"/>
  <c r="AJ845" i="1" s="1"/>
  <c r="AG844" i="1"/>
  <c r="AH844" i="1" s="1"/>
  <c r="AI844" i="1" s="1"/>
  <c r="AJ844" i="1" s="1"/>
  <c r="AG843" i="1"/>
  <c r="AH843" i="1" s="1"/>
  <c r="AI843" i="1" s="1"/>
  <c r="AJ843" i="1" s="1"/>
  <c r="AG842" i="1"/>
  <c r="AH842" i="1" s="1"/>
  <c r="AI842" i="1" s="1"/>
  <c r="AJ842" i="1" s="1"/>
  <c r="AG841" i="1"/>
  <c r="AH841" i="1" s="1"/>
  <c r="AI841" i="1" s="1"/>
  <c r="AJ841" i="1" s="1"/>
  <c r="AG840" i="1"/>
  <c r="AH840" i="1" s="1"/>
  <c r="AI840" i="1" s="1"/>
  <c r="AJ840" i="1" s="1"/>
  <c r="AG839" i="1"/>
  <c r="AH839" i="1" s="1"/>
  <c r="AI839" i="1" s="1"/>
  <c r="AJ839" i="1" s="1"/>
  <c r="AG838" i="1"/>
  <c r="AH838" i="1" s="1"/>
  <c r="AI838" i="1" s="1"/>
  <c r="AJ838" i="1" s="1"/>
  <c r="AG837" i="1"/>
  <c r="AH837" i="1" s="1"/>
  <c r="AI837" i="1" s="1"/>
  <c r="AJ837" i="1" s="1"/>
  <c r="AG836" i="1"/>
  <c r="AH836" i="1" s="1"/>
  <c r="AI836" i="1" s="1"/>
  <c r="AJ836" i="1" s="1"/>
  <c r="AG835" i="1"/>
  <c r="AH835" i="1" s="1"/>
  <c r="AI835" i="1" s="1"/>
  <c r="AJ835" i="1" s="1"/>
  <c r="AG834" i="1"/>
  <c r="AH834" i="1" s="1"/>
  <c r="AI834" i="1" s="1"/>
  <c r="AJ834" i="1" s="1"/>
  <c r="AG833" i="1"/>
  <c r="AH833" i="1" s="1"/>
  <c r="AI833" i="1" s="1"/>
  <c r="AJ833" i="1" s="1"/>
  <c r="AG832" i="1"/>
  <c r="AH832" i="1" s="1"/>
  <c r="AI832" i="1" s="1"/>
  <c r="AJ832" i="1" s="1"/>
  <c r="AG831" i="1"/>
  <c r="AH831" i="1" s="1"/>
  <c r="AI831" i="1" s="1"/>
  <c r="AJ831" i="1" s="1"/>
  <c r="AG830" i="1"/>
  <c r="AH830" i="1" s="1"/>
  <c r="AI830" i="1" s="1"/>
  <c r="AJ830" i="1" s="1"/>
  <c r="AG829" i="1"/>
  <c r="AH829" i="1" s="1"/>
  <c r="AI829" i="1" s="1"/>
  <c r="AJ829" i="1" s="1"/>
  <c r="AG828" i="1"/>
  <c r="AH828" i="1" s="1"/>
  <c r="AI828" i="1" s="1"/>
  <c r="AJ828" i="1" s="1"/>
  <c r="AG827" i="1"/>
  <c r="AH827" i="1" s="1"/>
  <c r="AI827" i="1" s="1"/>
  <c r="AJ827" i="1" s="1"/>
  <c r="AG826" i="1"/>
  <c r="AH826" i="1" s="1"/>
  <c r="AI826" i="1" s="1"/>
  <c r="AJ826" i="1" s="1"/>
  <c r="AG825" i="1"/>
  <c r="AH825" i="1" s="1"/>
  <c r="AI825" i="1" s="1"/>
  <c r="AJ825" i="1" s="1"/>
  <c r="AG824" i="1"/>
  <c r="AH824" i="1" s="1"/>
  <c r="AI824" i="1" s="1"/>
  <c r="AJ824" i="1" s="1"/>
  <c r="AG822" i="1"/>
  <c r="AH822" i="1" s="1"/>
  <c r="AI822" i="1" s="1"/>
  <c r="AJ822" i="1" s="1"/>
  <c r="AG821" i="1"/>
  <c r="AH821" i="1" s="1"/>
  <c r="AI821" i="1" s="1"/>
  <c r="AJ821" i="1" s="1"/>
  <c r="AG820" i="1"/>
  <c r="AH820" i="1" s="1"/>
  <c r="AI820" i="1" s="1"/>
  <c r="AJ820" i="1" s="1"/>
  <c r="AG819" i="1"/>
  <c r="AH819" i="1" s="1"/>
  <c r="AI819" i="1" s="1"/>
  <c r="AJ819" i="1" s="1"/>
  <c r="AG818" i="1"/>
  <c r="AH818" i="1" s="1"/>
  <c r="AI818" i="1" s="1"/>
  <c r="AJ818" i="1" s="1"/>
  <c r="AG817" i="1"/>
  <c r="AH817" i="1" s="1"/>
  <c r="AI817" i="1" s="1"/>
  <c r="AJ817" i="1" s="1"/>
  <c r="AG816" i="1"/>
  <c r="AH816" i="1" s="1"/>
  <c r="AI816" i="1" s="1"/>
  <c r="AJ816" i="1" s="1"/>
  <c r="AG815" i="1"/>
  <c r="AH815" i="1" s="1"/>
  <c r="AI815" i="1" s="1"/>
  <c r="AJ815" i="1" s="1"/>
  <c r="AG814" i="1"/>
  <c r="AH814" i="1" s="1"/>
  <c r="AI814" i="1" s="1"/>
  <c r="AJ814" i="1" s="1"/>
  <c r="AG813" i="1"/>
  <c r="AH813" i="1" s="1"/>
  <c r="AI813" i="1" s="1"/>
  <c r="AJ813" i="1" s="1"/>
  <c r="AG812" i="1"/>
  <c r="AH812" i="1" s="1"/>
  <c r="AI812" i="1" s="1"/>
  <c r="AJ812" i="1" s="1"/>
  <c r="AG811" i="1"/>
  <c r="AH811" i="1" s="1"/>
  <c r="AI811" i="1" s="1"/>
  <c r="AJ811" i="1" s="1"/>
  <c r="AG810" i="1"/>
  <c r="AH810" i="1" s="1"/>
  <c r="AI810" i="1" s="1"/>
  <c r="AJ810" i="1" s="1"/>
  <c r="AG809" i="1"/>
  <c r="AH809" i="1" s="1"/>
  <c r="AI809" i="1" s="1"/>
  <c r="AJ809" i="1" s="1"/>
  <c r="AG808" i="1"/>
  <c r="AH808" i="1" s="1"/>
  <c r="AI808" i="1" s="1"/>
  <c r="AJ808" i="1" s="1"/>
  <c r="AG807" i="1"/>
  <c r="AH807" i="1" s="1"/>
  <c r="AI807" i="1" s="1"/>
  <c r="AJ807" i="1" s="1"/>
  <c r="AG806" i="1"/>
  <c r="AH806" i="1" s="1"/>
  <c r="AI806" i="1" s="1"/>
  <c r="AJ806" i="1" s="1"/>
  <c r="AG805" i="1"/>
  <c r="AH805" i="1" s="1"/>
  <c r="AI805" i="1" s="1"/>
  <c r="AJ805" i="1" s="1"/>
  <c r="AG804" i="1"/>
  <c r="AH804" i="1" s="1"/>
  <c r="AI804" i="1" s="1"/>
  <c r="AJ804" i="1" s="1"/>
  <c r="AG803" i="1"/>
  <c r="AH803" i="1" s="1"/>
  <c r="AI803" i="1" s="1"/>
  <c r="AJ803" i="1" s="1"/>
  <c r="AG802" i="1"/>
  <c r="AH802" i="1" s="1"/>
  <c r="AI802" i="1" s="1"/>
  <c r="AJ802" i="1" s="1"/>
  <c r="AG801" i="1"/>
  <c r="AH801" i="1" s="1"/>
  <c r="AI801" i="1" s="1"/>
  <c r="AJ801" i="1" s="1"/>
  <c r="AG800" i="1"/>
  <c r="AH800" i="1" s="1"/>
  <c r="AI800" i="1" s="1"/>
  <c r="AJ800" i="1" s="1"/>
  <c r="AG799" i="1"/>
  <c r="AH799" i="1" s="1"/>
  <c r="AI799" i="1" s="1"/>
  <c r="AJ799" i="1" s="1"/>
  <c r="AG798" i="1"/>
  <c r="AH798" i="1" s="1"/>
  <c r="AI798" i="1" s="1"/>
  <c r="AJ798" i="1" s="1"/>
  <c r="AG797" i="1"/>
  <c r="AH797" i="1" s="1"/>
  <c r="AI797" i="1" s="1"/>
  <c r="AJ797" i="1" s="1"/>
  <c r="AG796" i="1"/>
  <c r="AH796" i="1" s="1"/>
  <c r="AI796" i="1" s="1"/>
  <c r="AJ796" i="1" s="1"/>
  <c r="AG795" i="1"/>
  <c r="AH795" i="1" s="1"/>
  <c r="AG794" i="1"/>
  <c r="AH794" i="1" s="1"/>
  <c r="AI794" i="1" s="1"/>
  <c r="AJ794" i="1" s="1"/>
  <c r="AG793" i="1"/>
  <c r="AH793" i="1" s="1"/>
  <c r="AI793" i="1" s="1"/>
  <c r="AJ793" i="1" s="1"/>
  <c r="AG792" i="1"/>
  <c r="AH792" i="1" s="1"/>
  <c r="AI792" i="1" s="1"/>
  <c r="AJ792" i="1" s="1"/>
  <c r="AG791" i="1"/>
  <c r="AH791" i="1" s="1"/>
  <c r="AI791" i="1" s="1"/>
  <c r="AJ791" i="1" s="1"/>
  <c r="AG790" i="1"/>
  <c r="AH790" i="1" s="1"/>
  <c r="AI790" i="1" s="1"/>
  <c r="AJ790" i="1" s="1"/>
  <c r="AG789" i="1"/>
  <c r="AH789" i="1" s="1"/>
  <c r="AI789" i="1" s="1"/>
  <c r="AJ789" i="1" s="1"/>
  <c r="AG788" i="1"/>
  <c r="AH788" i="1" s="1"/>
  <c r="AI788" i="1" s="1"/>
  <c r="AJ788" i="1" s="1"/>
  <c r="AG787" i="1"/>
  <c r="AH787" i="1" s="1"/>
  <c r="AI787" i="1" s="1"/>
  <c r="AJ787" i="1" s="1"/>
  <c r="AG786" i="1"/>
  <c r="AH786" i="1" s="1"/>
  <c r="AI786" i="1" s="1"/>
  <c r="AJ786" i="1" s="1"/>
  <c r="AG785" i="1"/>
  <c r="AH785" i="1" s="1"/>
  <c r="AI785" i="1" s="1"/>
  <c r="AJ785" i="1" s="1"/>
  <c r="AG784" i="1"/>
  <c r="AH784" i="1" s="1"/>
  <c r="AI784" i="1" s="1"/>
  <c r="AJ784" i="1" s="1"/>
  <c r="AG783" i="1"/>
  <c r="AH783" i="1" s="1"/>
  <c r="AI783" i="1" s="1"/>
  <c r="AJ783" i="1" s="1"/>
  <c r="AG782" i="1"/>
  <c r="AG781" i="1"/>
  <c r="AH781" i="1" s="1"/>
  <c r="AI781" i="1" s="1"/>
  <c r="AJ781" i="1" s="1"/>
  <c r="AG780" i="1"/>
  <c r="AH780" i="1" s="1"/>
  <c r="AI780" i="1" s="1"/>
  <c r="AJ780" i="1" s="1"/>
  <c r="AG779" i="1"/>
  <c r="AH779" i="1" s="1"/>
  <c r="AI779" i="1" s="1"/>
  <c r="AJ779" i="1" s="1"/>
  <c r="AG778" i="1"/>
  <c r="AG777" i="1"/>
  <c r="AH777" i="1" s="1"/>
  <c r="AI777" i="1" s="1"/>
  <c r="AJ777" i="1" s="1"/>
  <c r="AG776" i="1"/>
  <c r="AH776" i="1" s="1"/>
  <c r="AI776" i="1" s="1"/>
  <c r="AJ776" i="1" s="1"/>
  <c r="AG775" i="1"/>
  <c r="AI775" i="1" s="1"/>
  <c r="AJ775" i="1" s="1"/>
  <c r="AG774" i="1"/>
  <c r="AI774" i="1" s="1"/>
  <c r="AJ774" i="1" s="1"/>
  <c r="AG773" i="1"/>
  <c r="AI773" i="1" s="1"/>
  <c r="AJ773" i="1" s="1"/>
  <c r="AG772" i="1"/>
  <c r="AI772" i="1" s="1"/>
  <c r="AJ772" i="1" s="1"/>
  <c r="AG771" i="1"/>
  <c r="AI771" i="1" s="1"/>
  <c r="AJ771" i="1" s="1"/>
  <c r="AG770" i="1"/>
  <c r="AI770" i="1" s="1"/>
  <c r="AJ770" i="1" s="1"/>
  <c r="AG769" i="1"/>
  <c r="AH769" i="1" s="1"/>
  <c r="AI769" i="1" s="1"/>
  <c r="AJ769" i="1" s="1"/>
  <c r="AG768" i="1"/>
  <c r="AH768" i="1" s="1"/>
  <c r="AI768" i="1" s="1"/>
  <c r="AJ768" i="1" s="1"/>
  <c r="AG767" i="1"/>
  <c r="AH767" i="1" s="1"/>
  <c r="AI767" i="1" s="1"/>
  <c r="AJ767" i="1" s="1"/>
  <c r="AG766" i="1"/>
  <c r="AH766" i="1" s="1"/>
  <c r="AI766" i="1" s="1"/>
  <c r="AJ766" i="1" s="1"/>
  <c r="AG765" i="1"/>
  <c r="AH765" i="1" s="1"/>
  <c r="AI765" i="1" s="1"/>
  <c r="AJ765" i="1" s="1"/>
  <c r="AG764" i="1"/>
  <c r="AH764" i="1" s="1"/>
  <c r="AI764" i="1" s="1"/>
  <c r="AJ764" i="1" s="1"/>
  <c r="AG763" i="1"/>
  <c r="AH763" i="1" s="1"/>
  <c r="AI763" i="1" s="1"/>
  <c r="AJ763" i="1" s="1"/>
  <c r="AG762" i="1"/>
  <c r="AH762" i="1" s="1"/>
  <c r="AI762" i="1" s="1"/>
  <c r="AJ762" i="1" s="1"/>
  <c r="AG761" i="1"/>
  <c r="AH761" i="1" s="1"/>
  <c r="AI761" i="1" s="1"/>
  <c r="AJ761" i="1" s="1"/>
  <c r="AG760" i="1"/>
  <c r="AH760" i="1" s="1"/>
  <c r="AI760" i="1" s="1"/>
  <c r="AJ760" i="1" s="1"/>
  <c r="AG759" i="1"/>
  <c r="AH759" i="1" s="1"/>
  <c r="AI759" i="1" s="1"/>
  <c r="AJ759" i="1" s="1"/>
  <c r="AG758" i="1"/>
  <c r="AH758" i="1" s="1"/>
  <c r="AI758" i="1" s="1"/>
  <c r="AJ758" i="1" s="1"/>
  <c r="AG757" i="1"/>
  <c r="AH757" i="1" s="1"/>
  <c r="AI757" i="1" s="1"/>
  <c r="AJ757" i="1" s="1"/>
  <c r="AG756" i="1"/>
  <c r="AH756" i="1" s="1"/>
  <c r="AI756" i="1" s="1"/>
  <c r="AJ756" i="1" s="1"/>
  <c r="AG755" i="1"/>
  <c r="AH755" i="1" s="1"/>
  <c r="AI755" i="1" s="1"/>
  <c r="AJ755" i="1" s="1"/>
  <c r="AG754" i="1"/>
  <c r="AH754" i="1" s="1"/>
  <c r="AI754" i="1" s="1"/>
  <c r="AJ754" i="1" s="1"/>
  <c r="AG753" i="1"/>
  <c r="AH753" i="1" s="1"/>
  <c r="AI753" i="1" s="1"/>
  <c r="AJ753" i="1" s="1"/>
  <c r="AG752" i="1"/>
  <c r="AH752" i="1" s="1"/>
  <c r="AI752" i="1" s="1"/>
  <c r="AJ752" i="1" s="1"/>
  <c r="AG751" i="1"/>
  <c r="AH751" i="1" s="1"/>
  <c r="AI751" i="1" s="1"/>
  <c r="AJ751" i="1" s="1"/>
  <c r="AG750" i="1"/>
  <c r="AH750" i="1" s="1"/>
  <c r="AI750" i="1" s="1"/>
  <c r="AJ750" i="1" s="1"/>
  <c r="AG749" i="1"/>
  <c r="AH749" i="1" s="1"/>
  <c r="AI749" i="1" s="1"/>
  <c r="AJ749" i="1" s="1"/>
  <c r="AG748" i="1"/>
  <c r="AH748" i="1" s="1"/>
  <c r="AI748" i="1" s="1"/>
  <c r="AJ748" i="1" s="1"/>
  <c r="AG747" i="1"/>
  <c r="AH747" i="1" s="1"/>
  <c r="AI747" i="1" s="1"/>
  <c r="AJ747" i="1" s="1"/>
  <c r="AG746" i="1"/>
  <c r="AH746" i="1" s="1"/>
  <c r="AI746" i="1" s="1"/>
  <c r="AJ746" i="1" s="1"/>
  <c r="AG745" i="1"/>
  <c r="AH745" i="1" s="1"/>
  <c r="AI745" i="1" s="1"/>
  <c r="AJ745" i="1" s="1"/>
  <c r="AG744" i="1"/>
  <c r="AH744" i="1" s="1"/>
  <c r="AI744" i="1" s="1"/>
  <c r="AJ744" i="1" s="1"/>
  <c r="AG743" i="1"/>
  <c r="AH743" i="1" s="1"/>
  <c r="AI743" i="1" s="1"/>
  <c r="AJ743" i="1" s="1"/>
  <c r="AG742" i="1"/>
  <c r="AH742" i="1" s="1"/>
  <c r="AI742" i="1" s="1"/>
  <c r="AJ742" i="1" s="1"/>
  <c r="AG741" i="1"/>
  <c r="AH741" i="1" s="1"/>
  <c r="AI741" i="1" s="1"/>
  <c r="AJ741" i="1" s="1"/>
  <c r="AG740" i="1"/>
  <c r="AH740" i="1" s="1"/>
  <c r="AI740" i="1" s="1"/>
  <c r="AJ740" i="1" s="1"/>
  <c r="AG739" i="1"/>
  <c r="AH739" i="1" s="1"/>
  <c r="AI739" i="1" s="1"/>
  <c r="AJ739" i="1" s="1"/>
  <c r="AG738" i="1"/>
  <c r="AH738" i="1" s="1"/>
  <c r="AI738" i="1" s="1"/>
  <c r="AJ738" i="1" s="1"/>
  <c r="AG737" i="1"/>
  <c r="AH737" i="1" s="1"/>
  <c r="AI737" i="1" s="1"/>
  <c r="AJ737" i="1" s="1"/>
  <c r="AG736" i="1"/>
  <c r="AH736" i="1" s="1"/>
  <c r="AI736" i="1" s="1"/>
  <c r="AJ736" i="1" s="1"/>
  <c r="AG735" i="1"/>
  <c r="AH735" i="1" s="1"/>
  <c r="AI735" i="1" s="1"/>
  <c r="AJ735" i="1" s="1"/>
  <c r="AG734" i="1"/>
  <c r="AH734" i="1" s="1"/>
  <c r="AI734" i="1" s="1"/>
  <c r="AJ734" i="1" s="1"/>
  <c r="AG733" i="1"/>
  <c r="AH733" i="1" s="1"/>
  <c r="AI733" i="1" s="1"/>
  <c r="AJ733" i="1" s="1"/>
  <c r="AG732" i="1"/>
  <c r="AH732" i="1" s="1"/>
  <c r="AI732" i="1" s="1"/>
  <c r="AJ732" i="1" s="1"/>
  <c r="AG731" i="1"/>
  <c r="AH731" i="1" s="1"/>
  <c r="AI731" i="1" s="1"/>
  <c r="AJ731" i="1" s="1"/>
  <c r="AG730" i="1"/>
  <c r="AH730" i="1" s="1"/>
  <c r="AI730" i="1" s="1"/>
  <c r="AJ730" i="1" s="1"/>
  <c r="AG729" i="1"/>
  <c r="AH729" i="1" s="1"/>
  <c r="AI729" i="1" s="1"/>
  <c r="AJ729" i="1" s="1"/>
  <c r="AG728" i="1"/>
  <c r="AH728" i="1" s="1"/>
  <c r="AI728" i="1" s="1"/>
  <c r="AJ728" i="1" s="1"/>
  <c r="AG727" i="1"/>
  <c r="AH727" i="1" s="1"/>
  <c r="AI727" i="1" s="1"/>
  <c r="AJ727" i="1" s="1"/>
  <c r="AG726" i="1"/>
  <c r="AH726" i="1" s="1"/>
  <c r="AI726" i="1" s="1"/>
  <c r="AJ726" i="1" s="1"/>
  <c r="AG725" i="1"/>
  <c r="AH725" i="1" s="1"/>
  <c r="AI725" i="1" s="1"/>
  <c r="AJ725" i="1" s="1"/>
  <c r="AG724" i="1"/>
  <c r="AH724" i="1" s="1"/>
  <c r="AI724" i="1" s="1"/>
  <c r="AJ724" i="1" s="1"/>
  <c r="AG723" i="1"/>
  <c r="AH723" i="1" s="1"/>
  <c r="AI723" i="1" s="1"/>
  <c r="AJ723" i="1" s="1"/>
  <c r="AG722" i="1"/>
  <c r="AH722" i="1" s="1"/>
  <c r="AI722" i="1" s="1"/>
  <c r="AJ722" i="1" s="1"/>
  <c r="AG721" i="1"/>
  <c r="AH721" i="1" s="1"/>
  <c r="AI721" i="1" s="1"/>
  <c r="AJ721" i="1" s="1"/>
  <c r="AG720" i="1"/>
  <c r="AH720" i="1" s="1"/>
  <c r="AI720" i="1" s="1"/>
  <c r="AJ720" i="1" s="1"/>
  <c r="AG718" i="1"/>
  <c r="AH718" i="1" s="1"/>
  <c r="AI718" i="1" s="1"/>
  <c r="AJ718" i="1" s="1"/>
  <c r="AG717" i="1"/>
  <c r="AH717" i="1" s="1"/>
  <c r="AI717" i="1" s="1"/>
  <c r="AJ717" i="1" s="1"/>
  <c r="AG716" i="1"/>
  <c r="AH716" i="1" s="1"/>
  <c r="AI716" i="1" s="1"/>
  <c r="AJ716" i="1" s="1"/>
  <c r="AG715" i="1"/>
  <c r="AH715" i="1" s="1"/>
  <c r="AI715" i="1" s="1"/>
  <c r="AJ715" i="1" s="1"/>
  <c r="AG714" i="1"/>
  <c r="AH714" i="1" s="1"/>
  <c r="AI714" i="1" s="1"/>
  <c r="AJ714" i="1" s="1"/>
  <c r="AG713" i="1"/>
  <c r="AH713" i="1" s="1"/>
  <c r="AI713" i="1" s="1"/>
  <c r="AJ713" i="1" s="1"/>
  <c r="AG712" i="1"/>
  <c r="AH712" i="1" s="1"/>
  <c r="AI712" i="1" s="1"/>
  <c r="AJ712" i="1" s="1"/>
  <c r="AG711" i="1"/>
  <c r="AH711" i="1" s="1"/>
  <c r="AI711" i="1" s="1"/>
  <c r="AJ711" i="1" s="1"/>
  <c r="AG710" i="1"/>
  <c r="AH710" i="1" s="1"/>
  <c r="AI710" i="1" s="1"/>
  <c r="AJ710" i="1" s="1"/>
  <c r="AG709" i="1"/>
  <c r="AH709" i="1" s="1"/>
  <c r="AI709" i="1" s="1"/>
  <c r="AJ709" i="1" s="1"/>
  <c r="AG708" i="1"/>
  <c r="AH708" i="1" s="1"/>
  <c r="AI708" i="1" s="1"/>
  <c r="AJ708" i="1" s="1"/>
  <c r="AG707" i="1"/>
  <c r="AH707" i="1" s="1"/>
  <c r="AI707" i="1" s="1"/>
  <c r="AJ707" i="1" s="1"/>
  <c r="AG706" i="1"/>
  <c r="AH706" i="1" s="1"/>
  <c r="AI706" i="1" s="1"/>
  <c r="AJ706" i="1" s="1"/>
  <c r="AG705" i="1"/>
  <c r="AH705" i="1" s="1"/>
  <c r="AI705" i="1" s="1"/>
  <c r="AJ705" i="1" s="1"/>
  <c r="AG704" i="1"/>
  <c r="AH704" i="1" s="1"/>
  <c r="AI704" i="1" s="1"/>
  <c r="AJ704" i="1" s="1"/>
  <c r="AG703" i="1"/>
  <c r="AH703" i="1" s="1"/>
  <c r="AI703" i="1" s="1"/>
  <c r="AJ703" i="1" s="1"/>
  <c r="AG702" i="1"/>
  <c r="AH702" i="1" s="1"/>
  <c r="AI702" i="1" s="1"/>
  <c r="AJ702" i="1" s="1"/>
  <c r="AG701" i="1"/>
  <c r="AH701" i="1" s="1"/>
  <c r="AI701" i="1" s="1"/>
  <c r="AJ701" i="1" s="1"/>
  <c r="AG698" i="1"/>
  <c r="AH698" i="1" s="1"/>
  <c r="AI698" i="1" s="1"/>
  <c r="AJ698" i="1" s="1"/>
  <c r="AG697" i="1"/>
  <c r="AH697" i="1" s="1"/>
  <c r="AI697" i="1" s="1"/>
  <c r="AJ697" i="1" s="1"/>
  <c r="AG696" i="1"/>
  <c r="AH696" i="1" s="1"/>
  <c r="AI696" i="1" s="1"/>
  <c r="AJ696" i="1" s="1"/>
  <c r="AG695" i="1"/>
  <c r="AH695" i="1" s="1"/>
  <c r="AI695" i="1" s="1"/>
  <c r="AJ695" i="1" s="1"/>
  <c r="AG694" i="1"/>
  <c r="AH694" i="1" s="1"/>
  <c r="AI694" i="1" s="1"/>
  <c r="AJ694" i="1" s="1"/>
  <c r="AG693" i="1"/>
  <c r="AH693" i="1" s="1"/>
  <c r="AI693" i="1" s="1"/>
  <c r="AJ693" i="1" s="1"/>
  <c r="AG692" i="1"/>
  <c r="AH692" i="1" s="1"/>
  <c r="AI692" i="1" s="1"/>
  <c r="AJ692" i="1" s="1"/>
  <c r="AG691" i="1"/>
  <c r="AH691" i="1" s="1"/>
  <c r="AI691" i="1" s="1"/>
  <c r="AJ691" i="1" s="1"/>
  <c r="AG690" i="1"/>
  <c r="AH690" i="1" s="1"/>
  <c r="AI690" i="1" s="1"/>
  <c r="AJ690" i="1" s="1"/>
  <c r="AG689" i="1"/>
  <c r="AH689" i="1" s="1"/>
  <c r="AI689" i="1" s="1"/>
  <c r="AJ689" i="1" s="1"/>
  <c r="AG688" i="1"/>
  <c r="AH688" i="1" s="1"/>
  <c r="AI688" i="1" s="1"/>
  <c r="AJ688" i="1" s="1"/>
  <c r="AG687" i="1"/>
  <c r="AH687" i="1" s="1"/>
  <c r="AI687" i="1" s="1"/>
  <c r="AJ687" i="1" s="1"/>
  <c r="AG686" i="1"/>
  <c r="AH686" i="1" s="1"/>
  <c r="AI686" i="1" s="1"/>
  <c r="AJ686" i="1" s="1"/>
  <c r="AG685" i="1"/>
  <c r="AH685" i="1" s="1"/>
  <c r="AI685" i="1" s="1"/>
  <c r="AJ685" i="1" s="1"/>
  <c r="AG684" i="1"/>
  <c r="AH684" i="1" s="1"/>
  <c r="AI684" i="1" s="1"/>
  <c r="AJ684" i="1" s="1"/>
  <c r="AG683" i="1"/>
  <c r="AH683" i="1" s="1"/>
  <c r="AI683" i="1" s="1"/>
  <c r="AJ683" i="1" s="1"/>
  <c r="AG682" i="1"/>
  <c r="AH682" i="1" s="1"/>
  <c r="AI682" i="1" s="1"/>
  <c r="AJ682" i="1" s="1"/>
  <c r="AG681" i="1"/>
  <c r="AH681" i="1" s="1"/>
  <c r="AI681" i="1" s="1"/>
  <c r="AJ681" i="1" s="1"/>
  <c r="AG680" i="1"/>
  <c r="AH680" i="1" s="1"/>
  <c r="AI680" i="1" s="1"/>
  <c r="AJ680" i="1" s="1"/>
  <c r="AG679" i="1"/>
  <c r="AH679" i="1" s="1"/>
  <c r="AI679" i="1" s="1"/>
  <c r="AJ679" i="1" s="1"/>
  <c r="AG678" i="1"/>
  <c r="AH678" i="1" s="1"/>
  <c r="AI678" i="1" s="1"/>
  <c r="AJ678" i="1" s="1"/>
  <c r="AG677" i="1"/>
  <c r="AH677" i="1" s="1"/>
  <c r="AI677" i="1" s="1"/>
  <c r="AJ677" i="1" s="1"/>
  <c r="AG675" i="1"/>
  <c r="AH675" i="1" s="1"/>
  <c r="AI675" i="1" s="1"/>
  <c r="AJ675" i="1" s="1"/>
  <c r="AG674" i="1"/>
  <c r="AH674" i="1" s="1"/>
  <c r="AI674" i="1" s="1"/>
  <c r="AJ674" i="1" s="1"/>
  <c r="AG673" i="1"/>
  <c r="AH673" i="1" s="1"/>
  <c r="AI673" i="1" s="1"/>
  <c r="AJ673" i="1" s="1"/>
  <c r="AG672" i="1"/>
  <c r="AH672" i="1" s="1"/>
  <c r="AI672" i="1" s="1"/>
  <c r="AJ672" i="1" s="1"/>
  <c r="AG671" i="1"/>
  <c r="AH671" i="1" s="1"/>
  <c r="AI671" i="1" s="1"/>
  <c r="AJ671" i="1" s="1"/>
  <c r="AG670" i="1"/>
  <c r="AH670" i="1" s="1"/>
  <c r="AI670" i="1" s="1"/>
  <c r="AJ670" i="1" s="1"/>
  <c r="AG669" i="1"/>
  <c r="AH669" i="1" s="1"/>
  <c r="AI669" i="1" s="1"/>
  <c r="AJ669" i="1" s="1"/>
  <c r="AG668" i="1"/>
  <c r="AH668" i="1" s="1"/>
  <c r="AI668" i="1" s="1"/>
  <c r="AJ668" i="1" s="1"/>
  <c r="AG667" i="1"/>
  <c r="AH667" i="1" s="1"/>
  <c r="AI667" i="1" s="1"/>
  <c r="AJ667" i="1" s="1"/>
  <c r="AG666" i="1"/>
  <c r="AH666" i="1" s="1"/>
  <c r="AI666" i="1" s="1"/>
  <c r="AJ666" i="1" s="1"/>
  <c r="AG665" i="1"/>
  <c r="AH665" i="1" s="1"/>
  <c r="AI665" i="1" s="1"/>
  <c r="AJ665" i="1" s="1"/>
  <c r="AG664" i="1"/>
  <c r="AH664" i="1" s="1"/>
  <c r="AJ664" i="1" s="1"/>
  <c r="AG663" i="1"/>
  <c r="AH663" i="1" s="1"/>
  <c r="AI663" i="1" s="1"/>
  <c r="AJ663" i="1" s="1"/>
  <c r="AG662" i="1"/>
  <c r="AH662" i="1" s="1"/>
  <c r="AI662" i="1" s="1"/>
  <c r="AJ662" i="1" s="1"/>
  <c r="AG661" i="1"/>
  <c r="AH661" i="1" s="1"/>
  <c r="AI661" i="1" s="1"/>
  <c r="AJ661" i="1" s="1"/>
  <c r="AG660" i="1"/>
  <c r="AH660" i="1" s="1"/>
  <c r="AI660" i="1" s="1"/>
  <c r="AJ660" i="1" s="1"/>
  <c r="AG659" i="1"/>
  <c r="AH659" i="1" s="1"/>
  <c r="AI659" i="1" s="1"/>
  <c r="AJ659" i="1" s="1"/>
  <c r="AG658" i="1"/>
  <c r="AH658" i="1" s="1"/>
  <c r="AI658" i="1" s="1"/>
  <c r="AJ658" i="1" s="1"/>
  <c r="AG657" i="1"/>
  <c r="AH657" i="1" s="1"/>
  <c r="AI657" i="1" s="1"/>
  <c r="AJ657" i="1" s="1"/>
  <c r="AG656" i="1"/>
  <c r="AH656" i="1" s="1"/>
  <c r="AI656" i="1" s="1"/>
  <c r="AJ656" i="1" s="1"/>
  <c r="AG655" i="1"/>
  <c r="AH655" i="1" s="1"/>
  <c r="AI655" i="1" s="1"/>
  <c r="AJ655" i="1" s="1"/>
  <c r="AG654" i="1"/>
  <c r="AH654" i="1" s="1"/>
  <c r="AI654" i="1" s="1"/>
  <c r="AJ654" i="1" s="1"/>
  <c r="AG653" i="1"/>
  <c r="AH653" i="1" s="1"/>
  <c r="AI653" i="1" s="1"/>
  <c r="AJ653" i="1" s="1"/>
  <c r="AG652" i="1"/>
  <c r="AH652" i="1" s="1"/>
  <c r="AI652" i="1" s="1"/>
  <c r="AJ652" i="1" s="1"/>
  <c r="AG651" i="1"/>
  <c r="AH651" i="1" s="1"/>
  <c r="AI651" i="1" s="1"/>
  <c r="AJ651" i="1" s="1"/>
  <c r="AG650" i="1"/>
  <c r="AH650" i="1" s="1"/>
  <c r="AI650" i="1" s="1"/>
  <c r="AJ650" i="1" s="1"/>
  <c r="AG649" i="1"/>
  <c r="AH649" i="1" s="1"/>
  <c r="AI649" i="1" s="1"/>
  <c r="AJ649" i="1" s="1"/>
  <c r="AG648" i="1"/>
  <c r="AH648" i="1" s="1"/>
  <c r="AI648" i="1" s="1"/>
  <c r="AJ648" i="1" s="1"/>
  <c r="AG647" i="1"/>
  <c r="AH647" i="1" s="1"/>
  <c r="AI647" i="1" s="1"/>
  <c r="AJ647" i="1" s="1"/>
  <c r="AG646" i="1"/>
  <c r="AH646" i="1" s="1"/>
  <c r="AI646" i="1" s="1"/>
  <c r="AJ646" i="1" s="1"/>
  <c r="AG645" i="1"/>
  <c r="AH645" i="1" s="1"/>
  <c r="AI645" i="1" s="1"/>
  <c r="AJ645" i="1" s="1"/>
  <c r="AG644" i="1"/>
  <c r="AH644" i="1" s="1"/>
  <c r="AI644" i="1" s="1"/>
  <c r="AJ644" i="1" s="1"/>
  <c r="AG643" i="1"/>
  <c r="AH643" i="1" s="1"/>
  <c r="AI643" i="1" s="1"/>
  <c r="AJ643" i="1" s="1"/>
  <c r="AG642" i="1"/>
  <c r="AH642" i="1" s="1"/>
  <c r="AI642" i="1" s="1"/>
  <c r="AJ642" i="1" s="1"/>
  <c r="AG641" i="1"/>
  <c r="AH641" i="1" s="1"/>
  <c r="AI641" i="1" s="1"/>
  <c r="AJ641" i="1" s="1"/>
  <c r="AG640" i="1"/>
  <c r="AH640" i="1" s="1"/>
  <c r="AI640" i="1" s="1"/>
  <c r="AJ640" i="1" s="1"/>
  <c r="AG639" i="1"/>
  <c r="AH639" i="1" s="1"/>
  <c r="AI639" i="1" s="1"/>
  <c r="AJ639" i="1" s="1"/>
  <c r="AG638" i="1"/>
  <c r="AH638" i="1" s="1"/>
  <c r="AI638" i="1" s="1"/>
  <c r="AJ638" i="1" s="1"/>
  <c r="AG637" i="1"/>
  <c r="AH637" i="1" s="1"/>
  <c r="AI637" i="1" s="1"/>
  <c r="AJ637" i="1" s="1"/>
  <c r="AG636" i="1"/>
  <c r="AH636" i="1" s="1"/>
  <c r="AJ636" i="1" s="1"/>
  <c r="AG635" i="1"/>
  <c r="AH635" i="1" s="1"/>
  <c r="AI635" i="1" s="1"/>
  <c r="AJ635" i="1" s="1"/>
  <c r="AG634" i="1"/>
  <c r="AH634" i="1" s="1"/>
  <c r="AI634" i="1" s="1"/>
  <c r="AJ634" i="1" s="1"/>
  <c r="AG633" i="1"/>
  <c r="AH633" i="1" s="1"/>
  <c r="AI633" i="1" s="1"/>
  <c r="AJ633" i="1" s="1"/>
  <c r="AG632" i="1"/>
  <c r="AH632" i="1" s="1"/>
  <c r="AI632" i="1" s="1"/>
  <c r="AJ632" i="1" s="1"/>
  <c r="AG631" i="1"/>
  <c r="AH631" i="1" s="1"/>
  <c r="AJ631" i="1" s="1"/>
  <c r="AG630" i="1"/>
  <c r="AH630" i="1" s="1"/>
  <c r="AI630" i="1" s="1"/>
  <c r="AJ630" i="1" s="1"/>
  <c r="AG629" i="1"/>
  <c r="AH629" i="1" s="1"/>
  <c r="AI629" i="1" s="1"/>
  <c r="AJ629" i="1" s="1"/>
  <c r="AG628" i="1"/>
  <c r="AH628" i="1" s="1"/>
  <c r="AI628" i="1" s="1"/>
  <c r="AJ628" i="1" s="1"/>
  <c r="AG627" i="1"/>
  <c r="AH627" i="1" s="1"/>
  <c r="AI627" i="1" s="1"/>
  <c r="AJ627" i="1" s="1"/>
  <c r="AG626" i="1"/>
  <c r="AH626" i="1" s="1"/>
  <c r="AI626" i="1" s="1"/>
  <c r="AJ626" i="1" s="1"/>
  <c r="AG625" i="1"/>
  <c r="AH625" i="1" s="1"/>
  <c r="AI625" i="1" s="1"/>
  <c r="AJ625" i="1" s="1"/>
  <c r="AG624" i="1"/>
  <c r="AH624" i="1" s="1"/>
  <c r="AI624" i="1" s="1"/>
  <c r="AJ624" i="1" s="1"/>
  <c r="AG623" i="1"/>
  <c r="AH623" i="1" s="1"/>
  <c r="AI623" i="1" s="1"/>
  <c r="AJ623" i="1" s="1"/>
  <c r="AG622" i="1"/>
  <c r="AH622" i="1" s="1"/>
  <c r="AI622" i="1" s="1"/>
  <c r="AJ622" i="1" s="1"/>
  <c r="AG621" i="1"/>
  <c r="AH621" i="1" s="1"/>
  <c r="AI621" i="1" s="1"/>
  <c r="AJ621" i="1" s="1"/>
  <c r="AG620" i="1"/>
  <c r="AH620" i="1" s="1"/>
  <c r="AI620" i="1" s="1"/>
  <c r="AJ620" i="1" s="1"/>
  <c r="AG619" i="1"/>
  <c r="AH619" i="1" s="1"/>
  <c r="AJ619" i="1" s="1"/>
  <c r="AG618" i="1"/>
  <c r="AH618" i="1" s="1"/>
  <c r="AJ618" i="1" s="1"/>
  <c r="AG617" i="1"/>
  <c r="AH617" i="1" s="1"/>
  <c r="AJ617" i="1" s="1"/>
  <c r="AG616" i="1"/>
  <c r="AH616" i="1" s="1"/>
  <c r="AJ616" i="1" s="1"/>
  <c r="AG615" i="1"/>
  <c r="AH615" i="1" s="1"/>
  <c r="AI615" i="1" s="1"/>
  <c r="AJ615" i="1" s="1"/>
  <c r="AG614" i="1"/>
  <c r="AH614" i="1" s="1"/>
  <c r="AJ614" i="1" s="1"/>
  <c r="AG613" i="1"/>
  <c r="AH613" i="1" s="1"/>
  <c r="AI613" i="1" s="1"/>
  <c r="AJ613" i="1" s="1"/>
  <c r="AG612" i="1"/>
  <c r="AH612" i="1" s="1"/>
  <c r="AI612" i="1" s="1"/>
  <c r="AJ612" i="1" s="1"/>
  <c r="AG610" i="1"/>
  <c r="AH610" i="1" s="1"/>
  <c r="AI610" i="1" s="1"/>
  <c r="AJ610" i="1" s="1"/>
  <c r="AG609" i="1"/>
  <c r="AH609" i="1" s="1"/>
  <c r="AI609" i="1" s="1"/>
  <c r="AJ609" i="1" s="1"/>
  <c r="AG608" i="1"/>
  <c r="AH608" i="1" s="1"/>
  <c r="AI608" i="1" s="1"/>
  <c r="AJ608" i="1" s="1"/>
  <c r="AG607" i="1"/>
  <c r="AH607" i="1" s="1"/>
  <c r="AI607" i="1" s="1"/>
  <c r="AJ607" i="1" s="1"/>
  <c r="AG606" i="1"/>
  <c r="AH606" i="1" s="1"/>
  <c r="AI606" i="1" s="1"/>
  <c r="AJ606" i="1" s="1"/>
  <c r="AG605" i="1"/>
  <c r="AH605" i="1" s="1"/>
  <c r="AI605" i="1" s="1"/>
  <c r="AJ605" i="1" s="1"/>
  <c r="AG604" i="1"/>
  <c r="AH604" i="1" s="1"/>
  <c r="AI604" i="1" s="1"/>
  <c r="AJ604" i="1" s="1"/>
  <c r="AG603" i="1"/>
  <c r="AH603" i="1" s="1"/>
  <c r="AI603" i="1" s="1"/>
  <c r="AJ603" i="1" s="1"/>
  <c r="AG602" i="1"/>
  <c r="AH602" i="1" s="1"/>
  <c r="AI602" i="1" s="1"/>
  <c r="AJ602" i="1" s="1"/>
  <c r="AG601" i="1"/>
  <c r="AH601" i="1" s="1"/>
  <c r="AI601" i="1" s="1"/>
  <c r="AJ601" i="1" s="1"/>
  <c r="AG600" i="1"/>
  <c r="AH600" i="1" s="1"/>
  <c r="AI600" i="1" s="1"/>
  <c r="AJ600" i="1" s="1"/>
  <c r="AG599" i="1"/>
  <c r="AH599" i="1" s="1"/>
  <c r="AI599" i="1" s="1"/>
  <c r="AJ599" i="1" s="1"/>
  <c r="AG598" i="1"/>
  <c r="AH598" i="1" s="1"/>
  <c r="AI598" i="1" s="1"/>
  <c r="AJ598" i="1" s="1"/>
  <c r="AG597" i="1"/>
  <c r="AH597" i="1" s="1"/>
  <c r="AI597" i="1" s="1"/>
  <c r="AJ597" i="1" s="1"/>
  <c r="AG596" i="1"/>
  <c r="AH596" i="1" s="1"/>
  <c r="AI596" i="1" s="1"/>
  <c r="AJ596" i="1" s="1"/>
  <c r="AG595" i="1"/>
  <c r="AH595" i="1" s="1"/>
  <c r="AI595" i="1" s="1"/>
  <c r="AJ595" i="1" s="1"/>
  <c r="AG594" i="1"/>
  <c r="AH594" i="1" s="1"/>
  <c r="AI594" i="1" s="1"/>
  <c r="AJ594" i="1" s="1"/>
  <c r="AG593" i="1"/>
  <c r="AH593" i="1" s="1"/>
  <c r="AI593" i="1" s="1"/>
  <c r="AJ593" i="1" s="1"/>
  <c r="AG592" i="1"/>
  <c r="AH592" i="1" s="1"/>
  <c r="AI592" i="1" s="1"/>
  <c r="AJ592" i="1" s="1"/>
  <c r="AG591" i="1"/>
  <c r="AH591" i="1" s="1"/>
  <c r="AI591" i="1" s="1"/>
  <c r="AJ591" i="1" s="1"/>
  <c r="AG590" i="1"/>
  <c r="AH590" i="1" s="1"/>
  <c r="AI590" i="1" s="1"/>
  <c r="AJ590" i="1" s="1"/>
  <c r="AG589" i="1"/>
  <c r="AH589" i="1" s="1"/>
  <c r="AI589" i="1" s="1"/>
  <c r="AJ589" i="1" s="1"/>
  <c r="AG587" i="1"/>
  <c r="AH587" i="1" s="1"/>
  <c r="AI587" i="1" s="1"/>
  <c r="AJ587" i="1" s="1"/>
  <c r="AG586" i="1"/>
  <c r="AH586" i="1" s="1"/>
  <c r="AI586" i="1" s="1"/>
  <c r="AJ586" i="1" s="1"/>
  <c r="AG585" i="1"/>
  <c r="AH585" i="1" s="1"/>
  <c r="AI585" i="1" s="1"/>
  <c r="AJ585" i="1" s="1"/>
  <c r="AG584" i="1"/>
  <c r="AH584" i="1" s="1"/>
  <c r="AI584" i="1" s="1"/>
  <c r="AJ584" i="1" s="1"/>
  <c r="AG583" i="1"/>
  <c r="AH583" i="1" s="1"/>
  <c r="AI583" i="1" s="1"/>
  <c r="AJ583" i="1" s="1"/>
  <c r="AG582" i="1"/>
  <c r="AH582" i="1" s="1"/>
  <c r="AI582" i="1" s="1"/>
  <c r="AJ582" i="1" s="1"/>
  <c r="AG581" i="1"/>
  <c r="AH581" i="1" s="1"/>
  <c r="AI581" i="1" s="1"/>
  <c r="AJ581" i="1" s="1"/>
  <c r="AG580" i="1"/>
  <c r="AH580" i="1" s="1"/>
  <c r="AI580" i="1" s="1"/>
  <c r="AJ580" i="1" s="1"/>
  <c r="AG579" i="1"/>
  <c r="AH579" i="1" s="1"/>
  <c r="AI579" i="1" s="1"/>
  <c r="AJ579" i="1" s="1"/>
  <c r="AG578" i="1"/>
  <c r="AH578" i="1" s="1"/>
  <c r="AI578" i="1" s="1"/>
  <c r="AJ578" i="1" s="1"/>
  <c r="AG577" i="1"/>
  <c r="AH577" i="1" s="1"/>
  <c r="AI577" i="1" s="1"/>
  <c r="AJ577" i="1" s="1"/>
  <c r="AG576" i="1"/>
  <c r="AH576" i="1" s="1"/>
  <c r="AI576" i="1" s="1"/>
  <c r="AJ576" i="1" s="1"/>
  <c r="AG575" i="1"/>
  <c r="AH575" i="1" s="1"/>
  <c r="AI575" i="1" s="1"/>
  <c r="AJ575" i="1" s="1"/>
  <c r="AG574" i="1"/>
  <c r="AH574" i="1" s="1"/>
  <c r="AI574" i="1" s="1"/>
  <c r="AJ574" i="1" s="1"/>
  <c r="AG573" i="1"/>
  <c r="AH573" i="1" s="1"/>
  <c r="AI573" i="1" s="1"/>
  <c r="AJ573" i="1" s="1"/>
  <c r="AG572" i="1"/>
  <c r="AH572" i="1" s="1"/>
  <c r="AI572" i="1" s="1"/>
  <c r="AJ572" i="1" s="1"/>
  <c r="AG571" i="1"/>
  <c r="AH571" i="1" s="1"/>
  <c r="AI571" i="1" s="1"/>
  <c r="AJ571" i="1" s="1"/>
  <c r="AG570" i="1"/>
  <c r="AH570" i="1" s="1"/>
  <c r="AI570" i="1" s="1"/>
  <c r="AJ570" i="1" s="1"/>
  <c r="AG569" i="1"/>
  <c r="AH569" i="1" s="1"/>
  <c r="AI569" i="1" s="1"/>
  <c r="AJ569" i="1" s="1"/>
  <c r="AG568" i="1"/>
  <c r="AH568" i="1" s="1"/>
  <c r="AI568" i="1" s="1"/>
  <c r="AJ568" i="1" s="1"/>
  <c r="AG567" i="1"/>
  <c r="AH567" i="1" s="1"/>
  <c r="AI567" i="1" s="1"/>
  <c r="AJ567" i="1" s="1"/>
  <c r="AG566" i="1"/>
  <c r="AH566" i="1" s="1"/>
  <c r="AI566" i="1" s="1"/>
  <c r="AJ566" i="1" s="1"/>
  <c r="AG565" i="1"/>
  <c r="AH565" i="1" s="1"/>
  <c r="AI565" i="1" s="1"/>
  <c r="AJ565" i="1" s="1"/>
  <c r="AG564" i="1"/>
  <c r="AH564" i="1" s="1"/>
  <c r="AI564" i="1" s="1"/>
  <c r="AJ564" i="1" s="1"/>
  <c r="AG563" i="1"/>
  <c r="AH563" i="1" s="1"/>
  <c r="AI563" i="1" s="1"/>
  <c r="AJ563" i="1" s="1"/>
  <c r="AG561" i="1"/>
  <c r="AH561" i="1" s="1"/>
  <c r="AI561" i="1" s="1"/>
  <c r="AJ561" i="1" s="1"/>
  <c r="AG560" i="1"/>
  <c r="AH560" i="1" s="1"/>
  <c r="AI560" i="1" s="1"/>
  <c r="AJ560" i="1" s="1"/>
  <c r="AG559" i="1"/>
  <c r="AH559" i="1" s="1"/>
  <c r="AI559" i="1" s="1"/>
  <c r="AJ559" i="1" s="1"/>
  <c r="AG558" i="1"/>
  <c r="AH558" i="1" s="1"/>
  <c r="AI558" i="1" s="1"/>
  <c r="AJ558" i="1" s="1"/>
  <c r="AG557" i="1"/>
  <c r="AH557" i="1" s="1"/>
  <c r="AI557" i="1" s="1"/>
  <c r="AJ557" i="1" s="1"/>
  <c r="AG556" i="1"/>
  <c r="AH556" i="1" s="1"/>
  <c r="AI556" i="1" s="1"/>
  <c r="AJ556" i="1" s="1"/>
  <c r="AG555" i="1"/>
  <c r="AH555" i="1" s="1"/>
  <c r="AI555" i="1" s="1"/>
  <c r="AJ555" i="1" s="1"/>
  <c r="AG554" i="1"/>
  <c r="AH554" i="1" s="1"/>
  <c r="AI554" i="1" s="1"/>
  <c r="AJ554" i="1" s="1"/>
  <c r="AG553" i="1"/>
  <c r="AH553" i="1" s="1"/>
  <c r="AI553" i="1" s="1"/>
  <c r="AJ553" i="1" s="1"/>
  <c r="AG552" i="1"/>
  <c r="AH552" i="1" s="1"/>
  <c r="AI552" i="1" s="1"/>
  <c r="AJ552" i="1" s="1"/>
  <c r="AG551" i="1"/>
  <c r="AH551" i="1" s="1"/>
  <c r="AI551" i="1" s="1"/>
  <c r="AJ551" i="1" s="1"/>
  <c r="AG550" i="1"/>
  <c r="AH550" i="1" s="1"/>
  <c r="AI550" i="1" s="1"/>
  <c r="AJ550" i="1" s="1"/>
  <c r="AG549" i="1"/>
  <c r="AH549" i="1" s="1"/>
  <c r="AI549" i="1" s="1"/>
  <c r="AJ549" i="1" s="1"/>
  <c r="AG548" i="1"/>
  <c r="AH548" i="1" s="1"/>
  <c r="AI548" i="1" s="1"/>
  <c r="AJ548" i="1" s="1"/>
  <c r="AG547" i="1"/>
  <c r="AH547" i="1" s="1"/>
  <c r="AI547" i="1" s="1"/>
  <c r="AJ547" i="1" s="1"/>
  <c r="AG546" i="1"/>
  <c r="AH546" i="1" s="1"/>
  <c r="AI546" i="1" s="1"/>
  <c r="AJ546" i="1" s="1"/>
  <c r="AG545" i="1"/>
  <c r="AH545" i="1" s="1"/>
  <c r="AI545" i="1" s="1"/>
  <c r="AJ545" i="1" s="1"/>
  <c r="AG544" i="1"/>
  <c r="AH544" i="1" s="1"/>
  <c r="AI544" i="1" s="1"/>
  <c r="AJ544" i="1" s="1"/>
  <c r="AG543" i="1"/>
  <c r="AH543" i="1" s="1"/>
  <c r="AI543" i="1" s="1"/>
  <c r="AJ543" i="1" s="1"/>
  <c r="AG542" i="1"/>
  <c r="AH542" i="1" s="1"/>
  <c r="AI542" i="1" s="1"/>
  <c r="AJ542" i="1" s="1"/>
  <c r="AG541" i="1"/>
  <c r="AH541" i="1" s="1"/>
  <c r="AI541" i="1" s="1"/>
  <c r="AJ541" i="1" s="1"/>
  <c r="AG540" i="1"/>
  <c r="AH540" i="1" s="1"/>
  <c r="AI540" i="1" s="1"/>
  <c r="AJ540" i="1" s="1"/>
  <c r="AG539" i="1"/>
  <c r="AH539" i="1" s="1"/>
  <c r="AI539" i="1" s="1"/>
  <c r="AJ539" i="1" s="1"/>
  <c r="AG538" i="1"/>
  <c r="AH538" i="1" s="1"/>
  <c r="AI538" i="1" s="1"/>
  <c r="AJ538" i="1" s="1"/>
  <c r="AG537" i="1"/>
  <c r="AH537" i="1" s="1"/>
  <c r="AI537" i="1" s="1"/>
  <c r="AJ537" i="1" s="1"/>
  <c r="AG536" i="1"/>
  <c r="AH536" i="1" s="1"/>
  <c r="AI536" i="1" s="1"/>
  <c r="AJ536" i="1" s="1"/>
  <c r="AG535" i="1"/>
  <c r="AH535" i="1" s="1"/>
  <c r="AI535" i="1" s="1"/>
  <c r="AJ535" i="1" s="1"/>
  <c r="AG534" i="1"/>
  <c r="AH534" i="1" s="1"/>
  <c r="AI534" i="1" s="1"/>
  <c r="AJ534" i="1" s="1"/>
  <c r="AG533" i="1"/>
  <c r="AH533" i="1" s="1"/>
  <c r="AI533" i="1" s="1"/>
  <c r="AJ533" i="1" s="1"/>
  <c r="AG532" i="1"/>
  <c r="AH532" i="1" s="1"/>
  <c r="AI532" i="1" s="1"/>
  <c r="AJ532" i="1" s="1"/>
  <c r="AG531" i="1"/>
  <c r="AH531" i="1" s="1"/>
  <c r="AI531" i="1" s="1"/>
  <c r="AJ531" i="1" s="1"/>
  <c r="AG530" i="1"/>
  <c r="AH530" i="1" s="1"/>
  <c r="AI530" i="1" s="1"/>
  <c r="AJ530" i="1" s="1"/>
  <c r="AG529" i="1"/>
  <c r="AH529" i="1" s="1"/>
  <c r="AI529" i="1" s="1"/>
  <c r="AJ529" i="1" s="1"/>
  <c r="AG528" i="1"/>
  <c r="AH528" i="1" s="1"/>
  <c r="AI528" i="1" s="1"/>
  <c r="AJ528" i="1" s="1"/>
  <c r="AG527" i="1"/>
  <c r="AH527" i="1" s="1"/>
  <c r="AI527" i="1" s="1"/>
  <c r="AJ527" i="1" s="1"/>
  <c r="AG526" i="1"/>
  <c r="AH526" i="1" s="1"/>
  <c r="AI526" i="1" s="1"/>
  <c r="AJ526" i="1" s="1"/>
  <c r="AG525" i="1"/>
  <c r="AH525" i="1" s="1"/>
  <c r="AI525" i="1" s="1"/>
  <c r="AJ525" i="1" s="1"/>
  <c r="AG524" i="1"/>
  <c r="AH524" i="1" s="1"/>
  <c r="AI524" i="1" s="1"/>
  <c r="AJ524" i="1" s="1"/>
  <c r="AG523" i="1"/>
  <c r="AH523" i="1" s="1"/>
  <c r="AI523" i="1" s="1"/>
  <c r="AJ523" i="1" s="1"/>
  <c r="AG522" i="1"/>
  <c r="AH522" i="1" s="1"/>
  <c r="AI522" i="1" s="1"/>
  <c r="AJ522" i="1" s="1"/>
  <c r="AG521" i="1"/>
  <c r="AH521" i="1" s="1"/>
  <c r="AI521" i="1" s="1"/>
  <c r="AJ521" i="1" s="1"/>
  <c r="AG520" i="1"/>
  <c r="AH520" i="1" s="1"/>
  <c r="AI520" i="1" s="1"/>
  <c r="AJ520" i="1" s="1"/>
  <c r="AG519" i="1"/>
  <c r="AH519" i="1" s="1"/>
  <c r="AI519" i="1" s="1"/>
  <c r="AJ519" i="1" s="1"/>
  <c r="AG518" i="1"/>
  <c r="AH518" i="1" s="1"/>
  <c r="AI518" i="1" s="1"/>
  <c r="AJ518" i="1" s="1"/>
  <c r="AG517" i="1"/>
  <c r="AH517" i="1" s="1"/>
  <c r="AI517" i="1" s="1"/>
  <c r="AJ517" i="1" s="1"/>
  <c r="AG516" i="1"/>
  <c r="AH516" i="1" s="1"/>
  <c r="AI516" i="1" s="1"/>
  <c r="AJ516" i="1" s="1"/>
  <c r="AG515" i="1"/>
  <c r="AH515" i="1" s="1"/>
  <c r="AI515" i="1" s="1"/>
  <c r="AJ515" i="1" s="1"/>
  <c r="AG514" i="1"/>
  <c r="AH514" i="1" s="1"/>
  <c r="AI514" i="1" s="1"/>
  <c r="AJ514" i="1" s="1"/>
  <c r="AG513" i="1"/>
  <c r="AH513" i="1" s="1"/>
  <c r="AI513" i="1" s="1"/>
  <c r="AJ513" i="1" s="1"/>
  <c r="AG512" i="1"/>
  <c r="AH512" i="1" s="1"/>
  <c r="AI512" i="1" s="1"/>
  <c r="AJ512" i="1" s="1"/>
  <c r="AG511" i="1"/>
  <c r="AH511" i="1" s="1"/>
  <c r="AI511" i="1" s="1"/>
  <c r="AJ511" i="1" s="1"/>
  <c r="AG509" i="1"/>
  <c r="AH509" i="1" s="1"/>
  <c r="AI509" i="1" s="1"/>
  <c r="AJ509" i="1" s="1"/>
  <c r="AG508" i="1"/>
  <c r="AH508" i="1" s="1"/>
  <c r="AI508" i="1" s="1"/>
  <c r="AJ508" i="1" s="1"/>
  <c r="AG507" i="1"/>
  <c r="AH507" i="1" s="1"/>
  <c r="AI507" i="1" s="1"/>
  <c r="AJ507" i="1" s="1"/>
  <c r="AG506" i="1"/>
  <c r="AH506" i="1" s="1"/>
  <c r="AI506" i="1" s="1"/>
  <c r="AJ506" i="1" s="1"/>
  <c r="AG505" i="1"/>
  <c r="AH505" i="1" s="1"/>
  <c r="AI505" i="1" s="1"/>
  <c r="AJ505" i="1" s="1"/>
  <c r="AG504" i="1"/>
  <c r="AH504" i="1" s="1"/>
  <c r="AI504" i="1" s="1"/>
  <c r="AJ504" i="1" s="1"/>
  <c r="AG503" i="1"/>
  <c r="AH503" i="1" s="1"/>
  <c r="AI503" i="1" s="1"/>
  <c r="AJ503" i="1" s="1"/>
  <c r="AG502" i="1"/>
  <c r="AH502" i="1" s="1"/>
  <c r="AI502" i="1" s="1"/>
  <c r="AJ502" i="1" s="1"/>
  <c r="AG501" i="1"/>
  <c r="AH501" i="1" s="1"/>
  <c r="AI501" i="1" s="1"/>
  <c r="AJ501" i="1" s="1"/>
  <c r="AG500" i="1"/>
  <c r="AH500" i="1" s="1"/>
  <c r="AI500" i="1" s="1"/>
  <c r="AJ500" i="1" s="1"/>
  <c r="AG499" i="1"/>
  <c r="AH499" i="1" s="1"/>
  <c r="AI499" i="1" s="1"/>
  <c r="AJ499" i="1" s="1"/>
  <c r="AG498" i="1"/>
  <c r="AH498" i="1" s="1"/>
  <c r="AI498" i="1" s="1"/>
  <c r="AJ498" i="1" s="1"/>
  <c r="AG497" i="1"/>
  <c r="AH497" i="1" s="1"/>
  <c r="AI497" i="1" s="1"/>
  <c r="AJ497" i="1" s="1"/>
  <c r="AG496" i="1"/>
  <c r="AH496" i="1" s="1"/>
  <c r="AI496" i="1" s="1"/>
  <c r="AJ496" i="1" s="1"/>
  <c r="AG495" i="1"/>
  <c r="AH495" i="1" s="1"/>
  <c r="AI495" i="1" s="1"/>
  <c r="AJ495" i="1" s="1"/>
  <c r="AG494" i="1"/>
  <c r="AH494" i="1" s="1"/>
  <c r="AI494" i="1" s="1"/>
  <c r="AJ494" i="1" s="1"/>
  <c r="AG493" i="1"/>
  <c r="AH493" i="1" s="1"/>
  <c r="AI493" i="1" s="1"/>
  <c r="AJ493" i="1" s="1"/>
  <c r="AG492" i="1"/>
  <c r="AH492" i="1" s="1"/>
  <c r="AI492" i="1" s="1"/>
  <c r="AJ492" i="1" s="1"/>
  <c r="AG491" i="1"/>
  <c r="AH491" i="1" s="1"/>
  <c r="AI491" i="1" s="1"/>
  <c r="AJ491" i="1" s="1"/>
  <c r="AG490" i="1"/>
  <c r="AH490" i="1" s="1"/>
  <c r="AI490" i="1" s="1"/>
  <c r="AJ490" i="1" s="1"/>
  <c r="AG489" i="1"/>
  <c r="AH489" i="1" s="1"/>
  <c r="AI489" i="1" s="1"/>
  <c r="AJ489" i="1" s="1"/>
  <c r="AG488" i="1"/>
  <c r="AH488" i="1" s="1"/>
  <c r="AI488" i="1" s="1"/>
  <c r="AJ488" i="1" s="1"/>
  <c r="AG487" i="1"/>
  <c r="AH487" i="1" s="1"/>
  <c r="AI487" i="1" s="1"/>
  <c r="AJ487" i="1" s="1"/>
  <c r="AG486" i="1"/>
  <c r="AH486" i="1" s="1"/>
  <c r="AI486" i="1" s="1"/>
  <c r="AJ486" i="1" s="1"/>
  <c r="AG485" i="1"/>
  <c r="AH485" i="1" s="1"/>
  <c r="AI485" i="1" s="1"/>
  <c r="AJ485" i="1" s="1"/>
  <c r="AG484" i="1"/>
  <c r="AH484" i="1" s="1"/>
  <c r="AI484" i="1" s="1"/>
  <c r="AJ484" i="1" s="1"/>
  <c r="AG483" i="1"/>
  <c r="AH483" i="1" s="1"/>
  <c r="AI483" i="1" s="1"/>
  <c r="AJ483" i="1" s="1"/>
  <c r="AG482" i="1"/>
  <c r="AH482" i="1" s="1"/>
  <c r="AI482" i="1" s="1"/>
  <c r="AJ482" i="1" s="1"/>
  <c r="AG481" i="1"/>
  <c r="AH481" i="1" s="1"/>
  <c r="AI481" i="1" s="1"/>
  <c r="AJ481" i="1" s="1"/>
  <c r="AG480" i="1"/>
  <c r="AH480" i="1" s="1"/>
  <c r="AI480" i="1" s="1"/>
  <c r="AJ480" i="1" s="1"/>
  <c r="AG479" i="1"/>
  <c r="AH479" i="1" s="1"/>
  <c r="AI479" i="1" s="1"/>
  <c r="AJ479" i="1" s="1"/>
  <c r="AG477" i="1"/>
  <c r="AH477" i="1" s="1"/>
  <c r="AI477" i="1" s="1"/>
  <c r="AJ477" i="1" s="1"/>
  <c r="AG476" i="1"/>
  <c r="AH476" i="1" s="1"/>
  <c r="AI476" i="1" s="1"/>
  <c r="AJ476" i="1" s="1"/>
  <c r="AG474" i="1"/>
  <c r="AH474" i="1" s="1"/>
  <c r="AI474" i="1" s="1"/>
  <c r="AJ474" i="1" s="1"/>
  <c r="AG473" i="1"/>
  <c r="AH473" i="1" s="1"/>
  <c r="AI473" i="1" s="1"/>
  <c r="AJ473" i="1" s="1"/>
  <c r="AG472" i="1"/>
  <c r="AH472" i="1" s="1"/>
  <c r="AI472" i="1" s="1"/>
  <c r="AJ472" i="1" s="1"/>
  <c r="AG471" i="1"/>
  <c r="AH471" i="1" s="1"/>
  <c r="AI471" i="1" s="1"/>
  <c r="AJ471" i="1" s="1"/>
  <c r="AG470" i="1"/>
  <c r="AH470" i="1" s="1"/>
  <c r="AI470" i="1" s="1"/>
  <c r="AJ470" i="1" s="1"/>
  <c r="AG469" i="1"/>
  <c r="AH469" i="1" s="1"/>
  <c r="AI469" i="1" s="1"/>
  <c r="AJ469" i="1" s="1"/>
  <c r="AG468" i="1"/>
  <c r="AH468" i="1" s="1"/>
  <c r="AI468" i="1" s="1"/>
  <c r="AJ468" i="1" s="1"/>
  <c r="AG467" i="1"/>
  <c r="AH467" i="1" s="1"/>
  <c r="AI467" i="1" s="1"/>
  <c r="AJ467" i="1" s="1"/>
  <c r="AG466" i="1"/>
  <c r="AH466" i="1" s="1"/>
  <c r="AI466" i="1" s="1"/>
  <c r="AJ466" i="1" s="1"/>
  <c r="AG465" i="1"/>
  <c r="AH465" i="1" s="1"/>
  <c r="AI465" i="1" s="1"/>
  <c r="AJ465" i="1" s="1"/>
  <c r="AG464" i="1"/>
  <c r="AH464" i="1" s="1"/>
  <c r="AI464" i="1" s="1"/>
  <c r="AJ464" i="1" s="1"/>
  <c r="AG463" i="1"/>
  <c r="AH463" i="1" s="1"/>
  <c r="AI463" i="1" s="1"/>
  <c r="AJ463" i="1" s="1"/>
  <c r="AG462" i="1"/>
  <c r="AH462" i="1" s="1"/>
  <c r="AI462" i="1" s="1"/>
  <c r="AJ462" i="1" s="1"/>
  <c r="AG461" i="1"/>
  <c r="AH461" i="1" s="1"/>
  <c r="AI461" i="1" s="1"/>
  <c r="AJ461" i="1" s="1"/>
  <c r="AG460" i="1"/>
  <c r="AH460" i="1" s="1"/>
  <c r="AI460" i="1" s="1"/>
  <c r="AJ460" i="1" s="1"/>
  <c r="AG459" i="1"/>
  <c r="AH459" i="1" s="1"/>
  <c r="AI459" i="1" s="1"/>
  <c r="AJ459" i="1" s="1"/>
  <c r="AG458" i="1"/>
  <c r="AH458" i="1" s="1"/>
  <c r="AI458" i="1" s="1"/>
  <c r="AJ458" i="1" s="1"/>
  <c r="AG457" i="1"/>
  <c r="AH457" i="1" s="1"/>
  <c r="AI457" i="1" s="1"/>
  <c r="AJ457" i="1" s="1"/>
  <c r="AG456" i="1"/>
  <c r="AH456" i="1" s="1"/>
  <c r="AI456" i="1" s="1"/>
  <c r="AJ456" i="1" s="1"/>
  <c r="AG455" i="1"/>
  <c r="AH455" i="1" s="1"/>
  <c r="AI455" i="1" s="1"/>
  <c r="AJ455" i="1" s="1"/>
  <c r="AG454" i="1"/>
  <c r="AH454" i="1" s="1"/>
  <c r="AI454" i="1" s="1"/>
  <c r="AJ454" i="1" s="1"/>
  <c r="AG453" i="1"/>
  <c r="AH453" i="1" s="1"/>
  <c r="AI453" i="1" s="1"/>
  <c r="AJ453" i="1" s="1"/>
  <c r="AG452" i="1"/>
  <c r="AH452" i="1" s="1"/>
  <c r="AI452" i="1" s="1"/>
  <c r="AJ452" i="1" s="1"/>
  <c r="AG451" i="1"/>
  <c r="AH451" i="1" s="1"/>
  <c r="AI451" i="1" s="1"/>
  <c r="AJ451" i="1" s="1"/>
  <c r="AG450" i="1"/>
  <c r="AH450" i="1" s="1"/>
  <c r="AI450" i="1" s="1"/>
  <c r="AJ450" i="1" s="1"/>
  <c r="AG449" i="1"/>
  <c r="AH449" i="1" s="1"/>
  <c r="AI449" i="1" s="1"/>
  <c r="AJ449" i="1" s="1"/>
  <c r="AG448" i="1"/>
  <c r="AH448" i="1" s="1"/>
  <c r="AI448" i="1" s="1"/>
  <c r="AJ448" i="1" s="1"/>
  <c r="AG447" i="1"/>
  <c r="AH447" i="1" s="1"/>
  <c r="AI447" i="1" s="1"/>
  <c r="AJ447" i="1" s="1"/>
  <c r="AG446" i="1"/>
  <c r="AH446" i="1" s="1"/>
  <c r="AI446" i="1" s="1"/>
  <c r="AJ446" i="1" s="1"/>
  <c r="AG445" i="1"/>
  <c r="AH445" i="1" s="1"/>
  <c r="AI445" i="1" s="1"/>
  <c r="AJ445" i="1" s="1"/>
  <c r="AG444" i="1"/>
  <c r="AH444" i="1" s="1"/>
  <c r="AI444" i="1" s="1"/>
  <c r="AJ444" i="1" s="1"/>
  <c r="AG443" i="1"/>
  <c r="AH443" i="1" s="1"/>
  <c r="AI443" i="1" s="1"/>
  <c r="AJ443" i="1" s="1"/>
  <c r="AG442" i="1"/>
  <c r="AH442" i="1" s="1"/>
  <c r="AI442" i="1" s="1"/>
  <c r="AJ442" i="1" s="1"/>
  <c r="AG441" i="1"/>
  <c r="AH441" i="1" s="1"/>
  <c r="AI441" i="1" s="1"/>
  <c r="AJ441" i="1" s="1"/>
  <c r="AG440" i="1"/>
  <c r="AH440" i="1" s="1"/>
  <c r="AI440" i="1" s="1"/>
  <c r="AJ440" i="1" s="1"/>
  <c r="AG439" i="1"/>
  <c r="AH439" i="1" s="1"/>
  <c r="AI439" i="1" s="1"/>
  <c r="AJ439" i="1" s="1"/>
  <c r="AG438" i="1"/>
  <c r="AH438" i="1" s="1"/>
  <c r="AI438" i="1" s="1"/>
  <c r="AJ438" i="1" s="1"/>
  <c r="AG437" i="1"/>
  <c r="AH437" i="1" s="1"/>
  <c r="AI437" i="1" s="1"/>
  <c r="AJ437" i="1" s="1"/>
  <c r="AG436" i="1"/>
  <c r="AH436" i="1" s="1"/>
  <c r="AI436" i="1" s="1"/>
  <c r="AJ436" i="1" s="1"/>
  <c r="AG435" i="1"/>
  <c r="AH435" i="1" s="1"/>
  <c r="AI435" i="1" s="1"/>
  <c r="AJ435" i="1" s="1"/>
  <c r="AG434" i="1"/>
  <c r="AH434" i="1" s="1"/>
  <c r="AI434" i="1" s="1"/>
  <c r="AJ434" i="1" s="1"/>
  <c r="AG433" i="1"/>
  <c r="AH433" i="1" s="1"/>
  <c r="AI433" i="1" s="1"/>
  <c r="AJ433" i="1" s="1"/>
  <c r="AG432" i="1"/>
  <c r="AH432" i="1" s="1"/>
  <c r="AI432" i="1" s="1"/>
  <c r="AJ432" i="1" s="1"/>
  <c r="AG431" i="1"/>
  <c r="AH431" i="1" s="1"/>
  <c r="AI431" i="1" s="1"/>
  <c r="AJ431" i="1" s="1"/>
  <c r="AG430" i="1"/>
  <c r="AH430" i="1" s="1"/>
  <c r="AI430" i="1" s="1"/>
  <c r="AJ430" i="1" s="1"/>
  <c r="AG429" i="1"/>
  <c r="AH429" i="1" s="1"/>
  <c r="AI429" i="1" s="1"/>
  <c r="AJ429" i="1" s="1"/>
  <c r="AG428" i="1"/>
  <c r="AH428" i="1" s="1"/>
  <c r="AI428" i="1" s="1"/>
  <c r="AJ428" i="1" s="1"/>
  <c r="AG427" i="1"/>
  <c r="AH427" i="1" s="1"/>
  <c r="AI427" i="1" s="1"/>
  <c r="AJ427" i="1" s="1"/>
  <c r="AG426" i="1"/>
  <c r="AH426" i="1" s="1"/>
  <c r="AI426" i="1" s="1"/>
  <c r="AJ426" i="1" s="1"/>
  <c r="AG425" i="1"/>
  <c r="AH425" i="1" s="1"/>
  <c r="AI425" i="1" s="1"/>
  <c r="AJ425" i="1" s="1"/>
  <c r="AG424" i="1"/>
  <c r="AH424" i="1" s="1"/>
  <c r="AI424" i="1" s="1"/>
  <c r="AJ424" i="1" s="1"/>
  <c r="AG423" i="1"/>
  <c r="AH423" i="1" s="1"/>
  <c r="AI423" i="1" s="1"/>
  <c r="AJ423" i="1" s="1"/>
  <c r="AG422" i="1"/>
  <c r="AH422" i="1" s="1"/>
  <c r="AI422" i="1" s="1"/>
  <c r="AJ422" i="1" s="1"/>
  <c r="AG421" i="1"/>
  <c r="AH421" i="1" s="1"/>
  <c r="AI421" i="1" s="1"/>
  <c r="AJ421" i="1" s="1"/>
  <c r="AG420" i="1"/>
  <c r="AH420" i="1" s="1"/>
  <c r="AI420" i="1" s="1"/>
  <c r="AJ420" i="1" s="1"/>
  <c r="AG419" i="1"/>
  <c r="AH419" i="1" s="1"/>
  <c r="AI419" i="1" s="1"/>
  <c r="AJ419" i="1" s="1"/>
  <c r="AG418" i="1"/>
  <c r="AH418" i="1" s="1"/>
  <c r="AI418" i="1" s="1"/>
  <c r="AJ418" i="1" s="1"/>
  <c r="AG417" i="1"/>
  <c r="AH417" i="1" s="1"/>
  <c r="AI417" i="1" s="1"/>
  <c r="AJ417" i="1" s="1"/>
  <c r="AG416" i="1"/>
  <c r="AH416" i="1" s="1"/>
  <c r="AI416" i="1" s="1"/>
  <c r="AJ416" i="1" s="1"/>
  <c r="AG415" i="1"/>
  <c r="AH415" i="1" s="1"/>
  <c r="AI415" i="1" s="1"/>
  <c r="AJ415" i="1" s="1"/>
  <c r="AG413" i="1"/>
  <c r="AH413" i="1" s="1"/>
  <c r="AI413" i="1" s="1"/>
  <c r="AJ413" i="1" s="1"/>
  <c r="AG412" i="1"/>
  <c r="AH412" i="1" s="1"/>
  <c r="AI412" i="1" s="1"/>
  <c r="AJ412" i="1" s="1"/>
  <c r="AG411" i="1"/>
  <c r="AH411" i="1" s="1"/>
  <c r="AI411" i="1" s="1"/>
  <c r="AJ411" i="1" s="1"/>
  <c r="AG410" i="1"/>
  <c r="AH410" i="1" s="1"/>
  <c r="AI410" i="1" s="1"/>
  <c r="AJ410" i="1" s="1"/>
  <c r="AG409" i="1"/>
  <c r="AH409" i="1" s="1"/>
  <c r="AI409" i="1" s="1"/>
  <c r="AJ409" i="1" s="1"/>
  <c r="AG408" i="1"/>
  <c r="AH408" i="1" s="1"/>
  <c r="AI408" i="1" s="1"/>
  <c r="AJ408" i="1" s="1"/>
  <c r="AG407" i="1"/>
  <c r="AH407" i="1" s="1"/>
  <c r="AI407" i="1" s="1"/>
  <c r="AJ407" i="1" s="1"/>
  <c r="AG406" i="1"/>
  <c r="AH406" i="1" s="1"/>
  <c r="AI406" i="1" s="1"/>
  <c r="AJ406" i="1" s="1"/>
  <c r="AG405" i="1"/>
  <c r="AH405" i="1" s="1"/>
  <c r="AI405" i="1" s="1"/>
  <c r="AJ405" i="1" s="1"/>
  <c r="AG404" i="1"/>
  <c r="AH404" i="1" s="1"/>
  <c r="AI404" i="1" s="1"/>
  <c r="AJ404" i="1" s="1"/>
  <c r="AG403" i="1"/>
  <c r="AH403" i="1" s="1"/>
  <c r="AI403" i="1" s="1"/>
  <c r="AJ403" i="1" s="1"/>
  <c r="AG402" i="1"/>
  <c r="AH402" i="1" s="1"/>
  <c r="AI402" i="1" s="1"/>
  <c r="AJ402" i="1" s="1"/>
  <c r="AG401" i="1"/>
  <c r="AH401" i="1" s="1"/>
  <c r="AI401" i="1" s="1"/>
  <c r="AJ401" i="1" s="1"/>
  <c r="AG400" i="1"/>
  <c r="AH400" i="1" s="1"/>
  <c r="AI400" i="1" s="1"/>
  <c r="AJ400" i="1" s="1"/>
  <c r="AG399" i="1"/>
  <c r="AH399" i="1" s="1"/>
  <c r="AI399" i="1" s="1"/>
  <c r="AJ399" i="1" s="1"/>
  <c r="AG398" i="1"/>
  <c r="AH398" i="1" s="1"/>
  <c r="AI398" i="1" s="1"/>
  <c r="AJ398" i="1" s="1"/>
  <c r="AG397" i="1"/>
  <c r="AH397" i="1" s="1"/>
  <c r="AI397" i="1" s="1"/>
  <c r="AJ397" i="1" s="1"/>
  <c r="AG396" i="1"/>
  <c r="AH396" i="1" s="1"/>
  <c r="AI396" i="1" s="1"/>
  <c r="AJ396" i="1" s="1"/>
  <c r="AG395" i="1"/>
  <c r="AH395" i="1" s="1"/>
  <c r="AI395" i="1" s="1"/>
  <c r="AJ395" i="1" s="1"/>
  <c r="AG394" i="1"/>
  <c r="AH394" i="1" s="1"/>
  <c r="AI394" i="1" s="1"/>
  <c r="AJ394" i="1" s="1"/>
  <c r="AG393" i="1"/>
  <c r="AH393" i="1" s="1"/>
  <c r="AI393" i="1" s="1"/>
  <c r="AJ393" i="1" s="1"/>
  <c r="AG392" i="1"/>
  <c r="AH392" i="1" s="1"/>
  <c r="AI392" i="1" s="1"/>
  <c r="AJ392" i="1" s="1"/>
  <c r="AG391" i="1"/>
  <c r="AH391" i="1" s="1"/>
  <c r="AI391" i="1" s="1"/>
  <c r="AJ391" i="1" s="1"/>
  <c r="AG390" i="1"/>
  <c r="AH390" i="1" s="1"/>
  <c r="AI390" i="1" s="1"/>
  <c r="AJ390" i="1" s="1"/>
  <c r="AG389" i="1"/>
  <c r="AH389" i="1" s="1"/>
  <c r="AI389" i="1" s="1"/>
  <c r="AJ389" i="1" s="1"/>
  <c r="AG388" i="1"/>
  <c r="AH388" i="1" s="1"/>
  <c r="AI388" i="1" s="1"/>
  <c r="AJ388" i="1" s="1"/>
  <c r="AG387" i="1"/>
  <c r="AH387" i="1" s="1"/>
  <c r="AI387" i="1" s="1"/>
  <c r="AJ387" i="1" s="1"/>
  <c r="AG386" i="1"/>
  <c r="AH386" i="1" s="1"/>
  <c r="AI386" i="1" s="1"/>
  <c r="AJ386" i="1" s="1"/>
  <c r="AG385" i="1"/>
  <c r="AH385" i="1" s="1"/>
  <c r="AI385" i="1" s="1"/>
  <c r="AJ385" i="1" s="1"/>
  <c r="AG384" i="1"/>
  <c r="AH384" i="1" s="1"/>
  <c r="AI384" i="1" s="1"/>
  <c r="AJ384" i="1" s="1"/>
  <c r="AG383" i="1"/>
  <c r="AH383" i="1" s="1"/>
  <c r="AI383" i="1" s="1"/>
  <c r="AJ383" i="1" s="1"/>
  <c r="AG382" i="1"/>
  <c r="AH382" i="1" s="1"/>
  <c r="AI382" i="1" s="1"/>
  <c r="AJ382" i="1" s="1"/>
  <c r="AG381" i="1"/>
  <c r="AH381" i="1" s="1"/>
  <c r="AI381" i="1" s="1"/>
  <c r="AJ381" i="1" s="1"/>
  <c r="AG380" i="1"/>
  <c r="AH380" i="1" s="1"/>
  <c r="AI380" i="1" s="1"/>
  <c r="AJ380" i="1" s="1"/>
  <c r="AG379" i="1"/>
  <c r="AH379" i="1" s="1"/>
  <c r="AI379" i="1" s="1"/>
  <c r="AJ379" i="1" s="1"/>
  <c r="AG378" i="1"/>
  <c r="AH378" i="1" s="1"/>
  <c r="AI378" i="1" s="1"/>
  <c r="AJ378" i="1" s="1"/>
  <c r="AG374" i="1"/>
  <c r="AH374" i="1" s="1"/>
  <c r="AI374" i="1" s="1"/>
  <c r="AJ374" i="1" s="1"/>
  <c r="AG373" i="1"/>
  <c r="AH373" i="1" s="1"/>
  <c r="AI373" i="1" s="1"/>
  <c r="AJ373" i="1" s="1"/>
  <c r="AG372" i="1"/>
  <c r="AH372" i="1" s="1"/>
  <c r="AI372" i="1" s="1"/>
  <c r="AJ372" i="1" s="1"/>
  <c r="AG371" i="1"/>
  <c r="AH371" i="1" s="1"/>
  <c r="AI371" i="1" s="1"/>
  <c r="AJ371" i="1" s="1"/>
  <c r="AG370" i="1"/>
  <c r="AH370" i="1" s="1"/>
  <c r="AI370" i="1" s="1"/>
  <c r="AJ370" i="1" s="1"/>
  <c r="AG369" i="1"/>
  <c r="AH369" i="1" s="1"/>
  <c r="AI369" i="1" s="1"/>
  <c r="AJ369" i="1" s="1"/>
  <c r="AG368" i="1"/>
  <c r="AH368" i="1" s="1"/>
  <c r="AI368" i="1" s="1"/>
  <c r="AJ368" i="1" s="1"/>
  <c r="AG367" i="1"/>
  <c r="AH367" i="1" s="1"/>
  <c r="AI367" i="1" s="1"/>
  <c r="AJ367" i="1" s="1"/>
  <c r="AG366" i="1"/>
  <c r="AJ366" i="1" s="1"/>
  <c r="AG365" i="1"/>
  <c r="AH365" i="1" s="1"/>
  <c r="AI365" i="1" s="1"/>
  <c r="AJ365" i="1" s="1"/>
  <c r="AG364" i="1"/>
  <c r="AH364" i="1" s="1"/>
  <c r="AI364" i="1" s="1"/>
  <c r="AJ364" i="1" s="1"/>
  <c r="AG363" i="1"/>
  <c r="AH363" i="1" s="1"/>
  <c r="AI363" i="1" s="1"/>
  <c r="AJ363" i="1" s="1"/>
  <c r="AG362" i="1"/>
  <c r="AH362" i="1" s="1"/>
  <c r="AI362" i="1" s="1"/>
  <c r="AJ362" i="1" s="1"/>
  <c r="AG361" i="1"/>
  <c r="AH361" i="1" s="1"/>
  <c r="AI361" i="1" s="1"/>
  <c r="AJ361" i="1" s="1"/>
  <c r="AG360" i="1"/>
  <c r="AH360" i="1" s="1"/>
  <c r="AI360" i="1" s="1"/>
  <c r="AJ360" i="1" s="1"/>
  <c r="AG359" i="1"/>
  <c r="AH359" i="1" s="1"/>
  <c r="AI359" i="1" s="1"/>
  <c r="AJ359" i="1" s="1"/>
  <c r="AG358" i="1"/>
  <c r="AH358" i="1" s="1"/>
  <c r="AI358" i="1" s="1"/>
  <c r="AJ358" i="1" s="1"/>
  <c r="AG357" i="1"/>
  <c r="AH357" i="1" s="1"/>
  <c r="AI357" i="1" s="1"/>
  <c r="AJ357" i="1" s="1"/>
  <c r="AG356" i="1"/>
  <c r="AH356" i="1" s="1"/>
  <c r="AI356" i="1" s="1"/>
  <c r="AJ356" i="1" s="1"/>
  <c r="AG355" i="1"/>
  <c r="AH355" i="1" s="1"/>
  <c r="AI355" i="1" s="1"/>
  <c r="AJ355" i="1" s="1"/>
  <c r="AG354" i="1"/>
  <c r="AH354" i="1" s="1"/>
  <c r="AI354" i="1" s="1"/>
  <c r="AJ354" i="1" s="1"/>
  <c r="AG353" i="1"/>
  <c r="AH353" i="1" s="1"/>
  <c r="AI353" i="1" s="1"/>
  <c r="AJ353" i="1" s="1"/>
  <c r="AG352" i="1"/>
  <c r="AH352" i="1" s="1"/>
  <c r="AI352" i="1" s="1"/>
  <c r="AJ352" i="1" s="1"/>
  <c r="AG350" i="1"/>
  <c r="AH350" i="1" s="1"/>
  <c r="AI350" i="1" s="1"/>
  <c r="AJ350" i="1" s="1"/>
  <c r="AG349" i="1"/>
  <c r="AH349" i="1" s="1"/>
  <c r="AI349" i="1" s="1"/>
  <c r="AJ349" i="1" s="1"/>
  <c r="AG348" i="1"/>
  <c r="AH348" i="1" s="1"/>
  <c r="AI348" i="1" s="1"/>
  <c r="AJ348" i="1" s="1"/>
  <c r="AG347" i="1"/>
  <c r="AH347" i="1" s="1"/>
  <c r="AI347" i="1" s="1"/>
  <c r="AJ347" i="1" s="1"/>
  <c r="AG346" i="1"/>
  <c r="AH346" i="1" s="1"/>
  <c r="AI346" i="1" s="1"/>
  <c r="AJ346" i="1" s="1"/>
  <c r="AG345" i="1"/>
  <c r="AH345" i="1" s="1"/>
  <c r="AI345" i="1" s="1"/>
  <c r="AJ345" i="1" s="1"/>
  <c r="AG344" i="1"/>
  <c r="AH344" i="1" s="1"/>
  <c r="AI344" i="1" s="1"/>
  <c r="AJ344" i="1" s="1"/>
  <c r="AG343" i="1"/>
  <c r="AH343" i="1" s="1"/>
  <c r="AI343" i="1" s="1"/>
  <c r="AJ343" i="1" s="1"/>
  <c r="AG342" i="1"/>
  <c r="AH342" i="1" s="1"/>
  <c r="AI342" i="1" s="1"/>
  <c r="AJ342" i="1" s="1"/>
  <c r="AG341" i="1"/>
  <c r="AH341" i="1" s="1"/>
  <c r="AI341" i="1" s="1"/>
  <c r="AJ341" i="1" s="1"/>
  <c r="AG339" i="1"/>
  <c r="AH339" i="1" s="1"/>
  <c r="AI339" i="1" s="1"/>
  <c r="AJ339" i="1" s="1"/>
  <c r="AG338" i="1"/>
  <c r="AH338" i="1" s="1"/>
  <c r="AI338" i="1" s="1"/>
  <c r="AJ338" i="1" s="1"/>
  <c r="AG337" i="1"/>
  <c r="AH337" i="1" s="1"/>
  <c r="AI337" i="1" s="1"/>
  <c r="AJ337" i="1" s="1"/>
  <c r="AG336" i="1"/>
  <c r="AH336" i="1" s="1"/>
  <c r="AI336" i="1" s="1"/>
  <c r="AJ336" i="1" s="1"/>
  <c r="AG335" i="1"/>
  <c r="AH335" i="1" s="1"/>
  <c r="AI335" i="1" s="1"/>
  <c r="AJ335" i="1" s="1"/>
  <c r="AG334" i="1"/>
  <c r="AH334" i="1" s="1"/>
  <c r="AI334" i="1" s="1"/>
  <c r="AJ334" i="1" s="1"/>
  <c r="AG333" i="1"/>
  <c r="AH333" i="1" s="1"/>
  <c r="AI333" i="1" s="1"/>
  <c r="AJ333" i="1" s="1"/>
  <c r="AG332" i="1"/>
  <c r="AH332" i="1" s="1"/>
  <c r="AI332" i="1" s="1"/>
  <c r="AJ332" i="1" s="1"/>
  <c r="AG331" i="1"/>
  <c r="AH331" i="1" s="1"/>
  <c r="AI331" i="1" s="1"/>
  <c r="AJ331" i="1" s="1"/>
  <c r="AG330" i="1"/>
  <c r="AH330" i="1" s="1"/>
  <c r="AI330" i="1" s="1"/>
  <c r="AJ330" i="1" s="1"/>
  <c r="AG329" i="1"/>
  <c r="AH329" i="1" s="1"/>
  <c r="AI329" i="1" s="1"/>
  <c r="AJ329" i="1" s="1"/>
  <c r="AG328" i="1"/>
  <c r="AH328" i="1" s="1"/>
  <c r="AI328" i="1" s="1"/>
  <c r="AJ328" i="1" s="1"/>
  <c r="AG327" i="1"/>
  <c r="AH327" i="1" s="1"/>
  <c r="AI327" i="1" s="1"/>
  <c r="AJ327" i="1" s="1"/>
  <c r="AG326" i="1"/>
  <c r="AH326" i="1" s="1"/>
  <c r="AI326" i="1" s="1"/>
  <c r="AJ326" i="1" s="1"/>
  <c r="AG325" i="1"/>
  <c r="AH325" i="1" s="1"/>
  <c r="AI325" i="1" s="1"/>
  <c r="AJ325" i="1" s="1"/>
  <c r="AG324" i="1"/>
  <c r="AH324" i="1" s="1"/>
  <c r="AI324" i="1" s="1"/>
  <c r="AJ324" i="1" s="1"/>
  <c r="AG323" i="1"/>
  <c r="AH323" i="1" s="1"/>
  <c r="AI323" i="1" s="1"/>
  <c r="AJ323" i="1" s="1"/>
  <c r="AG321" i="1"/>
  <c r="AH321" i="1" s="1"/>
  <c r="AI321" i="1" s="1"/>
  <c r="AJ321" i="1" s="1"/>
  <c r="AG320" i="1"/>
  <c r="AH320" i="1" s="1"/>
  <c r="AI320" i="1" s="1"/>
  <c r="AJ320" i="1" s="1"/>
  <c r="AG319" i="1"/>
  <c r="AH319" i="1" s="1"/>
  <c r="AI319" i="1" s="1"/>
  <c r="AJ319" i="1" s="1"/>
  <c r="AG318" i="1"/>
  <c r="AH318" i="1" s="1"/>
  <c r="AI318" i="1" s="1"/>
  <c r="AJ318" i="1" s="1"/>
  <c r="AG317" i="1"/>
  <c r="AH317" i="1" s="1"/>
  <c r="AI317" i="1" s="1"/>
  <c r="AJ317" i="1" s="1"/>
  <c r="AG316" i="1"/>
  <c r="AH316" i="1" s="1"/>
  <c r="AI316" i="1" s="1"/>
  <c r="AJ316" i="1" s="1"/>
  <c r="AG315" i="1"/>
  <c r="AH315" i="1" s="1"/>
  <c r="AI315" i="1" s="1"/>
  <c r="AJ315" i="1" s="1"/>
  <c r="AG314" i="1"/>
  <c r="AH314" i="1" s="1"/>
  <c r="AI314" i="1" s="1"/>
  <c r="AJ314" i="1" s="1"/>
  <c r="AG313" i="1"/>
  <c r="AH313" i="1" s="1"/>
  <c r="AI313" i="1" s="1"/>
  <c r="AJ313" i="1" s="1"/>
  <c r="AG312" i="1"/>
  <c r="AH312" i="1" s="1"/>
  <c r="AI312" i="1" s="1"/>
  <c r="AJ312" i="1" s="1"/>
  <c r="AG311" i="1"/>
  <c r="AH311" i="1" s="1"/>
  <c r="AI311" i="1" s="1"/>
  <c r="AJ311" i="1" s="1"/>
  <c r="AG310" i="1"/>
  <c r="AH310" i="1" s="1"/>
  <c r="AI310" i="1" s="1"/>
  <c r="AJ310" i="1" s="1"/>
  <c r="AG309" i="1"/>
  <c r="AH309" i="1" s="1"/>
  <c r="AI309" i="1" s="1"/>
  <c r="AJ309" i="1" s="1"/>
  <c r="AG308" i="1"/>
  <c r="AH308" i="1" s="1"/>
  <c r="AI308" i="1" s="1"/>
  <c r="AJ308" i="1" s="1"/>
  <c r="AG307" i="1"/>
  <c r="AH307" i="1" s="1"/>
  <c r="AI307" i="1" s="1"/>
  <c r="AJ307" i="1" s="1"/>
  <c r="AG306" i="1"/>
  <c r="AH306" i="1" s="1"/>
  <c r="AI306" i="1" s="1"/>
  <c r="AJ306" i="1" s="1"/>
  <c r="AG305" i="1"/>
  <c r="AH305" i="1" s="1"/>
  <c r="AJ305" i="1" s="1"/>
  <c r="AG304" i="1"/>
  <c r="AH304" i="1" s="1"/>
  <c r="AI304" i="1" s="1"/>
  <c r="AJ304" i="1" s="1"/>
  <c r="AG303" i="1"/>
  <c r="AH303" i="1" s="1"/>
  <c r="AI303" i="1" s="1"/>
  <c r="AJ303" i="1" s="1"/>
  <c r="AG302" i="1"/>
  <c r="AH302" i="1" s="1"/>
  <c r="AI302" i="1" s="1"/>
  <c r="AJ302" i="1" s="1"/>
  <c r="AG301" i="1"/>
  <c r="AH301" i="1" s="1"/>
  <c r="AI301" i="1" s="1"/>
  <c r="AJ301" i="1" s="1"/>
  <c r="AG300" i="1"/>
  <c r="AH300" i="1" s="1"/>
  <c r="AI300" i="1" s="1"/>
  <c r="AJ300" i="1" s="1"/>
  <c r="AG299" i="1"/>
  <c r="AH299" i="1" s="1"/>
  <c r="AI299" i="1" s="1"/>
  <c r="AJ299" i="1" s="1"/>
  <c r="AG298" i="1"/>
  <c r="AH298" i="1" s="1"/>
  <c r="AI298" i="1" s="1"/>
  <c r="AJ298" i="1" s="1"/>
  <c r="AG297" i="1"/>
  <c r="AH297" i="1" s="1"/>
  <c r="AI297" i="1" s="1"/>
  <c r="AJ297" i="1" s="1"/>
  <c r="AG296" i="1"/>
  <c r="AH296" i="1" s="1"/>
  <c r="AI296" i="1" s="1"/>
  <c r="AJ296" i="1" s="1"/>
  <c r="AG292" i="1"/>
  <c r="AH292" i="1" s="1"/>
  <c r="AI292" i="1" s="1"/>
  <c r="AJ292" i="1" s="1"/>
  <c r="AG288" i="1"/>
  <c r="AH288" i="1" s="1"/>
  <c r="AI288" i="1" s="1"/>
  <c r="AJ288" i="1" s="1"/>
  <c r="AG286" i="1"/>
  <c r="AH286" i="1" s="1"/>
  <c r="AI286" i="1" s="1"/>
  <c r="AJ286" i="1" s="1"/>
  <c r="AG268" i="1"/>
  <c r="AH268" i="1" s="1"/>
  <c r="AI268" i="1" s="1"/>
  <c r="AJ268" i="1" s="1"/>
  <c r="AG266" i="1"/>
  <c r="AH266" i="1" s="1"/>
  <c r="AI266" i="1" s="1"/>
  <c r="AJ266" i="1" s="1"/>
  <c r="AG265" i="1"/>
  <c r="AH265" i="1" s="1"/>
  <c r="AI265" i="1" s="1"/>
  <c r="AJ265" i="1" s="1"/>
  <c r="AG264" i="1"/>
  <c r="AH264" i="1" s="1"/>
  <c r="AI264" i="1" s="1"/>
  <c r="AJ264" i="1" s="1"/>
  <c r="AG262" i="1"/>
  <c r="AH262" i="1" s="1"/>
  <c r="AI262" i="1" s="1"/>
  <c r="AJ262" i="1" s="1"/>
  <c r="AG261" i="1"/>
  <c r="AH261" i="1" s="1"/>
  <c r="AI261" i="1" s="1"/>
  <c r="AJ261" i="1" s="1"/>
  <c r="AG260" i="1"/>
  <c r="AH260" i="1" s="1"/>
  <c r="AI260" i="1" s="1"/>
  <c r="AJ260" i="1" s="1"/>
  <c r="AG259" i="1"/>
  <c r="AH259" i="1" s="1"/>
  <c r="AI259" i="1" s="1"/>
  <c r="AJ259" i="1" s="1"/>
  <c r="AG258" i="1"/>
  <c r="AH258" i="1" s="1"/>
  <c r="AI258" i="1" s="1"/>
  <c r="AJ258" i="1" s="1"/>
  <c r="AG257" i="1"/>
  <c r="AH257" i="1" s="1"/>
  <c r="AI257" i="1" s="1"/>
  <c r="AJ257" i="1" s="1"/>
  <c r="AG256" i="1"/>
  <c r="AH256" i="1" s="1"/>
  <c r="AI256" i="1" s="1"/>
  <c r="AJ256" i="1" s="1"/>
  <c r="AG255" i="1"/>
  <c r="AH255" i="1" s="1"/>
  <c r="AI255" i="1" s="1"/>
  <c r="AJ255" i="1" s="1"/>
  <c r="AG254" i="1"/>
  <c r="AH254" i="1" s="1"/>
  <c r="AI254" i="1" s="1"/>
  <c r="AJ254" i="1" s="1"/>
  <c r="AG251" i="1"/>
  <c r="AH251" i="1" s="1"/>
  <c r="AI251" i="1" s="1"/>
  <c r="AJ251" i="1" s="1"/>
  <c r="AG250" i="1"/>
  <c r="AH250" i="1" s="1"/>
  <c r="AI250" i="1" s="1"/>
  <c r="AJ250" i="1" s="1"/>
  <c r="AG249" i="1"/>
  <c r="AH249" i="1" s="1"/>
  <c r="AI249" i="1" s="1"/>
  <c r="AJ249" i="1" s="1"/>
  <c r="AG248" i="1"/>
  <c r="AH248" i="1" s="1"/>
  <c r="AI248" i="1" s="1"/>
  <c r="AJ248" i="1" s="1"/>
  <c r="AG247" i="1"/>
  <c r="AH247" i="1" s="1"/>
  <c r="AI247" i="1" s="1"/>
  <c r="AJ247" i="1" s="1"/>
  <c r="AG246" i="1"/>
  <c r="AH246" i="1" s="1"/>
  <c r="AI246" i="1" s="1"/>
  <c r="AJ246" i="1" s="1"/>
  <c r="AG245" i="1"/>
  <c r="AH245" i="1" s="1"/>
  <c r="AI245" i="1" s="1"/>
  <c r="AJ245" i="1" s="1"/>
  <c r="AG243" i="1"/>
  <c r="AH243" i="1" s="1"/>
  <c r="AI243" i="1" s="1"/>
  <c r="AJ243" i="1" s="1"/>
  <c r="AG242" i="1"/>
  <c r="AH242" i="1" s="1"/>
  <c r="AI242" i="1" s="1"/>
  <c r="AJ242" i="1" s="1"/>
  <c r="AG241" i="1"/>
  <c r="AH241" i="1" s="1"/>
  <c r="AI241" i="1" s="1"/>
  <c r="AJ241" i="1" s="1"/>
  <c r="AG239" i="1"/>
  <c r="AH239" i="1" s="1"/>
  <c r="AI239" i="1" s="1"/>
  <c r="AJ239" i="1" s="1"/>
  <c r="AG238" i="1"/>
  <c r="AH238" i="1" s="1"/>
  <c r="AI238" i="1" s="1"/>
  <c r="AJ238" i="1" s="1"/>
  <c r="AG237" i="1"/>
  <c r="AH237" i="1" s="1"/>
  <c r="AI237" i="1" s="1"/>
  <c r="AJ237" i="1" s="1"/>
  <c r="AG236" i="1"/>
  <c r="AH236" i="1" s="1"/>
  <c r="AI236" i="1" s="1"/>
  <c r="AJ236" i="1" s="1"/>
  <c r="AG235" i="1"/>
  <c r="AH235" i="1" s="1"/>
  <c r="AI235" i="1" s="1"/>
  <c r="AJ235" i="1" s="1"/>
  <c r="AG234" i="1"/>
  <c r="AH234" i="1" s="1"/>
  <c r="AI234" i="1" s="1"/>
  <c r="AJ234" i="1" s="1"/>
  <c r="AG233" i="1"/>
  <c r="AH233" i="1" s="1"/>
  <c r="AI233" i="1" s="1"/>
  <c r="AJ233" i="1" s="1"/>
  <c r="AG231" i="1"/>
  <c r="AH231" i="1" s="1"/>
  <c r="AI231" i="1" s="1"/>
  <c r="AJ231" i="1" s="1"/>
  <c r="AG228" i="1"/>
  <c r="AH228" i="1" s="1"/>
  <c r="AI228" i="1" s="1"/>
  <c r="AJ228" i="1" s="1"/>
  <c r="AG227" i="1"/>
  <c r="AH227" i="1" s="1"/>
  <c r="AI227" i="1" s="1"/>
  <c r="AJ227" i="1" s="1"/>
  <c r="AG226" i="1"/>
  <c r="AH226" i="1" s="1"/>
  <c r="AI226" i="1" s="1"/>
  <c r="AJ226" i="1" s="1"/>
  <c r="AG225" i="1"/>
  <c r="AH225" i="1" s="1"/>
  <c r="AI225" i="1" s="1"/>
  <c r="AJ225" i="1" s="1"/>
  <c r="AG224" i="1"/>
  <c r="AH224" i="1" s="1"/>
  <c r="AI224" i="1" s="1"/>
  <c r="AJ224" i="1" s="1"/>
  <c r="AG223" i="1"/>
  <c r="AH223" i="1" s="1"/>
  <c r="AI223" i="1" s="1"/>
  <c r="AJ223" i="1" s="1"/>
  <c r="AG222" i="1"/>
  <c r="AH222" i="1" s="1"/>
  <c r="AI222" i="1" s="1"/>
  <c r="AJ222" i="1" s="1"/>
  <c r="AG221" i="1"/>
  <c r="AH221" i="1" s="1"/>
  <c r="AI221" i="1" s="1"/>
  <c r="AJ221" i="1" s="1"/>
  <c r="AG220" i="1"/>
  <c r="AH220" i="1" s="1"/>
  <c r="AI220" i="1" s="1"/>
  <c r="AJ220" i="1" s="1"/>
  <c r="AG219" i="1"/>
  <c r="AH219" i="1" s="1"/>
  <c r="AI219" i="1" s="1"/>
  <c r="AJ219" i="1" s="1"/>
  <c r="AG217" i="1"/>
  <c r="AH217" i="1" s="1"/>
  <c r="AI217" i="1" s="1"/>
  <c r="AJ217" i="1" s="1"/>
  <c r="AG216" i="1"/>
  <c r="AH216" i="1" s="1"/>
  <c r="AI216" i="1" s="1"/>
  <c r="AJ216" i="1" s="1"/>
  <c r="AG215" i="1"/>
  <c r="AH215" i="1" s="1"/>
  <c r="AI215" i="1" s="1"/>
  <c r="AJ215" i="1" s="1"/>
  <c r="AG214" i="1"/>
  <c r="AH214" i="1" s="1"/>
  <c r="AI214" i="1" s="1"/>
  <c r="AJ214" i="1" s="1"/>
  <c r="AG213" i="1"/>
  <c r="AH213" i="1" s="1"/>
  <c r="AI213" i="1" s="1"/>
  <c r="AJ213" i="1" s="1"/>
  <c r="AG212" i="1"/>
  <c r="AH212" i="1" s="1"/>
  <c r="AI212" i="1" s="1"/>
  <c r="AJ212" i="1" s="1"/>
  <c r="AG211" i="1"/>
  <c r="AH211" i="1" s="1"/>
  <c r="AI211" i="1" s="1"/>
  <c r="AJ211" i="1" s="1"/>
  <c r="AG210" i="1"/>
  <c r="AH210" i="1" s="1"/>
  <c r="AI210" i="1" s="1"/>
  <c r="AJ210" i="1" s="1"/>
  <c r="AG209" i="1"/>
  <c r="AH209" i="1" s="1"/>
  <c r="AI209" i="1" s="1"/>
  <c r="AJ209" i="1" s="1"/>
  <c r="AG208" i="1"/>
  <c r="AH208" i="1" s="1"/>
  <c r="AI208" i="1" s="1"/>
  <c r="AJ208" i="1" s="1"/>
  <c r="AG207" i="1"/>
  <c r="AH207" i="1" s="1"/>
  <c r="AI207" i="1" s="1"/>
  <c r="AJ207" i="1" s="1"/>
  <c r="AG206" i="1"/>
  <c r="AH206" i="1" s="1"/>
  <c r="AI206" i="1" s="1"/>
  <c r="AJ206" i="1" s="1"/>
  <c r="AG205" i="1"/>
  <c r="AH205" i="1" s="1"/>
  <c r="AI205" i="1" s="1"/>
  <c r="AJ205" i="1" s="1"/>
  <c r="AG204" i="1"/>
  <c r="AH204" i="1" s="1"/>
  <c r="AI204" i="1" s="1"/>
  <c r="AJ204" i="1" s="1"/>
  <c r="AG203" i="1"/>
  <c r="AH203" i="1" s="1"/>
  <c r="AI203" i="1" s="1"/>
  <c r="AJ203" i="1" s="1"/>
  <c r="AG202" i="1"/>
  <c r="AH202" i="1" s="1"/>
  <c r="AI202" i="1" s="1"/>
  <c r="AJ202" i="1" s="1"/>
  <c r="AG201" i="1"/>
  <c r="AH201" i="1" s="1"/>
  <c r="AI201" i="1" s="1"/>
  <c r="AJ201" i="1" s="1"/>
  <c r="AG200" i="1"/>
  <c r="AH200" i="1" s="1"/>
  <c r="AI200" i="1" s="1"/>
  <c r="AJ200" i="1" s="1"/>
  <c r="AG199" i="1"/>
  <c r="AH199" i="1" s="1"/>
  <c r="AI199" i="1" s="1"/>
  <c r="AJ199" i="1" s="1"/>
  <c r="AG198" i="1"/>
  <c r="AH198" i="1" s="1"/>
  <c r="AI198" i="1" s="1"/>
  <c r="AJ198" i="1" s="1"/>
  <c r="AG197" i="1"/>
  <c r="AH197" i="1" s="1"/>
  <c r="AI197" i="1" s="1"/>
  <c r="AJ197" i="1" s="1"/>
  <c r="AG196" i="1"/>
  <c r="AH196" i="1" s="1"/>
  <c r="AI196" i="1" s="1"/>
  <c r="AJ196" i="1" s="1"/>
  <c r="AG195" i="1"/>
  <c r="AH195" i="1" s="1"/>
  <c r="AI195" i="1" s="1"/>
  <c r="AJ195" i="1" s="1"/>
  <c r="AG194" i="1"/>
  <c r="AH194" i="1" s="1"/>
  <c r="AI194" i="1" s="1"/>
  <c r="AJ194" i="1" s="1"/>
  <c r="AG192" i="1"/>
  <c r="AH192" i="1" s="1"/>
  <c r="AI192" i="1" s="1"/>
  <c r="AJ192" i="1" s="1"/>
  <c r="AG187" i="1"/>
  <c r="AH187" i="1" s="1"/>
  <c r="AI187" i="1" s="1"/>
  <c r="AJ187" i="1" s="1"/>
  <c r="AG186" i="1"/>
  <c r="AH186" i="1" s="1"/>
  <c r="AI186" i="1" s="1"/>
  <c r="AJ186" i="1" s="1"/>
  <c r="AG185" i="1"/>
  <c r="AH185" i="1" s="1"/>
  <c r="AI185" i="1" s="1"/>
  <c r="AJ185" i="1" s="1"/>
  <c r="AG184" i="1"/>
  <c r="AH184" i="1" s="1"/>
  <c r="AI184" i="1" s="1"/>
  <c r="AJ184" i="1" s="1"/>
  <c r="AG183" i="1"/>
  <c r="AH183" i="1" s="1"/>
  <c r="AI183" i="1" s="1"/>
  <c r="AJ183" i="1" s="1"/>
  <c r="AG182" i="1"/>
  <c r="AH182" i="1" s="1"/>
  <c r="AI182" i="1" s="1"/>
  <c r="AJ182" i="1" s="1"/>
  <c r="AG181" i="1"/>
  <c r="AH181" i="1" s="1"/>
  <c r="AI181" i="1" s="1"/>
  <c r="AJ181" i="1" s="1"/>
  <c r="AG180" i="1"/>
  <c r="AH180" i="1" s="1"/>
  <c r="AI180" i="1" s="1"/>
  <c r="AJ180" i="1" s="1"/>
  <c r="AG178" i="1"/>
  <c r="AH178" i="1" s="1"/>
  <c r="AI178" i="1" s="1"/>
  <c r="AJ178" i="1" s="1"/>
  <c r="AG176" i="1"/>
  <c r="AH176" i="1" s="1"/>
  <c r="AI176" i="1" s="1"/>
  <c r="AJ176" i="1" s="1"/>
  <c r="AG175" i="1"/>
  <c r="AH175" i="1" s="1"/>
  <c r="AI175" i="1" s="1"/>
  <c r="AJ175" i="1" s="1"/>
  <c r="AG174" i="1"/>
  <c r="AH174" i="1" s="1"/>
  <c r="AI174" i="1" s="1"/>
  <c r="AJ174" i="1" s="1"/>
  <c r="AG173" i="1"/>
  <c r="AH173" i="1" s="1"/>
  <c r="AI173" i="1" s="1"/>
  <c r="AJ173" i="1" s="1"/>
  <c r="AG172" i="1"/>
  <c r="AH172" i="1" s="1"/>
  <c r="AI172" i="1" s="1"/>
  <c r="AJ172" i="1" s="1"/>
  <c r="AG171" i="1"/>
  <c r="AH171" i="1" s="1"/>
  <c r="AI171" i="1" s="1"/>
  <c r="AJ171" i="1" s="1"/>
  <c r="AG170" i="1"/>
  <c r="AH170" i="1" s="1"/>
  <c r="AI170" i="1" s="1"/>
  <c r="AJ170" i="1" s="1"/>
  <c r="AG169" i="1"/>
  <c r="AH169" i="1" s="1"/>
  <c r="AI169" i="1" s="1"/>
  <c r="AJ169" i="1" s="1"/>
  <c r="AG168" i="1"/>
  <c r="AH168" i="1" s="1"/>
  <c r="AI168" i="1" s="1"/>
  <c r="AJ168" i="1" s="1"/>
  <c r="AG167" i="1"/>
  <c r="AH167" i="1" s="1"/>
  <c r="AI167" i="1" s="1"/>
  <c r="AJ167" i="1" s="1"/>
  <c r="AG166" i="1"/>
  <c r="AH166" i="1" s="1"/>
  <c r="AI166" i="1" s="1"/>
  <c r="AJ166" i="1" s="1"/>
  <c r="AG165" i="1"/>
  <c r="AH165" i="1" s="1"/>
  <c r="AI165" i="1" s="1"/>
  <c r="AJ165" i="1" s="1"/>
  <c r="AG164" i="1"/>
  <c r="AH164" i="1" s="1"/>
  <c r="AI164" i="1" s="1"/>
  <c r="AJ164" i="1" s="1"/>
  <c r="AG163" i="1"/>
  <c r="AH163" i="1" s="1"/>
  <c r="AI163" i="1" s="1"/>
  <c r="AJ163" i="1" s="1"/>
  <c r="AG162" i="1"/>
  <c r="AH162" i="1" s="1"/>
  <c r="AI162" i="1" s="1"/>
  <c r="AJ162" i="1" s="1"/>
  <c r="AG161" i="1"/>
  <c r="AH161" i="1" s="1"/>
  <c r="AI161" i="1" s="1"/>
  <c r="AJ161" i="1" s="1"/>
  <c r="AG160" i="1"/>
  <c r="AH160" i="1" s="1"/>
  <c r="AI160" i="1" s="1"/>
  <c r="AJ160" i="1" s="1"/>
  <c r="AG159" i="1"/>
  <c r="AH159" i="1" s="1"/>
  <c r="AI159" i="1" s="1"/>
  <c r="AJ159" i="1" s="1"/>
  <c r="AG158" i="1"/>
  <c r="AH158" i="1" s="1"/>
  <c r="AI158" i="1" s="1"/>
  <c r="AJ158" i="1" s="1"/>
  <c r="AG157" i="1"/>
  <c r="AH157" i="1" s="1"/>
  <c r="AI157" i="1" s="1"/>
  <c r="AJ157" i="1" s="1"/>
  <c r="AG156" i="1"/>
  <c r="AH156" i="1" s="1"/>
  <c r="AI156" i="1" s="1"/>
  <c r="AJ156" i="1" s="1"/>
  <c r="AG153" i="1"/>
  <c r="AH153" i="1" s="1"/>
  <c r="AI153" i="1" s="1"/>
  <c r="AJ153" i="1" s="1"/>
  <c r="AG152" i="1"/>
  <c r="AH152" i="1" s="1"/>
  <c r="AI152" i="1" s="1"/>
  <c r="AJ152" i="1" s="1"/>
  <c r="AG151" i="1"/>
  <c r="AH151" i="1" s="1"/>
  <c r="AI151" i="1" s="1"/>
  <c r="AJ151" i="1" s="1"/>
  <c r="AG149" i="1"/>
  <c r="AH149" i="1" s="1"/>
  <c r="AI149" i="1" s="1"/>
  <c r="AJ149" i="1" s="1"/>
  <c r="AG148" i="1"/>
  <c r="AH148" i="1" s="1"/>
  <c r="AI148" i="1" s="1"/>
  <c r="AJ148" i="1" s="1"/>
  <c r="AG147" i="1"/>
  <c r="AH147" i="1" s="1"/>
  <c r="AI147" i="1" s="1"/>
  <c r="AJ147" i="1" s="1"/>
  <c r="AG146" i="1"/>
  <c r="AH146" i="1" s="1"/>
  <c r="AI146" i="1" s="1"/>
  <c r="AJ146" i="1" s="1"/>
  <c r="AG145" i="1"/>
  <c r="AH145" i="1" s="1"/>
  <c r="AI145" i="1" s="1"/>
  <c r="AJ145" i="1" s="1"/>
  <c r="AG144" i="1"/>
  <c r="AH144" i="1" s="1"/>
  <c r="AI144" i="1" s="1"/>
  <c r="AJ144" i="1" s="1"/>
  <c r="AG143" i="1"/>
  <c r="AH143" i="1" s="1"/>
  <c r="AI143" i="1" s="1"/>
  <c r="AJ143" i="1" s="1"/>
  <c r="AG142" i="1"/>
  <c r="AH142" i="1" s="1"/>
  <c r="AI142" i="1" s="1"/>
  <c r="AJ142" i="1" s="1"/>
  <c r="AG140" i="1"/>
  <c r="AH140" i="1" s="1"/>
  <c r="AI140" i="1" s="1"/>
  <c r="AJ140" i="1" s="1"/>
  <c r="AG139" i="1"/>
  <c r="AH139" i="1" s="1"/>
  <c r="AI139" i="1" s="1"/>
  <c r="AJ139" i="1" s="1"/>
  <c r="AG138" i="1"/>
  <c r="AH138" i="1" s="1"/>
  <c r="AI138" i="1" s="1"/>
  <c r="AJ138" i="1" s="1"/>
  <c r="AG137" i="1"/>
  <c r="AH137" i="1" s="1"/>
  <c r="AI137" i="1" s="1"/>
  <c r="AJ137" i="1" s="1"/>
  <c r="AG136" i="1"/>
  <c r="AH136" i="1" s="1"/>
  <c r="AI136" i="1" s="1"/>
  <c r="AJ136" i="1" s="1"/>
  <c r="AG134" i="1"/>
  <c r="AH134" i="1" s="1"/>
  <c r="AI134" i="1" s="1"/>
  <c r="AJ134" i="1" s="1"/>
  <c r="AG133" i="1"/>
  <c r="AG131" i="1"/>
  <c r="AH131" i="1" s="1"/>
  <c r="AI131" i="1" s="1"/>
  <c r="AJ131" i="1" s="1"/>
  <c r="AG130" i="1"/>
  <c r="AH130" i="1" s="1"/>
  <c r="AI130" i="1" s="1"/>
  <c r="AJ130" i="1" s="1"/>
  <c r="AG129" i="1"/>
  <c r="AH129" i="1" s="1"/>
  <c r="AI129" i="1" s="1"/>
  <c r="AJ129" i="1" s="1"/>
  <c r="AG128" i="1"/>
  <c r="AH128" i="1" s="1"/>
  <c r="AG127" i="1"/>
  <c r="AH127" i="1" s="1"/>
  <c r="AI127" i="1" s="1"/>
  <c r="AJ127" i="1" s="1"/>
  <c r="AG126" i="1"/>
  <c r="AH126" i="1" s="1"/>
  <c r="AI126" i="1" s="1"/>
  <c r="AJ126" i="1" s="1"/>
  <c r="AG125" i="1"/>
  <c r="AH125" i="1" s="1"/>
  <c r="AI125" i="1" s="1"/>
  <c r="AJ125" i="1" s="1"/>
  <c r="AG124" i="1"/>
  <c r="AH124" i="1" s="1"/>
  <c r="AI124" i="1" s="1"/>
  <c r="AJ124" i="1" s="1"/>
  <c r="AG123" i="1"/>
  <c r="AH123" i="1" s="1"/>
  <c r="AI123" i="1" s="1"/>
  <c r="AJ123" i="1" s="1"/>
  <c r="AG122" i="1"/>
  <c r="AH122" i="1" s="1"/>
  <c r="AI122" i="1" s="1"/>
  <c r="AJ122" i="1" s="1"/>
  <c r="AG121" i="1"/>
  <c r="AH121" i="1" s="1"/>
  <c r="AI121" i="1" s="1"/>
  <c r="AJ121" i="1" s="1"/>
  <c r="AG119" i="1"/>
  <c r="AH119" i="1" s="1"/>
  <c r="AI119" i="1" s="1"/>
  <c r="AJ119" i="1" s="1"/>
  <c r="AG118" i="1"/>
  <c r="AH118" i="1" s="1"/>
  <c r="AI118" i="1" s="1"/>
  <c r="AJ118" i="1" s="1"/>
  <c r="AG117" i="1"/>
  <c r="AH117" i="1" s="1"/>
  <c r="AI117" i="1" s="1"/>
  <c r="AJ117" i="1" s="1"/>
  <c r="AG116" i="1"/>
  <c r="AH116" i="1" s="1"/>
  <c r="AI116" i="1" s="1"/>
  <c r="AJ116" i="1" s="1"/>
  <c r="AG115" i="1"/>
  <c r="AH115" i="1" s="1"/>
  <c r="AI115" i="1" s="1"/>
  <c r="AJ115" i="1" s="1"/>
  <c r="AG114" i="1"/>
  <c r="AH114" i="1" s="1"/>
  <c r="AI114" i="1" s="1"/>
  <c r="AJ114" i="1" s="1"/>
  <c r="AG113" i="1"/>
  <c r="AH113" i="1" s="1"/>
  <c r="AI113" i="1" s="1"/>
  <c r="AJ113" i="1" s="1"/>
  <c r="AG112" i="1"/>
  <c r="AH112" i="1" s="1"/>
  <c r="AI112" i="1" s="1"/>
  <c r="AJ112" i="1" s="1"/>
  <c r="AG111" i="1"/>
  <c r="AH111" i="1" s="1"/>
  <c r="AI111" i="1" s="1"/>
  <c r="AJ111" i="1" s="1"/>
  <c r="AG110" i="1"/>
  <c r="AH110" i="1" s="1"/>
  <c r="AI110" i="1" s="1"/>
  <c r="AJ110" i="1" s="1"/>
  <c r="AG109" i="1"/>
  <c r="AH109" i="1" s="1"/>
  <c r="AI109" i="1" s="1"/>
  <c r="AJ109" i="1" s="1"/>
  <c r="AG108" i="1"/>
  <c r="AH108" i="1" s="1"/>
  <c r="AI108" i="1" s="1"/>
  <c r="AJ108" i="1" s="1"/>
  <c r="AG107" i="1"/>
  <c r="AH107" i="1" s="1"/>
  <c r="AI107" i="1" s="1"/>
  <c r="AJ107" i="1" s="1"/>
  <c r="AG106" i="1"/>
  <c r="AH106" i="1" s="1"/>
  <c r="AI106" i="1" s="1"/>
  <c r="AJ106" i="1" s="1"/>
  <c r="AG105" i="1"/>
  <c r="AH105" i="1" s="1"/>
  <c r="AI105" i="1" s="1"/>
  <c r="AJ105" i="1" s="1"/>
  <c r="AG104" i="1"/>
  <c r="AH104" i="1" s="1"/>
  <c r="AI104" i="1" s="1"/>
  <c r="AJ104" i="1" s="1"/>
  <c r="AG103" i="1"/>
  <c r="AH103" i="1" s="1"/>
  <c r="AI103" i="1" s="1"/>
  <c r="AJ103" i="1" s="1"/>
  <c r="AG102" i="1"/>
  <c r="AH102" i="1" s="1"/>
  <c r="AI102" i="1" s="1"/>
  <c r="AJ102" i="1" s="1"/>
  <c r="AG101" i="1"/>
  <c r="AH101" i="1" s="1"/>
  <c r="AI101" i="1" s="1"/>
  <c r="AJ101" i="1" s="1"/>
  <c r="AG100" i="1"/>
  <c r="AH100" i="1" s="1"/>
  <c r="AI100" i="1" s="1"/>
  <c r="AJ100" i="1" s="1"/>
  <c r="AG99" i="1"/>
  <c r="AH99" i="1" s="1"/>
  <c r="AI99" i="1" s="1"/>
  <c r="AJ99" i="1" s="1"/>
  <c r="AG97" i="1"/>
  <c r="AH97" i="1" s="1"/>
  <c r="AI97" i="1" s="1"/>
  <c r="AJ97" i="1" s="1"/>
  <c r="AG96" i="1"/>
  <c r="AH96" i="1" s="1"/>
  <c r="AI96" i="1" s="1"/>
  <c r="AJ96" i="1" s="1"/>
  <c r="AG95" i="1"/>
  <c r="AH95" i="1" s="1"/>
  <c r="AI95" i="1" s="1"/>
  <c r="AJ95" i="1" s="1"/>
  <c r="AG94" i="1"/>
  <c r="AH94" i="1" s="1"/>
  <c r="AG93" i="1"/>
  <c r="AH93" i="1" s="1"/>
  <c r="AI93" i="1" s="1"/>
  <c r="AJ93" i="1" s="1"/>
  <c r="AG92" i="1"/>
  <c r="AH92" i="1" s="1"/>
  <c r="AI92" i="1" s="1"/>
  <c r="AJ92" i="1" s="1"/>
  <c r="AG91" i="1"/>
  <c r="AH91" i="1" s="1"/>
  <c r="AI91" i="1" s="1"/>
  <c r="AJ91" i="1" s="1"/>
  <c r="AG90" i="1"/>
  <c r="AH90" i="1" s="1"/>
  <c r="AI90" i="1" s="1"/>
  <c r="AJ90" i="1" s="1"/>
  <c r="AG89" i="1"/>
  <c r="AI89" i="1" s="1"/>
  <c r="AJ89" i="1" s="1"/>
  <c r="AG88" i="1"/>
  <c r="AH88" i="1" s="1"/>
  <c r="AI88" i="1" s="1"/>
  <c r="AJ88" i="1" s="1"/>
  <c r="AG87" i="1"/>
  <c r="AH87" i="1" s="1"/>
  <c r="AI87" i="1" s="1"/>
  <c r="AJ87" i="1" s="1"/>
  <c r="AG86" i="1"/>
  <c r="AH86" i="1" s="1"/>
  <c r="AI86" i="1" s="1"/>
  <c r="AJ86" i="1" s="1"/>
  <c r="AG85" i="1"/>
  <c r="AH85" i="1" s="1"/>
  <c r="AI85" i="1" s="1"/>
  <c r="AJ85" i="1" s="1"/>
  <c r="AG81" i="1"/>
  <c r="AH81" i="1" s="1"/>
  <c r="AI81" i="1" s="1"/>
  <c r="AJ81" i="1" s="1"/>
  <c r="AG80" i="1"/>
  <c r="AI80" i="1" s="1"/>
  <c r="AJ80" i="1" s="1"/>
  <c r="AG79" i="1"/>
  <c r="AI79" i="1" s="1"/>
  <c r="AJ79" i="1" s="1"/>
  <c r="AG78" i="1"/>
  <c r="AH78" i="1" s="1"/>
  <c r="AI78" i="1" s="1"/>
  <c r="AJ78" i="1" s="1"/>
  <c r="AG77" i="1"/>
  <c r="AH77" i="1" s="1"/>
  <c r="AI77" i="1" s="1"/>
  <c r="AJ77" i="1" s="1"/>
  <c r="AG76" i="1"/>
  <c r="AH76" i="1" s="1"/>
  <c r="AI76" i="1" s="1"/>
  <c r="AJ76" i="1" s="1"/>
  <c r="AG75" i="1"/>
  <c r="AH75" i="1" s="1"/>
  <c r="AI75" i="1" s="1"/>
  <c r="AJ75" i="1" s="1"/>
  <c r="AG73" i="1"/>
  <c r="AH73" i="1" s="1"/>
  <c r="AI73" i="1" s="1"/>
  <c r="AJ73" i="1" s="1"/>
  <c r="AG72" i="1"/>
  <c r="AH72" i="1" s="1"/>
  <c r="AI72" i="1" s="1"/>
  <c r="AJ72" i="1" s="1"/>
  <c r="AG71" i="1"/>
  <c r="AH71" i="1" s="1"/>
  <c r="AI71" i="1" s="1"/>
  <c r="AJ71" i="1" s="1"/>
  <c r="AG70" i="1"/>
  <c r="AH70" i="1" s="1"/>
  <c r="AI70" i="1" s="1"/>
  <c r="AJ70" i="1" s="1"/>
  <c r="AG69" i="1"/>
  <c r="AH69" i="1" s="1"/>
  <c r="AI69" i="1" s="1"/>
  <c r="AJ69" i="1" s="1"/>
  <c r="AG68" i="1"/>
  <c r="AH68" i="1" s="1"/>
  <c r="AI68" i="1" s="1"/>
  <c r="AJ68" i="1" s="1"/>
  <c r="AG67" i="1"/>
  <c r="AH67" i="1" s="1"/>
  <c r="AI67" i="1" s="1"/>
  <c r="AJ67" i="1" s="1"/>
  <c r="AG66" i="1"/>
  <c r="AH66" i="1" s="1"/>
  <c r="AI66" i="1" s="1"/>
  <c r="AJ66" i="1" s="1"/>
  <c r="AG65" i="1"/>
  <c r="AH65" i="1" s="1"/>
  <c r="AI65" i="1" s="1"/>
  <c r="AJ65" i="1" s="1"/>
  <c r="AG64" i="1"/>
  <c r="AH64" i="1" s="1"/>
  <c r="AI64" i="1" s="1"/>
  <c r="AJ64" i="1" s="1"/>
  <c r="AG63" i="1"/>
  <c r="AH63" i="1" s="1"/>
  <c r="AI63" i="1" s="1"/>
  <c r="AJ63" i="1" s="1"/>
  <c r="AG62" i="1"/>
  <c r="AH62" i="1" s="1"/>
  <c r="AI62" i="1" s="1"/>
  <c r="AJ62" i="1" s="1"/>
  <c r="AG61" i="1"/>
  <c r="AH61" i="1" s="1"/>
  <c r="AI61" i="1" s="1"/>
  <c r="AJ61" i="1" s="1"/>
  <c r="AG60" i="1"/>
  <c r="AH60" i="1" s="1"/>
  <c r="AI60" i="1" s="1"/>
  <c r="AJ60" i="1" s="1"/>
  <c r="AG59" i="1"/>
  <c r="AH59" i="1" s="1"/>
  <c r="AI59" i="1" s="1"/>
  <c r="AJ59" i="1" s="1"/>
  <c r="AG58" i="1"/>
  <c r="AH58" i="1" s="1"/>
  <c r="AI58" i="1" s="1"/>
  <c r="AJ58" i="1" s="1"/>
  <c r="AG57" i="1"/>
  <c r="AH57" i="1" s="1"/>
  <c r="AI57" i="1" s="1"/>
  <c r="AJ57" i="1" s="1"/>
  <c r="AG56" i="1"/>
  <c r="AH56" i="1" s="1"/>
  <c r="AI56" i="1" s="1"/>
  <c r="AJ56" i="1" s="1"/>
  <c r="AG55" i="1"/>
  <c r="AH55" i="1" s="1"/>
  <c r="AI55" i="1" s="1"/>
  <c r="AJ55" i="1" s="1"/>
  <c r="AG54" i="1"/>
  <c r="AH54" i="1" s="1"/>
  <c r="AI54" i="1" s="1"/>
  <c r="AJ54" i="1" s="1"/>
  <c r="AG53" i="1"/>
  <c r="AH53" i="1" s="1"/>
  <c r="AI53" i="1" s="1"/>
  <c r="AJ53" i="1" s="1"/>
  <c r="AG52" i="1"/>
  <c r="AH52" i="1" s="1"/>
  <c r="AI52" i="1" s="1"/>
  <c r="AJ52" i="1" s="1"/>
  <c r="AG51" i="1"/>
  <c r="AH51" i="1" s="1"/>
  <c r="AI51" i="1" s="1"/>
  <c r="AJ51" i="1" s="1"/>
  <c r="AG50" i="1"/>
  <c r="AH50" i="1" s="1"/>
  <c r="AI50" i="1" s="1"/>
  <c r="AJ50" i="1" s="1"/>
  <c r="AG49" i="1"/>
  <c r="AH49" i="1" s="1"/>
  <c r="AI49" i="1" s="1"/>
  <c r="AJ49" i="1" s="1"/>
  <c r="AG48" i="1"/>
  <c r="AH48" i="1" s="1"/>
  <c r="AI48" i="1" s="1"/>
  <c r="AJ48" i="1" s="1"/>
  <c r="AG47" i="1"/>
  <c r="AH47" i="1" s="1"/>
  <c r="AI47" i="1" s="1"/>
  <c r="AJ47" i="1" s="1"/>
  <c r="AG46" i="1"/>
  <c r="AH46" i="1" s="1"/>
  <c r="AI46" i="1" s="1"/>
  <c r="AJ46" i="1" s="1"/>
  <c r="AG45" i="1"/>
  <c r="AH45" i="1" s="1"/>
  <c r="AI45" i="1" s="1"/>
  <c r="AJ45" i="1" s="1"/>
  <c r="AG44" i="1"/>
  <c r="AH44" i="1" s="1"/>
  <c r="AG43" i="1"/>
  <c r="AH43" i="1" s="1"/>
  <c r="AI43" i="1" s="1"/>
  <c r="AJ43" i="1" s="1"/>
  <c r="AG42" i="1"/>
  <c r="AH42" i="1" s="1"/>
  <c r="AI42" i="1" s="1"/>
  <c r="AJ42" i="1" s="1"/>
  <c r="AG41" i="1"/>
  <c r="AH41" i="1" s="1"/>
  <c r="AI41" i="1" s="1"/>
  <c r="AJ41" i="1" s="1"/>
  <c r="AG40" i="1"/>
  <c r="AH40" i="1" s="1"/>
  <c r="AI40" i="1" s="1"/>
  <c r="AJ40" i="1" s="1"/>
  <c r="AG39" i="1"/>
  <c r="AH39" i="1" s="1"/>
  <c r="AI39" i="1" s="1"/>
  <c r="AJ39" i="1" s="1"/>
  <c r="AG31" i="1"/>
  <c r="AH31" i="1" s="1"/>
  <c r="AI31" i="1" s="1"/>
  <c r="AJ31" i="1" s="1"/>
  <c r="AG30" i="1"/>
  <c r="AH30" i="1" s="1"/>
  <c r="AI30" i="1" s="1"/>
  <c r="AJ30" i="1" s="1"/>
  <c r="AG29" i="1"/>
  <c r="AH29" i="1" s="1"/>
  <c r="AI29" i="1" s="1"/>
  <c r="AJ29" i="1" s="1"/>
  <c r="AG28" i="1"/>
  <c r="AH28" i="1" s="1"/>
  <c r="AI28" i="1" s="1"/>
  <c r="AJ28" i="1" s="1"/>
  <c r="AG27" i="1"/>
  <c r="AH27" i="1" s="1"/>
  <c r="AI27" i="1" s="1"/>
  <c r="AJ27" i="1" s="1"/>
  <c r="AG26" i="1"/>
  <c r="AH26" i="1" s="1"/>
  <c r="AI26" i="1" s="1"/>
  <c r="AJ26" i="1" s="1"/>
  <c r="AG25" i="1"/>
  <c r="AH25" i="1" s="1"/>
  <c r="AI25" i="1" s="1"/>
  <c r="AJ25" i="1" s="1"/>
  <c r="AG24" i="1"/>
  <c r="AH24" i="1" s="1"/>
  <c r="AI24" i="1" s="1"/>
  <c r="AJ24" i="1" s="1"/>
  <c r="AG23" i="1"/>
  <c r="AI23" i="1" s="1"/>
  <c r="AJ23" i="1" s="1"/>
  <c r="AG22" i="1"/>
  <c r="AH22" i="1" s="1"/>
  <c r="AG21" i="1"/>
  <c r="AH21" i="1" s="1"/>
  <c r="AI21" i="1" s="1"/>
  <c r="AJ21" i="1" s="1"/>
  <c r="AG20" i="1"/>
  <c r="AH20" i="1" s="1"/>
  <c r="AI20" i="1" s="1"/>
  <c r="AJ20" i="1" s="1"/>
  <c r="AG19" i="1"/>
  <c r="AH19" i="1" s="1"/>
  <c r="AI19" i="1" s="1"/>
  <c r="AJ19" i="1" s="1"/>
  <c r="AG18" i="1"/>
  <c r="AH18" i="1" s="1"/>
  <c r="AI18" i="1" s="1"/>
  <c r="AJ18" i="1" s="1"/>
  <c r="AG17" i="1"/>
  <c r="AH17" i="1" s="1"/>
  <c r="AI17" i="1" s="1"/>
  <c r="AJ17" i="1" s="1"/>
  <c r="AG16" i="1"/>
  <c r="AH16" i="1" s="1"/>
  <c r="AI16" i="1" s="1"/>
  <c r="AJ16" i="1" s="1"/>
  <c r="AG15" i="1"/>
  <c r="AH15" i="1" s="1"/>
  <c r="AI15" i="1" s="1"/>
  <c r="AJ15" i="1" s="1"/>
  <c r="AG14" i="1"/>
  <c r="AH14" i="1" s="1"/>
  <c r="AI14" i="1" s="1"/>
  <c r="AJ14" i="1" s="1"/>
  <c r="AG6" i="1"/>
  <c r="AH6" i="1" s="1"/>
  <c r="AI6" i="1" s="1"/>
  <c r="AJ6" i="1" s="1"/>
  <c r="AG5" i="1"/>
  <c r="AH5" i="1" s="1"/>
  <c r="AI5" i="1" s="1"/>
  <c r="AJ5" i="1" s="1"/>
  <c r="AG4" i="1"/>
  <c r="AH4" i="1" s="1"/>
  <c r="AI4" i="1" s="1"/>
  <c r="AJ4" i="1" s="1"/>
  <c r="AG3" i="1"/>
  <c r="AH3" i="1" s="1"/>
  <c r="AI3" i="1" s="1"/>
  <c r="AJ3" i="1" s="1"/>
  <c r="AG2" i="1"/>
  <c r="AH2" i="1" s="1"/>
  <c r="AI2" i="1" s="1"/>
  <c r="AJ2" i="1" s="1"/>
  <c r="A7" i="1"/>
  <c r="J7" i="1"/>
  <c r="AE7" i="1"/>
  <c r="AF7" i="1" s="1"/>
  <c r="A8" i="1"/>
  <c r="J8" i="1"/>
  <c r="AE8" i="1"/>
  <c r="AF8" i="1" s="1"/>
  <c r="A9" i="1"/>
  <c r="J9" i="1"/>
  <c r="AE9" i="1"/>
  <c r="AF9" i="1" s="1"/>
  <c r="A10" i="1"/>
  <c r="J10" i="1"/>
  <c r="AE10" i="1"/>
  <c r="AF10" i="1" s="1"/>
  <c r="A11" i="1"/>
  <c r="J11" i="1"/>
  <c r="AE11" i="1"/>
  <c r="AF11" i="1" s="1"/>
  <c r="A12" i="1"/>
  <c r="J12" i="1"/>
  <c r="AE12" i="1"/>
  <c r="AF12" i="1" s="1"/>
  <c r="A13" i="1"/>
  <c r="J13" i="1"/>
  <c r="AE13" i="1"/>
  <c r="AF13" i="1" s="1"/>
  <c r="A32" i="1"/>
  <c r="J32" i="1"/>
  <c r="AE32" i="1"/>
  <c r="AF32" i="1" s="1"/>
  <c r="A33" i="1"/>
  <c r="J33" i="1"/>
  <c r="AE33" i="1"/>
  <c r="AF33" i="1" s="1"/>
  <c r="A34" i="1"/>
  <c r="J34" i="1"/>
  <c r="AE34" i="1"/>
  <c r="AF34" i="1" s="1"/>
  <c r="A35" i="1"/>
  <c r="J35" i="1"/>
  <c r="AE35" i="1"/>
  <c r="AF35" i="1" s="1"/>
  <c r="A36" i="1"/>
  <c r="J36" i="1"/>
  <c r="AE36" i="1"/>
  <c r="AF36" i="1" s="1"/>
  <c r="A37" i="1"/>
  <c r="J37" i="1"/>
  <c r="AE37" i="1"/>
  <c r="AF37" i="1" s="1"/>
  <c r="A38" i="1"/>
  <c r="J38" i="1"/>
  <c r="AE38" i="1"/>
  <c r="AF38" i="1" s="1"/>
  <c r="A74" i="1"/>
  <c r="J74" i="1"/>
  <c r="AE74" i="1"/>
  <c r="AF74" i="1" s="1"/>
  <c r="A82" i="1"/>
  <c r="J82" i="1"/>
  <c r="AE82" i="1"/>
  <c r="AF82" i="1" s="1"/>
  <c r="A83" i="1"/>
  <c r="J83" i="1"/>
  <c r="AE83" i="1"/>
  <c r="AF83" i="1" s="1"/>
  <c r="A84" i="1"/>
  <c r="J84" i="1"/>
  <c r="AE84" i="1"/>
  <c r="AF84" i="1" s="1"/>
  <c r="A98" i="1"/>
  <c r="J98" i="1"/>
  <c r="AE98" i="1"/>
  <c r="AF98" i="1" s="1"/>
  <c r="A120" i="1"/>
  <c r="J120" i="1"/>
  <c r="AE120" i="1"/>
  <c r="AF120" i="1" s="1"/>
  <c r="A132" i="1"/>
  <c r="J132" i="1"/>
  <c r="AE132" i="1"/>
  <c r="AF132" i="1" s="1"/>
  <c r="A135" i="1"/>
  <c r="J135" i="1"/>
  <c r="AE135" i="1"/>
  <c r="AF135" i="1" s="1"/>
  <c r="A141" i="1"/>
  <c r="J141" i="1"/>
  <c r="AE141" i="1"/>
  <c r="AF141" i="1" s="1"/>
  <c r="A150" i="1"/>
  <c r="J150" i="1"/>
  <c r="AE150" i="1"/>
  <c r="AF150" i="1" s="1"/>
  <c r="A154" i="1"/>
  <c r="J154" i="1"/>
  <c r="AE154" i="1"/>
  <c r="AF154" i="1" s="1"/>
  <c r="A155" i="1"/>
  <c r="J155" i="1"/>
  <c r="AE155" i="1"/>
  <c r="AF155" i="1" s="1"/>
  <c r="A177" i="1"/>
  <c r="J177" i="1"/>
  <c r="AE177" i="1"/>
  <c r="AF177" i="1" s="1"/>
  <c r="A179" i="1"/>
  <c r="J179" i="1"/>
  <c r="AE179" i="1"/>
  <c r="AF179" i="1" s="1"/>
  <c r="A188" i="1"/>
  <c r="J188" i="1"/>
  <c r="AE188" i="1"/>
  <c r="AF188" i="1" s="1"/>
  <c r="A189" i="1"/>
  <c r="J189" i="1"/>
  <c r="AE189" i="1"/>
  <c r="AF189" i="1" s="1"/>
  <c r="A190" i="1"/>
  <c r="J190" i="1"/>
  <c r="AE190" i="1"/>
  <c r="AF190" i="1" s="1"/>
  <c r="A191" i="1"/>
  <c r="J191" i="1"/>
  <c r="AE191" i="1"/>
  <c r="AF191" i="1" s="1"/>
  <c r="A193" i="1"/>
  <c r="J193" i="1"/>
  <c r="AE193" i="1"/>
  <c r="AF193" i="1" s="1"/>
  <c r="A218" i="1"/>
  <c r="J218" i="1"/>
  <c r="AE218" i="1"/>
  <c r="AF218" i="1" s="1"/>
  <c r="A229" i="1"/>
  <c r="J229" i="1"/>
  <c r="AE229" i="1"/>
  <c r="AF229" i="1" s="1"/>
  <c r="A230" i="1"/>
  <c r="J230" i="1"/>
  <c r="AE230" i="1"/>
  <c r="AF230" i="1" s="1"/>
  <c r="A232" i="1"/>
  <c r="J232" i="1"/>
  <c r="AE232" i="1"/>
  <c r="AF232" i="1" s="1"/>
  <c r="A240" i="1"/>
  <c r="J240" i="1"/>
  <c r="AE240" i="1"/>
  <c r="AF240" i="1" s="1"/>
  <c r="A244" i="1"/>
  <c r="J244" i="1"/>
  <c r="AE244" i="1"/>
  <c r="AF244" i="1" s="1"/>
  <c r="A252" i="1"/>
  <c r="J252" i="1"/>
  <c r="AE252" i="1"/>
  <c r="AF252" i="1" s="1"/>
  <c r="A253" i="1"/>
  <c r="J253" i="1"/>
  <c r="AE253" i="1"/>
  <c r="AF253" i="1" s="1"/>
  <c r="A263" i="1"/>
  <c r="J263" i="1"/>
  <c r="AE263" i="1"/>
  <c r="AF263" i="1" s="1"/>
  <c r="A267" i="1"/>
  <c r="J267" i="1"/>
  <c r="AE267" i="1"/>
  <c r="AF267" i="1" s="1"/>
  <c r="A269" i="1"/>
  <c r="J269" i="1"/>
  <c r="AE269" i="1"/>
  <c r="AF269" i="1" s="1"/>
  <c r="A270" i="1"/>
  <c r="J270" i="1"/>
  <c r="AE270" i="1"/>
  <c r="AF270" i="1" s="1"/>
  <c r="A271" i="1"/>
  <c r="J271" i="1"/>
  <c r="AE271" i="1"/>
  <c r="AF271" i="1" s="1"/>
  <c r="A272" i="1"/>
  <c r="J272" i="1"/>
  <c r="AE272" i="1"/>
  <c r="AF272" i="1" s="1"/>
  <c r="A273" i="1"/>
  <c r="J273" i="1"/>
  <c r="AE273" i="1"/>
  <c r="AF273" i="1" s="1"/>
  <c r="A274" i="1"/>
  <c r="J274" i="1"/>
  <c r="AE274" i="1"/>
  <c r="AF274" i="1" s="1"/>
  <c r="A275" i="1"/>
  <c r="J275" i="1"/>
  <c r="AE275" i="1"/>
  <c r="AF275" i="1" s="1"/>
  <c r="A276" i="1"/>
  <c r="J276" i="1"/>
  <c r="AE276" i="1"/>
  <c r="AF276" i="1" s="1"/>
  <c r="A277" i="1"/>
  <c r="J277" i="1"/>
  <c r="AE277" i="1"/>
  <c r="AF277" i="1" s="1"/>
  <c r="A278" i="1"/>
  <c r="J278" i="1"/>
  <c r="AE278" i="1"/>
  <c r="AF278" i="1" s="1"/>
  <c r="A279" i="1"/>
  <c r="J279" i="1"/>
  <c r="AE279" i="1"/>
  <c r="AF279" i="1" s="1"/>
  <c r="A280" i="1"/>
  <c r="J280" i="1"/>
  <c r="AE280" i="1"/>
  <c r="AF280" i="1" s="1"/>
  <c r="A281" i="1"/>
  <c r="J281" i="1"/>
  <c r="AE281" i="1"/>
  <c r="AF281" i="1" s="1"/>
  <c r="A282" i="1"/>
  <c r="J282" i="1"/>
  <c r="AE282" i="1"/>
  <c r="AF282" i="1" s="1"/>
  <c r="A283" i="1"/>
  <c r="J283" i="1"/>
  <c r="AE283" i="1"/>
  <c r="AF283" i="1" s="1"/>
  <c r="A284" i="1"/>
  <c r="J284" i="1"/>
  <c r="AE284" i="1"/>
  <c r="AF284" i="1" s="1"/>
  <c r="A285" i="1"/>
  <c r="J285" i="1"/>
  <c r="AE285" i="1"/>
  <c r="AF285" i="1" s="1"/>
  <c r="A287" i="1"/>
  <c r="J287" i="1"/>
  <c r="AE287" i="1"/>
  <c r="AF287" i="1" s="1"/>
  <c r="A289" i="1"/>
  <c r="J289" i="1"/>
  <c r="AE289" i="1"/>
  <c r="AF289" i="1" s="1"/>
  <c r="A290" i="1"/>
  <c r="J290" i="1"/>
  <c r="AE290" i="1"/>
  <c r="AF290" i="1" s="1"/>
  <c r="A291" i="1"/>
  <c r="J291" i="1"/>
  <c r="AE291" i="1"/>
  <c r="AF291" i="1" s="1"/>
  <c r="A293" i="1"/>
  <c r="J293" i="1"/>
  <c r="AE293" i="1"/>
  <c r="AF293" i="1" s="1"/>
  <c r="A294" i="1"/>
  <c r="J294" i="1"/>
  <c r="AE294" i="1"/>
  <c r="AF294" i="1" s="1"/>
  <c r="A295" i="1"/>
  <c r="J295" i="1"/>
  <c r="AE295" i="1"/>
  <c r="AF295" i="1" s="1"/>
  <c r="A322" i="1"/>
  <c r="J322" i="1"/>
  <c r="AE322" i="1"/>
  <c r="AF322" i="1" s="1"/>
  <c r="A340" i="1"/>
  <c r="J340" i="1"/>
  <c r="AE340" i="1"/>
  <c r="AF340" i="1" s="1"/>
  <c r="A351" i="1"/>
  <c r="J351" i="1"/>
  <c r="AE351" i="1"/>
  <c r="AF351" i="1" s="1"/>
  <c r="A375" i="1"/>
  <c r="J375" i="1"/>
  <c r="AE375" i="1"/>
  <c r="AF375" i="1" s="1"/>
  <c r="A376" i="1"/>
  <c r="J376" i="1"/>
  <c r="AE376" i="1"/>
  <c r="AF376" i="1" s="1"/>
  <c r="A377" i="1"/>
  <c r="J377" i="1"/>
  <c r="AE377" i="1"/>
  <c r="AF377" i="1" s="1"/>
  <c r="A414" i="1"/>
  <c r="J414" i="1"/>
  <c r="AE414" i="1"/>
  <c r="AF414" i="1" s="1"/>
  <c r="A475" i="1"/>
  <c r="J475" i="1"/>
  <c r="AE475" i="1"/>
  <c r="AF475" i="1" s="1"/>
  <c r="A478" i="1"/>
  <c r="J478" i="1"/>
  <c r="AE478" i="1"/>
  <c r="AF478" i="1" s="1"/>
  <c r="A510" i="1"/>
  <c r="J510" i="1"/>
  <c r="AE510" i="1"/>
  <c r="AF510" i="1" s="1"/>
  <c r="A562" i="1"/>
  <c r="J562" i="1"/>
  <c r="AE562" i="1"/>
  <c r="AF562" i="1" s="1"/>
  <c r="A588" i="1"/>
  <c r="J588" i="1"/>
  <c r="AE588" i="1"/>
  <c r="AF588" i="1" s="1"/>
  <c r="A611" i="1"/>
  <c r="J611" i="1"/>
  <c r="AE611" i="1"/>
  <c r="AF611" i="1" s="1"/>
  <c r="A676" i="1"/>
  <c r="J676" i="1"/>
  <c r="AE676" i="1"/>
  <c r="AF676" i="1" s="1"/>
  <c r="A699" i="1"/>
  <c r="J699" i="1"/>
  <c r="AE699" i="1"/>
  <c r="AF699" i="1" s="1"/>
  <c r="A700" i="1"/>
  <c r="J700" i="1"/>
  <c r="AE700" i="1"/>
  <c r="AF700" i="1" s="1"/>
  <c r="A719" i="1"/>
  <c r="J719" i="1"/>
  <c r="AE719" i="1"/>
  <c r="AF719" i="1" s="1"/>
  <c r="A823" i="1"/>
  <c r="J823" i="1"/>
  <c r="AE823" i="1"/>
  <c r="AF823" i="1" s="1"/>
  <c r="A873" i="1"/>
  <c r="J873" i="1"/>
  <c r="AE873" i="1"/>
  <c r="AF873" i="1" s="1"/>
  <c r="A874" i="1"/>
  <c r="J874" i="1"/>
  <c r="AE874" i="1"/>
  <c r="AF874" i="1" s="1"/>
  <c r="A882" i="1"/>
  <c r="J882" i="1"/>
  <c r="AE882" i="1"/>
  <c r="AF882" i="1" s="1"/>
  <c r="A900" i="1"/>
  <c r="J900" i="1"/>
  <c r="AE900" i="1"/>
  <c r="AF900" i="1" s="1"/>
  <c r="A960" i="1"/>
  <c r="J960" i="1"/>
  <c r="AE960" i="1"/>
  <c r="AF960" i="1" s="1"/>
  <c r="A962" i="1"/>
  <c r="J962" i="1"/>
  <c r="AE962" i="1"/>
  <c r="AF962" i="1" s="1"/>
  <c r="A963" i="1"/>
  <c r="J963" i="1"/>
  <c r="AE963" i="1"/>
  <c r="AF963" i="1" s="1"/>
  <c r="A964" i="1"/>
  <c r="J964" i="1"/>
  <c r="AE964" i="1"/>
  <c r="AF964" i="1" s="1"/>
  <c r="A965" i="1"/>
  <c r="J965" i="1"/>
  <c r="AE965" i="1"/>
  <c r="AF965" i="1" s="1"/>
  <c r="A966" i="1"/>
  <c r="J966" i="1"/>
  <c r="AE966" i="1"/>
  <c r="AF966" i="1" s="1"/>
  <c r="A967" i="1"/>
  <c r="J967" i="1"/>
  <c r="AE967" i="1"/>
  <c r="AF967" i="1" s="1"/>
  <c r="A968" i="1"/>
  <c r="J968" i="1"/>
  <c r="AE968" i="1"/>
  <c r="AF968" i="1" s="1"/>
  <c r="A969" i="1"/>
  <c r="J969" i="1"/>
  <c r="AE969" i="1"/>
  <c r="AF969" i="1" s="1"/>
  <c r="A970" i="1"/>
  <c r="J970" i="1"/>
  <c r="AE970" i="1"/>
  <c r="AF970" i="1" s="1"/>
  <c r="A1041" i="1"/>
  <c r="J1041" i="1"/>
  <c r="AE1041" i="1"/>
  <c r="AF1041" i="1" s="1"/>
  <c r="A1042" i="1"/>
  <c r="J1042" i="1"/>
  <c r="AE1042" i="1"/>
  <c r="AF1042" i="1" s="1"/>
  <c r="A1043" i="1"/>
  <c r="J1043" i="1"/>
  <c r="AE1043" i="1"/>
  <c r="AF1043" i="1" s="1"/>
  <c r="A1044" i="1"/>
  <c r="J1044" i="1"/>
  <c r="AE1044" i="1"/>
  <c r="AF1044" i="1" s="1"/>
  <c r="A1045" i="1"/>
  <c r="J1045" i="1"/>
  <c r="AE1045" i="1"/>
  <c r="AF1045" i="1" s="1"/>
  <c r="A1046" i="1"/>
  <c r="J1046" i="1"/>
  <c r="AE1046" i="1"/>
  <c r="AF1046" i="1" s="1"/>
  <c r="A1047" i="1"/>
  <c r="J1047" i="1"/>
  <c r="AE1047" i="1"/>
  <c r="AF1047" i="1" s="1"/>
  <c r="A1048" i="1"/>
  <c r="J1048" i="1"/>
  <c r="AE1048" i="1"/>
  <c r="AF1048" i="1" s="1"/>
  <c r="A1049" i="1"/>
  <c r="J1049" i="1"/>
  <c r="AE1049" i="1"/>
  <c r="AF1049" i="1" s="1"/>
  <c r="A1050" i="1"/>
  <c r="J1050" i="1"/>
  <c r="AE1050" i="1"/>
  <c r="AF1050" i="1" s="1"/>
  <c r="A1051" i="1"/>
  <c r="J1051" i="1"/>
  <c r="AE1051" i="1"/>
  <c r="AF1051" i="1" s="1"/>
  <c r="A1098" i="1"/>
  <c r="J1098" i="1"/>
  <c r="AE1098" i="1"/>
  <c r="AF1098" i="1" s="1"/>
  <c r="AE3" i="1"/>
  <c r="AF3" i="1" s="1"/>
  <c r="AE4" i="1"/>
  <c r="AF4" i="1" s="1"/>
  <c r="AE5" i="1"/>
  <c r="AF5" i="1" s="1"/>
  <c r="AE6" i="1"/>
  <c r="AF6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3" i="1"/>
  <c r="AF133" i="1" s="1"/>
  <c r="AE134" i="1"/>
  <c r="AF134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1" i="1"/>
  <c r="AF151" i="1" s="1"/>
  <c r="AE152" i="1"/>
  <c r="AF152" i="1" s="1"/>
  <c r="AE153" i="1"/>
  <c r="AF153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F175" i="1" s="1"/>
  <c r="AE176" i="1"/>
  <c r="AF176" i="1" s="1"/>
  <c r="AE178" i="1"/>
  <c r="AF178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92" i="1"/>
  <c r="AF192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31" i="1"/>
  <c r="AF231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1" i="1"/>
  <c r="AF241" i="1" s="1"/>
  <c r="AE242" i="1"/>
  <c r="AF242" i="1" s="1"/>
  <c r="AE243" i="1"/>
  <c r="AF243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4" i="1"/>
  <c r="AF264" i="1" s="1"/>
  <c r="AE265" i="1"/>
  <c r="AF265" i="1" s="1"/>
  <c r="AE266" i="1"/>
  <c r="AF266" i="1" s="1"/>
  <c r="AE268" i="1"/>
  <c r="AF268" i="1" s="1"/>
  <c r="AE286" i="1"/>
  <c r="AF286" i="1" s="1"/>
  <c r="AE288" i="1"/>
  <c r="AF288" i="1" s="1"/>
  <c r="AE292" i="1"/>
  <c r="AF292" i="1" s="1"/>
  <c r="AE296" i="1"/>
  <c r="AF296" i="1" s="1"/>
  <c r="AE297" i="1"/>
  <c r="AF297" i="1" s="1"/>
  <c r="AE298" i="1"/>
  <c r="AF298" i="1" s="1"/>
  <c r="AE299" i="1"/>
  <c r="AF299" i="1" s="1"/>
  <c r="AE300" i="1"/>
  <c r="AF300" i="1" s="1"/>
  <c r="AE301" i="1"/>
  <c r="AF301" i="1" s="1"/>
  <c r="AE302" i="1"/>
  <c r="AF302" i="1" s="1"/>
  <c r="AE303" i="1"/>
  <c r="AF303" i="1" s="1"/>
  <c r="AE304" i="1"/>
  <c r="AF304" i="1" s="1"/>
  <c r="AE305" i="1"/>
  <c r="AF305" i="1" s="1"/>
  <c r="AE306" i="1"/>
  <c r="AF306" i="1" s="1"/>
  <c r="AE307" i="1"/>
  <c r="AF307" i="1" s="1"/>
  <c r="AE308" i="1"/>
  <c r="AF308" i="1" s="1"/>
  <c r="AE309" i="1"/>
  <c r="AF309" i="1" s="1"/>
  <c r="AE310" i="1"/>
  <c r="AF310" i="1" s="1"/>
  <c r="AE311" i="1"/>
  <c r="AF311" i="1" s="1"/>
  <c r="AE312" i="1"/>
  <c r="AF312" i="1" s="1"/>
  <c r="AE313" i="1"/>
  <c r="AF313" i="1" s="1"/>
  <c r="AE314" i="1"/>
  <c r="AF314" i="1" s="1"/>
  <c r="AE315" i="1"/>
  <c r="AF315" i="1" s="1"/>
  <c r="AE316" i="1"/>
  <c r="AF316" i="1" s="1"/>
  <c r="AE317" i="1"/>
  <c r="AF317" i="1" s="1"/>
  <c r="AE318" i="1"/>
  <c r="AF318" i="1" s="1"/>
  <c r="AE319" i="1"/>
  <c r="AF319" i="1" s="1"/>
  <c r="AE320" i="1"/>
  <c r="AF320" i="1" s="1"/>
  <c r="AE321" i="1"/>
  <c r="AF321" i="1" s="1"/>
  <c r="AE323" i="1"/>
  <c r="AF323" i="1" s="1"/>
  <c r="AE324" i="1"/>
  <c r="AF324" i="1" s="1"/>
  <c r="AE325" i="1"/>
  <c r="AF325" i="1" s="1"/>
  <c r="AE326" i="1"/>
  <c r="AF326" i="1" s="1"/>
  <c r="AE327" i="1"/>
  <c r="AF327" i="1" s="1"/>
  <c r="AE328" i="1"/>
  <c r="AF328" i="1" s="1"/>
  <c r="AE329" i="1"/>
  <c r="AF329" i="1" s="1"/>
  <c r="AE330" i="1"/>
  <c r="AF330" i="1" s="1"/>
  <c r="AE331" i="1"/>
  <c r="AF331" i="1" s="1"/>
  <c r="AE332" i="1"/>
  <c r="AF332" i="1" s="1"/>
  <c r="AE333" i="1"/>
  <c r="AF333" i="1" s="1"/>
  <c r="AE334" i="1"/>
  <c r="AF334" i="1" s="1"/>
  <c r="AE335" i="1"/>
  <c r="AF335" i="1" s="1"/>
  <c r="AE336" i="1"/>
  <c r="AF336" i="1" s="1"/>
  <c r="AE337" i="1"/>
  <c r="AF337" i="1" s="1"/>
  <c r="AE338" i="1"/>
  <c r="AF338" i="1" s="1"/>
  <c r="AE339" i="1"/>
  <c r="AF339" i="1" s="1"/>
  <c r="AE341" i="1"/>
  <c r="AF341" i="1" s="1"/>
  <c r="AE342" i="1"/>
  <c r="AF342" i="1" s="1"/>
  <c r="AE343" i="1"/>
  <c r="AF343" i="1" s="1"/>
  <c r="AE344" i="1"/>
  <c r="AF344" i="1" s="1"/>
  <c r="AE345" i="1"/>
  <c r="AF345" i="1" s="1"/>
  <c r="AE346" i="1"/>
  <c r="AF346" i="1" s="1"/>
  <c r="AE347" i="1"/>
  <c r="AF347" i="1" s="1"/>
  <c r="AE348" i="1"/>
  <c r="AF348" i="1" s="1"/>
  <c r="AE349" i="1"/>
  <c r="AF349" i="1" s="1"/>
  <c r="AE350" i="1"/>
  <c r="AF350" i="1" s="1"/>
  <c r="AE352" i="1"/>
  <c r="AF352" i="1" s="1"/>
  <c r="AE353" i="1"/>
  <c r="AF353" i="1" s="1"/>
  <c r="AE354" i="1"/>
  <c r="AF354" i="1" s="1"/>
  <c r="AE355" i="1"/>
  <c r="AF355" i="1" s="1"/>
  <c r="AE356" i="1"/>
  <c r="AF356" i="1" s="1"/>
  <c r="AE357" i="1"/>
  <c r="AF357" i="1" s="1"/>
  <c r="AE358" i="1"/>
  <c r="AF358" i="1" s="1"/>
  <c r="AE359" i="1"/>
  <c r="AF359" i="1" s="1"/>
  <c r="AE360" i="1"/>
  <c r="AF360" i="1" s="1"/>
  <c r="AE361" i="1"/>
  <c r="AF361" i="1" s="1"/>
  <c r="AE362" i="1"/>
  <c r="AF362" i="1" s="1"/>
  <c r="AE363" i="1"/>
  <c r="AF363" i="1" s="1"/>
  <c r="AE364" i="1"/>
  <c r="AF364" i="1" s="1"/>
  <c r="AE365" i="1"/>
  <c r="AF365" i="1" s="1"/>
  <c r="AE366" i="1"/>
  <c r="AF366" i="1" s="1"/>
  <c r="AE367" i="1"/>
  <c r="AF367" i="1" s="1"/>
  <c r="AE368" i="1"/>
  <c r="AF368" i="1" s="1"/>
  <c r="AE369" i="1"/>
  <c r="AF369" i="1" s="1"/>
  <c r="AE370" i="1"/>
  <c r="AF370" i="1" s="1"/>
  <c r="AE371" i="1"/>
  <c r="AF371" i="1" s="1"/>
  <c r="AE372" i="1"/>
  <c r="AF372" i="1" s="1"/>
  <c r="AE373" i="1"/>
  <c r="AF373" i="1" s="1"/>
  <c r="AE374" i="1"/>
  <c r="AF374" i="1" s="1"/>
  <c r="AE378" i="1"/>
  <c r="AF378" i="1" s="1"/>
  <c r="AE379" i="1"/>
  <c r="AF379" i="1" s="1"/>
  <c r="AE380" i="1"/>
  <c r="AF380" i="1" s="1"/>
  <c r="AE381" i="1"/>
  <c r="AF381" i="1" s="1"/>
  <c r="AE382" i="1"/>
  <c r="AF382" i="1" s="1"/>
  <c r="AE383" i="1"/>
  <c r="AF383" i="1" s="1"/>
  <c r="AE384" i="1"/>
  <c r="AF384" i="1" s="1"/>
  <c r="AE385" i="1"/>
  <c r="AF385" i="1" s="1"/>
  <c r="AE386" i="1"/>
  <c r="AF386" i="1" s="1"/>
  <c r="AE387" i="1"/>
  <c r="AF387" i="1" s="1"/>
  <c r="AE388" i="1"/>
  <c r="AF388" i="1" s="1"/>
  <c r="AE389" i="1"/>
  <c r="AF389" i="1" s="1"/>
  <c r="AE390" i="1"/>
  <c r="AF390" i="1" s="1"/>
  <c r="AE391" i="1"/>
  <c r="AF391" i="1" s="1"/>
  <c r="AE392" i="1"/>
  <c r="AF392" i="1" s="1"/>
  <c r="AE393" i="1"/>
  <c r="AF393" i="1" s="1"/>
  <c r="AE394" i="1"/>
  <c r="AF394" i="1" s="1"/>
  <c r="AE395" i="1"/>
  <c r="AF395" i="1" s="1"/>
  <c r="AE396" i="1"/>
  <c r="AF396" i="1" s="1"/>
  <c r="AE397" i="1"/>
  <c r="AF397" i="1" s="1"/>
  <c r="AE398" i="1"/>
  <c r="AF398" i="1" s="1"/>
  <c r="AE399" i="1"/>
  <c r="AF399" i="1" s="1"/>
  <c r="AE400" i="1"/>
  <c r="AF400" i="1" s="1"/>
  <c r="AE401" i="1"/>
  <c r="AF401" i="1" s="1"/>
  <c r="AE402" i="1"/>
  <c r="AF402" i="1" s="1"/>
  <c r="AE403" i="1"/>
  <c r="AF403" i="1" s="1"/>
  <c r="AE404" i="1"/>
  <c r="AF404" i="1" s="1"/>
  <c r="AE405" i="1"/>
  <c r="AF405" i="1" s="1"/>
  <c r="AE406" i="1"/>
  <c r="AF406" i="1" s="1"/>
  <c r="AE407" i="1"/>
  <c r="AF407" i="1" s="1"/>
  <c r="AE408" i="1"/>
  <c r="AF408" i="1" s="1"/>
  <c r="AE409" i="1"/>
  <c r="AF409" i="1" s="1"/>
  <c r="AE410" i="1"/>
  <c r="AF410" i="1" s="1"/>
  <c r="AE411" i="1"/>
  <c r="AF411" i="1" s="1"/>
  <c r="AE412" i="1"/>
  <c r="AF412" i="1" s="1"/>
  <c r="AE413" i="1"/>
  <c r="AF413" i="1" s="1"/>
  <c r="AE415" i="1"/>
  <c r="AF415" i="1" s="1"/>
  <c r="AE416" i="1"/>
  <c r="AF416" i="1" s="1"/>
  <c r="AE417" i="1"/>
  <c r="AF417" i="1" s="1"/>
  <c r="AE418" i="1"/>
  <c r="AF418" i="1" s="1"/>
  <c r="AE419" i="1"/>
  <c r="AF419" i="1" s="1"/>
  <c r="AE420" i="1"/>
  <c r="AF420" i="1" s="1"/>
  <c r="AE421" i="1"/>
  <c r="AF421" i="1" s="1"/>
  <c r="AE422" i="1"/>
  <c r="AF422" i="1" s="1"/>
  <c r="AE423" i="1"/>
  <c r="AF423" i="1" s="1"/>
  <c r="AE424" i="1"/>
  <c r="AF424" i="1" s="1"/>
  <c r="AE425" i="1"/>
  <c r="AF425" i="1" s="1"/>
  <c r="AE426" i="1"/>
  <c r="AF426" i="1" s="1"/>
  <c r="AE427" i="1"/>
  <c r="AF427" i="1" s="1"/>
  <c r="AE428" i="1"/>
  <c r="AF428" i="1" s="1"/>
  <c r="AE429" i="1"/>
  <c r="AF429" i="1" s="1"/>
  <c r="AE430" i="1"/>
  <c r="AF430" i="1" s="1"/>
  <c r="AE431" i="1"/>
  <c r="AF431" i="1" s="1"/>
  <c r="AE432" i="1"/>
  <c r="AF432" i="1" s="1"/>
  <c r="AE433" i="1"/>
  <c r="AF433" i="1" s="1"/>
  <c r="AE434" i="1"/>
  <c r="AF434" i="1" s="1"/>
  <c r="AE435" i="1"/>
  <c r="AF435" i="1" s="1"/>
  <c r="AE436" i="1"/>
  <c r="AF436" i="1" s="1"/>
  <c r="AE437" i="1"/>
  <c r="AF437" i="1" s="1"/>
  <c r="AE438" i="1"/>
  <c r="AF438" i="1" s="1"/>
  <c r="AE439" i="1"/>
  <c r="AF439" i="1" s="1"/>
  <c r="AE440" i="1"/>
  <c r="AF440" i="1" s="1"/>
  <c r="AE441" i="1"/>
  <c r="AF441" i="1" s="1"/>
  <c r="AE442" i="1"/>
  <c r="AF442" i="1" s="1"/>
  <c r="AE443" i="1"/>
  <c r="AF443" i="1" s="1"/>
  <c r="AE444" i="1"/>
  <c r="AF444" i="1" s="1"/>
  <c r="AE445" i="1"/>
  <c r="AF445" i="1" s="1"/>
  <c r="AE446" i="1"/>
  <c r="AF446" i="1" s="1"/>
  <c r="AE447" i="1"/>
  <c r="AF447" i="1" s="1"/>
  <c r="AE448" i="1"/>
  <c r="AF448" i="1" s="1"/>
  <c r="AE449" i="1"/>
  <c r="AF449" i="1" s="1"/>
  <c r="AE450" i="1"/>
  <c r="AF450" i="1" s="1"/>
  <c r="AE451" i="1"/>
  <c r="AF451" i="1" s="1"/>
  <c r="AE452" i="1"/>
  <c r="AF452" i="1" s="1"/>
  <c r="AE453" i="1"/>
  <c r="AF453" i="1" s="1"/>
  <c r="AE454" i="1"/>
  <c r="AF454" i="1" s="1"/>
  <c r="AE455" i="1"/>
  <c r="AF455" i="1" s="1"/>
  <c r="AE456" i="1"/>
  <c r="AF456" i="1" s="1"/>
  <c r="AE457" i="1"/>
  <c r="AF457" i="1" s="1"/>
  <c r="AE458" i="1"/>
  <c r="AF458" i="1" s="1"/>
  <c r="AE459" i="1"/>
  <c r="AF459" i="1" s="1"/>
  <c r="AE460" i="1"/>
  <c r="AF460" i="1" s="1"/>
  <c r="AE461" i="1"/>
  <c r="AF461" i="1" s="1"/>
  <c r="AE462" i="1"/>
  <c r="AF462" i="1" s="1"/>
  <c r="AE463" i="1"/>
  <c r="AF463" i="1" s="1"/>
  <c r="AE464" i="1"/>
  <c r="AF464" i="1" s="1"/>
  <c r="AE465" i="1"/>
  <c r="AF465" i="1" s="1"/>
  <c r="AE466" i="1"/>
  <c r="AF466" i="1" s="1"/>
  <c r="AE467" i="1"/>
  <c r="AF467" i="1" s="1"/>
  <c r="AE468" i="1"/>
  <c r="AF468" i="1" s="1"/>
  <c r="AE469" i="1"/>
  <c r="AF469" i="1" s="1"/>
  <c r="AE470" i="1"/>
  <c r="AF470" i="1" s="1"/>
  <c r="AE471" i="1"/>
  <c r="AF471" i="1" s="1"/>
  <c r="AE472" i="1"/>
  <c r="AF472" i="1" s="1"/>
  <c r="AE473" i="1"/>
  <c r="AF473" i="1" s="1"/>
  <c r="AE474" i="1"/>
  <c r="AF474" i="1" s="1"/>
  <c r="AE476" i="1"/>
  <c r="AF476" i="1" s="1"/>
  <c r="AE477" i="1"/>
  <c r="AF477" i="1" s="1"/>
  <c r="AE479" i="1"/>
  <c r="AF479" i="1" s="1"/>
  <c r="AE480" i="1"/>
  <c r="AF480" i="1" s="1"/>
  <c r="AE481" i="1"/>
  <c r="AF481" i="1" s="1"/>
  <c r="AE482" i="1"/>
  <c r="AF482" i="1" s="1"/>
  <c r="AE483" i="1"/>
  <c r="AF483" i="1" s="1"/>
  <c r="AE484" i="1"/>
  <c r="AF484" i="1" s="1"/>
  <c r="AE485" i="1"/>
  <c r="AF485" i="1" s="1"/>
  <c r="AE486" i="1"/>
  <c r="AF486" i="1" s="1"/>
  <c r="AE487" i="1"/>
  <c r="AF487" i="1" s="1"/>
  <c r="AE488" i="1"/>
  <c r="AF488" i="1" s="1"/>
  <c r="AE489" i="1"/>
  <c r="AF489" i="1" s="1"/>
  <c r="AE490" i="1"/>
  <c r="AF490" i="1" s="1"/>
  <c r="AE491" i="1"/>
  <c r="AF491" i="1" s="1"/>
  <c r="AE492" i="1"/>
  <c r="AF492" i="1" s="1"/>
  <c r="AE493" i="1"/>
  <c r="AF493" i="1" s="1"/>
  <c r="AE494" i="1"/>
  <c r="AF494" i="1" s="1"/>
  <c r="AE495" i="1"/>
  <c r="AF495" i="1" s="1"/>
  <c r="AE496" i="1"/>
  <c r="AF496" i="1" s="1"/>
  <c r="AE497" i="1"/>
  <c r="AF497" i="1" s="1"/>
  <c r="AE498" i="1"/>
  <c r="AF498" i="1" s="1"/>
  <c r="AE499" i="1"/>
  <c r="AF499" i="1" s="1"/>
  <c r="AE500" i="1"/>
  <c r="AF500" i="1" s="1"/>
  <c r="AE501" i="1"/>
  <c r="AF501" i="1" s="1"/>
  <c r="AE502" i="1"/>
  <c r="AF502" i="1" s="1"/>
  <c r="AE503" i="1"/>
  <c r="AF503" i="1" s="1"/>
  <c r="AE504" i="1"/>
  <c r="AF504" i="1" s="1"/>
  <c r="AE505" i="1"/>
  <c r="AF505" i="1" s="1"/>
  <c r="AE506" i="1"/>
  <c r="AF506" i="1" s="1"/>
  <c r="AE507" i="1"/>
  <c r="AF507" i="1" s="1"/>
  <c r="AE508" i="1"/>
  <c r="AF508" i="1" s="1"/>
  <c r="AE509" i="1"/>
  <c r="AF509" i="1" s="1"/>
  <c r="AE511" i="1"/>
  <c r="AF511" i="1" s="1"/>
  <c r="AE512" i="1"/>
  <c r="AF512" i="1" s="1"/>
  <c r="AE513" i="1"/>
  <c r="AF513" i="1" s="1"/>
  <c r="AE514" i="1"/>
  <c r="AF514" i="1" s="1"/>
  <c r="AE515" i="1"/>
  <c r="AF515" i="1" s="1"/>
  <c r="AE516" i="1"/>
  <c r="AF516" i="1" s="1"/>
  <c r="AE517" i="1"/>
  <c r="AF517" i="1" s="1"/>
  <c r="AE518" i="1"/>
  <c r="AF518" i="1" s="1"/>
  <c r="AE519" i="1"/>
  <c r="AF519" i="1" s="1"/>
  <c r="AE520" i="1"/>
  <c r="AF520" i="1" s="1"/>
  <c r="AE521" i="1"/>
  <c r="AF521" i="1" s="1"/>
  <c r="AE522" i="1"/>
  <c r="AF522" i="1" s="1"/>
  <c r="AE523" i="1"/>
  <c r="AF523" i="1" s="1"/>
  <c r="AE524" i="1"/>
  <c r="AF524" i="1" s="1"/>
  <c r="AE525" i="1"/>
  <c r="AF525" i="1" s="1"/>
  <c r="AE526" i="1"/>
  <c r="AF526" i="1" s="1"/>
  <c r="AE527" i="1"/>
  <c r="AF527" i="1" s="1"/>
  <c r="AE528" i="1"/>
  <c r="AF528" i="1" s="1"/>
  <c r="AE529" i="1"/>
  <c r="AF529" i="1" s="1"/>
  <c r="AE530" i="1"/>
  <c r="AF530" i="1" s="1"/>
  <c r="AE531" i="1"/>
  <c r="AF531" i="1" s="1"/>
  <c r="AE532" i="1"/>
  <c r="AF532" i="1" s="1"/>
  <c r="AE533" i="1"/>
  <c r="AF533" i="1" s="1"/>
  <c r="AE534" i="1"/>
  <c r="AF534" i="1" s="1"/>
  <c r="AE535" i="1"/>
  <c r="AF535" i="1" s="1"/>
  <c r="AE536" i="1"/>
  <c r="AF536" i="1" s="1"/>
  <c r="AE537" i="1"/>
  <c r="AF537" i="1" s="1"/>
  <c r="AE538" i="1"/>
  <c r="AF538" i="1" s="1"/>
  <c r="AE539" i="1"/>
  <c r="AF539" i="1" s="1"/>
  <c r="AE540" i="1"/>
  <c r="AF540" i="1" s="1"/>
  <c r="AE541" i="1"/>
  <c r="AF541" i="1" s="1"/>
  <c r="AE542" i="1"/>
  <c r="AF542" i="1" s="1"/>
  <c r="AE543" i="1"/>
  <c r="AF543" i="1" s="1"/>
  <c r="AE544" i="1"/>
  <c r="AF544" i="1" s="1"/>
  <c r="AE545" i="1"/>
  <c r="AF545" i="1" s="1"/>
  <c r="AE546" i="1"/>
  <c r="AF546" i="1" s="1"/>
  <c r="AE547" i="1"/>
  <c r="AF547" i="1" s="1"/>
  <c r="AE548" i="1"/>
  <c r="AF548" i="1" s="1"/>
  <c r="AE549" i="1"/>
  <c r="AF549" i="1" s="1"/>
  <c r="AE550" i="1"/>
  <c r="AF550" i="1" s="1"/>
  <c r="AE551" i="1"/>
  <c r="AF551" i="1" s="1"/>
  <c r="AE552" i="1"/>
  <c r="AF552" i="1" s="1"/>
  <c r="AE553" i="1"/>
  <c r="AF553" i="1" s="1"/>
  <c r="AE554" i="1"/>
  <c r="AF554" i="1" s="1"/>
  <c r="AE555" i="1"/>
  <c r="AF555" i="1" s="1"/>
  <c r="AE556" i="1"/>
  <c r="AF556" i="1" s="1"/>
  <c r="AE557" i="1"/>
  <c r="AF557" i="1" s="1"/>
  <c r="AE558" i="1"/>
  <c r="AF558" i="1" s="1"/>
  <c r="AE559" i="1"/>
  <c r="AF559" i="1" s="1"/>
  <c r="AE560" i="1"/>
  <c r="AF560" i="1" s="1"/>
  <c r="AE561" i="1"/>
  <c r="AF561" i="1" s="1"/>
  <c r="AE563" i="1"/>
  <c r="AF563" i="1" s="1"/>
  <c r="AE564" i="1"/>
  <c r="AF564" i="1" s="1"/>
  <c r="AE565" i="1"/>
  <c r="AF565" i="1" s="1"/>
  <c r="AE566" i="1"/>
  <c r="AF566" i="1" s="1"/>
  <c r="AE567" i="1"/>
  <c r="AF567" i="1" s="1"/>
  <c r="AE568" i="1"/>
  <c r="AF568" i="1" s="1"/>
  <c r="AE569" i="1"/>
  <c r="AF569" i="1" s="1"/>
  <c r="AE570" i="1"/>
  <c r="AF570" i="1" s="1"/>
  <c r="AE571" i="1"/>
  <c r="AF571" i="1" s="1"/>
  <c r="AE572" i="1"/>
  <c r="AF572" i="1" s="1"/>
  <c r="AE573" i="1"/>
  <c r="AF573" i="1" s="1"/>
  <c r="AE574" i="1"/>
  <c r="AF574" i="1" s="1"/>
  <c r="AE575" i="1"/>
  <c r="AF575" i="1" s="1"/>
  <c r="AE576" i="1"/>
  <c r="AF576" i="1" s="1"/>
  <c r="AE577" i="1"/>
  <c r="AF577" i="1" s="1"/>
  <c r="AE578" i="1"/>
  <c r="AF578" i="1" s="1"/>
  <c r="AE579" i="1"/>
  <c r="AF579" i="1" s="1"/>
  <c r="AE580" i="1"/>
  <c r="AF580" i="1" s="1"/>
  <c r="AE581" i="1"/>
  <c r="AF581" i="1" s="1"/>
  <c r="AE582" i="1"/>
  <c r="AF582" i="1" s="1"/>
  <c r="AE583" i="1"/>
  <c r="AF583" i="1" s="1"/>
  <c r="AE584" i="1"/>
  <c r="AF584" i="1" s="1"/>
  <c r="AE585" i="1"/>
  <c r="AF585" i="1" s="1"/>
  <c r="AE586" i="1"/>
  <c r="AF586" i="1" s="1"/>
  <c r="AE587" i="1"/>
  <c r="AF587" i="1" s="1"/>
  <c r="AE589" i="1"/>
  <c r="AF589" i="1" s="1"/>
  <c r="AE590" i="1"/>
  <c r="AF590" i="1" s="1"/>
  <c r="AE591" i="1"/>
  <c r="AF591" i="1" s="1"/>
  <c r="AE592" i="1"/>
  <c r="AF592" i="1" s="1"/>
  <c r="AE593" i="1"/>
  <c r="AF593" i="1" s="1"/>
  <c r="AE594" i="1"/>
  <c r="AF594" i="1" s="1"/>
  <c r="AE595" i="1"/>
  <c r="AF595" i="1" s="1"/>
  <c r="AE596" i="1"/>
  <c r="AF596" i="1" s="1"/>
  <c r="AE597" i="1"/>
  <c r="AF597" i="1" s="1"/>
  <c r="AE598" i="1"/>
  <c r="AF598" i="1" s="1"/>
  <c r="AE599" i="1"/>
  <c r="AF599" i="1" s="1"/>
  <c r="AE600" i="1"/>
  <c r="AF600" i="1" s="1"/>
  <c r="AE601" i="1"/>
  <c r="AF601" i="1" s="1"/>
  <c r="AE602" i="1"/>
  <c r="AF602" i="1" s="1"/>
  <c r="AE603" i="1"/>
  <c r="AF603" i="1" s="1"/>
  <c r="AE604" i="1"/>
  <c r="AF604" i="1" s="1"/>
  <c r="AE605" i="1"/>
  <c r="AF605" i="1" s="1"/>
  <c r="AE606" i="1"/>
  <c r="AF606" i="1" s="1"/>
  <c r="AE607" i="1"/>
  <c r="AF607" i="1" s="1"/>
  <c r="AE608" i="1"/>
  <c r="AF608" i="1" s="1"/>
  <c r="AE609" i="1"/>
  <c r="AF609" i="1" s="1"/>
  <c r="AE610" i="1"/>
  <c r="AF610" i="1" s="1"/>
  <c r="AE612" i="1"/>
  <c r="AF612" i="1" s="1"/>
  <c r="AE613" i="1"/>
  <c r="AF613" i="1" s="1"/>
  <c r="AE614" i="1"/>
  <c r="AF614" i="1" s="1"/>
  <c r="AE615" i="1"/>
  <c r="AF615" i="1" s="1"/>
  <c r="AE616" i="1"/>
  <c r="AF616" i="1" s="1"/>
  <c r="AE617" i="1"/>
  <c r="AF617" i="1" s="1"/>
  <c r="AE618" i="1"/>
  <c r="AF618" i="1" s="1"/>
  <c r="AE619" i="1"/>
  <c r="AF619" i="1" s="1"/>
  <c r="AE620" i="1"/>
  <c r="AF620" i="1" s="1"/>
  <c r="AE621" i="1"/>
  <c r="AF621" i="1" s="1"/>
  <c r="AE622" i="1"/>
  <c r="AF622" i="1" s="1"/>
  <c r="AE623" i="1"/>
  <c r="AF623" i="1" s="1"/>
  <c r="AE624" i="1"/>
  <c r="AF624" i="1" s="1"/>
  <c r="AE625" i="1"/>
  <c r="AF625" i="1" s="1"/>
  <c r="AE626" i="1"/>
  <c r="AF626" i="1" s="1"/>
  <c r="AE627" i="1"/>
  <c r="AF627" i="1" s="1"/>
  <c r="AE628" i="1"/>
  <c r="AF628" i="1" s="1"/>
  <c r="AE629" i="1"/>
  <c r="AF629" i="1" s="1"/>
  <c r="AE630" i="1"/>
  <c r="AF630" i="1" s="1"/>
  <c r="AE631" i="1"/>
  <c r="AF631" i="1" s="1"/>
  <c r="AE632" i="1"/>
  <c r="AF632" i="1" s="1"/>
  <c r="AE633" i="1"/>
  <c r="AF633" i="1" s="1"/>
  <c r="AE634" i="1"/>
  <c r="AF634" i="1" s="1"/>
  <c r="AE635" i="1"/>
  <c r="AF635" i="1" s="1"/>
  <c r="AE636" i="1"/>
  <c r="AF636" i="1" s="1"/>
  <c r="AE637" i="1"/>
  <c r="AF637" i="1" s="1"/>
  <c r="AE638" i="1"/>
  <c r="AF638" i="1" s="1"/>
  <c r="AE639" i="1"/>
  <c r="AF639" i="1" s="1"/>
  <c r="AE640" i="1"/>
  <c r="AF640" i="1" s="1"/>
  <c r="AE641" i="1"/>
  <c r="AF641" i="1" s="1"/>
  <c r="AE642" i="1"/>
  <c r="AF642" i="1" s="1"/>
  <c r="AE643" i="1"/>
  <c r="AF643" i="1" s="1"/>
  <c r="AE644" i="1"/>
  <c r="AF644" i="1" s="1"/>
  <c r="AE645" i="1"/>
  <c r="AF645" i="1" s="1"/>
  <c r="AE646" i="1"/>
  <c r="AF646" i="1" s="1"/>
  <c r="AE647" i="1"/>
  <c r="AF647" i="1" s="1"/>
  <c r="AE648" i="1"/>
  <c r="AF648" i="1" s="1"/>
  <c r="AE649" i="1"/>
  <c r="AF649" i="1" s="1"/>
  <c r="AE650" i="1"/>
  <c r="AF650" i="1" s="1"/>
  <c r="AE651" i="1"/>
  <c r="AF651" i="1" s="1"/>
  <c r="AE652" i="1"/>
  <c r="AF652" i="1" s="1"/>
  <c r="AE653" i="1"/>
  <c r="AF653" i="1" s="1"/>
  <c r="AE654" i="1"/>
  <c r="AF654" i="1" s="1"/>
  <c r="AE655" i="1"/>
  <c r="AF655" i="1" s="1"/>
  <c r="AE656" i="1"/>
  <c r="AF656" i="1" s="1"/>
  <c r="AE657" i="1"/>
  <c r="AF657" i="1" s="1"/>
  <c r="AE658" i="1"/>
  <c r="AF658" i="1" s="1"/>
  <c r="AE659" i="1"/>
  <c r="AF659" i="1" s="1"/>
  <c r="AE660" i="1"/>
  <c r="AF660" i="1" s="1"/>
  <c r="AE661" i="1"/>
  <c r="AF661" i="1" s="1"/>
  <c r="AE662" i="1"/>
  <c r="AF662" i="1" s="1"/>
  <c r="AE663" i="1"/>
  <c r="AF663" i="1" s="1"/>
  <c r="AE664" i="1"/>
  <c r="AF664" i="1" s="1"/>
  <c r="AE665" i="1"/>
  <c r="AF665" i="1" s="1"/>
  <c r="AE666" i="1"/>
  <c r="AF666" i="1" s="1"/>
  <c r="AE667" i="1"/>
  <c r="AF667" i="1" s="1"/>
  <c r="AE668" i="1"/>
  <c r="AF668" i="1" s="1"/>
  <c r="AE669" i="1"/>
  <c r="AF669" i="1" s="1"/>
  <c r="AE670" i="1"/>
  <c r="AF670" i="1" s="1"/>
  <c r="AE671" i="1"/>
  <c r="AF671" i="1" s="1"/>
  <c r="AE672" i="1"/>
  <c r="AF672" i="1" s="1"/>
  <c r="AE673" i="1"/>
  <c r="AF673" i="1" s="1"/>
  <c r="AE674" i="1"/>
  <c r="AF674" i="1" s="1"/>
  <c r="AE675" i="1"/>
  <c r="AF675" i="1" s="1"/>
  <c r="AE677" i="1"/>
  <c r="AF677" i="1" s="1"/>
  <c r="AE678" i="1"/>
  <c r="AF678" i="1" s="1"/>
  <c r="AE679" i="1"/>
  <c r="AF679" i="1" s="1"/>
  <c r="AE680" i="1"/>
  <c r="AF680" i="1" s="1"/>
  <c r="AE681" i="1"/>
  <c r="AF681" i="1" s="1"/>
  <c r="AE682" i="1"/>
  <c r="AF682" i="1" s="1"/>
  <c r="AE683" i="1"/>
  <c r="AF683" i="1" s="1"/>
  <c r="AE684" i="1"/>
  <c r="AF684" i="1" s="1"/>
  <c r="AE685" i="1"/>
  <c r="AF685" i="1" s="1"/>
  <c r="AE686" i="1"/>
  <c r="AF686" i="1" s="1"/>
  <c r="AE687" i="1"/>
  <c r="AF687" i="1" s="1"/>
  <c r="AE688" i="1"/>
  <c r="AF688" i="1" s="1"/>
  <c r="AE689" i="1"/>
  <c r="AF689" i="1" s="1"/>
  <c r="AE690" i="1"/>
  <c r="AF690" i="1" s="1"/>
  <c r="AE691" i="1"/>
  <c r="AF691" i="1" s="1"/>
  <c r="AE692" i="1"/>
  <c r="AF692" i="1" s="1"/>
  <c r="AE693" i="1"/>
  <c r="AF693" i="1" s="1"/>
  <c r="AE694" i="1"/>
  <c r="AF694" i="1" s="1"/>
  <c r="AE695" i="1"/>
  <c r="AF695" i="1" s="1"/>
  <c r="AE696" i="1"/>
  <c r="AF696" i="1" s="1"/>
  <c r="AE697" i="1"/>
  <c r="AF697" i="1" s="1"/>
  <c r="AE698" i="1"/>
  <c r="AF698" i="1" s="1"/>
  <c r="AE701" i="1"/>
  <c r="AF701" i="1" s="1"/>
  <c r="AE702" i="1"/>
  <c r="AF702" i="1" s="1"/>
  <c r="AE703" i="1"/>
  <c r="AF703" i="1" s="1"/>
  <c r="AE704" i="1"/>
  <c r="AF704" i="1" s="1"/>
  <c r="AE705" i="1"/>
  <c r="AF705" i="1" s="1"/>
  <c r="AE706" i="1"/>
  <c r="AF706" i="1" s="1"/>
  <c r="AE707" i="1"/>
  <c r="AF707" i="1" s="1"/>
  <c r="AE708" i="1"/>
  <c r="AF708" i="1" s="1"/>
  <c r="AE709" i="1"/>
  <c r="AF709" i="1" s="1"/>
  <c r="AE710" i="1"/>
  <c r="AF710" i="1" s="1"/>
  <c r="AE711" i="1"/>
  <c r="AF711" i="1" s="1"/>
  <c r="AE712" i="1"/>
  <c r="AF712" i="1" s="1"/>
  <c r="AE713" i="1"/>
  <c r="AF713" i="1" s="1"/>
  <c r="AE714" i="1"/>
  <c r="AF714" i="1" s="1"/>
  <c r="AE715" i="1"/>
  <c r="AF715" i="1" s="1"/>
  <c r="AE716" i="1"/>
  <c r="AF716" i="1" s="1"/>
  <c r="AE717" i="1"/>
  <c r="AF717" i="1" s="1"/>
  <c r="AE718" i="1"/>
  <c r="AF718" i="1" s="1"/>
  <c r="AE720" i="1"/>
  <c r="AF720" i="1" s="1"/>
  <c r="AE721" i="1"/>
  <c r="AF721" i="1" s="1"/>
  <c r="AE722" i="1"/>
  <c r="AF722" i="1" s="1"/>
  <c r="AE723" i="1"/>
  <c r="AF723" i="1" s="1"/>
  <c r="AE724" i="1"/>
  <c r="AF724" i="1" s="1"/>
  <c r="AE725" i="1"/>
  <c r="AF725" i="1" s="1"/>
  <c r="AE726" i="1"/>
  <c r="AF726" i="1" s="1"/>
  <c r="AE727" i="1"/>
  <c r="AF727" i="1" s="1"/>
  <c r="AE728" i="1"/>
  <c r="AF728" i="1" s="1"/>
  <c r="AE729" i="1"/>
  <c r="AF729" i="1" s="1"/>
  <c r="AE730" i="1"/>
  <c r="AF730" i="1" s="1"/>
  <c r="AE731" i="1"/>
  <c r="AF731" i="1" s="1"/>
  <c r="AE732" i="1"/>
  <c r="AF732" i="1" s="1"/>
  <c r="AE733" i="1"/>
  <c r="AF733" i="1" s="1"/>
  <c r="AE734" i="1"/>
  <c r="AF734" i="1" s="1"/>
  <c r="AE735" i="1"/>
  <c r="AF735" i="1" s="1"/>
  <c r="AE736" i="1"/>
  <c r="AF736" i="1" s="1"/>
  <c r="AE737" i="1"/>
  <c r="AF737" i="1" s="1"/>
  <c r="AE738" i="1"/>
  <c r="AF738" i="1" s="1"/>
  <c r="AE739" i="1"/>
  <c r="AF739" i="1" s="1"/>
  <c r="AE740" i="1"/>
  <c r="AF740" i="1" s="1"/>
  <c r="AE741" i="1"/>
  <c r="AF741" i="1" s="1"/>
  <c r="AE742" i="1"/>
  <c r="AF742" i="1" s="1"/>
  <c r="AE743" i="1"/>
  <c r="AF743" i="1" s="1"/>
  <c r="AE744" i="1"/>
  <c r="AF744" i="1" s="1"/>
  <c r="AE745" i="1"/>
  <c r="AF745" i="1" s="1"/>
  <c r="AE746" i="1"/>
  <c r="AF746" i="1" s="1"/>
  <c r="AE747" i="1"/>
  <c r="AF747" i="1" s="1"/>
  <c r="AE748" i="1"/>
  <c r="AF748" i="1" s="1"/>
  <c r="AE749" i="1"/>
  <c r="AF749" i="1" s="1"/>
  <c r="AE750" i="1"/>
  <c r="AF750" i="1" s="1"/>
  <c r="AE751" i="1"/>
  <c r="AF751" i="1" s="1"/>
  <c r="AE752" i="1"/>
  <c r="AF752" i="1" s="1"/>
  <c r="AE753" i="1"/>
  <c r="AF753" i="1" s="1"/>
  <c r="AE754" i="1"/>
  <c r="AF754" i="1" s="1"/>
  <c r="AE755" i="1"/>
  <c r="AF755" i="1" s="1"/>
  <c r="AE756" i="1"/>
  <c r="AF756" i="1" s="1"/>
  <c r="AE757" i="1"/>
  <c r="AF757" i="1" s="1"/>
  <c r="AE758" i="1"/>
  <c r="AF758" i="1" s="1"/>
  <c r="AE759" i="1"/>
  <c r="AF759" i="1" s="1"/>
  <c r="AE760" i="1"/>
  <c r="AF760" i="1" s="1"/>
  <c r="AE761" i="1"/>
  <c r="AF761" i="1" s="1"/>
  <c r="AE762" i="1"/>
  <c r="AF762" i="1" s="1"/>
  <c r="AE763" i="1"/>
  <c r="AF763" i="1" s="1"/>
  <c r="AE764" i="1"/>
  <c r="AF764" i="1" s="1"/>
  <c r="AE765" i="1"/>
  <c r="AF765" i="1" s="1"/>
  <c r="AE766" i="1"/>
  <c r="AF766" i="1" s="1"/>
  <c r="AE767" i="1"/>
  <c r="AF767" i="1" s="1"/>
  <c r="AE768" i="1"/>
  <c r="AF768" i="1" s="1"/>
  <c r="AE769" i="1"/>
  <c r="AF769" i="1" s="1"/>
  <c r="AE770" i="1"/>
  <c r="AF770" i="1" s="1"/>
  <c r="AE771" i="1"/>
  <c r="AF771" i="1" s="1"/>
  <c r="AE772" i="1"/>
  <c r="AF772" i="1" s="1"/>
  <c r="AE773" i="1"/>
  <c r="AF773" i="1" s="1"/>
  <c r="AE774" i="1"/>
  <c r="AF774" i="1" s="1"/>
  <c r="AE775" i="1"/>
  <c r="AF775" i="1" s="1"/>
  <c r="AE776" i="1"/>
  <c r="AF776" i="1" s="1"/>
  <c r="AE777" i="1"/>
  <c r="AF777" i="1" s="1"/>
  <c r="AE778" i="1"/>
  <c r="AF778" i="1" s="1"/>
  <c r="AE779" i="1"/>
  <c r="AF779" i="1" s="1"/>
  <c r="AE780" i="1"/>
  <c r="AF780" i="1" s="1"/>
  <c r="AE781" i="1"/>
  <c r="AF781" i="1" s="1"/>
  <c r="AE782" i="1"/>
  <c r="AF782" i="1" s="1"/>
  <c r="AE783" i="1"/>
  <c r="AF783" i="1" s="1"/>
  <c r="AE784" i="1"/>
  <c r="AF784" i="1" s="1"/>
  <c r="AE785" i="1"/>
  <c r="AF785" i="1" s="1"/>
  <c r="AE786" i="1"/>
  <c r="AF786" i="1" s="1"/>
  <c r="AE787" i="1"/>
  <c r="AF787" i="1" s="1"/>
  <c r="AE788" i="1"/>
  <c r="AF788" i="1" s="1"/>
  <c r="AE789" i="1"/>
  <c r="AF789" i="1" s="1"/>
  <c r="AE790" i="1"/>
  <c r="AF790" i="1" s="1"/>
  <c r="AE791" i="1"/>
  <c r="AF791" i="1" s="1"/>
  <c r="AE792" i="1"/>
  <c r="AF792" i="1" s="1"/>
  <c r="AE793" i="1"/>
  <c r="AF793" i="1" s="1"/>
  <c r="AE794" i="1"/>
  <c r="AF794" i="1" s="1"/>
  <c r="AE795" i="1"/>
  <c r="AF795" i="1" s="1"/>
  <c r="AE796" i="1"/>
  <c r="AF796" i="1" s="1"/>
  <c r="AE797" i="1"/>
  <c r="AF797" i="1" s="1"/>
  <c r="AE798" i="1"/>
  <c r="AF798" i="1" s="1"/>
  <c r="AE799" i="1"/>
  <c r="AF799" i="1" s="1"/>
  <c r="AE800" i="1"/>
  <c r="AF800" i="1" s="1"/>
  <c r="AE801" i="1"/>
  <c r="AF801" i="1" s="1"/>
  <c r="AE802" i="1"/>
  <c r="AF802" i="1" s="1"/>
  <c r="AE803" i="1"/>
  <c r="AF803" i="1" s="1"/>
  <c r="AE804" i="1"/>
  <c r="AF804" i="1" s="1"/>
  <c r="AE805" i="1"/>
  <c r="AF805" i="1" s="1"/>
  <c r="AE806" i="1"/>
  <c r="AF806" i="1" s="1"/>
  <c r="AE807" i="1"/>
  <c r="AF807" i="1" s="1"/>
  <c r="AE808" i="1"/>
  <c r="AF808" i="1" s="1"/>
  <c r="AE809" i="1"/>
  <c r="AF809" i="1" s="1"/>
  <c r="AE810" i="1"/>
  <c r="AF810" i="1" s="1"/>
  <c r="AE811" i="1"/>
  <c r="AF811" i="1" s="1"/>
  <c r="AE812" i="1"/>
  <c r="AF812" i="1" s="1"/>
  <c r="AE813" i="1"/>
  <c r="AF813" i="1" s="1"/>
  <c r="AE814" i="1"/>
  <c r="AF814" i="1" s="1"/>
  <c r="AE815" i="1"/>
  <c r="AF815" i="1" s="1"/>
  <c r="AE816" i="1"/>
  <c r="AF816" i="1" s="1"/>
  <c r="AE817" i="1"/>
  <c r="AF817" i="1" s="1"/>
  <c r="AE818" i="1"/>
  <c r="AF818" i="1" s="1"/>
  <c r="AE819" i="1"/>
  <c r="AF819" i="1" s="1"/>
  <c r="AE820" i="1"/>
  <c r="AF820" i="1" s="1"/>
  <c r="AE821" i="1"/>
  <c r="AF821" i="1" s="1"/>
  <c r="AE822" i="1"/>
  <c r="AF822" i="1" s="1"/>
  <c r="AE824" i="1"/>
  <c r="AF824" i="1" s="1"/>
  <c r="AE825" i="1"/>
  <c r="AF825" i="1" s="1"/>
  <c r="AE826" i="1"/>
  <c r="AF826" i="1" s="1"/>
  <c r="AE827" i="1"/>
  <c r="AF827" i="1" s="1"/>
  <c r="AE828" i="1"/>
  <c r="AF828" i="1" s="1"/>
  <c r="AE829" i="1"/>
  <c r="AF829" i="1" s="1"/>
  <c r="AE830" i="1"/>
  <c r="AF830" i="1" s="1"/>
  <c r="AE831" i="1"/>
  <c r="AF831" i="1" s="1"/>
  <c r="AE832" i="1"/>
  <c r="AF832" i="1" s="1"/>
  <c r="AE833" i="1"/>
  <c r="AF833" i="1" s="1"/>
  <c r="AE834" i="1"/>
  <c r="AF834" i="1" s="1"/>
  <c r="AE835" i="1"/>
  <c r="AF835" i="1" s="1"/>
  <c r="AE836" i="1"/>
  <c r="AF836" i="1" s="1"/>
  <c r="AE837" i="1"/>
  <c r="AF837" i="1" s="1"/>
  <c r="AE838" i="1"/>
  <c r="AF838" i="1" s="1"/>
  <c r="AE839" i="1"/>
  <c r="AF839" i="1" s="1"/>
  <c r="AE840" i="1"/>
  <c r="AF840" i="1" s="1"/>
  <c r="AE841" i="1"/>
  <c r="AF841" i="1" s="1"/>
  <c r="AE842" i="1"/>
  <c r="AF842" i="1" s="1"/>
  <c r="AE843" i="1"/>
  <c r="AF843" i="1" s="1"/>
  <c r="AE844" i="1"/>
  <c r="AF844" i="1" s="1"/>
  <c r="AE845" i="1"/>
  <c r="AF845" i="1" s="1"/>
  <c r="AE846" i="1"/>
  <c r="AF846" i="1" s="1"/>
  <c r="AE847" i="1"/>
  <c r="AF847" i="1" s="1"/>
  <c r="AE848" i="1"/>
  <c r="AF848" i="1" s="1"/>
  <c r="AE849" i="1"/>
  <c r="AF849" i="1" s="1"/>
  <c r="AE850" i="1"/>
  <c r="AF850" i="1" s="1"/>
  <c r="AE851" i="1"/>
  <c r="AF851" i="1" s="1"/>
  <c r="AE852" i="1"/>
  <c r="AF852" i="1" s="1"/>
  <c r="AE853" i="1"/>
  <c r="AF853" i="1" s="1"/>
  <c r="AE854" i="1"/>
  <c r="AF854" i="1" s="1"/>
  <c r="AE855" i="1"/>
  <c r="AF855" i="1" s="1"/>
  <c r="AE856" i="1"/>
  <c r="AF856" i="1" s="1"/>
  <c r="AE857" i="1"/>
  <c r="AF857" i="1" s="1"/>
  <c r="AE858" i="1"/>
  <c r="AF858" i="1" s="1"/>
  <c r="AE859" i="1"/>
  <c r="AF859" i="1" s="1"/>
  <c r="AE860" i="1"/>
  <c r="AF860" i="1" s="1"/>
  <c r="AE861" i="1"/>
  <c r="AF861" i="1" s="1"/>
  <c r="AE862" i="1"/>
  <c r="AF862" i="1" s="1"/>
  <c r="AE863" i="1"/>
  <c r="AF863" i="1" s="1"/>
  <c r="AE864" i="1"/>
  <c r="AF864" i="1" s="1"/>
  <c r="AE865" i="1"/>
  <c r="AF865" i="1" s="1"/>
  <c r="AE866" i="1"/>
  <c r="AF866" i="1" s="1"/>
  <c r="AE867" i="1"/>
  <c r="AF867" i="1" s="1"/>
  <c r="AE868" i="1"/>
  <c r="AF868" i="1" s="1"/>
  <c r="AE869" i="1"/>
  <c r="AF869" i="1" s="1"/>
  <c r="AE870" i="1"/>
  <c r="AF870" i="1" s="1"/>
  <c r="AE871" i="1"/>
  <c r="AF871" i="1" s="1"/>
  <c r="AE872" i="1"/>
  <c r="AF872" i="1" s="1"/>
  <c r="AE875" i="1"/>
  <c r="AF875" i="1" s="1"/>
  <c r="AE876" i="1"/>
  <c r="AF876" i="1" s="1"/>
  <c r="AE877" i="1"/>
  <c r="AF877" i="1" s="1"/>
  <c r="AE878" i="1"/>
  <c r="AF878" i="1" s="1"/>
  <c r="AE879" i="1"/>
  <c r="AF879" i="1" s="1"/>
  <c r="AE880" i="1"/>
  <c r="AF880" i="1" s="1"/>
  <c r="AE881" i="1"/>
  <c r="AF881" i="1" s="1"/>
  <c r="AE883" i="1"/>
  <c r="AF883" i="1" s="1"/>
  <c r="AE884" i="1"/>
  <c r="AF884" i="1" s="1"/>
  <c r="AE885" i="1"/>
  <c r="AF885" i="1" s="1"/>
  <c r="AE886" i="1"/>
  <c r="AF886" i="1" s="1"/>
  <c r="AE887" i="1"/>
  <c r="AF887" i="1" s="1"/>
  <c r="AE888" i="1"/>
  <c r="AF888" i="1" s="1"/>
  <c r="AE889" i="1"/>
  <c r="AF889" i="1" s="1"/>
  <c r="AE890" i="1"/>
  <c r="AF890" i="1" s="1"/>
  <c r="AE891" i="1"/>
  <c r="AF891" i="1" s="1"/>
  <c r="AE892" i="1"/>
  <c r="AF892" i="1" s="1"/>
  <c r="AE893" i="1"/>
  <c r="AF893" i="1" s="1"/>
  <c r="AE894" i="1"/>
  <c r="AF894" i="1" s="1"/>
  <c r="AE895" i="1"/>
  <c r="AF895" i="1" s="1"/>
  <c r="AE896" i="1"/>
  <c r="AF896" i="1" s="1"/>
  <c r="AE897" i="1"/>
  <c r="AF897" i="1" s="1"/>
  <c r="AE898" i="1"/>
  <c r="AF898" i="1" s="1"/>
  <c r="AE899" i="1"/>
  <c r="AF899" i="1" s="1"/>
  <c r="AE901" i="1"/>
  <c r="AF901" i="1" s="1"/>
  <c r="AE902" i="1"/>
  <c r="AF902" i="1" s="1"/>
  <c r="AE903" i="1"/>
  <c r="AF903" i="1" s="1"/>
  <c r="AE904" i="1"/>
  <c r="AF904" i="1" s="1"/>
  <c r="AE905" i="1"/>
  <c r="AF905" i="1" s="1"/>
  <c r="AE906" i="1"/>
  <c r="AF906" i="1" s="1"/>
  <c r="AE907" i="1"/>
  <c r="AF907" i="1" s="1"/>
  <c r="AE908" i="1"/>
  <c r="AF908" i="1" s="1"/>
  <c r="AE909" i="1"/>
  <c r="AF909" i="1" s="1"/>
  <c r="AE910" i="1"/>
  <c r="AF910" i="1" s="1"/>
  <c r="AE911" i="1"/>
  <c r="AF911" i="1" s="1"/>
  <c r="AE912" i="1"/>
  <c r="AF912" i="1" s="1"/>
  <c r="AE913" i="1"/>
  <c r="AF913" i="1" s="1"/>
  <c r="AE914" i="1"/>
  <c r="AF914" i="1" s="1"/>
  <c r="AE915" i="1"/>
  <c r="AF915" i="1" s="1"/>
  <c r="AE916" i="1"/>
  <c r="AF916" i="1" s="1"/>
  <c r="AE917" i="1"/>
  <c r="AF917" i="1" s="1"/>
  <c r="AE918" i="1"/>
  <c r="AF918" i="1" s="1"/>
  <c r="AE919" i="1"/>
  <c r="AF919" i="1" s="1"/>
  <c r="AE920" i="1"/>
  <c r="AF920" i="1" s="1"/>
  <c r="AE921" i="1"/>
  <c r="AF921" i="1" s="1"/>
  <c r="AE922" i="1"/>
  <c r="AF922" i="1" s="1"/>
  <c r="AE923" i="1"/>
  <c r="AF923" i="1" s="1"/>
  <c r="AE924" i="1"/>
  <c r="AF924" i="1" s="1"/>
  <c r="AE925" i="1"/>
  <c r="AF925" i="1" s="1"/>
  <c r="AE926" i="1"/>
  <c r="AF926" i="1" s="1"/>
  <c r="AE927" i="1"/>
  <c r="AF927" i="1" s="1"/>
  <c r="AE928" i="1"/>
  <c r="AF928" i="1" s="1"/>
  <c r="AE929" i="1"/>
  <c r="AF929" i="1" s="1"/>
  <c r="AE930" i="1"/>
  <c r="AF930" i="1" s="1"/>
  <c r="AE931" i="1"/>
  <c r="AF931" i="1" s="1"/>
  <c r="AE932" i="1"/>
  <c r="AF932" i="1" s="1"/>
  <c r="AE933" i="1"/>
  <c r="AF933" i="1" s="1"/>
  <c r="AE934" i="1"/>
  <c r="AF934" i="1" s="1"/>
  <c r="AE935" i="1"/>
  <c r="AF935" i="1" s="1"/>
  <c r="AE936" i="1"/>
  <c r="AF936" i="1" s="1"/>
  <c r="AE937" i="1"/>
  <c r="AF937" i="1" s="1"/>
  <c r="AE938" i="1"/>
  <c r="AF938" i="1" s="1"/>
  <c r="AE939" i="1"/>
  <c r="AF939" i="1" s="1"/>
  <c r="AE940" i="1"/>
  <c r="AF940" i="1" s="1"/>
  <c r="AE941" i="1"/>
  <c r="AF941" i="1" s="1"/>
  <c r="AE942" i="1"/>
  <c r="AF942" i="1" s="1"/>
  <c r="AE943" i="1"/>
  <c r="AF943" i="1" s="1"/>
  <c r="AE944" i="1"/>
  <c r="AF944" i="1" s="1"/>
  <c r="AE945" i="1"/>
  <c r="AF945" i="1" s="1"/>
  <c r="AE946" i="1"/>
  <c r="AF946" i="1" s="1"/>
  <c r="AE947" i="1"/>
  <c r="AF947" i="1" s="1"/>
  <c r="AE948" i="1"/>
  <c r="AF948" i="1" s="1"/>
  <c r="AE949" i="1"/>
  <c r="AF949" i="1" s="1"/>
  <c r="AE950" i="1"/>
  <c r="AF950" i="1" s="1"/>
  <c r="AE951" i="1"/>
  <c r="AF951" i="1" s="1"/>
  <c r="AE952" i="1"/>
  <c r="AF952" i="1" s="1"/>
  <c r="AE953" i="1"/>
  <c r="AF953" i="1" s="1"/>
  <c r="AE954" i="1"/>
  <c r="AF954" i="1" s="1"/>
  <c r="AE955" i="1"/>
  <c r="AF955" i="1" s="1"/>
  <c r="AE956" i="1"/>
  <c r="AF956" i="1" s="1"/>
  <c r="AE957" i="1"/>
  <c r="AF957" i="1" s="1"/>
  <c r="AE958" i="1"/>
  <c r="AF958" i="1" s="1"/>
  <c r="AE959" i="1"/>
  <c r="AF959" i="1" s="1"/>
  <c r="AE961" i="1"/>
  <c r="AF961" i="1" s="1"/>
  <c r="AE971" i="1"/>
  <c r="AF971" i="1" s="1"/>
  <c r="AE972" i="1"/>
  <c r="AF972" i="1" s="1"/>
  <c r="AE973" i="1"/>
  <c r="AF973" i="1" s="1"/>
  <c r="AE974" i="1"/>
  <c r="AF974" i="1" s="1"/>
  <c r="AE975" i="1"/>
  <c r="AF975" i="1" s="1"/>
  <c r="AE976" i="1"/>
  <c r="AF976" i="1" s="1"/>
  <c r="AE977" i="1"/>
  <c r="AF977" i="1" s="1"/>
  <c r="AE978" i="1"/>
  <c r="AF978" i="1" s="1"/>
  <c r="AE979" i="1"/>
  <c r="AF979" i="1" s="1"/>
  <c r="AE980" i="1"/>
  <c r="AF980" i="1" s="1"/>
  <c r="AE981" i="1"/>
  <c r="AF981" i="1" s="1"/>
  <c r="AE982" i="1"/>
  <c r="AF982" i="1" s="1"/>
  <c r="AE983" i="1"/>
  <c r="AF983" i="1" s="1"/>
  <c r="AE984" i="1"/>
  <c r="AF984" i="1" s="1"/>
  <c r="AE985" i="1"/>
  <c r="AF985" i="1" s="1"/>
  <c r="AE986" i="1"/>
  <c r="AF986" i="1" s="1"/>
  <c r="AE987" i="1"/>
  <c r="AF987" i="1" s="1"/>
  <c r="AE988" i="1"/>
  <c r="AF988" i="1" s="1"/>
  <c r="AE989" i="1"/>
  <c r="AF989" i="1" s="1"/>
  <c r="AE990" i="1"/>
  <c r="AF990" i="1" s="1"/>
  <c r="AE991" i="1"/>
  <c r="AF991" i="1" s="1"/>
  <c r="AE992" i="1"/>
  <c r="AF992" i="1" s="1"/>
  <c r="AE993" i="1"/>
  <c r="AF993" i="1" s="1"/>
  <c r="AE994" i="1"/>
  <c r="AF994" i="1" s="1"/>
  <c r="AE995" i="1"/>
  <c r="AF995" i="1" s="1"/>
  <c r="AE996" i="1"/>
  <c r="AF996" i="1" s="1"/>
  <c r="AE997" i="1"/>
  <c r="AF997" i="1" s="1"/>
  <c r="AE998" i="1"/>
  <c r="AF998" i="1" s="1"/>
  <c r="AE999" i="1"/>
  <c r="AF999" i="1" s="1"/>
  <c r="AE1000" i="1"/>
  <c r="AF1000" i="1" s="1"/>
  <c r="AE1001" i="1"/>
  <c r="AF1001" i="1" s="1"/>
  <c r="AE1002" i="1"/>
  <c r="AF1002" i="1" s="1"/>
  <c r="AE1003" i="1"/>
  <c r="AF1003" i="1" s="1"/>
  <c r="AE1004" i="1"/>
  <c r="AF1004" i="1" s="1"/>
  <c r="AE1005" i="1"/>
  <c r="AF1005" i="1" s="1"/>
  <c r="AE1006" i="1"/>
  <c r="AF1006" i="1" s="1"/>
  <c r="AE1007" i="1"/>
  <c r="AF1007" i="1" s="1"/>
  <c r="AE1008" i="1"/>
  <c r="AF1008" i="1" s="1"/>
  <c r="AE1009" i="1"/>
  <c r="AF1009" i="1" s="1"/>
  <c r="AE1010" i="1"/>
  <c r="AF1010" i="1" s="1"/>
  <c r="AE1011" i="1"/>
  <c r="AF1011" i="1" s="1"/>
  <c r="AE1012" i="1"/>
  <c r="AF1012" i="1" s="1"/>
  <c r="AE1013" i="1"/>
  <c r="AF1013" i="1" s="1"/>
  <c r="AE1014" i="1"/>
  <c r="AF1014" i="1" s="1"/>
  <c r="AE1015" i="1"/>
  <c r="AF1015" i="1" s="1"/>
  <c r="AE1016" i="1"/>
  <c r="AF1016" i="1" s="1"/>
  <c r="AE1017" i="1"/>
  <c r="AF1017" i="1" s="1"/>
  <c r="AE1018" i="1"/>
  <c r="AF1018" i="1" s="1"/>
  <c r="AE1019" i="1"/>
  <c r="AF1019" i="1" s="1"/>
  <c r="AE1020" i="1"/>
  <c r="AF1020" i="1" s="1"/>
  <c r="AE1021" i="1"/>
  <c r="AF1021" i="1" s="1"/>
  <c r="AE1022" i="1"/>
  <c r="AF1022" i="1" s="1"/>
  <c r="AE1023" i="1"/>
  <c r="AF1023" i="1" s="1"/>
  <c r="AE1024" i="1"/>
  <c r="AF1024" i="1" s="1"/>
  <c r="AE1025" i="1"/>
  <c r="AF1025" i="1" s="1"/>
  <c r="AE1026" i="1"/>
  <c r="AF1026" i="1" s="1"/>
  <c r="AE1027" i="1"/>
  <c r="AF1027" i="1" s="1"/>
  <c r="AE1028" i="1"/>
  <c r="AF1028" i="1" s="1"/>
  <c r="AE1029" i="1"/>
  <c r="AF1029" i="1" s="1"/>
  <c r="AE1030" i="1"/>
  <c r="AF1030" i="1" s="1"/>
  <c r="AE1031" i="1"/>
  <c r="AF1031" i="1" s="1"/>
  <c r="AE1032" i="1"/>
  <c r="AF1032" i="1" s="1"/>
  <c r="AE1033" i="1"/>
  <c r="AF1033" i="1" s="1"/>
  <c r="AE1034" i="1"/>
  <c r="AF1034" i="1" s="1"/>
  <c r="AE1035" i="1"/>
  <c r="AF1035" i="1" s="1"/>
  <c r="AE1036" i="1"/>
  <c r="AF1036" i="1" s="1"/>
  <c r="AE1037" i="1"/>
  <c r="AF1037" i="1" s="1"/>
  <c r="AE1038" i="1"/>
  <c r="AF1038" i="1" s="1"/>
  <c r="AE1039" i="1"/>
  <c r="AF1039" i="1" s="1"/>
  <c r="AE1040" i="1"/>
  <c r="AF1040" i="1" s="1"/>
  <c r="AE1052" i="1"/>
  <c r="AF1052" i="1" s="1"/>
  <c r="AE1053" i="1"/>
  <c r="AF1053" i="1" s="1"/>
  <c r="AE1054" i="1"/>
  <c r="AF1054" i="1" s="1"/>
  <c r="AE1055" i="1"/>
  <c r="AF1055" i="1" s="1"/>
  <c r="AE1056" i="1"/>
  <c r="AF1056" i="1" s="1"/>
  <c r="AE1057" i="1"/>
  <c r="AF1057" i="1" s="1"/>
  <c r="AE1058" i="1"/>
  <c r="AF1058" i="1" s="1"/>
  <c r="AE1059" i="1"/>
  <c r="AF1059" i="1" s="1"/>
  <c r="AE1060" i="1"/>
  <c r="AF1060" i="1" s="1"/>
  <c r="AE1061" i="1"/>
  <c r="AF1061" i="1" s="1"/>
  <c r="AE1062" i="1"/>
  <c r="AF1062" i="1" s="1"/>
  <c r="AE1063" i="1"/>
  <c r="AF1063" i="1" s="1"/>
  <c r="AE1064" i="1"/>
  <c r="AF1064" i="1" s="1"/>
  <c r="AE1065" i="1"/>
  <c r="AF1065" i="1" s="1"/>
  <c r="AE1066" i="1"/>
  <c r="AF1066" i="1" s="1"/>
  <c r="AE1067" i="1"/>
  <c r="AF1067" i="1" s="1"/>
  <c r="AE1068" i="1"/>
  <c r="AF1068" i="1" s="1"/>
  <c r="AE1069" i="1"/>
  <c r="AF1069" i="1" s="1"/>
  <c r="AE1070" i="1"/>
  <c r="AF1070" i="1" s="1"/>
  <c r="AE1071" i="1"/>
  <c r="AF1071" i="1" s="1"/>
  <c r="AE1072" i="1"/>
  <c r="AF1072" i="1" s="1"/>
  <c r="AE1073" i="1"/>
  <c r="AF1073" i="1" s="1"/>
  <c r="AE1074" i="1"/>
  <c r="AF1074" i="1" s="1"/>
  <c r="AE1075" i="1"/>
  <c r="AF1075" i="1" s="1"/>
  <c r="AE1076" i="1"/>
  <c r="AF1076" i="1" s="1"/>
  <c r="AE1077" i="1"/>
  <c r="AF1077" i="1" s="1"/>
  <c r="AE1078" i="1"/>
  <c r="AF1078" i="1" s="1"/>
  <c r="AE1079" i="1"/>
  <c r="AF1079" i="1" s="1"/>
  <c r="AE1080" i="1"/>
  <c r="AF1080" i="1" s="1"/>
  <c r="AE1081" i="1"/>
  <c r="AF1081" i="1" s="1"/>
  <c r="AE1082" i="1"/>
  <c r="AF1082" i="1" s="1"/>
  <c r="AE1083" i="1"/>
  <c r="AF1083" i="1" s="1"/>
  <c r="AE1084" i="1"/>
  <c r="AF1084" i="1" s="1"/>
  <c r="AE1085" i="1"/>
  <c r="AF1085" i="1" s="1"/>
  <c r="AE1086" i="1"/>
  <c r="AF1086" i="1" s="1"/>
  <c r="AE1087" i="1"/>
  <c r="AF1087" i="1" s="1"/>
  <c r="AE1088" i="1"/>
  <c r="AF1088" i="1" s="1"/>
  <c r="AE1089" i="1"/>
  <c r="AF1089" i="1" s="1"/>
  <c r="AE1090" i="1"/>
  <c r="AF1090" i="1" s="1"/>
  <c r="AE1091" i="1"/>
  <c r="AF1091" i="1" s="1"/>
  <c r="AE1092" i="1"/>
  <c r="AF1092" i="1" s="1"/>
  <c r="AE1093" i="1"/>
  <c r="AF1093" i="1" s="1"/>
  <c r="AE1094" i="1"/>
  <c r="AF1094" i="1" s="1"/>
  <c r="AE1095" i="1"/>
  <c r="AF1095" i="1" s="1"/>
  <c r="AE1096" i="1"/>
  <c r="AF1096" i="1" s="1"/>
  <c r="AE1097" i="1"/>
  <c r="AF1097" i="1" s="1"/>
  <c r="AE1099" i="1"/>
  <c r="AF1099" i="1" s="1"/>
  <c r="AE1100" i="1"/>
  <c r="AF1100" i="1" s="1"/>
  <c r="AE1101" i="1"/>
  <c r="AF1101" i="1" s="1"/>
  <c r="AE1102" i="1"/>
  <c r="AF1102" i="1" s="1"/>
  <c r="AE1103" i="1"/>
  <c r="AF1103" i="1" s="1"/>
  <c r="AE1104" i="1"/>
  <c r="AF1104" i="1" s="1"/>
  <c r="AE1105" i="1"/>
  <c r="AF1105" i="1" s="1"/>
  <c r="AE1106" i="1"/>
  <c r="AF1106" i="1" s="1"/>
  <c r="AE1107" i="1"/>
  <c r="AF1107" i="1" s="1"/>
  <c r="AE1108" i="1"/>
  <c r="AF1108" i="1" s="1"/>
  <c r="AE1109" i="1"/>
  <c r="AF1109" i="1" s="1"/>
  <c r="AE1110" i="1"/>
  <c r="AF1110" i="1" s="1"/>
  <c r="AE1111" i="1"/>
  <c r="AF1111" i="1" s="1"/>
  <c r="AE1112" i="1"/>
  <c r="AF1112" i="1" s="1"/>
  <c r="AE1113" i="1"/>
  <c r="AF1113" i="1" s="1"/>
  <c r="AE1114" i="1"/>
  <c r="AF1114" i="1" s="1"/>
  <c r="AE1115" i="1"/>
  <c r="AF1115" i="1" s="1"/>
  <c r="AE1116" i="1"/>
  <c r="AF1116" i="1" s="1"/>
  <c r="AE1117" i="1"/>
  <c r="AF1117" i="1" s="1"/>
  <c r="AE1118" i="1"/>
  <c r="AF1118" i="1" s="1"/>
  <c r="AE1119" i="1"/>
  <c r="AF1119" i="1" s="1"/>
  <c r="AE1120" i="1"/>
  <c r="AF1120" i="1" s="1"/>
  <c r="AE1121" i="1"/>
  <c r="AF1121" i="1" s="1"/>
  <c r="AE1122" i="1"/>
  <c r="AF1122" i="1" s="1"/>
  <c r="AE1123" i="1"/>
  <c r="AF1123" i="1" s="1"/>
  <c r="AE1124" i="1"/>
  <c r="AF1124" i="1" s="1"/>
  <c r="AE1125" i="1"/>
  <c r="AF1125" i="1" s="1"/>
  <c r="AE1126" i="1"/>
  <c r="AF1126" i="1" s="1"/>
  <c r="AE1127" i="1"/>
  <c r="AF1127" i="1" s="1"/>
  <c r="AE1128" i="1"/>
  <c r="AF1128" i="1" s="1"/>
  <c r="AE2" i="1"/>
  <c r="AF2" i="1" s="1"/>
  <c r="J1128" i="1"/>
  <c r="A1128" i="1"/>
  <c r="J1127" i="1"/>
  <c r="A1127" i="1"/>
  <c r="J1126" i="1"/>
  <c r="A1126" i="1"/>
  <c r="J1125" i="1"/>
  <c r="A1125" i="1"/>
  <c r="J1124" i="1"/>
  <c r="A1124" i="1"/>
  <c r="J1123" i="1"/>
  <c r="A1123" i="1"/>
  <c r="J1122" i="1"/>
  <c r="A1122" i="1"/>
  <c r="J1121" i="1"/>
  <c r="A1121" i="1"/>
  <c r="J1120" i="1"/>
  <c r="A1120" i="1"/>
  <c r="J1119" i="1"/>
  <c r="A1119" i="1"/>
  <c r="J1118" i="1"/>
  <c r="A1118" i="1"/>
  <c r="J1117" i="1"/>
  <c r="A1117" i="1"/>
  <c r="J1116" i="1"/>
  <c r="A1116" i="1"/>
  <c r="J1115" i="1"/>
  <c r="A1115" i="1"/>
  <c r="J1114" i="1"/>
  <c r="A1114" i="1"/>
  <c r="J1113" i="1"/>
  <c r="A1113" i="1"/>
  <c r="J1112" i="1"/>
  <c r="A1112" i="1"/>
  <c r="J1111" i="1"/>
  <c r="A1111" i="1"/>
  <c r="J1110" i="1"/>
  <c r="A1110" i="1"/>
  <c r="J1109" i="1"/>
  <c r="A1109" i="1"/>
  <c r="J1108" i="1"/>
  <c r="A1108" i="1"/>
  <c r="J1107" i="1"/>
  <c r="A1107" i="1"/>
  <c r="J1106" i="1"/>
  <c r="A1106" i="1"/>
  <c r="J1105" i="1"/>
  <c r="A1105" i="1"/>
  <c r="J1104" i="1"/>
  <c r="A1104" i="1"/>
  <c r="J1103" i="1"/>
  <c r="A1103" i="1"/>
  <c r="J1102" i="1"/>
  <c r="A1102" i="1"/>
  <c r="J1101" i="1"/>
  <c r="A1101" i="1"/>
  <c r="J1100" i="1"/>
  <c r="A1100" i="1"/>
  <c r="J1099" i="1"/>
  <c r="A1099" i="1"/>
  <c r="J1097" i="1"/>
  <c r="A1097" i="1"/>
  <c r="J1096" i="1"/>
  <c r="A1096" i="1"/>
  <c r="J1095" i="1"/>
  <c r="A1095" i="1"/>
  <c r="J1094" i="1"/>
  <c r="A1094" i="1"/>
  <c r="J1093" i="1"/>
  <c r="A1093" i="1"/>
  <c r="J1092" i="1"/>
  <c r="A1092" i="1"/>
  <c r="J1091" i="1"/>
  <c r="A1091" i="1"/>
  <c r="J1090" i="1"/>
  <c r="A1090" i="1"/>
  <c r="J1089" i="1"/>
  <c r="A1089" i="1"/>
  <c r="J1088" i="1"/>
  <c r="A1088" i="1"/>
  <c r="J1087" i="1"/>
  <c r="A1087" i="1"/>
  <c r="J1086" i="1"/>
  <c r="A1086" i="1"/>
  <c r="J1085" i="1"/>
  <c r="A1085" i="1"/>
  <c r="J1084" i="1"/>
  <c r="A1084" i="1"/>
  <c r="J1083" i="1"/>
  <c r="A1083" i="1"/>
  <c r="J1082" i="1"/>
  <c r="A1082" i="1"/>
  <c r="J1081" i="1"/>
  <c r="A1081" i="1"/>
  <c r="J1080" i="1"/>
  <c r="A1080" i="1"/>
  <c r="J1079" i="1"/>
  <c r="A1079" i="1"/>
  <c r="J1078" i="1"/>
  <c r="A1078" i="1"/>
  <c r="J1077" i="1"/>
  <c r="A1077" i="1"/>
  <c r="J1076" i="1"/>
  <c r="A1076" i="1"/>
  <c r="J1075" i="1"/>
  <c r="A1075" i="1"/>
  <c r="J1074" i="1"/>
  <c r="A1074" i="1"/>
  <c r="J1073" i="1"/>
  <c r="A1073" i="1"/>
  <c r="J1072" i="1"/>
  <c r="A1072" i="1"/>
  <c r="J1071" i="1"/>
  <c r="A1071" i="1"/>
  <c r="J1070" i="1"/>
  <c r="A1070" i="1"/>
  <c r="J1069" i="1"/>
  <c r="A1069" i="1"/>
  <c r="J1068" i="1"/>
  <c r="A1068" i="1"/>
  <c r="J1067" i="1"/>
  <c r="A1067" i="1"/>
  <c r="J1066" i="1"/>
  <c r="A1066" i="1"/>
  <c r="J1065" i="1"/>
  <c r="A1065" i="1"/>
  <c r="J1064" i="1"/>
  <c r="A1064" i="1"/>
  <c r="J1063" i="1"/>
  <c r="A1063" i="1"/>
  <c r="J1062" i="1"/>
  <c r="A1062" i="1"/>
  <c r="J1061" i="1"/>
  <c r="A1061" i="1"/>
  <c r="J1060" i="1"/>
  <c r="A1060" i="1"/>
  <c r="J1059" i="1"/>
  <c r="A1059" i="1"/>
  <c r="J1058" i="1"/>
  <c r="A1058" i="1"/>
  <c r="J1057" i="1"/>
  <c r="A1057" i="1"/>
  <c r="J1056" i="1"/>
  <c r="A1056" i="1"/>
  <c r="J1055" i="1"/>
  <c r="A1055" i="1"/>
  <c r="J1054" i="1"/>
  <c r="A1054" i="1"/>
  <c r="J1053" i="1"/>
  <c r="A1053" i="1"/>
  <c r="J1052" i="1"/>
  <c r="A1052" i="1"/>
  <c r="J1040" i="1"/>
  <c r="A1040" i="1"/>
  <c r="J1039" i="1"/>
  <c r="A1039" i="1"/>
  <c r="J1038" i="1"/>
  <c r="A1038" i="1"/>
  <c r="J1037" i="1"/>
  <c r="A1037" i="1"/>
  <c r="J1036" i="1"/>
  <c r="A1036" i="1"/>
  <c r="J1035" i="1"/>
  <c r="A1035" i="1"/>
  <c r="J1034" i="1"/>
  <c r="A1034" i="1"/>
  <c r="J1033" i="1"/>
  <c r="A1033" i="1"/>
  <c r="J1032" i="1"/>
  <c r="A1032" i="1"/>
  <c r="J1031" i="1"/>
  <c r="A1031" i="1"/>
  <c r="J1030" i="1"/>
  <c r="A1030" i="1"/>
  <c r="J1029" i="1"/>
  <c r="A1029" i="1"/>
  <c r="J1028" i="1"/>
  <c r="A1028" i="1"/>
  <c r="J1027" i="1"/>
  <c r="A1027" i="1"/>
  <c r="J1026" i="1"/>
  <c r="A1026" i="1"/>
  <c r="J1025" i="1"/>
  <c r="A1025" i="1"/>
  <c r="J1024" i="1"/>
  <c r="A1024" i="1"/>
  <c r="J1023" i="1"/>
  <c r="A1023" i="1"/>
  <c r="J1022" i="1"/>
  <c r="A1022" i="1"/>
  <c r="J1021" i="1"/>
  <c r="A1021" i="1"/>
  <c r="J1020" i="1"/>
  <c r="A1020" i="1"/>
  <c r="J1019" i="1"/>
  <c r="A1019" i="1"/>
  <c r="J1018" i="1"/>
  <c r="A1018" i="1"/>
  <c r="J1017" i="1"/>
  <c r="A1017" i="1"/>
  <c r="J1016" i="1"/>
  <c r="A1016" i="1"/>
  <c r="J1015" i="1"/>
  <c r="A1015" i="1"/>
  <c r="J1014" i="1"/>
  <c r="A1014" i="1"/>
  <c r="J1013" i="1"/>
  <c r="A1013" i="1"/>
  <c r="J1012" i="1"/>
  <c r="A1012" i="1"/>
  <c r="J1011" i="1"/>
  <c r="A1011" i="1"/>
  <c r="J1010" i="1"/>
  <c r="A1010" i="1"/>
  <c r="J1009" i="1"/>
  <c r="A1009" i="1"/>
  <c r="J1008" i="1"/>
  <c r="A1008" i="1"/>
  <c r="J1007" i="1"/>
  <c r="A1007" i="1"/>
  <c r="J1006" i="1"/>
  <c r="A1006" i="1"/>
  <c r="J1005" i="1"/>
  <c r="A1005" i="1"/>
  <c r="J1004" i="1"/>
  <c r="A1004" i="1"/>
  <c r="J1003" i="1"/>
  <c r="A1003" i="1"/>
  <c r="J1002" i="1"/>
  <c r="A1002" i="1"/>
  <c r="J1001" i="1"/>
  <c r="A1001" i="1"/>
  <c r="J1000" i="1"/>
  <c r="A1000" i="1"/>
  <c r="J999" i="1"/>
  <c r="A999" i="1"/>
  <c r="J998" i="1"/>
  <c r="A998" i="1"/>
  <c r="J997" i="1"/>
  <c r="A997" i="1"/>
  <c r="J996" i="1"/>
  <c r="A996" i="1"/>
  <c r="J995" i="1"/>
  <c r="A995" i="1"/>
  <c r="J994" i="1"/>
  <c r="A994" i="1"/>
  <c r="J993" i="1"/>
  <c r="A993" i="1"/>
  <c r="J992" i="1"/>
  <c r="A992" i="1"/>
  <c r="J991" i="1"/>
  <c r="A991" i="1"/>
  <c r="J990" i="1"/>
  <c r="A990" i="1"/>
  <c r="J989" i="1"/>
  <c r="A989" i="1"/>
  <c r="J988" i="1"/>
  <c r="A988" i="1"/>
  <c r="J987" i="1"/>
  <c r="A987" i="1"/>
  <c r="J986" i="1"/>
  <c r="A986" i="1"/>
  <c r="J985" i="1"/>
  <c r="A985" i="1"/>
  <c r="J984" i="1"/>
  <c r="A984" i="1"/>
  <c r="J983" i="1"/>
  <c r="A983" i="1"/>
  <c r="J982" i="1"/>
  <c r="A982" i="1"/>
  <c r="J981" i="1"/>
  <c r="A981" i="1"/>
  <c r="J980" i="1"/>
  <c r="A980" i="1"/>
  <c r="J979" i="1"/>
  <c r="A979" i="1"/>
  <c r="J978" i="1"/>
  <c r="A978" i="1"/>
  <c r="J977" i="1"/>
  <c r="A977" i="1"/>
  <c r="J976" i="1"/>
  <c r="A976" i="1"/>
  <c r="J975" i="1"/>
  <c r="A975" i="1"/>
  <c r="J974" i="1"/>
  <c r="A974" i="1"/>
  <c r="J973" i="1"/>
  <c r="A973" i="1"/>
  <c r="J972" i="1"/>
  <c r="A972" i="1"/>
  <c r="J971" i="1"/>
  <c r="A971" i="1"/>
  <c r="J961" i="1"/>
  <c r="A961" i="1"/>
  <c r="J959" i="1"/>
  <c r="A959" i="1"/>
  <c r="J958" i="1"/>
  <c r="A958" i="1"/>
  <c r="J957" i="1"/>
  <c r="A957" i="1"/>
  <c r="J956" i="1"/>
  <c r="A956" i="1"/>
  <c r="J955" i="1"/>
  <c r="A955" i="1"/>
  <c r="J954" i="1"/>
  <c r="A954" i="1"/>
  <c r="J953" i="1"/>
  <c r="A953" i="1"/>
  <c r="J952" i="1"/>
  <c r="A952" i="1"/>
  <c r="J951" i="1"/>
  <c r="A951" i="1"/>
  <c r="J950" i="1"/>
  <c r="A950" i="1"/>
  <c r="J949" i="1"/>
  <c r="A949" i="1"/>
  <c r="J948" i="1"/>
  <c r="A948" i="1"/>
  <c r="J947" i="1"/>
  <c r="A947" i="1"/>
  <c r="J946" i="1"/>
  <c r="A946" i="1"/>
  <c r="J945" i="1"/>
  <c r="A945" i="1"/>
  <c r="J944" i="1"/>
  <c r="A944" i="1"/>
  <c r="J943" i="1"/>
  <c r="A943" i="1"/>
  <c r="J942" i="1"/>
  <c r="A942" i="1"/>
  <c r="J941" i="1"/>
  <c r="A941" i="1"/>
  <c r="J940" i="1"/>
  <c r="A940" i="1"/>
  <c r="J939" i="1"/>
  <c r="A939" i="1"/>
  <c r="J938" i="1"/>
  <c r="A938" i="1"/>
  <c r="J937" i="1"/>
  <c r="A937" i="1"/>
  <c r="J936" i="1"/>
  <c r="A936" i="1"/>
  <c r="J935" i="1"/>
  <c r="A935" i="1"/>
  <c r="J934" i="1"/>
  <c r="A934" i="1"/>
  <c r="J933" i="1"/>
  <c r="A933" i="1"/>
  <c r="J932" i="1"/>
  <c r="A932" i="1"/>
  <c r="J931" i="1"/>
  <c r="A931" i="1"/>
  <c r="J930" i="1"/>
  <c r="A930" i="1"/>
  <c r="J929" i="1"/>
  <c r="A929" i="1"/>
  <c r="J928" i="1"/>
  <c r="A928" i="1"/>
  <c r="J927" i="1"/>
  <c r="A927" i="1"/>
  <c r="J926" i="1"/>
  <c r="A926" i="1"/>
  <c r="J925" i="1"/>
  <c r="A925" i="1"/>
  <c r="J924" i="1"/>
  <c r="A924" i="1"/>
  <c r="J923" i="1"/>
  <c r="A923" i="1"/>
  <c r="J922" i="1"/>
  <c r="A922" i="1"/>
  <c r="J921" i="1"/>
  <c r="A921" i="1"/>
  <c r="J920" i="1"/>
  <c r="A920" i="1"/>
  <c r="J919" i="1"/>
  <c r="A919" i="1"/>
  <c r="J918" i="1"/>
  <c r="A918" i="1"/>
  <c r="J917" i="1"/>
  <c r="A917" i="1"/>
  <c r="J916" i="1"/>
  <c r="A916" i="1"/>
  <c r="J915" i="1"/>
  <c r="A915" i="1"/>
  <c r="J914" i="1"/>
  <c r="A914" i="1"/>
  <c r="J913" i="1"/>
  <c r="A913" i="1"/>
  <c r="J912" i="1"/>
  <c r="A912" i="1"/>
  <c r="J911" i="1"/>
  <c r="A911" i="1"/>
  <c r="J910" i="1"/>
  <c r="A910" i="1"/>
  <c r="J909" i="1"/>
  <c r="A909" i="1"/>
  <c r="J908" i="1"/>
  <c r="A908" i="1"/>
  <c r="J907" i="1"/>
  <c r="A907" i="1"/>
  <c r="J906" i="1"/>
  <c r="A906" i="1"/>
  <c r="J905" i="1"/>
  <c r="A905" i="1"/>
  <c r="J904" i="1"/>
  <c r="A904" i="1"/>
  <c r="J903" i="1"/>
  <c r="A903" i="1"/>
  <c r="J902" i="1"/>
  <c r="A902" i="1"/>
  <c r="J901" i="1"/>
  <c r="A901" i="1"/>
  <c r="J899" i="1"/>
  <c r="A899" i="1"/>
  <c r="J898" i="1"/>
  <c r="A898" i="1"/>
  <c r="J897" i="1"/>
  <c r="A897" i="1"/>
  <c r="J896" i="1"/>
  <c r="A896" i="1"/>
  <c r="J895" i="1"/>
  <c r="A895" i="1"/>
  <c r="J894" i="1"/>
  <c r="A894" i="1"/>
  <c r="J893" i="1"/>
  <c r="A893" i="1"/>
  <c r="J892" i="1"/>
  <c r="A892" i="1"/>
  <c r="J891" i="1"/>
  <c r="A891" i="1"/>
  <c r="J890" i="1"/>
  <c r="A890" i="1"/>
  <c r="J889" i="1"/>
  <c r="A889" i="1"/>
  <c r="J888" i="1"/>
  <c r="A888" i="1"/>
  <c r="J887" i="1"/>
  <c r="A887" i="1"/>
  <c r="J886" i="1"/>
  <c r="A886" i="1"/>
  <c r="J885" i="1"/>
  <c r="A885" i="1"/>
  <c r="J884" i="1"/>
  <c r="A884" i="1"/>
  <c r="J883" i="1"/>
  <c r="A883" i="1"/>
  <c r="J881" i="1"/>
  <c r="A881" i="1"/>
  <c r="J880" i="1"/>
  <c r="A880" i="1"/>
  <c r="J879" i="1"/>
  <c r="A879" i="1"/>
  <c r="J878" i="1"/>
  <c r="A878" i="1"/>
  <c r="J877" i="1"/>
  <c r="A877" i="1"/>
  <c r="J876" i="1"/>
  <c r="A876" i="1"/>
  <c r="J875" i="1"/>
  <c r="A875" i="1"/>
  <c r="J872" i="1"/>
  <c r="A872" i="1"/>
  <c r="J871" i="1"/>
  <c r="A871" i="1"/>
  <c r="J870" i="1"/>
  <c r="A870" i="1"/>
  <c r="J869" i="1"/>
  <c r="A869" i="1"/>
  <c r="J868" i="1"/>
  <c r="A868" i="1"/>
  <c r="J867" i="1"/>
  <c r="A867" i="1"/>
  <c r="J866" i="1"/>
  <c r="A866" i="1"/>
  <c r="J865" i="1"/>
  <c r="A865" i="1"/>
  <c r="J864" i="1"/>
  <c r="A864" i="1"/>
  <c r="J863" i="1"/>
  <c r="A863" i="1"/>
  <c r="J862" i="1"/>
  <c r="A862" i="1"/>
  <c r="J861" i="1"/>
  <c r="A861" i="1"/>
  <c r="J860" i="1"/>
  <c r="A860" i="1"/>
  <c r="J859" i="1"/>
  <c r="A859" i="1"/>
  <c r="J858" i="1"/>
  <c r="A858" i="1"/>
  <c r="J857" i="1"/>
  <c r="A857" i="1"/>
  <c r="J856" i="1"/>
  <c r="A856" i="1"/>
  <c r="J855" i="1"/>
  <c r="A855" i="1"/>
  <c r="J854" i="1"/>
  <c r="A854" i="1"/>
  <c r="J853" i="1"/>
  <c r="A853" i="1"/>
  <c r="J852" i="1"/>
  <c r="A852" i="1"/>
  <c r="J851" i="1"/>
  <c r="A851" i="1"/>
  <c r="J850" i="1"/>
  <c r="A850" i="1"/>
  <c r="J849" i="1"/>
  <c r="A849" i="1"/>
  <c r="J848" i="1"/>
  <c r="A848" i="1"/>
  <c r="J847" i="1"/>
  <c r="A847" i="1"/>
  <c r="J846" i="1"/>
  <c r="A846" i="1"/>
  <c r="J845" i="1"/>
  <c r="A845" i="1"/>
  <c r="J844" i="1"/>
  <c r="A844" i="1"/>
  <c r="J843" i="1"/>
  <c r="A843" i="1"/>
  <c r="J842" i="1"/>
  <c r="A842" i="1"/>
  <c r="J841" i="1"/>
  <c r="A841" i="1"/>
  <c r="J840" i="1"/>
  <c r="A840" i="1"/>
  <c r="J839" i="1"/>
  <c r="A839" i="1"/>
  <c r="J838" i="1"/>
  <c r="A838" i="1"/>
  <c r="J837" i="1"/>
  <c r="A837" i="1"/>
  <c r="J836" i="1"/>
  <c r="A836" i="1"/>
  <c r="J835" i="1"/>
  <c r="A835" i="1"/>
  <c r="J834" i="1"/>
  <c r="A834" i="1"/>
  <c r="J833" i="1"/>
  <c r="A833" i="1"/>
  <c r="J832" i="1"/>
  <c r="A832" i="1"/>
  <c r="J831" i="1"/>
  <c r="A831" i="1"/>
  <c r="J830" i="1"/>
  <c r="A830" i="1"/>
  <c r="J829" i="1"/>
  <c r="A829" i="1"/>
  <c r="J828" i="1"/>
  <c r="A828" i="1"/>
  <c r="J827" i="1"/>
  <c r="A827" i="1"/>
  <c r="J826" i="1"/>
  <c r="A826" i="1"/>
  <c r="J825" i="1"/>
  <c r="A825" i="1"/>
  <c r="J824" i="1"/>
  <c r="A824" i="1"/>
  <c r="J822" i="1"/>
  <c r="A822" i="1"/>
  <c r="J821" i="1"/>
  <c r="A821" i="1"/>
  <c r="J820" i="1"/>
  <c r="A820" i="1"/>
  <c r="J819" i="1"/>
  <c r="A819" i="1"/>
  <c r="J818" i="1"/>
  <c r="A818" i="1"/>
  <c r="J817" i="1"/>
  <c r="A817" i="1"/>
  <c r="J816" i="1"/>
  <c r="A816" i="1"/>
  <c r="J815" i="1"/>
  <c r="A815" i="1"/>
  <c r="J814" i="1"/>
  <c r="A814" i="1"/>
  <c r="J813" i="1"/>
  <c r="A813" i="1"/>
  <c r="J812" i="1"/>
  <c r="A812" i="1"/>
  <c r="J811" i="1"/>
  <c r="A811" i="1"/>
  <c r="J810" i="1"/>
  <c r="A810" i="1"/>
  <c r="J809" i="1"/>
  <c r="A809" i="1"/>
  <c r="J808" i="1"/>
  <c r="A808" i="1"/>
  <c r="J807" i="1"/>
  <c r="A807" i="1"/>
  <c r="J806" i="1"/>
  <c r="A806" i="1"/>
  <c r="J805" i="1"/>
  <c r="A805" i="1"/>
  <c r="J804" i="1"/>
  <c r="A804" i="1"/>
  <c r="J803" i="1"/>
  <c r="A803" i="1"/>
  <c r="J802" i="1"/>
  <c r="A802" i="1"/>
  <c r="J801" i="1"/>
  <c r="A801" i="1"/>
  <c r="J800" i="1"/>
  <c r="A800" i="1"/>
  <c r="J799" i="1"/>
  <c r="A799" i="1"/>
  <c r="J798" i="1"/>
  <c r="A798" i="1"/>
  <c r="J797" i="1"/>
  <c r="A797" i="1"/>
  <c r="J796" i="1"/>
  <c r="A796" i="1"/>
  <c r="J795" i="1"/>
  <c r="A795" i="1"/>
  <c r="J794" i="1"/>
  <c r="A794" i="1"/>
  <c r="J793" i="1"/>
  <c r="A793" i="1"/>
  <c r="J792" i="1"/>
  <c r="A792" i="1"/>
  <c r="J791" i="1"/>
  <c r="A791" i="1"/>
  <c r="J790" i="1"/>
  <c r="A790" i="1"/>
  <c r="J789" i="1"/>
  <c r="A789" i="1"/>
  <c r="J788" i="1"/>
  <c r="A788" i="1"/>
  <c r="J787" i="1"/>
  <c r="A787" i="1"/>
  <c r="J786" i="1"/>
  <c r="A786" i="1"/>
  <c r="J785" i="1"/>
  <c r="A785" i="1"/>
  <c r="J784" i="1"/>
  <c r="A784" i="1"/>
  <c r="J783" i="1"/>
  <c r="A783" i="1"/>
  <c r="J782" i="1"/>
  <c r="A782" i="1"/>
  <c r="J781" i="1"/>
  <c r="A781" i="1"/>
  <c r="J780" i="1"/>
  <c r="A780" i="1"/>
  <c r="J779" i="1"/>
  <c r="A779" i="1"/>
  <c r="J778" i="1"/>
  <c r="A778" i="1"/>
  <c r="J777" i="1"/>
  <c r="A777" i="1"/>
  <c r="J776" i="1"/>
  <c r="A776" i="1"/>
  <c r="J775" i="1"/>
  <c r="A775" i="1"/>
  <c r="J774" i="1"/>
  <c r="A774" i="1"/>
  <c r="J773" i="1"/>
  <c r="A773" i="1"/>
  <c r="J772" i="1"/>
  <c r="A772" i="1"/>
  <c r="J771" i="1"/>
  <c r="A771" i="1"/>
  <c r="J770" i="1"/>
  <c r="A770" i="1"/>
  <c r="J769" i="1"/>
  <c r="A769" i="1"/>
  <c r="J768" i="1"/>
  <c r="A768" i="1"/>
  <c r="J767" i="1"/>
  <c r="A767" i="1"/>
  <c r="J766" i="1"/>
  <c r="A766" i="1"/>
  <c r="J765" i="1"/>
  <c r="A765" i="1"/>
  <c r="J764" i="1"/>
  <c r="A764" i="1"/>
  <c r="J763" i="1"/>
  <c r="A763" i="1"/>
  <c r="J762" i="1"/>
  <c r="A762" i="1"/>
  <c r="J761" i="1"/>
  <c r="A761" i="1"/>
  <c r="J760" i="1"/>
  <c r="A760" i="1"/>
  <c r="J759" i="1"/>
  <c r="A759" i="1"/>
  <c r="J758" i="1"/>
  <c r="A758" i="1"/>
  <c r="J757" i="1"/>
  <c r="A757" i="1"/>
  <c r="J756" i="1"/>
  <c r="A756" i="1"/>
  <c r="J755" i="1"/>
  <c r="A755" i="1"/>
  <c r="J754" i="1"/>
  <c r="A754" i="1"/>
  <c r="J753" i="1"/>
  <c r="A753" i="1"/>
  <c r="J752" i="1"/>
  <c r="A752" i="1"/>
  <c r="J751" i="1"/>
  <c r="A751" i="1"/>
  <c r="J750" i="1"/>
  <c r="A750" i="1"/>
  <c r="J749" i="1"/>
  <c r="A749" i="1"/>
  <c r="J748" i="1"/>
  <c r="A748" i="1"/>
  <c r="J747" i="1"/>
  <c r="A747" i="1"/>
  <c r="J746" i="1"/>
  <c r="A746" i="1"/>
  <c r="J745" i="1"/>
  <c r="A745" i="1"/>
  <c r="J744" i="1"/>
  <c r="A744" i="1"/>
  <c r="J743" i="1"/>
  <c r="A743" i="1"/>
  <c r="J742" i="1"/>
  <c r="A742" i="1"/>
  <c r="J741" i="1"/>
  <c r="A741" i="1"/>
  <c r="J740" i="1"/>
  <c r="A740" i="1"/>
  <c r="J739" i="1"/>
  <c r="A739" i="1"/>
  <c r="J738" i="1"/>
  <c r="A738" i="1"/>
  <c r="J737" i="1"/>
  <c r="A737" i="1"/>
  <c r="J736" i="1"/>
  <c r="A736" i="1"/>
  <c r="J735" i="1"/>
  <c r="A735" i="1"/>
  <c r="J734" i="1"/>
  <c r="A734" i="1"/>
  <c r="J733" i="1"/>
  <c r="A733" i="1"/>
  <c r="J732" i="1"/>
  <c r="A732" i="1"/>
  <c r="J731" i="1"/>
  <c r="A731" i="1"/>
  <c r="J730" i="1"/>
  <c r="A730" i="1"/>
  <c r="J729" i="1"/>
  <c r="A729" i="1"/>
  <c r="J728" i="1"/>
  <c r="A728" i="1"/>
  <c r="J727" i="1"/>
  <c r="A727" i="1"/>
  <c r="J726" i="1"/>
  <c r="A726" i="1"/>
  <c r="J725" i="1"/>
  <c r="A725" i="1"/>
  <c r="J724" i="1"/>
  <c r="A724" i="1"/>
  <c r="J723" i="1"/>
  <c r="A723" i="1"/>
  <c r="J722" i="1"/>
  <c r="A722" i="1"/>
  <c r="J721" i="1"/>
  <c r="A721" i="1"/>
  <c r="J720" i="1"/>
  <c r="A720" i="1"/>
  <c r="J718" i="1"/>
  <c r="A718" i="1"/>
  <c r="J717" i="1"/>
  <c r="A717" i="1"/>
  <c r="J716" i="1"/>
  <c r="A716" i="1"/>
  <c r="J715" i="1"/>
  <c r="A715" i="1"/>
  <c r="J714" i="1"/>
  <c r="A714" i="1"/>
  <c r="J713" i="1"/>
  <c r="A713" i="1"/>
  <c r="J712" i="1"/>
  <c r="A712" i="1"/>
  <c r="J711" i="1"/>
  <c r="A711" i="1"/>
  <c r="J710" i="1"/>
  <c r="A710" i="1"/>
  <c r="J709" i="1"/>
  <c r="A709" i="1"/>
  <c r="J708" i="1"/>
  <c r="A708" i="1"/>
  <c r="J707" i="1"/>
  <c r="A707" i="1"/>
  <c r="J706" i="1"/>
  <c r="A706" i="1"/>
  <c r="J705" i="1"/>
  <c r="A705" i="1"/>
  <c r="J704" i="1"/>
  <c r="A704" i="1"/>
  <c r="J703" i="1"/>
  <c r="A703" i="1"/>
  <c r="J702" i="1"/>
  <c r="A702" i="1"/>
  <c r="J701" i="1"/>
  <c r="A701" i="1"/>
  <c r="J698" i="1"/>
  <c r="A698" i="1"/>
  <c r="J697" i="1"/>
  <c r="A697" i="1"/>
  <c r="J696" i="1"/>
  <c r="A696" i="1"/>
  <c r="J695" i="1"/>
  <c r="A695" i="1"/>
  <c r="J694" i="1"/>
  <c r="A694" i="1"/>
  <c r="J693" i="1"/>
  <c r="A693" i="1"/>
  <c r="J692" i="1"/>
  <c r="A692" i="1"/>
  <c r="J691" i="1"/>
  <c r="A691" i="1"/>
  <c r="J690" i="1"/>
  <c r="A690" i="1"/>
  <c r="J689" i="1"/>
  <c r="A689" i="1"/>
  <c r="J688" i="1"/>
  <c r="A688" i="1"/>
  <c r="J687" i="1"/>
  <c r="A687" i="1"/>
  <c r="J686" i="1"/>
  <c r="A686" i="1"/>
  <c r="J685" i="1"/>
  <c r="A685" i="1"/>
  <c r="J684" i="1"/>
  <c r="A684" i="1"/>
  <c r="J683" i="1"/>
  <c r="A683" i="1"/>
  <c r="J682" i="1"/>
  <c r="A682" i="1"/>
  <c r="J681" i="1"/>
  <c r="A681" i="1"/>
  <c r="J680" i="1"/>
  <c r="A680" i="1"/>
  <c r="J679" i="1"/>
  <c r="A679" i="1"/>
  <c r="J678" i="1"/>
  <c r="A678" i="1"/>
  <c r="J677" i="1"/>
  <c r="A677" i="1"/>
  <c r="J675" i="1"/>
  <c r="A675" i="1"/>
  <c r="J674" i="1"/>
  <c r="A674" i="1"/>
  <c r="J673" i="1"/>
  <c r="A673" i="1"/>
  <c r="J672" i="1"/>
  <c r="A672" i="1"/>
  <c r="J671" i="1"/>
  <c r="A671" i="1"/>
  <c r="J670" i="1"/>
  <c r="A670" i="1"/>
  <c r="J669" i="1"/>
  <c r="A669" i="1"/>
  <c r="J668" i="1"/>
  <c r="A668" i="1"/>
  <c r="J667" i="1"/>
  <c r="A667" i="1"/>
  <c r="J666" i="1"/>
  <c r="A666" i="1"/>
  <c r="J665" i="1"/>
  <c r="A665" i="1"/>
  <c r="J664" i="1"/>
  <c r="A664" i="1"/>
  <c r="J663" i="1"/>
  <c r="A663" i="1"/>
  <c r="J662" i="1"/>
  <c r="A662" i="1"/>
  <c r="J661" i="1"/>
  <c r="A661" i="1"/>
  <c r="J660" i="1"/>
  <c r="A660" i="1"/>
  <c r="J659" i="1"/>
  <c r="A659" i="1"/>
  <c r="J658" i="1"/>
  <c r="A658" i="1"/>
  <c r="J657" i="1"/>
  <c r="A657" i="1"/>
  <c r="J656" i="1"/>
  <c r="A656" i="1"/>
  <c r="J655" i="1"/>
  <c r="A655" i="1"/>
  <c r="J654" i="1"/>
  <c r="A654" i="1"/>
  <c r="J653" i="1"/>
  <c r="A653" i="1"/>
  <c r="J652" i="1"/>
  <c r="A652" i="1"/>
  <c r="J651" i="1"/>
  <c r="A651" i="1"/>
  <c r="J650" i="1"/>
  <c r="A650" i="1"/>
  <c r="J649" i="1"/>
  <c r="A649" i="1"/>
  <c r="J648" i="1"/>
  <c r="A648" i="1"/>
  <c r="J647" i="1"/>
  <c r="A647" i="1"/>
  <c r="J646" i="1"/>
  <c r="A646" i="1"/>
  <c r="J645" i="1"/>
  <c r="A645" i="1"/>
  <c r="J644" i="1"/>
  <c r="A644" i="1"/>
  <c r="J643" i="1"/>
  <c r="A643" i="1"/>
  <c r="J642" i="1"/>
  <c r="A642" i="1"/>
  <c r="J641" i="1"/>
  <c r="A641" i="1"/>
  <c r="J640" i="1"/>
  <c r="A640" i="1"/>
  <c r="J639" i="1"/>
  <c r="A639" i="1"/>
  <c r="J638" i="1"/>
  <c r="A638" i="1"/>
  <c r="J637" i="1"/>
  <c r="A637" i="1"/>
  <c r="J636" i="1"/>
  <c r="A636" i="1"/>
  <c r="J635" i="1"/>
  <c r="A635" i="1"/>
  <c r="J634" i="1"/>
  <c r="A634" i="1"/>
  <c r="J633" i="1"/>
  <c r="A633" i="1"/>
  <c r="J632" i="1"/>
  <c r="A632" i="1"/>
  <c r="J631" i="1"/>
  <c r="A631" i="1"/>
  <c r="J630" i="1"/>
  <c r="A630" i="1"/>
  <c r="J629" i="1"/>
  <c r="A629" i="1"/>
  <c r="J628" i="1"/>
  <c r="A628" i="1"/>
  <c r="J627" i="1"/>
  <c r="A627" i="1"/>
  <c r="J626" i="1"/>
  <c r="A626" i="1"/>
  <c r="J625" i="1"/>
  <c r="A625" i="1"/>
  <c r="J624" i="1"/>
  <c r="A624" i="1"/>
  <c r="J623" i="1"/>
  <c r="A623" i="1"/>
  <c r="J622" i="1"/>
  <c r="A622" i="1"/>
  <c r="J621" i="1"/>
  <c r="A621" i="1"/>
  <c r="J620" i="1"/>
  <c r="A620" i="1"/>
  <c r="J619" i="1"/>
  <c r="A619" i="1"/>
  <c r="J618" i="1"/>
  <c r="A618" i="1"/>
  <c r="J617" i="1"/>
  <c r="A617" i="1"/>
  <c r="J616" i="1"/>
  <c r="A616" i="1"/>
  <c r="J615" i="1"/>
  <c r="A615" i="1"/>
  <c r="J614" i="1"/>
  <c r="A614" i="1"/>
  <c r="J613" i="1"/>
  <c r="A613" i="1"/>
  <c r="J612" i="1"/>
  <c r="A612" i="1"/>
  <c r="J610" i="1"/>
  <c r="A610" i="1"/>
  <c r="J609" i="1"/>
  <c r="A609" i="1"/>
  <c r="J608" i="1"/>
  <c r="A608" i="1"/>
  <c r="J607" i="1"/>
  <c r="A607" i="1"/>
  <c r="J606" i="1"/>
  <c r="A606" i="1"/>
  <c r="J605" i="1"/>
  <c r="A605" i="1"/>
  <c r="J604" i="1"/>
  <c r="A604" i="1"/>
  <c r="J603" i="1"/>
  <c r="A603" i="1"/>
  <c r="J602" i="1"/>
  <c r="A602" i="1"/>
  <c r="J601" i="1"/>
  <c r="A601" i="1"/>
  <c r="J600" i="1"/>
  <c r="A600" i="1"/>
  <c r="J599" i="1"/>
  <c r="A599" i="1"/>
  <c r="J598" i="1"/>
  <c r="A598" i="1"/>
  <c r="J597" i="1"/>
  <c r="A597" i="1"/>
  <c r="J596" i="1"/>
  <c r="A596" i="1"/>
  <c r="J595" i="1"/>
  <c r="A595" i="1"/>
  <c r="J594" i="1"/>
  <c r="A594" i="1"/>
  <c r="J593" i="1"/>
  <c r="A593" i="1"/>
  <c r="J592" i="1"/>
  <c r="A592" i="1"/>
  <c r="J591" i="1"/>
  <c r="A591" i="1"/>
  <c r="J590" i="1"/>
  <c r="A590" i="1"/>
  <c r="J589" i="1"/>
  <c r="A589" i="1"/>
  <c r="J587" i="1"/>
  <c r="A587" i="1"/>
  <c r="J586" i="1"/>
  <c r="A586" i="1"/>
  <c r="J585" i="1"/>
  <c r="A585" i="1"/>
  <c r="J584" i="1"/>
  <c r="A584" i="1"/>
  <c r="J583" i="1"/>
  <c r="A583" i="1"/>
  <c r="J582" i="1"/>
  <c r="A582" i="1"/>
  <c r="J581" i="1"/>
  <c r="A581" i="1"/>
  <c r="J580" i="1"/>
  <c r="A580" i="1"/>
  <c r="J579" i="1"/>
  <c r="A579" i="1"/>
  <c r="J578" i="1"/>
  <c r="A578" i="1"/>
  <c r="J577" i="1"/>
  <c r="A577" i="1"/>
  <c r="J576" i="1"/>
  <c r="A576" i="1"/>
  <c r="J575" i="1"/>
  <c r="A575" i="1"/>
  <c r="J574" i="1"/>
  <c r="A574" i="1"/>
  <c r="J573" i="1"/>
  <c r="A573" i="1"/>
  <c r="J572" i="1"/>
  <c r="A572" i="1"/>
  <c r="J571" i="1"/>
  <c r="A571" i="1"/>
  <c r="J570" i="1"/>
  <c r="A570" i="1"/>
  <c r="J569" i="1"/>
  <c r="A569" i="1"/>
  <c r="J568" i="1"/>
  <c r="A568" i="1"/>
  <c r="J567" i="1"/>
  <c r="A567" i="1"/>
  <c r="J566" i="1"/>
  <c r="A566" i="1"/>
  <c r="J565" i="1"/>
  <c r="A565" i="1"/>
  <c r="J564" i="1"/>
  <c r="A564" i="1"/>
  <c r="J563" i="1"/>
  <c r="A563" i="1"/>
  <c r="J561" i="1"/>
  <c r="A561" i="1"/>
  <c r="J560" i="1"/>
  <c r="A560" i="1"/>
  <c r="J559" i="1"/>
  <c r="A559" i="1"/>
  <c r="J558" i="1"/>
  <c r="A558" i="1"/>
  <c r="J557" i="1"/>
  <c r="A557" i="1"/>
  <c r="J556" i="1"/>
  <c r="A556" i="1"/>
  <c r="J555" i="1"/>
  <c r="A555" i="1"/>
  <c r="J554" i="1"/>
  <c r="A554" i="1"/>
  <c r="J553" i="1"/>
  <c r="A553" i="1"/>
  <c r="J552" i="1"/>
  <c r="A552" i="1"/>
  <c r="J551" i="1"/>
  <c r="A551" i="1"/>
  <c r="J550" i="1"/>
  <c r="A550" i="1"/>
  <c r="J549" i="1"/>
  <c r="A549" i="1"/>
  <c r="J548" i="1"/>
  <c r="A548" i="1"/>
  <c r="J547" i="1"/>
  <c r="A547" i="1"/>
  <c r="J546" i="1"/>
  <c r="A546" i="1"/>
  <c r="J545" i="1"/>
  <c r="A545" i="1"/>
  <c r="J544" i="1"/>
  <c r="A544" i="1"/>
  <c r="J543" i="1"/>
  <c r="A543" i="1"/>
  <c r="J542" i="1"/>
  <c r="A542" i="1"/>
  <c r="J541" i="1"/>
  <c r="A541" i="1"/>
  <c r="J540" i="1"/>
  <c r="A540" i="1"/>
  <c r="J539" i="1"/>
  <c r="A539" i="1"/>
  <c r="J538" i="1"/>
  <c r="A538" i="1"/>
  <c r="J537" i="1"/>
  <c r="A537" i="1"/>
  <c r="J536" i="1"/>
  <c r="A536" i="1"/>
  <c r="J535" i="1"/>
  <c r="A535" i="1"/>
  <c r="J534" i="1"/>
  <c r="A534" i="1"/>
  <c r="J533" i="1"/>
  <c r="A533" i="1"/>
  <c r="J532" i="1"/>
  <c r="A532" i="1"/>
  <c r="J531" i="1"/>
  <c r="A531" i="1"/>
  <c r="J530" i="1"/>
  <c r="A530" i="1"/>
  <c r="J529" i="1"/>
  <c r="A529" i="1"/>
  <c r="J528" i="1"/>
  <c r="A528" i="1"/>
  <c r="J527" i="1"/>
  <c r="A527" i="1"/>
  <c r="J526" i="1"/>
  <c r="A526" i="1"/>
  <c r="J525" i="1"/>
  <c r="A525" i="1"/>
  <c r="J524" i="1"/>
  <c r="A524" i="1"/>
  <c r="J523" i="1"/>
  <c r="A523" i="1"/>
  <c r="J522" i="1"/>
  <c r="A522" i="1"/>
  <c r="J521" i="1"/>
  <c r="A521" i="1"/>
  <c r="J520" i="1"/>
  <c r="A520" i="1"/>
  <c r="J519" i="1"/>
  <c r="A519" i="1"/>
  <c r="J518" i="1"/>
  <c r="A518" i="1"/>
  <c r="J517" i="1"/>
  <c r="A517" i="1"/>
  <c r="J516" i="1"/>
  <c r="A516" i="1"/>
  <c r="J515" i="1"/>
  <c r="A515" i="1"/>
  <c r="J514" i="1"/>
  <c r="A514" i="1"/>
  <c r="J513" i="1"/>
  <c r="A513" i="1"/>
  <c r="J512" i="1"/>
  <c r="A512" i="1"/>
  <c r="J511" i="1"/>
  <c r="A511" i="1"/>
  <c r="J509" i="1"/>
  <c r="A509" i="1"/>
  <c r="J508" i="1"/>
  <c r="A508" i="1"/>
  <c r="J507" i="1"/>
  <c r="A507" i="1"/>
  <c r="J506" i="1"/>
  <c r="A506" i="1"/>
  <c r="J505" i="1"/>
  <c r="A505" i="1"/>
  <c r="J504" i="1"/>
  <c r="A504" i="1"/>
  <c r="J503" i="1"/>
  <c r="A503" i="1"/>
  <c r="J502" i="1"/>
  <c r="A502" i="1"/>
  <c r="J501" i="1"/>
  <c r="A501" i="1"/>
  <c r="J500" i="1"/>
  <c r="A500" i="1"/>
  <c r="J499" i="1"/>
  <c r="A499" i="1"/>
  <c r="J498" i="1"/>
  <c r="A498" i="1"/>
  <c r="J497" i="1"/>
  <c r="A497" i="1"/>
  <c r="J496" i="1"/>
  <c r="A496" i="1"/>
  <c r="J495" i="1"/>
  <c r="A495" i="1"/>
  <c r="J494" i="1"/>
  <c r="A494" i="1"/>
  <c r="J493" i="1"/>
  <c r="A493" i="1"/>
  <c r="J492" i="1"/>
  <c r="A492" i="1"/>
  <c r="J491" i="1"/>
  <c r="A491" i="1"/>
  <c r="J490" i="1"/>
  <c r="A490" i="1"/>
  <c r="J489" i="1"/>
  <c r="A489" i="1"/>
  <c r="J488" i="1"/>
  <c r="A488" i="1"/>
  <c r="J487" i="1"/>
  <c r="A487" i="1"/>
  <c r="J486" i="1"/>
  <c r="A486" i="1"/>
  <c r="J485" i="1"/>
  <c r="A485" i="1"/>
  <c r="J484" i="1"/>
  <c r="A484" i="1"/>
  <c r="J483" i="1"/>
  <c r="A483" i="1"/>
  <c r="J482" i="1"/>
  <c r="A482" i="1"/>
  <c r="J481" i="1"/>
  <c r="A481" i="1"/>
  <c r="J480" i="1"/>
  <c r="A480" i="1"/>
  <c r="J479" i="1"/>
  <c r="A479" i="1"/>
  <c r="J477" i="1"/>
  <c r="A477" i="1"/>
  <c r="J476" i="1"/>
  <c r="A476" i="1"/>
  <c r="J474" i="1"/>
  <c r="A474" i="1"/>
  <c r="J473" i="1"/>
  <c r="A473" i="1"/>
  <c r="J472" i="1"/>
  <c r="A472" i="1"/>
  <c r="J471" i="1"/>
  <c r="A471" i="1"/>
  <c r="J470" i="1"/>
  <c r="A470" i="1"/>
  <c r="J469" i="1"/>
  <c r="A469" i="1"/>
  <c r="J468" i="1"/>
  <c r="A468" i="1"/>
  <c r="J467" i="1"/>
  <c r="A467" i="1"/>
  <c r="J466" i="1"/>
  <c r="A466" i="1"/>
  <c r="J465" i="1"/>
  <c r="A465" i="1"/>
  <c r="J464" i="1"/>
  <c r="A464" i="1"/>
  <c r="J463" i="1"/>
  <c r="A463" i="1"/>
  <c r="J462" i="1"/>
  <c r="A462" i="1"/>
  <c r="J461" i="1"/>
  <c r="A461" i="1"/>
  <c r="J460" i="1"/>
  <c r="A460" i="1"/>
  <c r="J459" i="1"/>
  <c r="A459" i="1"/>
  <c r="J458" i="1"/>
  <c r="A458" i="1"/>
  <c r="J457" i="1"/>
  <c r="A457" i="1"/>
  <c r="J456" i="1"/>
  <c r="A456" i="1"/>
  <c r="J455" i="1"/>
  <c r="A455" i="1"/>
  <c r="J454" i="1"/>
  <c r="A454" i="1"/>
  <c r="J453" i="1"/>
  <c r="A453" i="1"/>
  <c r="J452" i="1"/>
  <c r="A452" i="1"/>
  <c r="J451" i="1"/>
  <c r="A451" i="1"/>
  <c r="J450" i="1"/>
  <c r="A450" i="1"/>
  <c r="J449" i="1"/>
  <c r="A449" i="1"/>
  <c r="J448" i="1"/>
  <c r="A448" i="1"/>
  <c r="J447" i="1"/>
  <c r="A447" i="1"/>
  <c r="J446" i="1"/>
  <c r="A446" i="1"/>
  <c r="J445" i="1"/>
  <c r="A445" i="1"/>
  <c r="J444" i="1"/>
  <c r="A444" i="1"/>
  <c r="J443" i="1"/>
  <c r="A443" i="1"/>
  <c r="J442" i="1"/>
  <c r="A442" i="1"/>
  <c r="J441" i="1"/>
  <c r="A441" i="1"/>
  <c r="J440" i="1"/>
  <c r="A440" i="1"/>
  <c r="J439" i="1"/>
  <c r="A439" i="1"/>
  <c r="J438" i="1"/>
  <c r="A438" i="1"/>
  <c r="J437" i="1"/>
  <c r="A437" i="1"/>
  <c r="J436" i="1"/>
  <c r="A436" i="1"/>
  <c r="J435" i="1"/>
  <c r="A435" i="1"/>
  <c r="J434" i="1"/>
  <c r="A434" i="1"/>
  <c r="J433" i="1"/>
  <c r="A433" i="1"/>
  <c r="J432" i="1"/>
  <c r="A432" i="1"/>
  <c r="J431" i="1"/>
  <c r="A431" i="1"/>
  <c r="J430" i="1"/>
  <c r="A430" i="1"/>
  <c r="J429" i="1"/>
  <c r="A429" i="1"/>
  <c r="J428" i="1"/>
  <c r="A428" i="1"/>
  <c r="J427" i="1"/>
  <c r="A427" i="1"/>
  <c r="J426" i="1"/>
  <c r="A426" i="1"/>
  <c r="J425" i="1"/>
  <c r="A425" i="1"/>
  <c r="J424" i="1"/>
  <c r="A424" i="1"/>
  <c r="J423" i="1"/>
  <c r="A423" i="1"/>
  <c r="J422" i="1"/>
  <c r="A422" i="1"/>
  <c r="J421" i="1"/>
  <c r="A421" i="1"/>
  <c r="J420" i="1"/>
  <c r="A420" i="1"/>
  <c r="J419" i="1"/>
  <c r="A419" i="1"/>
  <c r="J418" i="1"/>
  <c r="A418" i="1"/>
  <c r="J417" i="1"/>
  <c r="A417" i="1"/>
  <c r="J416" i="1"/>
  <c r="A416" i="1"/>
  <c r="J415" i="1"/>
  <c r="A415" i="1"/>
  <c r="J413" i="1"/>
  <c r="A413" i="1"/>
  <c r="J412" i="1"/>
  <c r="A412" i="1"/>
  <c r="J411" i="1"/>
  <c r="A411" i="1"/>
  <c r="J410" i="1"/>
  <c r="A410" i="1"/>
  <c r="J409" i="1"/>
  <c r="A409" i="1"/>
  <c r="J408" i="1"/>
  <c r="A408" i="1"/>
  <c r="J407" i="1"/>
  <c r="A407" i="1"/>
  <c r="J406" i="1"/>
  <c r="A406" i="1"/>
  <c r="J405" i="1"/>
  <c r="A405" i="1"/>
  <c r="J404" i="1"/>
  <c r="A404" i="1"/>
  <c r="J403" i="1"/>
  <c r="A403" i="1"/>
  <c r="J402" i="1"/>
  <c r="A402" i="1"/>
  <c r="J401" i="1"/>
  <c r="A401" i="1"/>
  <c r="J400" i="1"/>
  <c r="A400" i="1"/>
  <c r="J399" i="1"/>
  <c r="A399" i="1"/>
  <c r="J398" i="1"/>
  <c r="A398" i="1"/>
  <c r="J397" i="1"/>
  <c r="A397" i="1"/>
  <c r="J396" i="1"/>
  <c r="A396" i="1"/>
  <c r="J395" i="1"/>
  <c r="A395" i="1"/>
  <c r="J394" i="1"/>
  <c r="A394" i="1"/>
  <c r="J393" i="1"/>
  <c r="A393" i="1"/>
  <c r="J392" i="1"/>
  <c r="A392" i="1"/>
  <c r="J391" i="1"/>
  <c r="A391" i="1"/>
  <c r="J390" i="1"/>
  <c r="A390" i="1"/>
  <c r="J389" i="1"/>
  <c r="A389" i="1"/>
  <c r="J388" i="1"/>
  <c r="A388" i="1"/>
  <c r="J387" i="1"/>
  <c r="A387" i="1"/>
  <c r="J386" i="1"/>
  <c r="A386" i="1"/>
  <c r="J385" i="1"/>
  <c r="A385" i="1"/>
  <c r="J384" i="1"/>
  <c r="A384" i="1"/>
  <c r="J383" i="1"/>
  <c r="A383" i="1"/>
  <c r="J382" i="1"/>
  <c r="A382" i="1"/>
  <c r="J381" i="1"/>
  <c r="A381" i="1"/>
  <c r="J380" i="1"/>
  <c r="A380" i="1"/>
  <c r="J379" i="1"/>
  <c r="A379" i="1"/>
  <c r="J378" i="1"/>
  <c r="A378" i="1"/>
  <c r="J374" i="1"/>
  <c r="A374" i="1"/>
  <c r="J373" i="1"/>
  <c r="A373" i="1"/>
  <c r="J372" i="1"/>
  <c r="A372" i="1"/>
  <c r="J371" i="1"/>
  <c r="A371" i="1"/>
  <c r="J370" i="1"/>
  <c r="A370" i="1"/>
  <c r="J369" i="1"/>
  <c r="A369" i="1"/>
  <c r="J368" i="1"/>
  <c r="A368" i="1"/>
  <c r="J367" i="1"/>
  <c r="A367" i="1"/>
  <c r="J366" i="1"/>
  <c r="A366" i="1"/>
  <c r="J365" i="1"/>
  <c r="A365" i="1"/>
  <c r="J364" i="1"/>
  <c r="A364" i="1"/>
  <c r="J363" i="1"/>
  <c r="A363" i="1"/>
  <c r="J362" i="1"/>
  <c r="A362" i="1"/>
  <c r="J361" i="1"/>
  <c r="A361" i="1"/>
  <c r="J360" i="1"/>
  <c r="A360" i="1"/>
  <c r="J359" i="1"/>
  <c r="A359" i="1"/>
  <c r="J358" i="1"/>
  <c r="A358" i="1"/>
  <c r="J357" i="1"/>
  <c r="A357" i="1"/>
  <c r="J356" i="1"/>
  <c r="A356" i="1"/>
  <c r="J355" i="1"/>
  <c r="A355" i="1"/>
  <c r="J354" i="1"/>
  <c r="A354" i="1"/>
  <c r="J353" i="1"/>
  <c r="A353" i="1"/>
  <c r="J352" i="1"/>
  <c r="A352" i="1"/>
  <c r="J350" i="1"/>
  <c r="A350" i="1"/>
  <c r="J349" i="1"/>
  <c r="A349" i="1"/>
  <c r="J348" i="1"/>
  <c r="A348" i="1"/>
  <c r="J347" i="1"/>
  <c r="A347" i="1"/>
  <c r="J346" i="1"/>
  <c r="A346" i="1"/>
  <c r="J345" i="1"/>
  <c r="A345" i="1"/>
  <c r="J344" i="1"/>
  <c r="A344" i="1"/>
  <c r="J343" i="1"/>
  <c r="A343" i="1"/>
  <c r="J342" i="1"/>
  <c r="A342" i="1"/>
  <c r="J341" i="1"/>
  <c r="A341" i="1"/>
  <c r="J339" i="1"/>
  <c r="A339" i="1"/>
  <c r="J338" i="1"/>
  <c r="A338" i="1"/>
  <c r="J337" i="1"/>
  <c r="A337" i="1"/>
  <c r="J336" i="1"/>
  <c r="A336" i="1"/>
  <c r="J335" i="1"/>
  <c r="A335" i="1"/>
  <c r="J334" i="1"/>
  <c r="A334" i="1"/>
  <c r="J333" i="1"/>
  <c r="A333" i="1"/>
  <c r="J332" i="1"/>
  <c r="A332" i="1"/>
  <c r="J331" i="1"/>
  <c r="A331" i="1"/>
  <c r="J330" i="1"/>
  <c r="A330" i="1"/>
  <c r="J329" i="1"/>
  <c r="A329" i="1"/>
  <c r="J328" i="1"/>
  <c r="A328" i="1"/>
  <c r="J327" i="1"/>
  <c r="A327" i="1"/>
  <c r="J326" i="1"/>
  <c r="A326" i="1"/>
  <c r="J325" i="1"/>
  <c r="A325" i="1"/>
  <c r="J324" i="1"/>
  <c r="A324" i="1"/>
  <c r="J323" i="1"/>
  <c r="A323" i="1"/>
  <c r="J321" i="1"/>
  <c r="A321" i="1"/>
  <c r="J320" i="1"/>
  <c r="A320" i="1"/>
  <c r="J319" i="1"/>
  <c r="A319" i="1"/>
  <c r="J318" i="1"/>
  <c r="A318" i="1"/>
  <c r="J317" i="1"/>
  <c r="A317" i="1"/>
  <c r="J316" i="1"/>
  <c r="A316" i="1"/>
  <c r="J315" i="1"/>
  <c r="A315" i="1"/>
  <c r="J314" i="1"/>
  <c r="A314" i="1"/>
  <c r="J313" i="1"/>
  <c r="A313" i="1"/>
  <c r="J312" i="1"/>
  <c r="A312" i="1"/>
  <c r="J311" i="1"/>
  <c r="A311" i="1"/>
  <c r="J310" i="1"/>
  <c r="A310" i="1"/>
  <c r="J309" i="1"/>
  <c r="A309" i="1"/>
  <c r="J308" i="1"/>
  <c r="A308" i="1"/>
  <c r="J307" i="1"/>
  <c r="A307" i="1"/>
  <c r="J306" i="1"/>
  <c r="A306" i="1"/>
  <c r="J305" i="1"/>
  <c r="A305" i="1"/>
  <c r="J304" i="1"/>
  <c r="A304" i="1"/>
  <c r="J303" i="1"/>
  <c r="A303" i="1"/>
  <c r="J302" i="1"/>
  <c r="A302" i="1"/>
  <c r="J301" i="1"/>
  <c r="A301" i="1"/>
  <c r="J300" i="1"/>
  <c r="A300" i="1"/>
  <c r="J299" i="1"/>
  <c r="A299" i="1"/>
  <c r="J298" i="1"/>
  <c r="A298" i="1"/>
  <c r="J297" i="1"/>
  <c r="A297" i="1"/>
  <c r="J296" i="1"/>
  <c r="A296" i="1"/>
  <c r="J292" i="1"/>
  <c r="A292" i="1"/>
  <c r="J288" i="1"/>
  <c r="A288" i="1"/>
  <c r="J286" i="1"/>
  <c r="A286" i="1"/>
  <c r="J268" i="1"/>
  <c r="A268" i="1"/>
  <c r="J266" i="1"/>
  <c r="A266" i="1"/>
  <c r="J265" i="1"/>
  <c r="A265" i="1"/>
  <c r="J264" i="1"/>
  <c r="A264" i="1"/>
  <c r="J262" i="1"/>
  <c r="A262" i="1"/>
  <c r="J261" i="1"/>
  <c r="A261" i="1"/>
  <c r="J260" i="1"/>
  <c r="A260" i="1"/>
  <c r="J259" i="1"/>
  <c r="A259" i="1"/>
  <c r="J258" i="1"/>
  <c r="A258" i="1"/>
  <c r="J257" i="1"/>
  <c r="A257" i="1"/>
  <c r="J256" i="1"/>
  <c r="A256" i="1"/>
  <c r="J255" i="1"/>
  <c r="A255" i="1"/>
  <c r="J254" i="1"/>
  <c r="A254" i="1"/>
  <c r="J251" i="1"/>
  <c r="A251" i="1"/>
  <c r="J250" i="1"/>
  <c r="A250" i="1"/>
  <c r="J249" i="1"/>
  <c r="A249" i="1"/>
  <c r="J248" i="1"/>
  <c r="A248" i="1"/>
  <c r="J247" i="1"/>
  <c r="A247" i="1"/>
  <c r="J246" i="1"/>
  <c r="A246" i="1"/>
  <c r="J245" i="1"/>
  <c r="A245" i="1"/>
  <c r="J243" i="1"/>
  <c r="A243" i="1"/>
  <c r="J242" i="1"/>
  <c r="A242" i="1"/>
  <c r="J241" i="1"/>
  <c r="A241" i="1"/>
  <c r="J239" i="1"/>
  <c r="A239" i="1"/>
  <c r="J238" i="1"/>
  <c r="A238" i="1"/>
  <c r="J237" i="1"/>
  <c r="A237" i="1"/>
  <c r="J236" i="1"/>
  <c r="A236" i="1"/>
  <c r="J235" i="1"/>
  <c r="A235" i="1"/>
  <c r="J234" i="1"/>
  <c r="A234" i="1"/>
  <c r="J233" i="1"/>
  <c r="A233" i="1"/>
  <c r="J231" i="1"/>
  <c r="A231" i="1"/>
  <c r="J228" i="1"/>
  <c r="A228" i="1"/>
  <c r="J227" i="1"/>
  <c r="A227" i="1"/>
  <c r="J226" i="1"/>
  <c r="A226" i="1"/>
  <c r="J225" i="1"/>
  <c r="A225" i="1"/>
  <c r="J224" i="1"/>
  <c r="A224" i="1"/>
  <c r="J223" i="1"/>
  <c r="A223" i="1"/>
  <c r="J222" i="1"/>
  <c r="A222" i="1"/>
  <c r="J221" i="1"/>
  <c r="A221" i="1"/>
  <c r="J220" i="1"/>
  <c r="A220" i="1"/>
  <c r="J219" i="1"/>
  <c r="A219" i="1"/>
  <c r="J217" i="1"/>
  <c r="A217" i="1"/>
  <c r="J216" i="1"/>
  <c r="A216" i="1"/>
  <c r="J215" i="1"/>
  <c r="A215" i="1"/>
  <c r="J214" i="1"/>
  <c r="A214" i="1"/>
  <c r="J213" i="1"/>
  <c r="A213" i="1"/>
  <c r="J212" i="1"/>
  <c r="A212" i="1"/>
  <c r="J211" i="1"/>
  <c r="A211" i="1"/>
  <c r="J210" i="1"/>
  <c r="A210" i="1"/>
  <c r="J209" i="1"/>
  <c r="A209" i="1"/>
  <c r="J208" i="1"/>
  <c r="A208" i="1"/>
  <c r="J207" i="1"/>
  <c r="A207" i="1"/>
  <c r="J206" i="1"/>
  <c r="A206" i="1"/>
  <c r="J205" i="1"/>
  <c r="A205" i="1"/>
  <c r="J204" i="1"/>
  <c r="A204" i="1"/>
  <c r="J203" i="1"/>
  <c r="A203" i="1"/>
  <c r="J202" i="1"/>
  <c r="A202" i="1"/>
  <c r="J201" i="1"/>
  <c r="A201" i="1"/>
  <c r="J200" i="1"/>
  <c r="A200" i="1"/>
  <c r="J199" i="1"/>
  <c r="A199" i="1"/>
  <c r="J198" i="1"/>
  <c r="A198" i="1"/>
  <c r="J197" i="1"/>
  <c r="A197" i="1"/>
  <c r="J196" i="1"/>
  <c r="A196" i="1"/>
  <c r="J195" i="1"/>
  <c r="A195" i="1"/>
  <c r="J194" i="1"/>
  <c r="A194" i="1"/>
  <c r="J192" i="1"/>
  <c r="A192" i="1"/>
  <c r="J187" i="1"/>
  <c r="A187" i="1"/>
  <c r="J186" i="1"/>
  <c r="A186" i="1"/>
  <c r="J185" i="1"/>
  <c r="A185" i="1"/>
  <c r="J184" i="1"/>
  <c r="A184" i="1"/>
  <c r="J183" i="1"/>
  <c r="A183" i="1"/>
  <c r="J182" i="1"/>
  <c r="A182" i="1"/>
  <c r="J181" i="1"/>
  <c r="A181" i="1"/>
  <c r="J180" i="1"/>
  <c r="A180" i="1"/>
  <c r="J178" i="1"/>
  <c r="A178" i="1"/>
  <c r="J176" i="1"/>
  <c r="A176" i="1"/>
  <c r="J175" i="1"/>
  <c r="A175" i="1"/>
  <c r="J174" i="1"/>
  <c r="A174" i="1"/>
  <c r="J173" i="1"/>
  <c r="A173" i="1"/>
  <c r="J172" i="1"/>
  <c r="A172" i="1"/>
  <c r="J171" i="1"/>
  <c r="A171" i="1"/>
  <c r="J170" i="1"/>
  <c r="A170" i="1"/>
  <c r="J169" i="1"/>
  <c r="A169" i="1"/>
  <c r="J168" i="1"/>
  <c r="A168" i="1"/>
  <c r="J167" i="1"/>
  <c r="A167" i="1"/>
  <c r="J166" i="1"/>
  <c r="A166" i="1"/>
  <c r="J165" i="1"/>
  <c r="A165" i="1"/>
  <c r="J164" i="1"/>
  <c r="A164" i="1"/>
  <c r="J163" i="1"/>
  <c r="A163" i="1"/>
  <c r="J162" i="1"/>
  <c r="A162" i="1"/>
  <c r="J161" i="1"/>
  <c r="A161" i="1"/>
  <c r="J160" i="1"/>
  <c r="A160" i="1"/>
  <c r="J159" i="1"/>
  <c r="A159" i="1"/>
  <c r="J158" i="1"/>
  <c r="A158" i="1"/>
  <c r="J157" i="1"/>
  <c r="A157" i="1"/>
  <c r="J156" i="1"/>
  <c r="A156" i="1"/>
  <c r="J153" i="1"/>
  <c r="A153" i="1"/>
  <c r="J152" i="1"/>
  <c r="A152" i="1"/>
  <c r="J151" i="1"/>
  <c r="A151" i="1"/>
  <c r="J149" i="1"/>
  <c r="A149" i="1"/>
  <c r="J148" i="1"/>
  <c r="A148" i="1"/>
  <c r="J147" i="1"/>
  <c r="A147" i="1"/>
  <c r="J146" i="1"/>
  <c r="A146" i="1"/>
  <c r="J145" i="1"/>
  <c r="A145" i="1"/>
  <c r="J144" i="1"/>
  <c r="A144" i="1"/>
  <c r="J143" i="1"/>
  <c r="A143" i="1"/>
  <c r="J142" i="1"/>
  <c r="A142" i="1"/>
  <c r="J140" i="1"/>
  <c r="A140" i="1"/>
  <c r="J139" i="1"/>
  <c r="A139" i="1"/>
  <c r="J138" i="1"/>
  <c r="A138" i="1"/>
  <c r="J137" i="1"/>
  <c r="A137" i="1"/>
  <c r="J136" i="1"/>
  <c r="A136" i="1"/>
  <c r="J134" i="1"/>
  <c r="A134" i="1"/>
  <c r="J133" i="1"/>
  <c r="A133" i="1"/>
  <c r="J131" i="1"/>
  <c r="A131" i="1"/>
  <c r="J130" i="1"/>
  <c r="A130" i="1"/>
  <c r="J129" i="1"/>
  <c r="A129" i="1"/>
  <c r="J128" i="1"/>
  <c r="A128" i="1"/>
  <c r="J127" i="1"/>
  <c r="A127" i="1"/>
  <c r="J126" i="1"/>
  <c r="A126" i="1"/>
  <c r="J125" i="1"/>
  <c r="A125" i="1"/>
  <c r="J124" i="1"/>
  <c r="A124" i="1"/>
  <c r="J123" i="1"/>
  <c r="A123" i="1"/>
  <c r="J122" i="1"/>
  <c r="A122" i="1"/>
  <c r="J121" i="1"/>
  <c r="A121" i="1"/>
  <c r="J119" i="1"/>
  <c r="A119" i="1"/>
  <c r="J118" i="1"/>
  <c r="A118" i="1"/>
  <c r="J117" i="1"/>
  <c r="A117" i="1"/>
  <c r="J116" i="1"/>
  <c r="A116" i="1"/>
  <c r="J115" i="1"/>
  <c r="A115" i="1"/>
  <c r="J114" i="1"/>
  <c r="A114" i="1"/>
  <c r="J113" i="1"/>
  <c r="A113" i="1"/>
  <c r="J112" i="1"/>
  <c r="A112" i="1"/>
  <c r="J111" i="1"/>
  <c r="A111" i="1"/>
  <c r="J110" i="1"/>
  <c r="A110" i="1"/>
  <c r="J109" i="1"/>
  <c r="A109" i="1"/>
  <c r="J108" i="1"/>
  <c r="A108" i="1"/>
  <c r="J107" i="1"/>
  <c r="A107" i="1"/>
  <c r="J106" i="1"/>
  <c r="A106" i="1"/>
  <c r="J105" i="1"/>
  <c r="A105" i="1"/>
  <c r="J104" i="1"/>
  <c r="A104" i="1"/>
  <c r="J103" i="1"/>
  <c r="A103" i="1"/>
  <c r="J102" i="1"/>
  <c r="A102" i="1"/>
  <c r="J101" i="1"/>
  <c r="A101" i="1"/>
  <c r="J100" i="1"/>
  <c r="A100" i="1"/>
  <c r="J99" i="1"/>
  <c r="A99" i="1"/>
  <c r="J97" i="1"/>
  <c r="A97" i="1"/>
  <c r="J96" i="1"/>
  <c r="A96" i="1"/>
  <c r="J95" i="1"/>
  <c r="A95" i="1"/>
  <c r="J94" i="1"/>
  <c r="A94" i="1"/>
  <c r="J93" i="1"/>
  <c r="A93" i="1"/>
  <c r="J92" i="1"/>
  <c r="A92" i="1"/>
  <c r="J91" i="1"/>
  <c r="A91" i="1"/>
  <c r="J90" i="1"/>
  <c r="A90" i="1"/>
  <c r="J89" i="1"/>
  <c r="A89" i="1"/>
  <c r="J88" i="1"/>
  <c r="A88" i="1"/>
  <c r="J87" i="1"/>
  <c r="A87" i="1"/>
  <c r="J86" i="1"/>
  <c r="A86" i="1"/>
  <c r="J85" i="1"/>
  <c r="A85" i="1"/>
  <c r="J81" i="1"/>
  <c r="A81" i="1"/>
  <c r="J80" i="1"/>
  <c r="A80" i="1"/>
  <c r="J79" i="1"/>
  <c r="A79" i="1"/>
  <c r="J78" i="1"/>
  <c r="A78" i="1"/>
  <c r="J77" i="1"/>
  <c r="A77" i="1"/>
  <c r="J76" i="1"/>
  <c r="A76" i="1"/>
  <c r="J75" i="1"/>
  <c r="A75" i="1"/>
  <c r="J73" i="1"/>
  <c r="A73" i="1"/>
  <c r="J72" i="1"/>
  <c r="A72" i="1"/>
  <c r="J71" i="1"/>
  <c r="A71" i="1"/>
  <c r="J70" i="1"/>
  <c r="A70" i="1"/>
  <c r="J69" i="1"/>
  <c r="A69" i="1"/>
  <c r="J68" i="1"/>
  <c r="A68" i="1"/>
  <c r="J67" i="1"/>
  <c r="A67" i="1"/>
  <c r="J66" i="1"/>
  <c r="A66" i="1"/>
  <c r="J65" i="1"/>
  <c r="A65" i="1"/>
  <c r="J64" i="1"/>
  <c r="A64" i="1"/>
  <c r="J63" i="1"/>
  <c r="A63" i="1"/>
  <c r="J62" i="1"/>
  <c r="A62" i="1"/>
  <c r="J61" i="1"/>
  <c r="A61" i="1"/>
  <c r="J60" i="1"/>
  <c r="A60" i="1"/>
  <c r="J59" i="1"/>
  <c r="A59" i="1"/>
  <c r="J58" i="1"/>
  <c r="A58" i="1"/>
  <c r="J57" i="1"/>
  <c r="A57" i="1"/>
  <c r="J56" i="1"/>
  <c r="A56" i="1"/>
  <c r="J55" i="1"/>
  <c r="A55" i="1"/>
  <c r="J54" i="1"/>
  <c r="A54" i="1"/>
  <c r="J53" i="1"/>
  <c r="A53" i="1"/>
  <c r="J52" i="1"/>
  <c r="A52" i="1"/>
  <c r="J51" i="1"/>
  <c r="A51" i="1"/>
  <c r="J50" i="1"/>
  <c r="A50" i="1"/>
  <c r="J49" i="1"/>
  <c r="A49" i="1"/>
  <c r="J48" i="1"/>
  <c r="A48" i="1"/>
  <c r="J47" i="1"/>
  <c r="A47" i="1"/>
  <c r="J46" i="1"/>
  <c r="A46" i="1"/>
  <c r="J45" i="1"/>
  <c r="A45" i="1"/>
  <c r="J44" i="1"/>
  <c r="A44" i="1"/>
  <c r="J43" i="1"/>
  <c r="A43" i="1"/>
  <c r="J42" i="1"/>
  <c r="A42" i="1"/>
  <c r="J41" i="1"/>
  <c r="A41" i="1"/>
  <c r="J40" i="1"/>
  <c r="A40" i="1"/>
  <c r="J39" i="1"/>
  <c r="A39" i="1"/>
  <c r="J31" i="1"/>
  <c r="A31" i="1"/>
  <c r="J30" i="1"/>
  <c r="A30" i="1"/>
  <c r="J29" i="1"/>
  <c r="A29" i="1"/>
  <c r="J28" i="1"/>
  <c r="A28" i="1"/>
  <c r="J27" i="1"/>
  <c r="A27" i="1"/>
  <c r="J26" i="1"/>
  <c r="A26" i="1"/>
  <c r="J25" i="1"/>
  <c r="A25" i="1"/>
  <c r="J24" i="1"/>
  <c r="A24" i="1"/>
  <c r="J23" i="1"/>
  <c r="A23" i="1"/>
  <c r="J22" i="1"/>
  <c r="A22" i="1"/>
  <c r="J21" i="1"/>
  <c r="A21" i="1"/>
  <c r="J20" i="1"/>
  <c r="A20" i="1"/>
  <c r="J19" i="1"/>
  <c r="A19" i="1"/>
  <c r="J18" i="1"/>
  <c r="A18" i="1"/>
  <c r="J17" i="1"/>
  <c r="A17" i="1"/>
  <c r="J16" i="1"/>
  <c r="A16" i="1"/>
  <c r="J15" i="1"/>
  <c r="A15" i="1"/>
  <c r="J14" i="1"/>
  <c r="A14" i="1"/>
  <c r="J6" i="1"/>
  <c r="A6" i="1"/>
  <c r="J5" i="1"/>
  <c r="A5" i="1"/>
  <c r="J4" i="1"/>
  <c r="A4" i="1"/>
  <c r="J3" i="1"/>
  <c r="A3" i="1"/>
  <c r="J2" i="1"/>
  <c r="A2" i="1"/>
  <c r="AI778" i="1" l="1"/>
  <c r="AJ778" i="1" s="1"/>
  <c r="AI795" i="1"/>
  <c r="AJ795" i="1" s="1"/>
  <c r="AI782" i="1"/>
  <c r="AJ782" i="1" s="1"/>
  <c r="AH133" i="1"/>
  <c r="AI133" i="1" s="1"/>
  <c r="AJ1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Alberto Garcia Loria</author>
  </authors>
  <commentList>
    <comment ref="M129" authorId="0" shapeId="0" xr:uid="{61B8B2A9-5269-4ABC-AD9B-A4E026828E1A}">
      <text>
        <r>
          <rPr>
            <b/>
            <sz val="9"/>
            <color indexed="81"/>
            <rFont val="Tahoma"/>
            <family val="2"/>
          </rPr>
          <t>Jorge Alberto Garcia Loria:</t>
        </r>
        <r>
          <rPr>
            <sz val="9"/>
            <color indexed="81"/>
            <rFont val="Tahoma"/>
            <family val="2"/>
          </rPr>
          <t xml:space="preserve">
Sent to customer incorrectly. For this customer part number should be P000232 (ET22-5.7/1.3-BLK-30MM)</t>
        </r>
      </text>
    </comment>
  </commentList>
</comments>
</file>

<file path=xl/sharedStrings.xml><?xml version="1.0" encoding="utf-8"?>
<sst xmlns="http://schemas.openxmlformats.org/spreadsheetml/2006/main" count="19023" uniqueCount="4628">
  <si>
    <t>DAYS TO SUBMIT</t>
  </si>
  <si>
    <t>PPAP Number</t>
  </si>
  <si>
    <t>PPAP Req'd by Customer</t>
  </si>
  <si>
    <t>Current Status</t>
  </si>
  <si>
    <t>PPAP/IMDS from</t>
  </si>
  <si>
    <t>CUSTOMER</t>
  </si>
  <si>
    <t>Country</t>
  </si>
  <si>
    <t>Customer PN</t>
  </si>
  <si>
    <t>ET Model</t>
  </si>
  <si>
    <t>Manufacturer</t>
  </si>
  <si>
    <t>ET Dwg</t>
  </si>
  <si>
    <t>Rev</t>
  </si>
  <si>
    <t>ET PN</t>
  </si>
  <si>
    <t>Description</t>
  </si>
  <si>
    <t>IMDS number</t>
  </si>
  <si>
    <t>IMDS Status</t>
  </si>
  <si>
    <t>PPAP docs</t>
  </si>
  <si>
    <t>Run@Rate</t>
  </si>
  <si>
    <t>Packing spec</t>
  </si>
  <si>
    <t>Feasibility report</t>
  </si>
  <si>
    <t>Level</t>
  </si>
  <si>
    <t>PPAP samples status</t>
  </si>
  <si>
    <t>Reason of Submission</t>
  </si>
  <si>
    <t>Sent to Customer</t>
  </si>
  <si>
    <t>PSW returned from Cust Signed</t>
  </si>
  <si>
    <t>Origin from report</t>
  </si>
  <si>
    <t>Comments</t>
  </si>
  <si>
    <t>INSPECTION REPORT NUMBER</t>
  </si>
  <si>
    <t>PP00003-1</t>
  </si>
  <si>
    <t>Approved 2020</t>
  </si>
  <si>
    <t>KTG</t>
  </si>
  <si>
    <t>Nexans</t>
  </si>
  <si>
    <t>Mexico</t>
  </si>
  <si>
    <t>RO</t>
  </si>
  <si>
    <t>RO 001</t>
  </si>
  <si>
    <t>E101702</t>
  </si>
  <si>
    <t>CYG-DWT-RO(4005)-5.75-BK-75</t>
  </si>
  <si>
    <t>Initial Submission</t>
  </si>
  <si>
    <t>PP00003-2</t>
  </si>
  <si>
    <t>E101705</t>
  </si>
  <si>
    <t>CYG-DWT-RO(4005)-7.4-BK-75</t>
  </si>
  <si>
    <t>PP00003-3</t>
  </si>
  <si>
    <t>E101706</t>
  </si>
  <si>
    <t>CYG-DWT-RO(4005)-11.0-BK-75</t>
  </si>
  <si>
    <t>PP00003-4</t>
  </si>
  <si>
    <t>E101703</t>
  </si>
  <si>
    <t>CYG-DWT-RO(4005)-18.3-BK-75</t>
  </si>
  <si>
    <t>PP00003-5</t>
  </si>
  <si>
    <t>E101701</t>
  </si>
  <si>
    <t>CYG-DWT-RO(4005)-18.3-BK-150</t>
  </si>
  <si>
    <t>PP00001-1</t>
  </si>
  <si>
    <t>Program died</t>
  </si>
  <si>
    <t>Gentherm</t>
  </si>
  <si>
    <t>18052000A</t>
  </si>
  <si>
    <t>ET36</t>
  </si>
  <si>
    <t>D000017</t>
  </si>
  <si>
    <t>P000035</t>
  </si>
  <si>
    <t>ET36 SWN090-40PVV000, 4.6-800m Black</t>
  </si>
  <si>
    <t>PP00001-2</t>
  </si>
  <si>
    <t>18052001A</t>
  </si>
  <si>
    <t>P000036</t>
  </si>
  <si>
    <t>ET36 SWN090-40PVV000, 5.1-500m Black</t>
  </si>
  <si>
    <t>PP00001-3</t>
  </si>
  <si>
    <t>12000051A</t>
  </si>
  <si>
    <t>P000037</t>
  </si>
  <si>
    <t>ET36 SWN090-40PVV000, 6.0-400m Black</t>
  </si>
  <si>
    <t>PP00001-4</t>
  </si>
  <si>
    <t>18052002A</t>
  </si>
  <si>
    <t>P000038</t>
  </si>
  <si>
    <t>ET36 SWN090-40PVV000, 6.1-500m Black</t>
  </si>
  <si>
    <t>PP00001-5</t>
  </si>
  <si>
    <t>12002514A</t>
  </si>
  <si>
    <t>P000040</t>
  </si>
  <si>
    <t>ET36 SWN090-40PVV000,7.0-340m Black</t>
  </si>
  <si>
    <t>PP00001-6</t>
  </si>
  <si>
    <t>18052065A</t>
  </si>
  <si>
    <t>P000039</t>
  </si>
  <si>
    <t>ET36 SWN090-40PVV000,7.1-350m Black</t>
  </si>
  <si>
    <t>PP00001-7</t>
  </si>
  <si>
    <t>12001469A</t>
  </si>
  <si>
    <t>P000041</t>
  </si>
  <si>
    <t>ET36 SWN090-40PVV000, 10.0-150m Black</t>
  </si>
  <si>
    <t>PP00002-1</t>
  </si>
  <si>
    <t>UPM</t>
  </si>
  <si>
    <t>Lear</t>
  </si>
  <si>
    <t>Morocco</t>
  </si>
  <si>
    <t>E26424100</t>
  </si>
  <si>
    <t>ET10</t>
  </si>
  <si>
    <t>D000004</t>
  </si>
  <si>
    <t>P000042</t>
  </si>
  <si>
    <t>ET10-8.0/2.0-BK-30mm</t>
  </si>
  <si>
    <t>PP00006-1</t>
  </si>
  <si>
    <t>NO Req from Customer</t>
  </si>
  <si>
    <t>Hungary</t>
  </si>
  <si>
    <t>11039581A</t>
  </si>
  <si>
    <t>ET00</t>
  </si>
  <si>
    <t>D000002</t>
  </si>
  <si>
    <t>P100207</t>
  </si>
  <si>
    <t>ET00 SWS135-55PXV000, 19.0/9.5-Black</t>
  </si>
  <si>
    <t>PP00007-1</t>
  </si>
  <si>
    <t>Approved 2021</t>
  </si>
  <si>
    <t>PKC</t>
  </si>
  <si>
    <t>Poland</t>
  </si>
  <si>
    <t>GP078903</t>
  </si>
  <si>
    <t>P100257</t>
  </si>
  <si>
    <t>ET00 SWS135-55PXV000, 32.0/16.0-Black</t>
  </si>
  <si>
    <t>PP00010-1</t>
  </si>
  <si>
    <t>11026984A</t>
  </si>
  <si>
    <t>ET52</t>
  </si>
  <si>
    <t>D000043</t>
  </si>
  <si>
    <t>P100262</t>
  </si>
  <si>
    <t>ET52 SWS135-55PXM000, 4.8/1.6-15mm-WHT-LH</t>
  </si>
  <si>
    <t>PP00010-2</t>
  </si>
  <si>
    <t>11026985A</t>
  </si>
  <si>
    <t>P100263</t>
  </si>
  <si>
    <t>ET52 SWS135-55PXM000, 4.8/1.6-15mm-WHT-RH</t>
  </si>
  <si>
    <t>PP00002-2</t>
  </si>
  <si>
    <t>E26459700</t>
  </si>
  <si>
    <t>P000043</t>
  </si>
  <si>
    <t>ET10-12.0/3.0-BLK-50mm</t>
  </si>
  <si>
    <t>PP00011-1</t>
  </si>
  <si>
    <t>PSW Pending Approve</t>
  </si>
  <si>
    <t>Tooling</t>
  </si>
  <si>
    <t>PP00011-2</t>
  </si>
  <si>
    <t>PP00015-1</t>
  </si>
  <si>
    <t>Meissner</t>
  </si>
  <si>
    <t>Germany</t>
  </si>
  <si>
    <t>012538</t>
  </si>
  <si>
    <t>P000030</t>
  </si>
  <si>
    <t>ET00 SWS135-55PXV000, 3.2/1.6-Black</t>
  </si>
  <si>
    <t>PP00009-1</t>
  </si>
  <si>
    <t>Lithuania</t>
  </si>
  <si>
    <t>GP085283</t>
  </si>
  <si>
    <t>ET11</t>
  </si>
  <si>
    <t>D00005</t>
  </si>
  <si>
    <t>P000028</t>
  </si>
  <si>
    <t>ET11 DWS125-55PXTEVR, 24/6-Black</t>
  </si>
  <si>
    <t>PP00014-01</t>
  </si>
  <si>
    <t>Approved 2022</t>
  </si>
  <si>
    <t>ETC</t>
  </si>
  <si>
    <t>ECI</t>
  </si>
  <si>
    <t>HST555P78</t>
  </si>
  <si>
    <t>ET72</t>
  </si>
  <si>
    <t>D000066</t>
  </si>
  <si>
    <t>P000115</t>
  </si>
  <si>
    <t>ET72-9.5/4.8-38MM-BLK</t>
  </si>
  <si>
    <t>PP00013-1</t>
  </si>
  <si>
    <t>TGA</t>
  </si>
  <si>
    <t>Angstrom</t>
  </si>
  <si>
    <t>ET008-50</t>
  </si>
  <si>
    <t>BluSeal</t>
  </si>
  <si>
    <t>D000069</t>
  </si>
  <si>
    <t>PP00017-2</t>
  </si>
  <si>
    <t>ET10-12.0/3.0-BK-50mm</t>
  </si>
  <si>
    <t>Annual Validation</t>
  </si>
  <si>
    <t>PP00016-1</t>
  </si>
  <si>
    <t>North America</t>
  </si>
  <si>
    <t>E33300300</t>
  </si>
  <si>
    <t>ET22</t>
  </si>
  <si>
    <t>D000030</t>
  </si>
  <si>
    <t>P000053</t>
  </si>
  <si>
    <t>ET22 DWS125-40PXYEVH, 18.3/4.5-50mm BLK</t>
  </si>
  <si>
    <t>PP00016-2</t>
  </si>
  <si>
    <t>E33301100</t>
  </si>
  <si>
    <t>P000106</t>
  </si>
  <si>
    <t>ET22 DWS125-40PXYEVH, 5.7/1.3-50mm BLK</t>
  </si>
  <si>
    <t>PP00016-3</t>
  </si>
  <si>
    <t>E34284700</t>
  </si>
  <si>
    <t>P000121</t>
  </si>
  <si>
    <t>ET22 DWS125-40PXYEVH, 7.5/1.7-50mm BLK</t>
  </si>
  <si>
    <t>PP00018-1</t>
  </si>
  <si>
    <t>E34285300</t>
  </si>
  <si>
    <t>P000124</t>
  </si>
  <si>
    <t>ET22 DWS125-40PXYEVH, 11.0/2.4-50mm- BLK</t>
  </si>
  <si>
    <t>PP00018-10</t>
  </si>
  <si>
    <t>E35081800</t>
  </si>
  <si>
    <t>ET14</t>
  </si>
  <si>
    <t>D000008</t>
  </si>
  <si>
    <t>P000049</t>
  </si>
  <si>
    <t>ET14-5.7/1.3-35MM-BLK</t>
  </si>
  <si>
    <t>PP00018-11</t>
  </si>
  <si>
    <t>E35099100</t>
  </si>
  <si>
    <t>P000150</t>
  </si>
  <si>
    <t>ET14-3.2/1.0-22MM-BLK</t>
  </si>
  <si>
    <t>PP00018-12</t>
  </si>
  <si>
    <t>E34427900</t>
  </si>
  <si>
    <t>P000126</t>
  </si>
  <si>
    <t>ET22-4.0/1.0-50MM-BLK</t>
  </si>
  <si>
    <t>PP00018-13</t>
  </si>
  <si>
    <t>E35924800</t>
  </si>
  <si>
    <t>P000233</t>
  </si>
  <si>
    <t>ET00-2.4/1.2-25MM-BLK</t>
  </si>
  <si>
    <t>PP00018-14</t>
  </si>
  <si>
    <t>E35924700</t>
  </si>
  <si>
    <t>P000234</t>
  </si>
  <si>
    <t>ET00-4.8/2.4-25MM-BLK</t>
  </si>
  <si>
    <t>PP00018-15</t>
  </si>
  <si>
    <t>E34875500</t>
  </si>
  <si>
    <t>ET17</t>
  </si>
  <si>
    <t>D000027</t>
  </si>
  <si>
    <t>P000143</t>
  </si>
  <si>
    <t>ET17-17.8/4.4-50MM-BLK</t>
  </si>
  <si>
    <t>PP00018-16</t>
  </si>
  <si>
    <t>E34991700</t>
  </si>
  <si>
    <t>P000146</t>
  </si>
  <si>
    <t>ET22-18.3/4.5-65MM-BLK</t>
  </si>
  <si>
    <t>PP00018-17</t>
  </si>
  <si>
    <t>E35099800</t>
  </si>
  <si>
    <t>ET86</t>
  </si>
  <si>
    <t>D000064</t>
  </si>
  <si>
    <t>P000160</t>
  </si>
  <si>
    <t>ET86-7.6/1.7-30MM-BLK</t>
  </si>
  <si>
    <t>PP00018-18</t>
  </si>
  <si>
    <t>E35101000</t>
  </si>
  <si>
    <t>P000167</t>
  </si>
  <si>
    <t>ET00-19.0/9.5-40MM-BLK</t>
  </si>
  <si>
    <t>PP00018-19</t>
  </si>
  <si>
    <t>E34750100</t>
  </si>
  <si>
    <t>ET15</t>
  </si>
  <si>
    <t>D000009</t>
  </si>
  <si>
    <t>P000129</t>
  </si>
  <si>
    <t>ET15-6.0/1.3-50MM-BLK</t>
  </si>
  <si>
    <t>PP00018-2</t>
  </si>
  <si>
    <t>E34427600</t>
  </si>
  <si>
    <t>P000127</t>
  </si>
  <si>
    <t>ET22 DWS125-40PXYEVH, 5.7/1.3-30mm- BLK</t>
  </si>
  <si>
    <t>PP00018-20</t>
  </si>
  <si>
    <t>E34748400</t>
  </si>
  <si>
    <t>P000131</t>
  </si>
  <si>
    <t>ET15-8.0/1.7-50MM-BLK</t>
  </si>
  <si>
    <t>PP00018-21</t>
  </si>
  <si>
    <t>E35099900</t>
  </si>
  <si>
    <t>P000161</t>
  </si>
  <si>
    <t>ET86-7.6/1.7-50MM-BLK</t>
  </si>
  <si>
    <t>PP00018-22</t>
  </si>
  <si>
    <t>E37241800</t>
  </si>
  <si>
    <t>P000249</t>
  </si>
  <si>
    <t>ET00-19.0/9.5-50MM-BLK</t>
  </si>
  <si>
    <t>PP00018-23</t>
  </si>
  <si>
    <t>E34875700</t>
  </si>
  <si>
    <t>P000140</t>
  </si>
  <si>
    <t>ET17-7.6/1.7-50MM-BLK</t>
  </si>
  <si>
    <t>PP00018-24</t>
  </si>
  <si>
    <t>E34516400</t>
  </si>
  <si>
    <t>P000138</t>
  </si>
  <si>
    <t>ET22-7.5/1.7-30MM-BLK</t>
  </si>
  <si>
    <t>PP00018-25</t>
  </si>
  <si>
    <t>E35217000</t>
  </si>
  <si>
    <t>P000107</t>
  </si>
  <si>
    <t>ET00-3.2/1.6-50MM-BLK</t>
  </si>
  <si>
    <t>PP00018-26</t>
  </si>
  <si>
    <t>E34875900</t>
  </si>
  <si>
    <t>P000142</t>
  </si>
  <si>
    <t>ET17-17.8/4.4-20MM-BLK</t>
  </si>
  <si>
    <t>PP00018-27</t>
  </si>
  <si>
    <t>E34875800</t>
  </si>
  <si>
    <t>P000144</t>
  </si>
  <si>
    <t>ET17-27.9/8.4-50MM-BLK</t>
  </si>
  <si>
    <t>PP00018-28</t>
  </si>
  <si>
    <t>E34875600</t>
  </si>
  <si>
    <t>P000141</t>
  </si>
  <si>
    <t>ET17-11.6/2.5-50MM-BLK</t>
  </si>
  <si>
    <t>PP00018-29</t>
  </si>
  <si>
    <t>E35099300</t>
  </si>
  <si>
    <t>P000151</t>
  </si>
  <si>
    <t>ET14-5.7/1.3-50MM-BLK</t>
  </si>
  <si>
    <t>PP00018-3</t>
  </si>
  <si>
    <t>E35100900</t>
  </si>
  <si>
    <t>P000147</t>
  </si>
  <si>
    <t>ET00 SWS135-55PXV000, 6.4/3.2-30mm-BLK</t>
  </si>
  <si>
    <t>PP00018-30</t>
  </si>
  <si>
    <t>E35113000</t>
  </si>
  <si>
    <t>P000156</t>
  </si>
  <si>
    <t>ET22-11.0/2.4-30MM-BLK</t>
  </si>
  <si>
    <t>PP00018-31</t>
  </si>
  <si>
    <t>E35081900</t>
  </si>
  <si>
    <t>P000125</t>
  </si>
  <si>
    <t>ET14-3.2/1.0-35MM-BLK</t>
  </si>
  <si>
    <t>PP00018-32</t>
  </si>
  <si>
    <t>E35798800</t>
  </si>
  <si>
    <t>P000192</t>
  </si>
  <si>
    <t>ET22-14.0/3.0-200MM-BLK</t>
  </si>
  <si>
    <t>PP00018-33</t>
  </si>
  <si>
    <t>E35246300</t>
  </si>
  <si>
    <t>P000170</t>
  </si>
  <si>
    <t>ET00-1.6/0.8-BLK(Spool)</t>
  </si>
  <si>
    <t>PP00018-34</t>
  </si>
  <si>
    <t>E35100000</t>
  </si>
  <si>
    <t>P000162</t>
  </si>
  <si>
    <t>ET86-7.6/1.7-65MM-BLK</t>
  </si>
  <si>
    <t>PP00018-35</t>
  </si>
  <si>
    <t>E35099600</t>
  </si>
  <si>
    <t>P000158</t>
  </si>
  <si>
    <t>ET86-5.0/1.3-65MM-BLK</t>
  </si>
  <si>
    <t>PP00018-36</t>
  </si>
  <si>
    <t>E35099700</t>
  </si>
  <si>
    <t>P000159</t>
  </si>
  <si>
    <t>ET86-7.6/1.7-27MM-BLK</t>
  </si>
  <si>
    <t>PP00020-1</t>
  </si>
  <si>
    <t>Europe</t>
  </si>
  <si>
    <t>GP088846</t>
  </si>
  <si>
    <t>D000005</t>
  </si>
  <si>
    <t>P000026</t>
  </si>
  <si>
    <t>ET11-12.0/3.0-SP-BLK</t>
  </si>
  <si>
    <t>PP00020-2</t>
  </si>
  <si>
    <t>GP089792</t>
  </si>
  <si>
    <t>P000032</t>
  </si>
  <si>
    <t>ET15-4.0/1.0-35MM-CLR</t>
  </si>
  <si>
    <t>PP00020-3</t>
  </si>
  <si>
    <t>GP089790</t>
  </si>
  <si>
    <t>P000033</t>
  </si>
  <si>
    <t>ET15-9.5/1.5-45MM-CLR</t>
  </si>
  <si>
    <t>PP00020-4</t>
  </si>
  <si>
    <t>GP089418</t>
  </si>
  <si>
    <t>ET18</t>
  </si>
  <si>
    <t>D000040</t>
  </si>
  <si>
    <t>P100360</t>
  </si>
  <si>
    <t>ET18-7.5/1.7-50MM-CLR</t>
  </si>
  <si>
    <t>PP00020-5</t>
  </si>
  <si>
    <t>GP089367</t>
  </si>
  <si>
    <t>P100362</t>
  </si>
  <si>
    <t>ET18-11.0/2.4-65MM-CLR</t>
  </si>
  <si>
    <t>PP00020-6</t>
  </si>
  <si>
    <t>GP089443</t>
  </si>
  <si>
    <t>P100364</t>
  </si>
  <si>
    <t>ET18-14.0/3.0-65MM-CLR</t>
  </si>
  <si>
    <t>PP00021-1</t>
  </si>
  <si>
    <t>E66699500</t>
  </si>
  <si>
    <t>PP00024-01</t>
  </si>
  <si>
    <t>Lear EU</t>
  </si>
  <si>
    <t>E36091300</t>
  </si>
  <si>
    <t>P000198</t>
  </si>
  <si>
    <t>ET10-12.0/3.0-35MM-BLK</t>
  </si>
  <si>
    <t>PP00017-1</t>
  </si>
  <si>
    <t>PP00018-37</t>
  </si>
  <si>
    <t>E35100300</t>
  </si>
  <si>
    <t>P000164</t>
  </si>
  <si>
    <t>ET86-11.5/2.5-65MM-BLK</t>
  </si>
  <si>
    <t>PP00018-38</t>
  </si>
  <si>
    <t>E35101100</t>
  </si>
  <si>
    <t>ET12</t>
  </si>
  <si>
    <t>D000006</t>
  </si>
  <si>
    <t>P000148</t>
  </si>
  <si>
    <t>ET12-5.7/1.3-25MM-CLR</t>
  </si>
  <si>
    <t>PP00019-0001</t>
  </si>
  <si>
    <t>P000076</t>
  </si>
  <si>
    <t>ET10-32.0/8.0-100MM-BLK</t>
  </si>
  <si>
    <t>PP00023-0001</t>
  </si>
  <si>
    <t>-</t>
  </si>
  <si>
    <t>PP00008-01</t>
  </si>
  <si>
    <t>P000102</t>
  </si>
  <si>
    <t>ET22 DWS125-40PXYEVH, 5.7/1.3-75mm Black</t>
  </si>
  <si>
    <t>PP00008-02</t>
  </si>
  <si>
    <t>P000103</t>
  </si>
  <si>
    <t>ET22 DWS125-40PXYEVH, 7.5/1.7-75mm Black</t>
  </si>
  <si>
    <t>PP00012-01</t>
  </si>
  <si>
    <t>CEMM</t>
  </si>
  <si>
    <t>GAT125</t>
  </si>
  <si>
    <t>P000109</t>
  </si>
  <si>
    <t>ET22 DWS125-40PXYEVH, 7.5/1.7-35mm BLK</t>
  </si>
  <si>
    <t>PP00012-02</t>
  </si>
  <si>
    <t>GAT101</t>
  </si>
  <si>
    <t>P000116</t>
  </si>
  <si>
    <t>ET22 DWS125-40PXYEVH, 5.7/1.3-20mm BLK</t>
  </si>
  <si>
    <t>PP00012-03</t>
  </si>
  <si>
    <t>GAT023</t>
  </si>
  <si>
    <t>P000117</t>
  </si>
  <si>
    <t>ET22 DWS125-40PXYEVH, 5.7/1.3-35mm BLK</t>
  </si>
  <si>
    <t>PP00018-39</t>
  </si>
  <si>
    <t>E35101200</t>
  </si>
  <si>
    <t>P000149</t>
  </si>
  <si>
    <t>ET12-11.0/2.4-25MM-CLR</t>
  </si>
  <si>
    <t>PP00018-4</t>
  </si>
  <si>
    <t>E35563000</t>
  </si>
  <si>
    <t>P000179</t>
  </si>
  <si>
    <t>ET00 SWS135-55PXV000, 6.4/3.2-50mm-BLK</t>
  </si>
  <si>
    <t>PP00018-40</t>
  </si>
  <si>
    <t>E34750200</t>
  </si>
  <si>
    <t>P000128</t>
  </si>
  <si>
    <t>ET15-6.0/1.3-30MM-BLK</t>
  </si>
  <si>
    <t>PP00018-41</t>
  </si>
  <si>
    <t>E34749800</t>
  </si>
  <si>
    <t>P000132</t>
  </si>
  <si>
    <t>ET15-12.0/3.0-30MM-BLK</t>
  </si>
  <si>
    <t>PP00018-42</t>
  </si>
  <si>
    <t>E35053200</t>
  </si>
  <si>
    <t>P000134</t>
  </si>
  <si>
    <t>ET15-18.3/4.4-40MM-BLK</t>
  </si>
  <si>
    <t>PP00018-43</t>
  </si>
  <si>
    <t>E34285100</t>
  </si>
  <si>
    <t>P000123</t>
  </si>
  <si>
    <t>ET22-11.0/2.4-35MM-BLK</t>
  </si>
  <si>
    <t>PP00018-44</t>
  </si>
  <si>
    <t>E34515200</t>
  </si>
  <si>
    <t>P000136</t>
  </si>
  <si>
    <t>ET22-5.7/1.3-35MM-BLK</t>
  </si>
  <si>
    <t>PP00018-45</t>
  </si>
  <si>
    <t>E34991600</t>
  </si>
  <si>
    <t>P000145</t>
  </si>
  <si>
    <t>ET22-7.5/1.7-27MM-BLK</t>
  </si>
  <si>
    <t>PP00018-46</t>
  </si>
  <si>
    <t>E39029300</t>
  </si>
  <si>
    <t>ET25</t>
  </si>
  <si>
    <t>D000060</t>
  </si>
  <si>
    <t>P000296</t>
  </si>
  <si>
    <t>ET25-14.0/3.0-50MM-BLK</t>
  </si>
  <si>
    <t>PP00018-47</t>
  </si>
  <si>
    <t>E39043100</t>
  </si>
  <si>
    <t>P000177</t>
  </si>
  <si>
    <t>ET22-7.5/1.7-65MM-BLk</t>
  </si>
  <si>
    <t>PP00018-5</t>
  </si>
  <si>
    <t>E35563100</t>
  </si>
  <si>
    <t>P000180</t>
  </si>
  <si>
    <t>ET00 SWS135-55PXV000, 9.5/4.8-50mm-BLK</t>
  </si>
  <si>
    <t>PP00018-6</t>
  </si>
  <si>
    <t>E35100200</t>
  </si>
  <si>
    <t>P000163</t>
  </si>
  <si>
    <t>ET86 DWS125-40PXYEVF, 11.5/2.5-50mm-BLK</t>
  </si>
  <si>
    <t>PP00018-7</t>
  </si>
  <si>
    <t>E35100400</t>
  </si>
  <si>
    <t>P000165</t>
  </si>
  <si>
    <t>ET86 DWS125-40PXYEVF, 17.7/4.5-40mm-BLK</t>
  </si>
  <si>
    <t>PP00018-8</t>
  </si>
  <si>
    <t>E35100800</t>
  </si>
  <si>
    <t>P000166</t>
  </si>
  <si>
    <t>ET86 DWS125-40PXYEVF, 17.7/4.5-50mm-BLK</t>
  </si>
  <si>
    <t>PP00020-7</t>
  </si>
  <si>
    <t>GP089281</t>
  </si>
  <si>
    <t>ET21</t>
  </si>
  <si>
    <t>D000026</t>
  </si>
  <si>
    <t>P100366</t>
  </si>
  <si>
    <t>ET21-24.0/8.0-40MM-RED</t>
  </si>
  <si>
    <t>PP00020-8</t>
  </si>
  <si>
    <t>GP089412</t>
  </si>
  <si>
    <t>ET22-5.7/1.3-50MM-BLK</t>
  </si>
  <si>
    <t>PP00022-1</t>
  </si>
  <si>
    <t>PP00018-9</t>
  </si>
  <si>
    <t>E33300400</t>
  </si>
  <si>
    <t>P000052</t>
  </si>
  <si>
    <t>ET22 DWS125-40PXYEVH, 18.3/4.5-40mm- BLK</t>
  </si>
  <si>
    <t>PP00025-1</t>
  </si>
  <si>
    <t>Tenneco</t>
  </si>
  <si>
    <t>ZRM-982381-20</t>
  </si>
  <si>
    <t>P000110</t>
  </si>
  <si>
    <t>ET00-3.2/1.6-30MM-BLK</t>
  </si>
  <si>
    <t>PP00025-2</t>
  </si>
  <si>
    <t>ZRM-982367-17</t>
  </si>
  <si>
    <t>ET04</t>
  </si>
  <si>
    <t>D000038</t>
  </si>
  <si>
    <t>P000105</t>
  </si>
  <si>
    <t>ET04-5.7/2.4-50MM-BLK</t>
  </si>
  <si>
    <t>PP00027-10</t>
  </si>
  <si>
    <t>IMDS approved</t>
  </si>
  <si>
    <t>1137288954/2</t>
  </si>
  <si>
    <t>Only IMDS</t>
  </si>
  <si>
    <t>PP00027-11</t>
  </si>
  <si>
    <t>1137289592/2</t>
  </si>
  <si>
    <t>PP00027-04</t>
  </si>
  <si>
    <t>Not Provided</t>
  </si>
  <si>
    <t>ET008-500</t>
  </si>
  <si>
    <t>LIQUID SEALER,BLUSEAL</t>
  </si>
  <si>
    <t>Not Submitted</t>
  </si>
  <si>
    <t>PP00036-04</t>
  </si>
  <si>
    <t>HSTP2438</t>
  </si>
  <si>
    <t>ET22-5.7/1.3-BLK-30MM</t>
  </si>
  <si>
    <t>PP00036-05</t>
  </si>
  <si>
    <t>HSTP2437</t>
  </si>
  <si>
    <t>P000231</t>
  </si>
  <si>
    <t>ET22-11.0/2.4-BLK-40MM</t>
  </si>
  <si>
    <t>PP00029-01</t>
  </si>
  <si>
    <t>ET25-18.3/4.5-BLK-40mm</t>
  </si>
  <si>
    <t>P000252</t>
  </si>
  <si>
    <t xml:space="preserve"> ET25-18.3/4.5-BLK-40mm </t>
  </si>
  <si>
    <t>PP00029-02</t>
  </si>
  <si>
    <t>ET25-18.3/4.5-BLK-60mm</t>
  </si>
  <si>
    <t>P000477</t>
  </si>
  <si>
    <t xml:space="preserve"> ET25-18.3/4.5-BLK-60mm </t>
  </si>
  <si>
    <t>PP00029-03</t>
  </si>
  <si>
    <t xml:space="preserve"> ET25-18.3/4.5-BLK-65mm </t>
  </si>
  <si>
    <t>P000254</t>
  </si>
  <si>
    <t>PP00029-04</t>
  </si>
  <si>
    <t xml:space="preserve"> ET25-18.3/4.5-BLK-50mm </t>
  </si>
  <si>
    <t>P000253</t>
  </si>
  <si>
    <t>PP00029-05</t>
  </si>
  <si>
    <t xml:space="preserve"> ET25-18.3/4.5-BLK-75mm </t>
  </si>
  <si>
    <t>P000196</t>
  </si>
  <si>
    <t>PP00029-06</t>
  </si>
  <si>
    <t xml:space="preserve"> ET25-24.0/6.0-BLK-60mm </t>
  </si>
  <si>
    <t>P000277</t>
  </si>
  <si>
    <t>PP00029-07</t>
  </si>
  <si>
    <t xml:space="preserve"> ET25-7.4/1.7-BLK-50mm </t>
  </si>
  <si>
    <t>P000293</t>
  </si>
  <si>
    <t>PP00029-08</t>
  </si>
  <si>
    <t xml:space="preserve"> ET87-17.8/4.4-BLK-50mm </t>
  </si>
  <si>
    <t>ET87</t>
  </si>
  <si>
    <t>D000073</t>
  </si>
  <si>
    <t>P000235</t>
  </si>
  <si>
    <t>PP00029-09</t>
  </si>
  <si>
    <t>P000204</t>
  </si>
  <si>
    <t xml:space="preserve"> ET25-5.7/1.3-50mm-BLK </t>
  </si>
  <si>
    <t>PP00029-10</t>
  </si>
  <si>
    <t xml:space="preserve"> ET87-17.8/4.4-BLK-40mm </t>
  </si>
  <si>
    <t>P000382</t>
  </si>
  <si>
    <t>PP00029-11</t>
  </si>
  <si>
    <t>ET25-18.3/4.5-BLK-30mm</t>
  </si>
  <si>
    <t>P000476</t>
  </si>
  <si>
    <t>PP00026-01</t>
  </si>
  <si>
    <t>Approved 2023</t>
  </si>
  <si>
    <t>SEWS</t>
  </si>
  <si>
    <t>P000217</t>
  </si>
  <si>
    <t>ET25-11.0/2.5-65mm BLK</t>
  </si>
  <si>
    <t>1188884297/2</t>
  </si>
  <si>
    <t>PP00026-02</t>
  </si>
  <si>
    <t>P000270</t>
  </si>
  <si>
    <t>ET25-11.0/2.5-120MM-RED</t>
  </si>
  <si>
    <t>PP00026-03</t>
  </si>
  <si>
    <t>P000274</t>
  </si>
  <si>
    <t>ET25-18.3/4.5-120MM-BLK</t>
  </si>
  <si>
    <t>1189258225 / 2</t>
  </si>
  <si>
    <t>PP00026-04</t>
  </si>
  <si>
    <t>P000276</t>
  </si>
  <si>
    <t>ET25-18.3/4.5-150MM-BLK</t>
  </si>
  <si>
    <t>PP00026-05</t>
  </si>
  <si>
    <t>P000308</t>
  </si>
  <si>
    <t>ET25-11.0/2.5-33MM-BLK</t>
  </si>
  <si>
    <t>PP00026-06</t>
  </si>
  <si>
    <t>P000311</t>
  </si>
  <si>
    <t>ET25-18.3/4.5-45MM-BLK</t>
  </si>
  <si>
    <t>PP00026-07</t>
  </si>
  <si>
    <t>ET84</t>
  </si>
  <si>
    <t>D000078</t>
  </si>
  <si>
    <t>P000263</t>
  </si>
  <si>
    <t>ET84-3.2/1.0-50MM-BLK</t>
  </si>
  <si>
    <t>PP00035-01</t>
  </si>
  <si>
    <t>013295</t>
  </si>
  <si>
    <t>ET77</t>
  </si>
  <si>
    <t>D000065</t>
  </si>
  <si>
    <t>P000321</t>
  </si>
  <si>
    <t>ET77 6.0/2.0-BLK-SP</t>
  </si>
  <si>
    <t>1201094181 / 2</t>
  </si>
  <si>
    <t>PP00027-02</t>
  </si>
  <si>
    <t>GP090357</t>
  </si>
  <si>
    <t>P100354</t>
  </si>
  <si>
    <t>ET11 20.0/4.0-40MM-BLK</t>
  </si>
  <si>
    <t>PP00027-08</t>
  </si>
  <si>
    <t>GP092655</t>
  </si>
  <si>
    <t>P100356</t>
  </si>
  <si>
    <t>ET11 48.0/13.0-SP-BLK</t>
  </si>
  <si>
    <t>PP00027-15</t>
  </si>
  <si>
    <t>GP092563</t>
  </si>
  <si>
    <t>P100357</t>
  </si>
  <si>
    <t>ET11 14.5/3.0-40MM-BLK</t>
  </si>
  <si>
    <t>PP00024-02</t>
  </si>
  <si>
    <t>E37679000</t>
  </si>
  <si>
    <t>P000260</t>
  </si>
  <si>
    <t>ET14-5.7/1.3-40MM-BLK</t>
  </si>
  <si>
    <t>PP00024-03</t>
  </si>
  <si>
    <t>E39339000</t>
  </si>
  <si>
    <t>P000318</t>
  </si>
  <si>
    <t>ET25-18.3/4.5-37MM-BLK</t>
  </si>
  <si>
    <t>PP00027-13</t>
  </si>
  <si>
    <t>GP089283</t>
  </si>
  <si>
    <t>ET00-3.2/1.6-SP-BLK</t>
  </si>
  <si>
    <t>PP00028-0001</t>
  </si>
  <si>
    <t>Approved 2025</t>
  </si>
  <si>
    <t>E34749700</t>
  </si>
  <si>
    <t>P000133</t>
  </si>
  <si>
    <t>ET15-12.0/3.0-50MM-BLK</t>
  </si>
  <si>
    <t>1193337616 / 1</t>
  </si>
  <si>
    <t>n/a</t>
  </si>
  <si>
    <t>PP00028-0003</t>
  </si>
  <si>
    <t>E39044200</t>
  </si>
  <si>
    <t>ET25-24.0/6.0-60MM-BLK</t>
  </si>
  <si>
    <t>1196293250 / 1</t>
  </si>
  <si>
    <t>APPROVED</t>
  </si>
  <si>
    <t>ok</t>
  </si>
  <si>
    <t>Annual validation</t>
  </si>
  <si>
    <t>PP00032-01</t>
  </si>
  <si>
    <t>South America</t>
  </si>
  <si>
    <t>ET86-11.5/2.5-BLK-50MM</t>
  </si>
  <si>
    <t>PP00032-02</t>
  </si>
  <si>
    <t>ET86-5.0/1.3-BLK-65MM</t>
  </si>
  <si>
    <t>PP00032-03</t>
  </si>
  <si>
    <t>ET86-7.6/1.7-BLK-50MM</t>
  </si>
  <si>
    <t>PP00032-04</t>
  </si>
  <si>
    <t>E39013200</t>
  </si>
  <si>
    <t>P000183</t>
  </si>
  <si>
    <t>ET86-9.0/2.3-BLK-50MM</t>
  </si>
  <si>
    <t>PP00032-05</t>
  </si>
  <si>
    <t>ET86-7.6/1.7-BLK-27MM</t>
  </si>
  <si>
    <t>PP00032-06</t>
  </si>
  <si>
    <t>ET86-7.6/1.7-BLK-65MM</t>
  </si>
  <si>
    <t>PP00032-07</t>
  </si>
  <si>
    <t>It's no longer necessary from customer</t>
  </si>
  <si>
    <t>E38846500</t>
  </si>
  <si>
    <t>P000269</t>
  </si>
  <si>
    <t>ET25-11.0/2.5-BLK-45MM</t>
  </si>
  <si>
    <t>PP00032-08</t>
  </si>
  <si>
    <t>E39013000</t>
  </si>
  <si>
    <t>ET25-18.3/4.5-BLK-40MM</t>
  </si>
  <si>
    <t>PP00032-09</t>
  </si>
  <si>
    <t>E35099400</t>
  </si>
  <si>
    <t>P000157</t>
  </si>
  <si>
    <t>ET86-5.0/1.3-BLK-30MM</t>
  </si>
  <si>
    <t>PP00032-10</t>
  </si>
  <si>
    <t>E39259600</t>
  </si>
  <si>
    <t>P000306</t>
  </si>
  <si>
    <t>ET25_5.7_1.3_BK-33MM</t>
  </si>
  <si>
    <t>PP00032-11</t>
  </si>
  <si>
    <t>E38846200</t>
  </si>
  <si>
    <t>P000250</t>
  </si>
  <si>
    <t>ET25-11.0/2.5-BLK-30MM</t>
  </si>
  <si>
    <t>PP00032-12</t>
  </si>
  <si>
    <t>E35563200</t>
  </si>
  <si>
    <t>P000181</t>
  </si>
  <si>
    <t>ET00-12.7/6.4-BLK-50MM</t>
  </si>
  <si>
    <t>PP00032-13</t>
  </si>
  <si>
    <t>E39245900</t>
  </si>
  <si>
    <t>P000314</t>
  </si>
  <si>
    <t>ET87-17.8/4.4-BLK-70MM</t>
  </si>
  <si>
    <t>PP00032-14</t>
  </si>
  <si>
    <t>E39259400</t>
  </si>
  <si>
    <t>P000316</t>
  </si>
  <si>
    <t>ET87-9.0/2.3-BLK-50MM</t>
  </si>
  <si>
    <t>PP00032-15</t>
  </si>
  <si>
    <t>E39045200</t>
  </si>
  <si>
    <t>ET87-17.8/4.4-BLK-50MM</t>
  </si>
  <si>
    <t>PP00032-16</t>
  </si>
  <si>
    <t>ET22-7.5/1.7-BLK-50MM</t>
  </si>
  <si>
    <t>PP00032-17</t>
  </si>
  <si>
    <t>ET22.5.7/1.3-BLK-50MM</t>
  </si>
  <si>
    <t>PP00032-18</t>
  </si>
  <si>
    <t>PP00032-19</t>
  </si>
  <si>
    <t>E35099000</t>
  </si>
  <si>
    <t>P000155</t>
  </si>
  <si>
    <t>ET21-19.0/6.0-BLK-40MM</t>
  </si>
  <si>
    <t>PP00032-20</t>
  </si>
  <si>
    <t>ET22-18.3/4.5-BLK-40MM</t>
  </si>
  <si>
    <t>PP00032-21</t>
  </si>
  <si>
    <t>ET14-5.7/1.3-BLK-40MM</t>
  </si>
  <si>
    <t>PP00031-01</t>
  </si>
  <si>
    <t>AQ Wiring Systems UAB</t>
  </si>
  <si>
    <t>V60116827</t>
  </si>
  <si>
    <t>P000345</t>
  </si>
  <si>
    <t>ET11-24.0/6.0-ORG-SPL</t>
  </si>
  <si>
    <t>PP00030-01</t>
  </si>
  <si>
    <t>Flextronics</t>
  </si>
  <si>
    <t>Costa Rica</t>
  </si>
  <si>
    <t>P000328</t>
  </si>
  <si>
    <t>ET00-4.28/2.4-50mm-BLK</t>
  </si>
  <si>
    <t>PP00033-01</t>
  </si>
  <si>
    <t>Bizlink</t>
  </si>
  <si>
    <t>122G0-003086-01</t>
  </si>
  <si>
    <t>D000052</t>
  </si>
  <si>
    <t>PP00026-09</t>
  </si>
  <si>
    <t>P000262</t>
  </si>
  <si>
    <t>ET84-3.2/1.0-BLK-35MM</t>
  </si>
  <si>
    <t>PP00034-0033</t>
  </si>
  <si>
    <t>Condumex</t>
  </si>
  <si>
    <t>E47405</t>
  </si>
  <si>
    <t>DWT(FR)-4-7.62-BLK-65</t>
  </si>
  <si>
    <t>PP00034-0049</t>
  </si>
  <si>
    <t>P000363</t>
  </si>
  <si>
    <t>ET86-17.7/4.5-BK-65mm</t>
  </si>
  <si>
    <t>1455503318 / 1</t>
  </si>
  <si>
    <t>Requested</t>
  </si>
  <si>
    <t>PP00036-01</t>
  </si>
  <si>
    <t>HSTP2476</t>
  </si>
  <si>
    <t>P000493</t>
  </si>
  <si>
    <t>ET00-12.7/6.4-BLK-32MM</t>
  </si>
  <si>
    <t>PP00027-0016</t>
  </si>
  <si>
    <t>GP089416</t>
  </si>
  <si>
    <t>PP00032-22</t>
  </si>
  <si>
    <t>E39583300</t>
  </si>
  <si>
    <t>P000334</t>
  </si>
  <si>
    <t>ET00-1.6/0.8-BLK-110MM</t>
  </si>
  <si>
    <t>PP00032-23</t>
  </si>
  <si>
    <t>E39583500</t>
  </si>
  <si>
    <t>P000333</t>
  </si>
  <si>
    <t>ET00-6.0/2.0-BLK-30MM</t>
  </si>
  <si>
    <t>PP00032-24</t>
  </si>
  <si>
    <t>E39583400</t>
  </si>
  <si>
    <t>P000332</t>
  </si>
  <si>
    <t>ET00-3.0/1.0-BLK-30MM</t>
  </si>
  <si>
    <t>PP00032-25</t>
  </si>
  <si>
    <t>E40278200</t>
  </si>
  <si>
    <t>P000392</t>
  </si>
  <si>
    <t>ET00-24.0/8.0-BLK-40MM</t>
  </si>
  <si>
    <t>PP00032-26</t>
  </si>
  <si>
    <t>E36449500</t>
  </si>
  <si>
    <t>P000213</t>
  </si>
  <si>
    <t>ET25-11.0/2.5-BLK-65MM</t>
  </si>
  <si>
    <t>PP00032-27</t>
  </si>
  <si>
    <t>E39042500</t>
  </si>
  <si>
    <t>P000279</t>
  </si>
  <si>
    <t>ET00-9.0/3.0-BLK-30MM</t>
  </si>
  <si>
    <t>PP00032-28</t>
  </si>
  <si>
    <t>E38926000</t>
  </si>
  <si>
    <t>ET25-7.4/1.7-BLK-50MM</t>
  </si>
  <si>
    <t>PP00032-29</t>
  </si>
  <si>
    <t>E36449000</t>
  </si>
  <si>
    <t>ET25-5.7/1.3-BLK-50MM</t>
  </si>
  <si>
    <t>PP00032-30</t>
  </si>
  <si>
    <t>E38925800</t>
  </si>
  <si>
    <t>P000289</t>
  </si>
  <si>
    <t>ET25-5.7/1.3-BLK-27MM</t>
  </si>
  <si>
    <t>PP00032-31</t>
  </si>
  <si>
    <t>E38925500</t>
  </si>
  <si>
    <t>P000287</t>
  </si>
  <si>
    <t>ET25-18.3/4.5-BLK35MM</t>
  </si>
  <si>
    <t>PP00032-32</t>
  </si>
  <si>
    <t>E40089100</t>
  </si>
  <si>
    <t>P000386</t>
  </si>
  <si>
    <t>ET84-5.7/1.3-BLK-40MM</t>
  </si>
  <si>
    <t>PP00029-12</t>
  </si>
  <si>
    <t>ET25-18.3/4.5-BLK-145MM</t>
  </si>
  <si>
    <t>P000325</t>
  </si>
  <si>
    <t>PP00029-13</t>
  </si>
  <si>
    <t>ET25-18.3/4.5-BLK-180MM</t>
  </si>
  <si>
    <t>P000326</t>
  </si>
  <si>
    <t>PP00029-14</t>
  </si>
  <si>
    <t>ET25-18.3/4.5-BLK-245MM</t>
  </si>
  <si>
    <t>P000327</t>
  </si>
  <si>
    <t>PP00037-01</t>
  </si>
  <si>
    <t>CVG</t>
  </si>
  <si>
    <t>ET100</t>
  </si>
  <si>
    <t>D000019</t>
  </si>
  <si>
    <t>P000475</t>
  </si>
  <si>
    <t>ET100-2.3/0.6-BEIGE-13MM</t>
  </si>
  <si>
    <t>PP00037-02</t>
  </si>
  <si>
    <t>P000237</t>
  </si>
  <si>
    <t>ET87-7.6/1.7-BLK-50MM</t>
  </si>
  <si>
    <t>PP00037-03</t>
  </si>
  <si>
    <t xml:space="preserve"> ET87-9.0/2.3-BLK-50MM</t>
  </si>
  <si>
    <t>PP00027-17</t>
  </si>
  <si>
    <t>GP090356</t>
  </si>
  <si>
    <t>P100358</t>
  </si>
  <si>
    <t>ET11-14.5/3-BLK-30mm</t>
  </si>
  <si>
    <t>PP00028-0012</t>
  </si>
  <si>
    <t xml:space="preserve">Lear </t>
  </si>
  <si>
    <t>ET00-9.5/4.8-BLK-50MM</t>
  </si>
  <si>
    <t>1128116908 / 1</t>
  </si>
  <si>
    <t>PP00030-02</t>
  </si>
  <si>
    <t>MDS submited</t>
  </si>
  <si>
    <t>USA</t>
  </si>
  <si>
    <t>747--FLX-711977-19.0-0040</t>
  </si>
  <si>
    <t>ET00-19.0/9.5-40mm-BLK</t>
  </si>
  <si>
    <t>PP00027-09</t>
  </si>
  <si>
    <t>GP096745</t>
  </si>
  <si>
    <t>P000200</t>
  </si>
  <si>
    <t>ET11-24.2/5.0-45MM-BLK</t>
  </si>
  <si>
    <t>PP00028-0013</t>
  </si>
  <si>
    <t>ET00-6.4/3.2-BLK-50MM</t>
  </si>
  <si>
    <t>1128115723 / 1</t>
  </si>
  <si>
    <t>PP00040-01</t>
  </si>
  <si>
    <t>Brazil</t>
  </si>
  <si>
    <t>GP088847</t>
  </si>
  <si>
    <t>P000027</t>
  </si>
  <si>
    <t>ET11-16.0/4.0-SP-BLK</t>
  </si>
  <si>
    <t>PP00036-02</t>
  </si>
  <si>
    <t>HSTP2518</t>
  </si>
  <si>
    <t>P000304</t>
  </si>
  <si>
    <t>ET22-11.0/2.4-BLK-25MM</t>
  </si>
  <si>
    <t>PP00036-03</t>
  </si>
  <si>
    <t>HSTP2519</t>
  </si>
  <si>
    <t>P000569</t>
  </si>
  <si>
    <t>ET22-14.0/3.0-BLK-25MM</t>
  </si>
  <si>
    <t>PP00038-01</t>
  </si>
  <si>
    <t>Prysmian</t>
  </si>
  <si>
    <t>P000480</t>
  </si>
  <si>
    <t>ET25-5.7/1.3-BLK-1220MM</t>
  </si>
  <si>
    <t>1213984825 / 2</t>
  </si>
  <si>
    <t>PP00038-02</t>
  </si>
  <si>
    <t>P000481</t>
  </si>
  <si>
    <t>ET25-7.4/1.7-BLK-1220MM</t>
  </si>
  <si>
    <t>1213987728 / 2</t>
  </si>
  <si>
    <t>PP00038-03</t>
  </si>
  <si>
    <t>P000482</t>
  </si>
  <si>
    <t>ET25-18.3/4.5-BLK-1220MM</t>
  </si>
  <si>
    <t>1213993069 / 2</t>
  </si>
  <si>
    <t>PP00038-04</t>
  </si>
  <si>
    <t>P000485</t>
  </si>
  <si>
    <t>ET87-17.8/4.4-BLK-1220MM</t>
  </si>
  <si>
    <t>1213995715 / 2</t>
  </si>
  <si>
    <t>PP00034-01</t>
  </si>
  <si>
    <t>P000484</t>
  </si>
  <si>
    <t>ET87-11.6/2.5-BLK-45mm</t>
  </si>
  <si>
    <t>PP00039-01</t>
  </si>
  <si>
    <t>Pending to receive IMDS ID from customer</t>
  </si>
  <si>
    <t>Nordex Energy Spain S.A.</t>
  </si>
  <si>
    <t>Spain</t>
  </si>
  <si>
    <t>8030330-00</t>
  </si>
  <si>
    <t>ET89</t>
  </si>
  <si>
    <t>D000077</t>
  </si>
  <si>
    <t>P000393</t>
  </si>
  <si>
    <t>ET89-48.0/16.0-BLK-260MM</t>
  </si>
  <si>
    <t>PP00027-05</t>
  </si>
  <si>
    <t>ET11-16.0/4.0-BLK-SP</t>
  </si>
  <si>
    <t>PP00027-06</t>
  </si>
  <si>
    <t>ET11-24.0/6.0-BLK-SP</t>
  </si>
  <si>
    <t>PP00027-01</t>
  </si>
  <si>
    <t>GP088845</t>
  </si>
  <si>
    <t>P000025</t>
  </si>
  <si>
    <t>ET11-8.0/2.0-SP-BLK</t>
  </si>
  <si>
    <t>PR2025003</t>
  </si>
  <si>
    <t>PP00027-03</t>
  </si>
  <si>
    <t>GP088844</t>
  </si>
  <si>
    <t>P100355</t>
  </si>
  <si>
    <t>ET11-4.0/1.0-SP-BLK</t>
  </si>
  <si>
    <t>ET22-5.7/1.3-BLK-35MM</t>
  </si>
  <si>
    <t>1076160554/2</t>
  </si>
  <si>
    <t>PP00028-0014</t>
  </si>
  <si>
    <t>ET00-6.4/3.2-BLK-30MM</t>
  </si>
  <si>
    <t>1128116087 / 1</t>
  </si>
  <si>
    <t>PP00028-0019</t>
  </si>
  <si>
    <t>E40078200</t>
  </si>
  <si>
    <t>P000384</t>
  </si>
  <si>
    <t>ET87-32.0/8.0-RED-50MM</t>
  </si>
  <si>
    <t>1229370708 / 2</t>
  </si>
  <si>
    <t>PP00027-12</t>
  </si>
  <si>
    <t>GP090353</t>
  </si>
  <si>
    <t>P100365</t>
  </si>
  <si>
    <t>ET22-11.0/2.4-BLK-65MM</t>
  </si>
  <si>
    <t>PP00028-0020</t>
  </si>
  <si>
    <t>1132191059 / 2</t>
  </si>
  <si>
    <t>PP00024-04</t>
  </si>
  <si>
    <t>E38848500</t>
  </si>
  <si>
    <t>P000215</t>
  </si>
  <si>
    <t>ET25-5.7/1.3-BLK-65MM</t>
  </si>
  <si>
    <t>PP00024-05</t>
  </si>
  <si>
    <t>E38925400</t>
  </si>
  <si>
    <t>P000286</t>
  </si>
  <si>
    <t>ET25-14.0/3.0-BLK-65MM</t>
  </si>
  <si>
    <t>PP00024-06</t>
  </si>
  <si>
    <t>E38923900</t>
  </si>
  <si>
    <t>P000285</t>
  </si>
  <si>
    <t>ET25-14.0/3.0-BLK-45MM</t>
  </si>
  <si>
    <t>PP00024-07</t>
  </si>
  <si>
    <t>E38847600</t>
  </si>
  <si>
    <t>ET25-18.3/4.5-BLK-50MM</t>
  </si>
  <si>
    <t>PP00024-08</t>
  </si>
  <si>
    <t>E38847700</t>
  </si>
  <si>
    <t>P000266</t>
  </si>
  <si>
    <t>ET25-5.7/1.3-BLK-45MM</t>
  </si>
  <si>
    <t>PP00024-09</t>
  </si>
  <si>
    <t>PP00024-10</t>
  </si>
  <si>
    <t>ET25-5.7/1.3-27MM-BLK</t>
  </si>
  <si>
    <t>PP00024-11</t>
  </si>
  <si>
    <t>E38923800</t>
  </si>
  <si>
    <t>ET70</t>
  </si>
  <si>
    <t>D000070</t>
  </si>
  <si>
    <t>P000294</t>
  </si>
  <si>
    <t>ET70-1.6/0.8-BLK-SP</t>
  </si>
  <si>
    <t>PP00024-12</t>
  </si>
  <si>
    <t>E38846700</t>
  </si>
  <si>
    <t>P000251</t>
  </si>
  <si>
    <t>ET25-11.0/2.5-BLK-50MM</t>
  </si>
  <si>
    <t>PP00024-13</t>
  </si>
  <si>
    <t>PP00024-14</t>
  </si>
  <si>
    <t>E36449200</t>
  </si>
  <si>
    <t>P000214</t>
  </si>
  <si>
    <t>ET25-7.4/1.7-BLK-27MM</t>
  </si>
  <si>
    <t>PP00024-15</t>
  </si>
  <si>
    <t>PP00024-16</t>
  </si>
  <si>
    <t>E38847900</t>
  </si>
  <si>
    <t>P000265</t>
  </si>
  <si>
    <t>PP00028-0032</t>
  </si>
  <si>
    <t>1138118931 / 1</t>
  </si>
  <si>
    <t>PP00028-0063</t>
  </si>
  <si>
    <t>1139567657 / 2</t>
  </si>
  <si>
    <t>PP00028-0083</t>
  </si>
  <si>
    <t>E28493000</t>
  </si>
  <si>
    <t>E74936</t>
  </si>
  <si>
    <t>DWT-RO(4005)-14.0-RED-50MM</t>
  </si>
  <si>
    <t>PP00073-0003</t>
  </si>
  <si>
    <t>PPAP received, pending to review files</t>
  </si>
  <si>
    <t>C000004</t>
  </si>
  <si>
    <t>ET70-19.0/6.0-RD-60mm</t>
  </si>
  <si>
    <t>1444647625 / 1</t>
  </si>
  <si>
    <t>requested</t>
  </si>
  <si>
    <t>PP00028-0094</t>
  </si>
  <si>
    <t>E39044400</t>
  </si>
  <si>
    <t>1453145450 / 1</t>
  </si>
  <si>
    <t>PP00028-0095</t>
  </si>
  <si>
    <t>E55808900</t>
  </si>
  <si>
    <t>P000731</t>
  </si>
  <si>
    <t>ET22-7.5/1.7-BK-40mm</t>
  </si>
  <si>
    <t>1454452239 / 1</t>
  </si>
  <si>
    <t>PP00027-18</t>
  </si>
  <si>
    <t>GP092724</t>
  </si>
  <si>
    <t>P000220</t>
  </si>
  <si>
    <t>ET22-18.3/4.5-BLK-75MM</t>
  </si>
  <si>
    <t>PP00032-33</t>
  </si>
  <si>
    <t>E36962900</t>
  </si>
  <si>
    <t>P000236</t>
  </si>
  <si>
    <t>ET87-11.6/2.5-BLK-50MM</t>
  </si>
  <si>
    <t>PP00028-01</t>
  </si>
  <si>
    <t>PP00024-17</t>
  </si>
  <si>
    <t>PP00024-18</t>
  </si>
  <si>
    <t>E38925900</t>
  </si>
  <si>
    <t>P000292</t>
  </si>
  <si>
    <t>ET25-7.4/1.7-BLK-30MM</t>
  </si>
  <si>
    <t>PP00024-19</t>
  </si>
  <si>
    <t>E38923200</t>
  </si>
  <si>
    <t>P000295</t>
  </si>
  <si>
    <t>ET87-27.9/8.4-BLK-70MM</t>
  </si>
  <si>
    <t>PP00024-20</t>
  </si>
  <si>
    <t>E38925700</t>
  </si>
  <si>
    <t>P000288</t>
  </si>
  <si>
    <t>ET25-18.3/4.5-BLK-45MM</t>
  </si>
  <si>
    <t>PP00028-02</t>
  </si>
  <si>
    <t>ET25-5.7/1.3-50MM-BLK</t>
  </si>
  <si>
    <t>Approved 2024</t>
  </si>
  <si>
    <t>1194209127 / 2</t>
  </si>
  <si>
    <t>PP00028-03</t>
  </si>
  <si>
    <t>PP00027-19</t>
  </si>
  <si>
    <t>GP093602</t>
  </si>
  <si>
    <t>P000006</t>
  </si>
  <si>
    <t>ET00-12.7/6.4-BLK-SPL</t>
  </si>
  <si>
    <t>approved</t>
  </si>
  <si>
    <t>PP00041-01</t>
  </si>
  <si>
    <t>Packard</t>
  </si>
  <si>
    <t>Korea</t>
  </si>
  <si>
    <t>8S3239</t>
  </si>
  <si>
    <t>ET86-17.7/4.5-BLK-40MM</t>
  </si>
  <si>
    <t>PP00041-02</t>
  </si>
  <si>
    <t>8S3240</t>
  </si>
  <si>
    <t>ET86-17.7/4.5-BLK-65MM</t>
  </si>
  <si>
    <t>PP00036-06</t>
  </si>
  <si>
    <t>HSTP1955</t>
  </si>
  <si>
    <t>P000679</t>
  </si>
  <si>
    <t>ET11-4.8/1.6-BLK-SP</t>
  </si>
  <si>
    <t>PP00042-0001</t>
  </si>
  <si>
    <t>Aptiv</t>
  </si>
  <si>
    <t>P000554</t>
  </si>
  <si>
    <t xml:space="preserve">ET86-9.0/2.3-BLK-30MM </t>
  </si>
  <si>
    <t>1201048994 / 1</t>
  </si>
  <si>
    <t>PP00034-02</t>
  </si>
  <si>
    <t>P000483</t>
  </si>
  <si>
    <t>ET87-7.6/1.7-BLK-30mm</t>
  </si>
  <si>
    <t>PP00043-01</t>
  </si>
  <si>
    <t>France</t>
  </si>
  <si>
    <t>E42302100</t>
  </si>
  <si>
    <t>ET05</t>
  </si>
  <si>
    <t>D000049</t>
  </si>
  <si>
    <t>P000604</t>
  </si>
  <si>
    <t>ET05-12.7/6.4-BLK-SPL</t>
  </si>
  <si>
    <t>PP00043-02</t>
  </si>
  <si>
    <t>E42304400</t>
  </si>
  <si>
    <t>P000623</t>
  </si>
  <si>
    <t>ET70-19.1/9.5-RED-SPL</t>
  </si>
  <si>
    <t>1261839281 / 2</t>
  </si>
  <si>
    <t>PP00043-18</t>
  </si>
  <si>
    <t>E37016700  20mm</t>
  </si>
  <si>
    <t>P000239</t>
  </si>
  <si>
    <r>
      <t>ET87-17.8/4.4-BLK-</t>
    </r>
    <r>
      <rPr>
        <sz val="10"/>
        <color theme="1"/>
        <rFont val="Calibri"/>
        <family val="2"/>
      </rPr>
      <t>1220MM (P000239 - ET87 20MM)</t>
    </r>
  </si>
  <si>
    <t>PP00043-19</t>
  </si>
  <si>
    <t>E42304200</t>
  </si>
  <si>
    <t>P000662</t>
  </si>
  <si>
    <t>ET70-3.2/1.6-27mm</t>
  </si>
  <si>
    <t>PP00043-03</t>
  </si>
  <si>
    <t>E42301900</t>
  </si>
  <si>
    <t>P000611</t>
  </si>
  <si>
    <t>ET05-6.4/3.2-BLK-20MM</t>
  </si>
  <si>
    <t>PP00043-04</t>
  </si>
  <si>
    <t>E42302300</t>
  </si>
  <si>
    <t>P000609</t>
  </si>
  <si>
    <t>ET05-19.0/9.5-RED-50MM</t>
  </si>
  <si>
    <t>PP00043-05</t>
  </si>
  <si>
    <t>E42303000</t>
  </si>
  <si>
    <t>ET28</t>
  </si>
  <si>
    <t>D000091</t>
  </si>
  <si>
    <t>P000613</t>
  </si>
  <si>
    <t>ET28-11.0/2.4-CLR-50MM</t>
  </si>
  <si>
    <t>PP00043-06</t>
  </si>
  <si>
    <t>E42301800</t>
  </si>
  <si>
    <t>P000607</t>
  </si>
  <si>
    <t>ET05-19.0/9.5-BLK-50MM</t>
  </si>
  <si>
    <t>PP00043-24</t>
  </si>
  <si>
    <t>E37017300</t>
  </si>
  <si>
    <t>P000664</t>
  </si>
  <si>
    <t>ET87-27.9/8.4-BLK-50MM</t>
  </si>
  <si>
    <t>PP00043-07</t>
  </si>
  <si>
    <t>E42303500</t>
  </si>
  <si>
    <t>P000618</t>
  </si>
  <si>
    <t>ET28-5.7/1.3- 50MM</t>
  </si>
  <si>
    <t>PP00043-26</t>
  </si>
  <si>
    <t>TBD</t>
  </si>
  <si>
    <t>ET05-4.8/2.4-BLK-50MM</t>
  </si>
  <si>
    <t>PP00043-27</t>
  </si>
  <si>
    <t xml:space="preserve"> ET05-9.5/4.8-RED-28MM</t>
  </si>
  <si>
    <t>PP00043-08</t>
  </si>
  <si>
    <t>E42303600</t>
  </si>
  <si>
    <t>P000620</t>
  </si>
  <si>
    <t>ET28-7.5/1.7- 50MM</t>
  </si>
  <si>
    <t>PP00043-09</t>
  </si>
  <si>
    <t>E42303100</t>
  </si>
  <si>
    <t>P000614</t>
  </si>
  <si>
    <t>ET28-11.0/2.4-CLR-65MM</t>
  </si>
  <si>
    <t>PP00043-10</t>
  </si>
  <si>
    <t>E42303200</t>
  </si>
  <si>
    <t>P000615</t>
  </si>
  <si>
    <t>ET28-14.0/3.0- 65MM</t>
  </si>
  <si>
    <t>PP00043-11</t>
  </si>
  <si>
    <t>E42303900</t>
  </si>
  <si>
    <t>P000625</t>
  </si>
  <si>
    <t>ET70-6.4/3.2-BLK-SPL</t>
  </si>
  <si>
    <t>1261837854 / 2</t>
  </si>
  <si>
    <t>PP00043-12</t>
  </si>
  <si>
    <t>E42302600</t>
  </si>
  <si>
    <t>P000608</t>
  </si>
  <si>
    <t>ET05-19.0/9.5-RED-30MM</t>
  </si>
  <si>
    <t>PP00043-13</t>
  </si>
  <si>
    <t>E42303700</t>
  </si>
  <si>
    <t>P000661</t>
  </si>
  <si>
    <t>ET28-7.5/1.7- 27MM</t>
  </si>
  <si>
    <t>PP00043-14</t>
  </si>
  <si>
    <t>E42302200</t>
  </si>
  <si>
    <t>P000606</t>
  </si>
  <si>
    <t>ET05-12.7/6.4-RED-50MM</t>
  </si>
  <si>
    <t>PP00043-15</t>
  </si>
  <si>
    <t>E42304000</t>
  </si>
  <si>
    <t>P000621</t>
  </si>
  <si>
    <t>ET70-1.2/0.6-BLK-SPL</t>
  </si>
  <si>
    <t>1261838502 / 2</t>
  </si>
  <si>
    <t>PP00043-16</t>
  </si>
  <si>
    <t>E42302700</t>
  </si>
  <si>
    <t>P000612</t>
  </si>
  <si>
    <t>ET05-6.4/3.2-RED-SPL</t>
  </si>
  <si>
    <t>PP00043-17</t>
  </si>
  <si>
    <t>E42304100</t>
  </si>
  <si>
    <t>P000622</t>
  </si>
  <si>
    <t>ET70-19.1/9.5-BLK-SPL</t>
  </si>
  <si>
    <t>1261838612 / 2</t>
  </si>
  <si>
    <t>PP00043-20</t>
  </si>
  <si>
    <t>E42303300</t>
  </si>
  <si>
    <t>P000616</t>
  </si>
  <si>
    <t>ET28-18.3/4.4-30MM</t>
  </si>
  <si>
    <t>PP00043-21</t>
  </si>
  <si>
    <t>E42302900</t>
  </si>
  <si>
    <t>ET81</t>
  </si>
  <si>
    <t>D000094</t>
  </si>
  <si>
    <t>P000660</t>
  </si>
  <si>
    <t>ET81-3.0/1.0-BLK -40MM</t>
  </si>
  <si>
    <t>1262270455 / 2</t>
  </si>
  <si>
    <t>PP00043-22</t>
  </si>
  <si>
    <t>E42304500</t>
  </si>
  <si>
    <t>P000627</t>
  </si>
  <si>
    <t>ET87-11.6/2.5-BLK-1220MM</t>
  </si>
  <si>
    <t>PP00043-23</t>
  </si>
  <si>
    <t>E42304600</t>
  </si>
  <si>
    <t>P000628</t>
  </si>
  <si>
    <t>ET87-7.6/1.7-BLK-1220MM</t>
  </si>
  <si>
    <t>PP00043-25</t>
  </si>
  <si>
    <t>E42302000</t>
  </si>
  <si>
    <t>P000605</t>
  </si>
  <si>
    <t>ET05-12.7/6.4-BLK-50MM</t>
  </si>
  <si>
    <t>PP00043-28</t>
  </si>
  <si>
    <t>E42303800</t>
  </si>
  <si>
    <t>P000667</t>
  </si>
  <si>
    <t>ET28-18.3/4.4-50MM</t>
  </si>
  <si>
    <t>PP00043-29</t>
  </si>
  <si>
    <t>E42304300</t>
  </si>
  <si>
    <t>P000663</t>
  </si>
  <si>
    <t>ET70-6.4/3.2-RED-SPL</t>
  </si>
  <si>
    <t>PP00043-30</t>
  </si>
  <si>
    <t>PP00034-03</t>
  </si>
  <si>
    <t>EXP02140</t>
  </si>
  <si>
    <t>P000291</t>
  </si>
  <si>
    <t>PP00034-06</t>
  </si>
  <si>
    <t>P000668</t>
  </si>
  <si>
    <t>ET04-6.0/2.0-BLK-55MM</t>
  </si>
  <si>
    <t>PP00024-21</t>
  </si>
  <si>
    <t>949767775 / 1</t>
  </si>
  <si>
    <t>PP00026-10</t>
  </si>
  <si>
    <t>PR2025001</t>
  </si>
  <si>
    <t>PP00026-11</t>
  </si>
  <si>
    <t>P000216</t>
  </si>
  <si>
    <t>ET25-7.4/1.7-BLK-65MM</t>
  </si>
  <si>
    <t>PP00044-01</t>
  </si>
  <si>
    <t>Nursan</t>
  </si>
  <si>
    <t>PP00034-07</t>
  </si>
  <si>
    <t>PR2024004</t>
  </si>
  <si>
    <t>PP00030-03</t>
  </si>
  <si>
    <t>711798 11.0 050</t>
  </si>
  <si>
    <t>ET22-11.0/2.4-BLK-50MM</t>
  </si>
  <si>
    <t>PP00030-04</t>
  </si>
  <si>
    <t>711798 18.3 040</t>
  </si>
  <si>
    <t>PP00030-06</t>
  </si>
  <si>
    <t>711798 5.7 0050</t>
  </si>
  <si>
    <t>ET22-5.7/1.3-BLK-50MM</t>
  </si>
  <si>
    <t>PP00030-07</t>
  </si>
  <si>
    <t>711798 7.5 0050</t>
  </si>
  <si>
    <t>PP00030-05</t>
  </si>
  <si>
    <t>711798 18.3 050</t>
  </si>
  <si>
    <t>ET22-18.3/4.5-BLK-50MM</t>
  </si>
  <si>
    <t>PP00042-0002</t>
  </si>
  <si>
    <t>P000573</t>
  </si>
  <si>
    <t>ET00-9.0/3.0-BLK-20MM</t>
  </si>
  <si>
    <t>PP00026-13</t>
  </si>
  <si>
    <t>PP00023-0002</t>
  </si>
  <si>
    <t>11043938A</t>
  </si>
  <si>
    <t>PP00027-07</t>
  </si>
  <si>
    <t>GP088848</t>
  </si>
  <si>
    <t>P000029</t>
  </si>
  <si>
    <t>ET11-32.0/8.0-BLK-SPL</t>
  </si>
  <si>
    <t>PP00028-04</t>
  </si>
  <si>
    <t>E35082000</t>
  </si>
  <si>
    <t>P000152</t>
  </si>
  <si>
    <t>ET14-7.4/1.7-BLK-35mm</t>
  </si>
  <si>
    <t>QR2022067</t>
  </si>
  <si>
    <t>PP00026-12</t>
  </si>
  <si>
    <t>P000267</t>
  </si>
  <si>
    <t>ET25-7.4/1.7-BLK-45MM</t>
  </si>
  <si>
    <t>PP00024-22</t>
  </si>
  <si>
    <t>ET15-6.0/1.3-BLK-50MM</t>
  </si>
  <si>
    <t>PP00045-01</t>
  </si>
  <si>
    <t>Autokabel</t>
  </si>
  <si>
    <t>ET17-27.9/8.4-BLK-50MM</t>
  </si>
  <si>
    <t>PP00045-02</t>
  </si>
  <si>
    <t>P000639</t>
  </si>
  <si>
    <t>ET17-27.9/8.4-RED-50MM</t>
  </si>
  <si>
    <t>PP00027-14</t>
  </si>
  <si>
    <t>GP095936</t>
  </si>
  <si>
    <t>P000315</t>
  </si>
  <si>
    <t>ET21-24.0/8.0-RED-SPL</t>
  </si>
  <si>
    <t>PP00046-01</t>
  </si>
  <si>
    <t>ACS</t>
  </si>
  <si>
    <t>648052100A</t>
  </si>
  <si>
    <t>CYG-135F-2-22-BLK-134</t>
  </si>
  <si>
    <t>PP00046-02</t>
  </si>
  <si>
    <t>SHRINKTUBE15BLACK</t>
  </si>
  <si>
    <t>HT-15-120 : 428</t>
  </si>
  <si>
    <t>PP00027-20</t>
  </si>
  <si>
    <t>GP095704</t>
  </si>
  <si>
    <t>P000245</t>
  </si>
  <si>
    <t>ET21-32.0/8.0-RED-SPL</t>
  </si>
  <si>
    <t>PP00026-14</t>
  </si>
  <si>
    <t>E62401</t>
  </si>
  <si>
    <t>135F-2-3.2-BLK/STRIPES-50 : 624</t>
  </si>
  <si>
    <t>PP00026-15</t>
  </si>
  <si>
    <t>E62404</t>
  </si>
  <si>
    <t>DWT-RO-4-5.75-BLK/STRIPES-65 : 624</t>
  </si>
  <si>
    <t>PP00026-16</t>
  </si>
  <si>
    <t>E62406</t>
  </si>
  <si>
    <t>DWT-RO-4-11.0-BLK/STRIPES-65 : E62406</t>
  </si>
  <si>
    <t>PP00026-17</t>
  </si>
  <si>
    <t>E62407</t>
  </si>
  <si>
    <t>DWT-RO-4-18.3-BLK/STRIPES-65 : 624</t>
  </si>
  <si>
    <t>PP00026-18</t>
  </si>
  <si>
    <t>E62405</t>
  </si>
  <si>
    <t>DWT-RO-4-7.40-BLK/STRIPES-65 : 624</t>
  </si>
  <si>
    <t>PP00026-19</t>
  </si>
  <si>
    <t>E62410</t>
  </si>
  <si>
    <t>DWT-RO-4-5.75-BLK/STRIPES-50 : 624</t>
  </si>
  <si>
    <t>PP00026-20</t>
  </si>
  <si>
    <t>E62411</t>
  </si>
  <si>
    <t>DWT-RO-4-5.75-BLK/STRIPES-45 : 624</t>
  </si>
  <si>
    <t>PP00026-21</t>
  </si>
  <si>
    <t>E62408</t>
  </si>
  <si>
    <t>DWT-RO-4-7.40-BLK/STRIPES-45 : 634</t>
  </si>
  <si>
    <t>PP00026-22</t>
  </si>
  <si>
    <t>E62412</t>
  </si>
  <si>
    <t>DWT-RO-4-7.40-BLK/STRIPES-35 : 624</t>
  </si>
  <si>
    <t>PP00026-23</t>
  </si>
  <si>
    <t>E62409</t>
  </si>
  <si>
    <t xml:space="preserve">	DWT-RO-4-11.0-BLK/STRIPES-45 : 621</t>
  </si>
  <si>
    <t>PP00026-24</t>
  </si>
  <si>
    <t>E62413</t>
  </si>
  <si>
    <t xml:space="preserve">	DWT-RO-4-18.3-RED/STRIPES-50 : 627</t>
  </si>
  <si>
    <t>PP00026-25</t>
  </si>
  <si>
    <t>E62414</t>
  </si>
  <si>
    <t xml:space="preserve">	DWT-RO-4-18.3-RED/STRIPES-65 : 628</t>
  </si>
  <si>
    <t>PP00026-26</t>
  </si>
  <si>
    <t>E62415</t>
  </si>
  <si>
    <t>DWT-RO-4-18.3-RED/STRIPES-150 : 624</t>
  </si>
  <si>
    <t>PP00026-27</t>
  </si>
  <si>
    <t>E62416</t>
  </si>
  <si>
    <t xml:space="preserve">	DWT-RO-4-18.3-RED/STRIPES-33 : 624</t>
  </si>
  <si>
    <t>1205276080 / 1</t>
  </si>
  <si>
    <t>PP00028-05</t>
  </si>
  <si>
    <t>E39278000</t>
  </si>
  <si>
    <t>P000317</t>
  </si>
  <si>
    <t>ET17-5.1/1.3-BLK-50MM</t>
  </si>
  <si>
    <t>PP00029-15</t>
  </si>
  <si>
    <t>CYG-DWT (RO) #4-180MM</t>
  </si>
  <si>
    <t>PP00034-08</t>
  </si>
  <si>
    <t>M2038013</t>
  </si>
  <si>
    <t>PP00034-09</t>
  </si>
  <si>
    <t>P000518</t>
  </si>
  <si>
    <t>ET25-9.0/2.3-BLK-65MM</t>
  </si>
  <si>
    <t>PP00034-10</t>
  </si>
  <si>
    <t>P000469</t>
  </si>
  <si>
    <t>ET86-7.6/1.7-BLK-43MM</t>
  </si>
  <si>
    <t>1247857307 / 1</t>
  </si>
  <si>
    <t>PP00034-11</t>
  </si>
  <si>
    <t>P000471</t>
  </si>
  <si>
    <t>ET86-9.0/2.3-BLK-40MM</t>
  </si>
  <si>
    <t>PP00034-12</t>
  </si>
  <si>
    <t>PP00034-13</t>
  </si>
  <si>
    <t>P000365</t>
  </si>
  <si>
    <t>ET84-5.7/1.3-BLK-50MM</t>
  </si>
  <si>
    <t>PP00034-14</t>
  </si>
  <si>
    <t>09</t>
  </si>
  <si>
    <t>1214724948 / 1</t>
  </si>
  <si>
    <t>PP00028-06</t>
  </si>
  <si>
    <t>PP00036-22</t>
  </si>
  <si>
    <t>HSTP585</t>
  </si>
  <si>
    <t>CYG-DWT(R0)4:1, 5.75, BLK, 25 MM</t>
  </si>
  <si>
    <t>1202433545 / 1</t>
  </si>
  <si>
    <t>PP00042-0007</t>
  </si>
  <si>
    <t>P000602</t>
  </si>
  <si>
    <t>ET86-17.7/4.5-BLK-35MM</t>
  </si>
  <si>
    <t>PP00031-02</t>
  </si>
  <si>
    <t>V20808528</t>
  </si>
  <si>
    <t>ET11-12.0/3.0-BLK-SPL</t>
  </si>
  <si>
    <t>1272489899 / 2</t>
  </si>
  <si>
    <t>PP00031-03</t>
  </si>
  <si>
    <t>V20808527</t>
  </si>
  <si>
    <t>ET11-16.0/4.0-BLK-SPL</t>
  </si>
  <si>
    <t>1272490406 / 2</t>
  </si>
  <si>
    <t>PP00031-04</t>
  </si>
  <si>
    <t>V20808526</t>
  </si>
  <si>
    <t>ET11-24.0/6.0-BLK-SPL</t>
  </si>
  <si>
    <t>1272771037 / 2</t>
  </si>
  <si>
    <t>PP00031-05</t>
  </si>
  <si>
    <t>V20808524</t>
  </si>
  <si>
    <t>1272776427 / 2</t>
  </si>
  <si>
    <t>PP00031-06</t>
  </si>
  <si>
    <t>V20808530</t>
  </si>
  <si>
    <t>ET11-4.0/1.0-BLK-SPL</t>
  </si>
  <si>
    <t>1272778364 / 2</t>
  </si>
  <si>
    <t>PP00031-07</t>
  </si>
  <si>
    <t>V20784162</t>
  </si>
  <si>
    <t>ET11-48.0/13.0-BLK-SPL</t>
  </si>
  <si>
    <t>1272782894 / 2</t>
  </si>
  <si>
    <t>PP00031-08</t>
  </si>
  <si>
    <t>V20808529</t>
  </si>
  <si>
    <t>ET11-8.0/2.0-BLK-SPL</t>
  </si>
  <si>
    <t>1272490285 / 2</t>
  </si>
  <si>
    <t>PP00028-07</t>
  </si>
  <si>
    <t>ET22-7.5/1.7-Blk-35mm</t>
  </si>
  <si>
    <t>1076153443 / 2</t>
  </si>
  <si>
    <t>PP00063-0001</t>
  </si>
  <si>
    <t>P000339</t>
  </si>
  <si>
    <t>ET25-11.0/2.4R-BLK-50MM</t>
  </si>
  <si>
    <t>1277026340 / 1</t>
  </si>
  <si>
    <t>PP00025-01</t>
  </si>
  <si>
    <t>PP00025-02</t>
  </si>
  <si>
    <t>PP00025-04</t>
  </si>
  <si>
    <t>ZRM-98845-11</t>
  </si>
  <si>
    <t>ET00-3.2/1.6-BLK-50MM</t>
  </si>
  <si>
    <t>PR2025004</t>
  </si>
  <si>
    <t>PP00025-03</t>
  </si>
  <si>
    <t>ZRM-982319-16</t>
  </si>
  <si>
    <t>P000075</t>
  </si>
  <si>
    <t>ET04-5.7/2.4-30MM-BLK</t>
  </si>
  <si>
    <t>1210982220 / 2</t>
  </si>
  <si>
    <t>PP00034-15</t>
  </si>
  <si>
    <t>P000452</t>
  </si>
  <si>
    <t>ET84-5.7/1.3-CLR-50MM</t>
  </si>
  <si>
    <t>PP00028-08</t>
  </si>
  <si>
    <t>1125717047/2</t>
  </si>
  <si>
    <t>1125717047 / 3</t>
  </si>
  <si>
    <t>**</t>
  </si>
  <si>
    <t>PP00028-09</t>
  </si>
  <si>
    <t>1128113642/2</t>
  </si>
  <si>
    <t>PP00048-01</t>
  </si>
  <si>
    <t>Kostal</t>
  </si>
  <si>
    <t>ET40</t>
  </si>
  <si>
    <t>D000033</t>
  </si>
  <si>
    <t>P000752</t>
  </si>
  <si>
    <t>ET40-6.1/0.5-BLK-SPL</t>
  </si>
  <si>
    <t>1279757461 / 3</t>
  </si>
  <si>
    <t>PP00048-02</t>
  </si>
  <si>
    <t>P000753</t>
  </si>
  <si>
    <t>ET40-9.1/0.6-BLK-SPL</t>
  </si>
  <si>
    <t>1280175389 / 3</t>
  </si>
  <si>
    <t>PP00048-03</t>
  </si>
  <si>
    <t>P000751</t>
  </si>
  <si>
    <t>ET40-7.1/0.6-BLK-SPL</t>
  </si>
  <si>
    <t>1280184796 / 3</t>
  </si>
  <si>
    <t>PP00036-07</t>
  </si>
  <si>
    <t>BRAIDP179</t>
  </si>
  <si>
    <t>ET34</t>
  </si>
  <si>
    <t>D000079</t>
  </si>
  <si>
    <t>P000754</t>
  </si>
  <si>
    <t>ET34-5-BLK-SPL</t>
  </si>
  <si>
    <t>1128113642 / 2</t>
  </si>
  <si>
    <t>PP00036-08</t>
  </si>
  <si>
    <t>BRAIDP187</t>
  </si>
  <si>
    <t>P000755</t>
  </si>
  <si>
    <t>ET34-19-BLK-SPL</t>
  </si>
  <si>
    <t>PP00036-09</t>
  </si>
  <si>
    <t>BRAIDP182</t>
  </si>
  <si>
    <t>P000756</t>
  </si>
  <si>
    <t>ET34-32-BLK-SPL</t>
  </si>
  <si>
    <t>PP00036-10</t>
  </si>
  <si>
    <t>BRAIDP184</t>
  </si>
  <si>
    <t>P000757</t>
  </si>
  <si>
    <t>ET34-10-BLK-SPL</t>
  </si>
  <si>
    <t>PP00049-01</t>
  </si>
  <si>
    <t>Leman</t>
  </si>
  <si>
    <t>ET73 4.3/2.0</t>
  </si>
  <si>
    <t>ET73</t>
  </si>
  <si>
    <t>D000083</t>
  </si>
  <si>
    <t>P000762</t>
  </si>
  <si>
    <t>ET73-4.3/2.0-25MM-BLK</t>
  </si>
  <si>
    <t>1280190446 / 1</t>
  </si>
  <si>
    <t>PP00034-16</t>
  </si>
  <si>
    <t>P000366</t>
  </si>
  <si>
    <t>ET84-7.4/1.7-BLK-35MM</t>
  </si>
  <si>
    <t>PP00034-17</t>
  </si>
  <si>
    <t>P000450</t>
  </si>
  <si>
    <t>ET84-10.8/2.4-BLK-40MM</t>
  </si>
  <si>
    <t>PP00034-18</t>
  </si>
  <si>
    <t>ET86-7.6/1.7--BLK-65MM</t>
  </si>
  <si>
    <t>PP00042-0009</t>
  </si>
  <si>
    <t>P000352</t>
  </si>
  <si>
    <t>ET25-4.0/1.0R-BLK-65MM</t>
  </si>
  <si>
    <t>PP00036-11</t>
  </si>
  <si>
    <t>BRAIDP181</t>
  </si>
  <si>
    <t>P000742</t>
  </si>
  <si>
    <t>ET34-25.0-BLK</t>
  </si>
  <si>
    <t>PP00036-12</t>
  </si>
  <si>
    <t>BRAIDP185</t>
  </si>
  <si>
    <t>P000737</t>
  </si>
  <si>
    <t>ET34-13.0-BLK</t>
  </si>
  <si>
    <t>PP00036-13</t>
  </si>
  <si>
    <t>BRAIDP186</t>
  </si>
  <si>
    <t>P000739</t>
  </si>
  <si>
    <t>ET34-16.0-BLK</t>
  </si>
  <si>
    <t>PP00036-14</t>
  </si>
  <si>
    <t>BRAIDP188</t>
  </si>
  <si>
    <t>P000743</t>
  </si>
  <si>
    <t>ET34-25.0-ORG</t>
  </si>
  <si>
    <t>PP00036-15</t>
  </si>
  <si>
    <t>BRAIDP190</t>
  </si>
  <si>
    <t>P000740</t>
  </si>
  <si>
    <t>ET34-16.0-ORG</t>
  </si>
  <si>
    <t>PP00036-16</t>
  </si>
  <si>
    <t>BRAIDP191</t>
  </si>
  <si>
    <t>P000736</t>
  </si>
  <si>
    <t>ET34-8.0-ORG</t>
  </si>
  <si>
    <t>PP00036-17</t>
  </si>
  <si>
    <t>BRAIDP192</t>
  </si>
  <si>
    <t>P000738</t>
  </si>
  <si>
    <t>ET34-13.0-ORG</t>
  </si>
  <si>
    <t>PP00036-18</t>
  </si>
  <si>
    <t>BRAIDP193</t>
  </si>
  <si>
    <t>P000741</t>
  </si>
  <si>
    <t>ET34-19.0-ORG</t>
  </si>
  <si>
    <t>PP00036-19</t>
  </si>
  <si>
    <t>BRAIDP194</t>
  </si>
  <si>
    <t>P000744</t>
  </si>
  <si>
    <t>ET34-32.0-ORG</t>
  </si>
  <si>
    <t>PP00036-20</t>
  </si>
  <si>
    <t>BRAIDP195</t>
  </si>
  <si>
    <t>P000745</t>
  </si>
  <si>
    <t>ET34-38.0-ORG</t>
  </si>
  <si>
    <t>PP00036-21</t>
  </si>
  <si>
    <t>BRAIDP183</t>
  </si>
  <si>
    <t>P000735</t>
  </si>
  <si>
    <t>ET34-8.0-BLK</t>
  </si>
  <si>
    <t>PP00041-03</t>
  </si>
  <si>
    <t>8S3247</t>
  </si>
  <si>
    <t>P000463</t>
  </si>
  <si>
    <t xml:space="preserve">ET86-17.7/4.5-BLK-42MM </t>
  </si>
  <si>
    <t>PP00028-10</t>
  </si>
  <si>
    <t>1128113771/2</t>
  </si>
  <si>
    <t>PP00047-01</t>
  </si>
  <si>
    <t>MSSL</t>
  </si>
  <si>
    <t>DWT-RO-1-50MM</t>
  </si>
  <si>
    <t>E74926</t>
  </si>
  <si>
    <t>DWT(RO)-4-5.75-BLK-50 : 749</t>
  </si>
  <si>
    <t>PP00047-02</t>
  </si>
  <si>
    <t>CYG-135F-1/2-50-BLK</t>
  </si>
  <si>
    <t>E58346</t>
  </si>
  <si>
    <t>135F-2-12.7-BLK-50 : 583</t>
  </si>
  <si>
    <t>PP00047-03</t>
  </si>
  <si>
    <t>CYG-MT(HX)-3X-S3-6.4-9</t>
  </si>
  <si>
    <t>E58350</t>
  </si>
  <si>
    <t>CYG-MT(HX)-3X-S3-6.4-9-19mm : 583</t>
  </si>
  <si>
    <t>1128113771 / 3</t>
  </si>
  <si>
    <t>PP00028-11</t>
  </si>
  <si>
    <t>1125702153/2</t>
  </si>
  <si>
    <t>PP00042-0010</t>
  </si>
  <si>
    <t>P000451</t>
  </si>
  <si>
    <t>ET84-3.2/1.0-BLK-25MM</t>
  </si>
  <si>
    <t>PP00042-0011</t>
  </si>
  <si>
    <t xml:space="preserve">ET84-5.7/1.3-BLK-50MM </t>
  </si>
  <si>
    <t>1125702153 / 2</t>
  </si>
  <si>
    <t>PP00028-12</t>
  </si>
  <si>
    <t>1128116908/1</t>
  </si>
  <si>
    <t>PP00028-13</t>
  </si>
  <si>
    <t>1128115723/1</t>
  </si>
  <si>
    <t>PP00027-21</t>
  </si>
  <si>
    <t>GP101808</t>
  </si>
  <si>
    <t>P000246</t>
  </si>
  <si>
    <t>ET21-40.0/13.0-BLK-SPL</t>
  </si>
  <si>
    <t>PP00027-22</t>
  </si>
  <si>
    <t>GP088849</t>
  </si>
  <si>
    <t>P100269</t>
  </si>
  <si>
    <t>ET11-52.0/13.0-BLK-50MM</t>
  </si>
  <si>
    <t>PP00034-19</t>
  </si>
  <si>
    <t>PP00030-08</t>
  </si>
  <si>
    <t>711977 19.0 40</t>
  </si>
  <si>
    <t>P000257</t>
  </si>
  <si>
    <t>ET00-19.0/9.5-BLK-SPL</t>
  </si>
  <si>
    <t>PP00027-23</t>
  </si>
  <si>
    <t>GP101858</t>
  </si>
  <si>
    <t>P000683</t>
  </si>
  <si>
    <t>ET21-12.0/4.0-RED-40MM</t>
  </si>
  <si>
    <t>PP00027-24</t>
  </si>
  <si>
    <t>GP103952</t>
  </si>
  <si>
    <t>P000777</t>
  </si>
  <si>
    <t>ET21-40.0/13.0-RED-SPL</t>
  </si>
  <si>
    <t>PP00050-01</t>
  </si>
  <si>
    <t>Ficosa</t>
  </si>
  <si>
    <t>SP0029136</t>
  </si>
  <si>
    <t>P000760</t>
  </si>
  <si>
    <t>ET77-3.4/1.5-BLK-20MM</t>
  </si>
  <si>
    <t>1287011450 / 1</t>
  </si>
  <si>
    <t>PP00050-02</t>
  </si>
  <si>
    <t>SP0029138</t>
  </si>
  <si>
    <t>P000758</t>
  </si>
  <si>
    <t>ET77-3.4/1.5-BLK-50MM</t>
  </si>
  <si>
    <t>1287011655 / 1</t>
  </si>
  <si>
    <t>PP00050-03</t>
  </si>
  <si>
    <t>SP0029139</t>
  </si>
  <si>
    <t>P000759</t>
  </si>
  <si>
    <t>ET77-4.8/2.3-BLK-20MM</t>
  </si>
  <si>
    <t>1287011745 / 1</t>
  </si>
  <si>
    <t>PP00050-04</t>
  </si>
  <si>
    <t>SP0029137</t>
  </si>
  <si>
    <t>P000761</t>
  </si>
  <si>
    <t>ET77-2.4/1.0-BLK-35MM</t>
  </si>
  <si>
    <t>1287011765 / 1</t>
  </si>
  <si>
    <t>PP00034-20</t>
  </si>
  <si>
    <t>P000458</t>
  </si>
  <si>
    <t>ET86-11.5/2.5-BLK-27mm</t>
  </si>
  <si>
    <t>PP00034-21</t>
  </si>
  <si>
    <t>ET82</t>
  </si>
  <si>
    <t>D000068</t>
  </si>
  <si>
    <t>P000350</t>
  </si>
  <si>
    <t>ET82-11/2.4-BLK-65mm</t>
  </si>
  <si>
    <t>PP00026-28</t>
  </si>
  <si>
    <t>ET25-5.7/1.3-BLK-33MM</t>
  </si>
  <si>
    <t>PP00026-29</t>
  </si>
  <si>
    <t>P000307</t>
  </si>
  <si>
    <t>ET25-7.4/1.7-BLK-33MM</t>
  </si>
  <si>
    <t>PP00026-30</t>
  </si>
  <si>
    <t>P000371</t>
  </si>
  <si>
    <t>ET70-3.2/1.6-BLK-50MM</t>
  </si>
  <si>
    <t>1296427840/2</t>
  </si>
  <si>
    <t>PP00026-31</t>
  </si>
  <si>
    <t>P000372</t>
  </si>
  <si>
    <t>ET70-4.8/2.4-BLK-50MM</t>
  </si>
  <si>
    <t>1296432194/2</t>
  </si>
  <si>
    <t>PP00026-32</t>
  </si>
  <si>
    <t>P000374</t>
  </si>
  <si>
    <t>ET70-9.5/4.8-BLK-50MM</t>
  </si>
  <si>
    <t>1296433053/2</t>
  </si>
  <si>
    <t>PP00047-04</t>
  </si>
  <si>
    <t>DWT-RO-3-40MM</t>
  </si>
  <si>
    <t>E58313</t>
  </si>
  <si>
    <t>DWT(RO)-4-11.60-BLK-40 : 583</t>
  </si>
  <si>
    <t>PP00028-14</t>
  </si>
  <si>
    <t>1128116087/1</t>
  </si>
  <si>
    <t>PP00026-33</t>
  </si>
  <si>
    <t>P000379</t>
  </si>
  <si>
    <t>ET70-19.1/9.5-BLK-45MM</t>
  </si>
  <si>
    <t>1296077656/2</t>
  </si>
  <si>
    <t>PP00026-35</t>
  </si>
  <si>
    <t>P000264</t>
  </si>
  <si>
    <t>1296081665/2</t>
  </si>
  <si>
    <t>PP00026-34</t>
  </si>
  <si>
    <t>P000218</t>
  </si>
  <si>
    <t>ET25-18.3/4.5-BLK-65MM</t>
  </si>
  <si>
    <t>1296080151/2</t>
  </si>
  <si>
    <t>PP00030-09</t>
  </si>
  <si>
    <t>707708 3 030</t>
  </si>
  <si>
    <t>E53117</t>
  </si>
  <si>
    <t>DWT(RO)-4-11.00-BLK-30 : 531</t>
  </si>
  <si>
    <t>PP00034-22</t>
  </si>
  <si>
    <t>E47415</t>
  </si>
  <si>
    <t>DWT(RO)-4-5.75-BLK-65 : 474</t>
  </si>
  <si>
    <t>PP00042-0003</t>
  </si>
  <si>
    <t>06</t>
  </si>
  <si>
    <t xml:space="preserve">ET86-5.0/1.3-BLK-65MM </t>
  </si>
  <si>
    <t>PP00042-0004</t>
  </si>
  <si>
    <t>P000459</t>
  </si>
  <si>
    <t xml:space="preserve">ET86-11.5/2.5-BLK-40MM </t>
  </si>
  <si>
    <t>PP00042-0005</t>
  </si>
  <si>
    <t>PP00042-0006</t>
  </si>
  <si>
    <t>P000353</t>
  </si>
  <si>
    <t>ET25-5.7/1.3R-BLK-65MM</t>
  </si>
  <si>
    <t>PP00042-0012</t>
  </si>
  <si>
    <t>P000338</t>
  </si>
  <si>
    <t>ET25-7.4/1.7R-BLK-65mm</t>
  </si>
  <si>
    <t>PP00042-0015</t>
  </si>
  <si>
    <t>P000407</t>
  </si>
  <si>
    <t>ET25-11.0/2.4R-BLK-40mm</t>
  </si>
  <si>
    <t>PP00042-0016</t>
  </si>
  <si>
    <t>ET25-11.0/2.4R-BLK-50mm</t>
  </si>
  <si>
    <t>PP00042-0018</t>
  </si>
  <si>
    <t>P000420</t>
  </si>
  <si>
    <t>ET25-7.4/1.7R-BLK-40mm</t>
  </si>
  <si>
    <t>PP00042-0019</t>
  </si>
  <si>
    <t>ET86-9.0/2.3-BLK-40mm</t>
  </si>
  <si>
    <t>PP00042-0021</t>
  </si>
  <si>
    <t>P000205</t>
  </si>
  <si>
    <t>ET25-24.0/6.0-BLK-50mm</t>
  </si>
  <si>
    <t>PP00028-15</t>
  </si>
  <si>
    <t>1231239934 / 1</t>
  </si>
  <si>
    <t>1231239934 / 2</t>
  </si>
  <si>
    <t>PP00028-16</t>
  </si>
  <si>
    <t>E40078000</t>
  </si>
  <si>
    <t>P000381</t>
  </si>
  <si>
    <t>ET87-5.1/1.3-RED-40MM</t>
  </si>
  <si>
    <t>1229352086 / 2</t>
  </si>
  <si>
    <t>PP00028-17</t>
  </si>
  <si>
    <t>E40075700</t>
  </si>
  <si>
    <t>ET87-17.8/4.4-BLK-40MM</t>
  </si>
  <si>
    <t>PP00024-23</t>
  </si>
  <si>
    <t>1229357372 / 1</t>
  </si>
  <si>
    <t>1229357372 / 2</t>
  </si>
  <si>
    <t>PP00028-18</t>
  </si>
  <si>
    <t>E40078100</t>
  </si>
  <si>
    <t>P000383</t>
  </si>
  <si>
    <t>ET87-24.0/6.0-BLK-40MM</t>
  </si>
  <si>
    <t>1229358998 / 1</t>
  </si>
  <si>
    <t>1229358998 / 2</t>
  </si>
  <si>
    <t>PP00028-19</t>
  </si>
  <si>
    <t>1229370708 / 1</t>
  </si>
  <si>
    <t>PP00028-20</t>
  </si>
  <si>
    <t>1132191059/1</t>
  </si>
  <si>
    <t>1132191059 / 1</t>
  </si>
  <si>
    <t>PP00028-21</t>
  </si>
  <si>
    <t>ET86-17.7/4.5-40mm-BLK</t>
  </si>
  <si>
    <t>1134426437/1</t>
  </si>
  <si>
    <t>1134426437 / 1</t>
  </si>
  <si>
    <t>1134426437 / 2</t>
  </si>
  <si>
    <t>PP00028-22</t>
  </si>
  <si>
    <t>1202139545 / 1</t>
  </si>
  <si>
    <t>1202139545 / 2</t>
  </si>
  <si>
    <t>PP00028-23</t>
  </si>
  <si>
    <t>ET86-7.6/1.7-BLK-30MM</t>
  </si>
  <si>
    <t>1139569800 / 1</t>
  </si>
  <si>
    <t>ET14-5.7/1.3-40mm-BLK</t>
  </si>
  <si>
    <t>PP00028-24</t>
  </si>
  <si>
    <t>E34896500</t>
  </si>
  <si>
    <t>P000139</t>
  </si>
  <si>
    <t>ET17-9.0/3.0-BLK-60MM</t>
  </si>
  <si>
    <t>PP00033-02</t>
  </si>
  <si>
    <t>120G0-001763-01</t>
  </si>
  <si>
    <t>A0</t>
  </si>
  <si>
    <t>E10523</t>
  </si>
  <si>
    <t>CB-101, 2:1 SHRINK RATIO, 1.5 ID, CLR</t>
  </si>
  <si>
    <t>1256829549 / 1</t>
  </si>
  <si>
    <t>PP00030-10</t>
  </si>
  <si>
    <t>711798 4.0 0050</t>
  </si>
  <si>
    <t>PP00030-11</t>
  </si>
  <si>
    <t>711798 11.0 030</t>
  </si>
  <si>
    <t>ET22-11.0/2.4-BLK-30MM</t>
  </si>
  <si>
    <t>PP00030-12</t>
  </si>
  <si>
    <t>711798 7.5 0030</t>
  </si>
  <si>
    <t>PP00030-13</t>
  </si>
  <si>
    <t>711798 5.7 0030</t>
  </si>
  <si>
    <t>PP00042-0022</t>
  </si>
  <si>
    <t>PP00053-02</t>
  </si>
  <si>
    <t>P000298</t>
  </si>
  <si>
    <t>ET22-5.7/1.3-BLK-45mm</t>
  </si>
  <si>
    <t>PP00053-03</t>
  </si>
  <si>
    <t>P000299</t>
  </si>
  <si>
    <t>ET22-7.5/1.7-BLK-45mm</t>
  </si>
  <si>
    <t>PP00053-04</t>
  </si>
  <si>
    <t>P000301</t>
  </si>
  <si>
    <t>ET22-5.7/1.3-BLK-25mm</t>
  </si>
  <si>
    <t>PP00053-05</t>
  </si>
  <si>
    <t>P000302</t>
  </si>
  <si>
    <t>ET22-11.0/2.4-BLK-75mm</t>
  </si>
  <si>
    <t>PP00053-06</t>
  </si>
  <si>
    <t>P000303</t>
  </si>
  <si>
    <t>ET22-7.5/1.7-BLK-25mm</t>
  </si>
  <si>
    <t>PP00053-07</t>
  </si>
  <si>
    <t>PP00053-01</t>
  </si>
  <si>
    <t>P000300</t>
  </si>
  <si>
    <t>ET22-11.0/2.4-BLK-45mm</t>
  </si>
  <si>
    <t>PP00026-36</t>
  </si>
  <si>
    <t>E62428</t>
  </si>
  <si>
    <t>DWT-RO-4-18.3-Blk/Stripes-45mm</t>
  </si>
  <si>
    <t>1184725334 / 2</t>
  </si>
  <si>
    <t>PP00026-37</t>
  </si>
  <si>
    <t>E62426</t>
  </si>
  <si>
    <t>DWT-RO-4-18.3-Blk/Stripes-33mm</t>
  </si>
  <si>
    <t>1184722921 / 2</t>
  </si>
  <si>
    <t>PP00028-25</t>
  </si>
  <si>
    <t>E35764600</t>
  </si>
  <si>
    <t>P000191</t>
  </si>
  <si>
    <t>ET22-7.5/1.7-CLR-35MM</t>
  </si>
  <si>
    <t>PP00027-25</t>
  </si>
  <si>
    <t>1257752602 / 1</t>
  </si>
  <si>
    <t>PP00042-0023</t>
  </si>
  <si>
    <t>ET25-24.0/6.0-BLK-60mm</t>
  </si>
  <si>
    <t>PP00030-14</t>
  </si>
  <si>
    <t>IMDS submited to customer</t>
  </si>
  <si>
    <t>714041 11.0 050</t>
  </si>
  <si>
    <t>IMDS requested</t>
  </si>
  <si>
    <t>PP00034-23</t>
  </si>
  <si>
    <t>PP00028-26</t>
  </si>
  <si>
    <t>PP00054-01</t>
  </si>
  <si>
    <t>WeWire</t>
  </si>
  <si>
    <t>P000341</t>
  </si>
  <si>
    <t>ET25-7.4/1.7R-BLK-30mm</t>
  </si>
  <si>
    <t>1313260542 / 1</t>
  </si>
  <si>
    <t>PP00045-03</t>
  </si>
  <si>
    <t>P000238</t>
  </si>
  <si>
    <t>ET87-27.9/8.4-BLK-50mm</t>
  </si>
  <si>
    <t>PP00045-04</t>
  </si>
  <si>
    <t>P000779</t>
  </si>
  <si>
    <t>ET87-27.9/8.4-RED-50mm</t>
  </si>
  <si>
    <t>PR2025013</t>
  </si>
  <si>
    <t>PP00026-38</t>
  </si>
  <si>
    <t>E62427</t>
  </si>
  <si>
    <t>DWT-RO-4-11.0-Blk/Stripes-33mm</t>
  </si>
  <si>
    <t>PP00026-39</t>
  </si>
  <si>
    <t>E62429</t>
  </si>
  <si>
    <t xml:space="preserve">	DWT-RO-4-5.75-Blk/Stripes-33mm</t>
  </si>
  <si>
    <t>PP00042-0020</t>
  </si>
  <si>
    <t>P000649</t>
  </si>
  <si>
    <t>ET25-4.0/1.0R-CLR-100mm</t>
  </si>
  <si>
    <t>PP00034-24</t>
  </si>
  <si>
    <t>ET86-17.7/4.5-BLK-50MM</t>
  </si>
  <si>
    <t>PP00028-27</t>
  </si>
  <si>
    <t>ET17-11.6/2.5-BLK-50MM</t>
  </si>
  <si>
    <t>PP00027-26</t>
  </si>
  <si>
    <t>GP102838</t>
  </si>
  <si>
    <t>P000691</t>
  </si>
  <si>
    <t>ET11-24.0/6.0-RED-SPL</t>
  </si>
  <si>
    <t>1149845539 / 1</t>
  </si>
  <si>
    <t>PP00053-08</t>
  </si>
  <si>
    <t>P000369</t>
  </si>
  <si>
    <t>ET84-18.3/4.4-BLK-35mm</t>
  </si>
  <si>
    <t>1341663938 / 1</t>
  </si>
  <si>
    <t>SUBMITED</t>
  </si>
  <si>
    <t>PP00053-09</t>
  </si>
  <si>
    <t>P000837</t>
  </si>
  <si>
    <t>ET00-12.0/3.0-GRAY-SPL</t>
  </si>
  <si>
    <t>1339545765 / 1</t>
  </si>
  <si>
    <t>PP00028-28</t>
  </si>
  <si>
    <t>1149845452 / 1</t>
  </si>
  <si>
    <t>PP00028-29</t>
  </si>
  <si>
    <t>PP00028-30</t>
  </si>
  <si>
    <t>1151980629 / 1</t>
  </si>
  <si>
    <t>PP00028-31</t>
  </si>
  <si>
    <t>1151962414 / 1</t>
  </si>
  <si>
    <t>PP00028-32</t>
  </si>
  <si>
    <t>PR2025008</t>
  </si>
  <si>
    <t>PP00028-33</t>
  </si>
  <si>
    <t>1171884614 / 2</t>
  </si>
  <si>
    <t>PP00028-34</t>
  </si>
  <si>
    <t>1172779204 / 1</t>
  </si>
  <si>
    <t>1172779204 / 2</t>
  </si>
  <si>
    <t>PP00027-27</t>
  </si>
  <si>
    <t>GP109573</t>
  </si>
  <si>
    <t>P000716</t>
  </si>
  <si>
    <t>ET11-52.0/13.0-BLK-SPL</t>
  </si>
  <si>
    <t>1328900679 / 1</t>
  </si>
  <si>
    <t>PP00026-40</t>
  </si>
  <si>
    <t>P000538</t>
  </si>
  <si>
    <t>ET25-32.0/8.0-BLK-80mm</t>
  </si>
  <si>
    <t>PP00028-35</t>
  </si>
  <si>
    <t>E16718500</t>
  </si>
  <si>
    <t>CYG-DWT-RO-5.75-50</t>
  </si>
  <si>
    <t>PP00034-26</t>
  </si>
  <si>
    <t>V0</t>
  </si>
  <si>
    <t>E47408</t>
  </si>
  <si>
    <t>DWT(FR)-4-7.62-BLK-43 : 474</t>
  </si>
  <si>
    <t>PP00034-27</t>
  </si>
  <si>
    <t>PP00047-05</t>
  </si>
  <si>
    <t>PP00047-06</t>
  </si>
  <si>
    <t>P000764</t>
  </si>
  <si>
    <t>ET87-24.0/6.0-BLK-1220MM</t>
  </si>
  <si>
    <t>PP00047-07</t>
  </si>
  <si>
    <t>P000766</t>
  </si>
  <si>
    <t>ET87-24.0/6.0-RED-1220MM</t>
  </si>
  <si>
    <t>PP00047-08</t>
  </si>
  <si>
    <t>P000770</t>
  </si>
  <si>
    <t>ET87-17.8/4.4-RED-1220MM</t>
  </si>
  <si>
    <t>PP00047-09</t>
  </si>
  <si>
    <t>P000772</t>
  </si>
  <si>
    <t>ET87-32.0/8.0-RED-1220MM</t>
  </si>
  <si>
    <t>PP00047-10</t>
  </si>
  <si>
    <t>CYG-135F-6/2-50-BLK</t>
  </si>
  <si>
    <t>E58343</t>
  </si>
  <si>
    <t>PP00055-01</t>
  </si>
  <si>
    <t>Yazaki</t>
  </si>
  <si>
    <t>Philippines</t>
  </si>
  <si>
    <t>7094175030 Document ID 2578671</t>
  </si>
  <si>
    <t>P000634</t>
  </si>
  <si>
    <t>ET25-4.0/1.0R-BLK-50mm</t>
  </si>
  <si>
    <t>1336179295 / 3</t>
  </si>
  <si>
    <t>PP00055-02</t>
  </si>
  <si>
    <t>7094175130 Document ID 2578971</t>
  </si>
  <si>
    <t>ET25-4.0/1.0R-BLK-65mm</t>
  </si>
  <si>
    <t>1336179526 / 3</t>
  </si>
  <si>
    <t>PP00055-03</t>
  </si>
  <si>
    <t>7094171830 Document ID 2549661</t>
  </si>
  <si>
    <t>P000337</t>
  </si>
  <si>
    <t>ET25-5.7/1.3R-BLK-50mm</t>
  </si>
  <si>
    <t>1337022007 / 3</t>
  </si>
  <si>
    <t>PR2025009</t>
  </si>
  <si>
    <t>PP00055-04</t>
  </si>
  <si>
    <t>7094175230 Docuemt ID 2549661</t>
  </si>
  <si>
    <t>ET25-5.7/1.3R-BLK-65mm</t>
  </si>
  <si>
    <t>1337022299 / 3</t>
  </si>
  <si>
    <t>PP00055-05</t>
  </si>
  <si>
    <t>7094171430 Document ID 2508069</t>
  </si>
  <si>
    <t>P000342</t>
  </si>
  <si>
    <t>ET25-7.4/1.7R-BLK-50mm</t>
  </si>
  <si>
    <t>1337022427 / 3</t>
  </si>
  <si>
    <t>PP00055-06</t>
  </si>
  <si>
    <t>7094175330 Document ID 2508069</t>
  </si>
  <si>
    <t>1337022952 / 3</t>
  </si>
  <si>
    <t>PP00055-07</t>
  </si>
  <si>
    <t>7094175430 Document ID 2579977</t>
  </si>
  <si>
    <t>P000424</t>
  </si>
  <si>
    <t>ET25-9.0/2.3R-BLK-50mm</t>
  </si>
  <si>
    <t>1337023491 / 3</t>
  </si>
  <si>
    <t>PP00055-08</t>
  </si>
  <si>
    <t>7094175530 Document ID 2579977</t>
  </si>
  <si>
    <t>P000354</t>
  </si>
  <si>
    <t>ET25-9.0/2.3R-BLK-65mm</t>
  </si>
  <si>
    <t>1337023603 / 3</t>
  </si>
  <si>
    <t>PP00055-09</t>
  </si>
  <si>
    <t>7094171330 Document ID 2554077</t>
  </si>
  <si>
    <t>1337024036 / 3</t>
  </si>
  <si>
    <t>PP00055-10</t>
  </si>
  <si>
    <t>7094175630 Document ID 2554077</t>
  </si>
  <si>
    <t>P000340</t>
  </si>
  <si>
    <t>ET25-11.0/2.4R-BLK-65mm</t>
  </si>
  <si>
    <t>1337024090 / 3</t>
  </si>
  <si>
    <t>PP00055-11</t>
  </si>
  <si>
    <t>7094175730 Document ID 2579948</t>
  </si>
  <si>
    <t>P200304</t>
  </si>
  <si>
    <t>ET25-14.0/3.0R-BLK-50mm</t>
  </si>
  <si>
    <t>1337024150 / 3</t>
  </si>
  <si>
    <t>PP00055-12</t>
  </si>
  <si>
    <t>7094175830 Document ID 2579948</t>
  </si>
  <si>
    <t>P200305</t>
  </si>
  <si>
    <t>ET25-14.0/3.0R-BLK-65mm</t>
  </si>
  <si>
    <t>1337024257 / 3</t>
  </si>
  <si>
    <t>PP00055-13</t>
  </si>
  <si>
    <t>7094175930 Document ID 2560330</t>
  </si>
  <si>
    <t>P000415</t>
  </si>
  <si>
    <t>ET25-18.3/4.5R-BLK-50mm</t>
  </si>
  <si>
    <t>1337421163 / 3</t>
  </si>
  <si>
    <t>PP00055-14</t>
  </si>
  <si>
    <t>7094176030 Document ID 2560330</t>
  </si>
  <si>
    <t>P000355</t>
  </si>
  <si>
    <t>ET25-18.3/4.5R-BLK-65mm</t>
  </si>
  <si>
    <t>1337421477 / 3</t>
  </si>
  <si>
    <t>PP00055-15</t>
  </si>
  <si>
    <t>7094174030 Document ID 2597520</t>
  </si>
  <si>
    <t>ET84-3.2/1.0-BLK-35mm</t>
  </si>
  <si>
    <t>1337421571 / 3</t>
  </si>
  <si>
    <t>PP00055-16</t>
  </si>
  <si>
    <t>7094174130 Document ID 2597520</t>
  </si>
  <si>
    <t>ET84-3.2/1.0-BLK-50mm</t>
  </si>
  <si>
    <t>1337421755 / 3</t>
  </si>
  <si>
    <t>PP00055-17</t>
  </si>
  <si>
    <t>7094174230 Document ID 2575290</t>
  </si>
  <si>
    <t>P000677</t>
  </si>
  <si>
    <t>ET84-5.7/1.3-BLK-35mm</t>
  </si>
  <si>
    <t>1337422988 / 3</t>
  </si>
  <si>
    <t>PP00055-18</t>
  </si>
  <si>
    <t>7094174330 Document ID 2575290</t>
  </si>
  <si>
    <t>ET84-5.7/1.3-BLK-50mm</t>
  </si>
  <si>
    <t>1337423036 / 3</t>
  </si>
  <si>
    <t>PP00055-19</t>
  </si>
  <si>
    <t>7094174430 Document ID 2597551</t>
  </si>
  <si>
    <t>ET84-7.4/1.7-BLK-35mm</t>
  </si>
  <si>
    <t>1337423492 / 3</t>
  </si>
  <si>
    <t>PP00055-20</t>
  </si>
  <si>
    <t>7094174530 Document ID 2597551</t>
  </si>
  <si>
    <t>P000454</t>
  </si>
  <si>
    <t>ET84-7.4/1.7-BLK-50mm</t>
  </si>
  <si>
    <t>1337423803 / 3</t>
  </si>
  <si>
    <t>PP00055-21</t>
  </si>
  <si>
    <t>7094192030 Document ID 2598912</t>
  </si>
  <si>
    <t>P000389</t>
  </si>
  <si>
    <t>ET84-10.8/2.4-BLK-35mm</t>
  </si>
  <si>
    <t>1349949793 / 1</t>
  </si>
  <si>
    <t>PP00055-22</t>
  </si>
  <si>
    <t>7094174730 Document ID 2598912</t>
  </si>
  <si>
    <t>P000368</t>
  </si>
  <si>
    <t>ET84-10.8/2.4-BLK-50mm</t>
  </si>
  <si>
    <t>1337424298 / 3</t>
  </si>
  <si>
    <t>PP00055-23</t>
  </si>
  <si>
    <t>7094174830 Document ID 2598924</t>
  </si>
  <si>
    <t>1337424348 / 3</t>
  </si>
  <si>
    <t>PP00055-24</t>
  </si>
  <si>
    <t>7094174930 Document ID 2598924</t>
  </si>
  <si>
    <t>P000588</t>
  </si>
  <si>
    <t>ET84-18.3/4.4-BLK-50mm</t>
  </si>
  <si>
    <t>1337424421 / 3</t>
  </si>
  <si>
    <t>PP00055-25</t>
  </si>
  <si>
    <t>7094177030 Document ID 2580052</t>
  </si>
  <si>
    <t>P000818</t>
  </si>
  <si>
    <t>ET70-1.2/0.6-BLK-50mm</t>
  </si>
  <si>
    <t>1337034562 / 1</t>
  </si>
  <si>
    <t>PP00055-26</t>
  </si>
  <si>
    <t>7094177130 Document ID 2580056</t>
  </si>
  <si>
    <t>P000708</t>
  </si>
  <si>
    <t>ET70-1.6/0.8-BLK-50mm</t>
  </si>
  <si>
    <t>1335044010 / 2</t>
  </si>
  <si>
    <t>PP00055-27</t>
  </si>
  <si>
    <t>7094177230 Document ID 2580084</t>
  </si>
  <si>
    <t>ET70-3.2/1.6-BLK-50mm</t>
  </si>
  <si>
    <t>1337034879 / 1</t>
  </si>
  <si>
    <t>PP00055-28</t>
  </si>
  <si>
    <t>ET70-4.8/2.4-BLK-50mm</t>
  </si>
  <si>
    <t>1337034942 / 1</t>
  </si>
  <si>
    <t>PP00055-29</t>
  </si>
  <si>
    <t>7094177430 Document ID 2580094</t>
  </si>
  <si>
    <t>P000373</t>
  </si>
  <si>
    <t>ET70-6.4/3.2-BLK-50mm</t>
  </si>
  <si>
    <t>1337034991 / 1</t>
  </si>
  <si>
    <t>PP00055-30</t>
  </si>
  <si>
    <t>7094177530 Document ID 2581097</t>
  </si>
  <si>
    <t>ET70-9.5/4.8-BLK-50mm</t>
  </si>
  <si>
    <t>1337035166 / 1</t>
  </si>
  <si>
    <t>PP00055-31</t>
  </si>
  <si>
    <t>7094177630 Document ID 2580064</t>
  </si>
  <si>
    <t>P000376</t>
  </si>
  <si>
    <t>ET70-12.7/6.4-BLK-50mm</t>
  </si>
  <si>
    <t>1337036024 / 1</t>
  </si>
  <si>
    <t>PP00055-32</t>
  </si>
  <si>
    <t>7094177730 Document ID 2580069</t>
  </si>
  <si>
    <t>P000378</t>
  </si>
  <si>
    <t>ET70-19.1/9.5-BLK-50mm</t>
  </si>
  <si>
    <t>1337421218 / 1</t>
  </si>
  <si>
    <t>PP00028-36</t>
  </si>
  <si>
    <t>PP00028-37</t>
  </si>
  <si>
    <t>1173684082 / 1</t>
  </si>
  <si>
    <t>PP00028-38</t>
  </si>
  <si>
    <t>ET17-17.8/4.4-BLK-20mm</t>
  </si>
  <si>
    <t>PP00034-28</t>
  </si>
  <si>
    <t>E47418</t>
  </si>
  <si>
    <t>DWT(FR)-4-17.78-BLK-42 : 474</t>
  </si>
  <si>
    <t>PP00034-29</t>
  </si>
  <si>
    <t>P000440</t>
  </si>
  <si>
    <t>ET82-5.7/1.3-BLK-50mm</t>
  </si>
  <si>
    <t>PP00026-41</t>
  </si>
  <si>
    <t>P000804</t>
  </si>
  <si>
    <t>PP00056-01</t>
  </si>
  <si>
    <t>Sensiense</t>
  </si>
  <si>
    <t>ET35</t>
  </si>
  <si>
    <t>D000111</t>
  </si>
  <si>
    <t>P000939</t>
  </si>
  <si>
    <t>ET35-3.5-BLK-805mm</t>
  </si>
  <si>
    <t>1340272127 / 1</t>
  </si>
  <si>
    <t>PP00056-02</t>
  </si>
  <si>
    <t>P000940</t>
  </si>
  <si>
    <t>ET35-3.5-BLK-912mm</t>
  </si>
  <si>
    <t>1340277016 / 1</t>
  </si>
  <si>
    <t>PP00056-03</t>
  </si>
  <si>
    <t>P000938</t>
  </si>
  <si>
    <t>ET35-3.5-BLK-734mm</t>
  </si>
  <si>
    <t>1340277239 / 1</t>
  </si>
  <si>
    <t>PP00056-04</t>
  </si>
  <si>
    <t>P000936</t>
  </si>
  <si>
    <t>ET35-3.5-BLK-607mm</t>
  </si>
  <si>
    <t>1340277319 / 1</t>
  </si>
  <si>
    <t>PP00056-05</t>
  </si>
  <si>
    <t>P000937</t>
  </si>
  <si>
    <t>ET35-3.5-BLK-645mm</t>
  </si>
  <si>
    <t>1340277530 / 1</t>
  </si>
  <si>
    <t>PP00056-06</t>
  </si>
  <si>
    <t>P000941</t>
  </si>
  <si>
    <t>ET35-6.0-BLK-890mm</t>
  </si>
  <si>
    <t>1340277608 / 1</t>
  </si>
  <si>
    <t>PP00057-01</t>
  </si>
  <si>
    <t>Intercable</t>
  </si>
  <si>
    <t>1019882-01</t>
  </si>
  <si>
    <t>P000800</t>
  </si>
  <si>
    <t>ET00-18.0/6.0-BLK-SPL no printing</t>
  </si>
  <si>
    <t>1340253050 / 1</t>
  </si>
  <si>
    <t>PP00058-01</t>
  </si>
  <si>
    <t>COFAT</t>
  </si>
  <si>
    <t>8M01760168</t>
  </si>
  <si>
    <t>ET01</t>
  </si>
  <si>
    <t>D000003</t>
  </si>
  <si>
    <t>P000929</t>
  </si>
  <si>
    <t>ET01-6.4/3.2-BLK-SPL no printing</t>
  </si>
  <si>
    <t>1375318365 / 1</t>
  </si>
  <si>
    <t>PP00058-02</t>
  </si>
  <si>
    <t>8M01760167</t>
  </si>
  <si>
    <t>P000928</t>
  </si>
  <si>
    <t>ET01-4.8/2.4-BLK-SPL no printing</t>
  </si>
  <si>
    <t>1375318996 / 1</t>
  </si>
  <si>
    <t>PP00058-03</t>
  </si>
  <si>
    <t>ET11-32.0/8.0-BLK-SPL no printing</t>
  </si>
  <si>
    <t>1375319526 / 1</t>
  </si>
  <si>
    <t>PP00058-04</t>
  </si>
  <si>
    <t>ET11-24.0/6.0-BLK-SPL no printing</t>
  </si>
  <si>
    <t>1376102724 / 1</t>
  </si>
  <si>
    <t>PP00058-05</t>
  </si>
  <si>
    <t>ET11-4.0/1.0-BLK-SPL no printing</t>
  </si>
  <si>
    <t>1376103257 / 1</t>
  </si>
  <si>
    <t>PP00058-06</t>
  </si>
  <si>
    <t>ET11-16.0/4.0-BLK-SPL no printing</t>
  </si>
  <si>
    <t>1376103568 / 1</t>
  </si>
  <si>
    <t>PP00034-30</t>
  </si>
  <si>
    <t>1160610621 / 1</t>
  </si>
  <si>
    <t>PP00028-39</t>
  </si>
  <si>
    <t>ET17-27.9/8.4-BLK-50mm</t>
  </si>
  <si>
    <t>1160623765 / 1</t>
  </si>
  <si>
    <t>PP00028-40</t>
  </si>
  <si>
    <t>1188884297 / 2</t>
  </si>
  <si>
    <t>1188884584 / 1</t>
  </si>
  <si>
    <t>1189263052 / 1</t>
  </si>
  <si>
    <t>1189263411 / 1</t>
  </si>
  <si>
    <t>1189992264 / 1</t>
  </si>
  <si>
    <t>1197575741 / 1</t>
  </si>
  <si>
    <t>PP00026-42</t>
  </si>
  <si>
    <t>E62402</t>
  </si>
  <si>
    <t xml:space="preserve">	135F-2-4.8-BLK/STRIPES-50</t>
  </si>
  <si>
    <t>PP00026-43</t>
  </si>
  <si>
    <t>E62403</t>
  </si>
  <si>
    <t>135F-2-6.4-BLK/STRIPES-50</t>
  </si>
  <si>
    <t>PP00030-17</t>
  </si>
  <si>
    <t>707708-4-0100</t>
  </si>
  <si>
    <t>E51215</t>
  </si>
  <si>
    <t>DWT(RO)-4-45.00-BLK-102</t>
  </si>
  <si>
    <t>PP00036-23</t>
  </si>
  <si>
    <t>SLVP3092</t>
  </si>
  <si>
    <t>ET63</t>
  </si>
  <si>
    <t>D000095</t>
  </si>
  <si>
    <t>P000950</t>
  </si>
  <si>
    <t>ET63-6.0/1.00-BLU-SPL</t>
  </si>
  <si>
    <t>PP00030-16</t>
  </si>
  <si>
    <t>711798-4.0-0030</t>
  </si>
  <si>
    <t>P000108</t>
  </si>
  <si>
    <t>ET22-4.0/1.0-30MM-BLK</t>
  </si>
  <si>
    <t>PP00047-11</t>
  </si>
  <si>
    <t>IMDS sent to customer</t>
  </si>
  <si>
    <t>DWT-RO-1-25</t>
  </si>
  <si>
    <t>E58331</t>
  </si>
  <si>
    <t>DWT(RO)-4-5.75-BLK-25</t>
  </si>
  <si>
    <t>PP00060-10</t>
  </si>
  <si>
    <t>Hesto</t>
  </si>
  <si>
    <t>7094183130 Doc ID 2549663</t>
  </si>
  <si>
    <t>ET00-3.2/1.6-BLK-50mm</t>
  </si>
  <si>
    <t>1363395129 / 1</t>
  </si>
  <si>
    <t>PP00060-11</t>
  </si>
  <si>
    <t>7094183230 Doc ID 2549655</t>
  </si>
  <si>
    <t>ET00-4.8/2.4-BLK-50mm</t>
  </si>
  <si>
    <t>1368915686 / 1</t>
  </si>
  <si>
    <t>PP00060-12</t>
  </si>
  <si>
    <t>7094183330 Doc ID 2549657</t>
  </si>
  <si>
    <t>P000951</t>
  </si>
  <si>
    <t>ET00-1.6/0.8-BLK-50mm</t>
  </si>
  <si>
    <t>1368925860 / 1</t>
  </si>
  <si>
    <t>PP00060-13</t>
  </si>
  <si>
    <t>7094183430 Doc ID 2549665</t>
  </si>
  <si>
    <t>ET00-9.5/4.8-BLK-50mm</t>
  </si>
  <si>
    <t>1372859424 / 1</t>
  </si>
  <si>
    <t>PP00060-01</t>
  </si>
  <si>
    <t>ESLU5T-1A263-AA (CCC41A) DIA 5.72mm L:50mm B</t>
  </si>
  <si>
    <t>PP00060-02</t>
  </si>
  <si>
    <t>PP00060-03</t>
  </si>
  <si>
    <t>PP00060-04</t>
  </si>
  <si>
    <t>PP00060-05</t>
  </si>
  <si>
    <t>P000336</t>
  </si>
  <si>
    <t>ET25-5.7/1.3R-BLK-30mm</t>
  </si>
  <si>
    <t>PP00060-06</t>
  </si>
  <si>
    <t>PP00060-07</t>
  </si>
  <si>
    <t>P000360</t>
  </si>
  <si>
    <t>ET25-11.0/2.4R-BLK-30mm</t>
  </si>
  <si>
    <t>PP00060-08</t>
  </si>
  <si>
    <t>P000358</t>
  </si>
  <si>
    <t>ET25-18.3/4.5R-BLK-30mm</t>
  </si>
  <si>
    <t>PP00060-09</t>
  </si>
  <si>
    <t>1132173549 / 1</t>
  </si>
  <si>
    <t>PP00034-31</t>
  </si>
  <si>
    <t>EXP02150</t>
  </si>
  <si>
    <t>P000572</t>
  </si>
  <si>
    <t>ET86-5.0/1.3-BLK-35mm</t>
  </si>
  <si>
    <t>PP00025-05</t>
  </si>
  <si>
    <t>ZRM982448-02</t>
  </si>
  <si>
    <t>P000840</t>
  </si>
  <si>
    <t>ET04-3.2/1.6-BLK-40mm</t>
  </si>
  <si>
    <t>1339266626 / 1</t>
  </si>
  <si>
    <t>PP00028-41</t>
  </si>
  <si>
    <t>PP00061-01</t>
  </si>
  <si>
    <t>PP00034-32</t>
  </si>
  <si>
    <t>E47419</t>
  </si>
  <si>
    <t>DWT(FR)-5.08-BLK-35 : 474</t>
  </si>
  <si>
    <t>PP00042-0025</t>
  </si>
  <si>
    <t>1346880071 / 1</t>
  </si>
  <si>
    <t>PP00060-31</t>
  </si>
  <si>
    <t>7094183030 Doc ID 2549667</t>
  </si>
  <si>
    <t>P000953</t>
  </si>
  <si>
    <t>ET00-1.6/0.8-BLK-90MM</t>
  </si>
  <si>
    <t>1372860412 / 1</t>
  </si>
  <si>
    <t>PP00062-01</t>
  </si>
  <si>
    <t>7094176230 Document ID 2552486</t>
  </si>
  <si>
    <t>1349615142 / 1</t>
  </si>
  <si>
    <t>PP00062-02</t>
  </si>
  <si>
    <t>7094176430 Document ID 2553139</t>
  </si>
  <si>
    <t>1349615309 / 1</t>
  </si>
  <si>
    <t>PP00062-03</t>
  </si>
  <si>
    <t>7094176530 Document ID 2553141</t>
  </si>
  <si>
    <t>1349615588 / 1</t>
  </si>
  <si>
    <t>PP00062-04</t>
  </si>
  <si>
    <t>7094176330 Document ID 2553175</t>
  </si>
  <si>
    <t>1349615847 / 1</t>
  </si>
  <si>
    <t>PP00053-10</t>
  </si>
  <si>
    <t>P000733</t>
  </si>
  <si>
    <t>ET22-7.5/1.7-CLR-1220mm</t>
  </si>
  <si>
    <t>1348354161 / 1</t>
  </si>
  <si>
    <t>1132192015 / 1</t>
  </si>
  <si>
    <t>PP00028-42</t>
  </si>
  <si>
    <t>PP00026-44</t>
  </si>
  <si>
    <t>P000268</t>
  </si>
  <si>
    <t>ET25-7.4/1.7-BLK-35mm w/ Stripes</t>
  </si>
  <si>
    <t>1349379444 / 1</t>
  </si>
  <si>
    <t>Initial submission</t>
  </si>
  <si>
    <t>PP00042-0024</t>
  </si>
  <si>
    <t>P000364</t>
  </si>
  <si>
    <t>ET84-5.7/1.3-BLK-30mm</t>
  </si>
  <si>
    <t>1333037450 / 1</t>
  </si>
  <si>
    <t>PP00054-02</t>
  </si>
  <si>
    <t>1349381392 / 1</t>
  </si>
  <si>
    <t>PP00054-03</t>
  </si>
  <si>
    <t>1349381994 / 1</t>
  </si>
  <si>
    <t>PP00060-14</t>
  </si>
  <si>
    <t>7094193150 Doc ID 2568153</t>
  </si>
  <si>
    <t>P000977</t>
  </si>
  <si>
    <t>ET87-11.6/2.5-RED-50MM</t>
  </si>
  <si>
    <t>1364677600 / 1</t>
  </si>
  <si>
    <t>PP00060-15</t>
  </si>
  <si>
    <t>7094193050 Doc ID 2568165</t>
  </si>
  <si>
    <t>P000978</t>
  </si>
  <si>
    <t>ET87-11.6/2.5-RED-100MM</t>
  </si>
  <si>
    <t>1364684164 / 1</t>
  </si>
  <si>
    <t>1347277790 / 1</t>
  </si>
  <si>
    <t>PP00034-33</t>
  </si>
  <si>
    <t>1173684862 / 1</t>
  </si>
  <si>
    <t>PP00056-07</t>
  </si>
  <si>
    <t>P000497</t>
  </si>
  <si>
    <t>ET00-6.4/3.2-BLK-25mm</t>
  </si>
  <si>
    <t>1356223993 / 1</t>
  </si>
  <si>
    <t>PP00029-16</t>
  </si>
  <si>
    <t>ET25-18.3/4.5-BLK-110mm</t>
  </si>
  <si>
    <t>P000693</t>
  </si>
  <si>
    <t>1358903619 / 1</t>
  </si>
  <si>
    <t>PP00028-43</t>
  </si>
  <si>
    <t>PP00063-0002</t>
  </si>
  <si>
    <t>ET20</t>
  </si>
  <si>
    <t>D000018</t>
  </si>
  <si>
    <t>P000388</t>
  </si>
  <si>
    <t>ET20-19.1/6.0-RED-50mm</t>
  </si>
  <si>
    <t>1362695922 / 3</t>
  </si>
  <si>
    <t>PP00063-0003</t>
  </si>
  <si>
    <t>P000361</t>
  </si>
  <si>
    <t>ET25-5.7/1.3R-BLK-27mm</t>
  </si>
  <si>
    <t>1362304260 / 1</t>
  </si>
  <si>
    <t>PP00060-27</t>
  </si>
  <si>
    <t>7094171630 Doc ID 2595162</t>
  </si>
  <si>
    <t>P000987</t>
  </si>
  <si>
    <t>ET77-4.8/2.3-BLK-15mm</t>
  </si>
  <si>
    <t>1372860646 / 1</t>
  </si>
  <si>
    <t>PP00060-21</t>
  </si>
  <si>
    <t>7094193230 Doc ID 2595148</t>
  </si>
  <si>
    <t>1371131587 / 1</t>
  </si>
  <si>
    <t>PP00060-20</t>
  </si>
  <si>
    <t>7094193330 Doc ID 2595172</t>
  </si>
  <si>
    <t>P000184</t>
  </si>
  <si>
    <t>ET87-5.1/1.3-BLK-50mm</t>
  </si>
  <si>
    <t>1371133372 / 1</t>
  </si>
  <si>
    <t>PP00060-17</t>
  </si>
  <si>
    <t>7094193430 Doc ID 2595174</t>
  </si>
  <si>
    <t>ET87-17.8/4.4-BLK-50mm</t>
  </si>
  <si>
    <t>1371134175 / 1</t>
  </si>
  <si>
    <t>PP00060-16</t>
  </si>
  <si>
    <t>7094193530 Doc ID 2595176</t>
  </si>
  <si>
    <t>ET87-11.6/2.5-BLK-50mm</t>
  </si>
  <si>
    <t>1371152137 / 1</t>
  </si>
  <si>
    <t>PP00060-18</t>
  </si>
  <si>
    <t>7094193630 Doc ID 2595186</t>
  </si>
  <si>
    <t>ET87-7.6/1.7-BLK-50mm</t>
  </si>
  <si>
    <t>1371156536 / 1</t>
  </si>
  <si>
    <t>PP00060-23</t>
  </si>
  <si>
    <t>7094198030 Doc ID 2595182</t>
  </si>
  <si>
    <t>ET97</t>
  </si>
  <si>
    <t>D000104</t>
  </si>
  <si>
    <t>P000981</t>
  </si>
  <si>
    <t>ET97-4.8/2.4-BLK-50mm</t>
  </si>
  <si>
    <t>1371533988 / 1</t>
  </si>
  <si>
    <t>PP00060-26</t>
  </si>
  <si>
    <t>7094198130 Doc ID 2595164</t>
  </si>
  <si>
    <t>P000980</t>
  </si>
  <si>
    <t>ET97-3.2/1.6-BLK-50mm</t>
  </si>
  <si>
    <t>1371536350 / 2</t>
  </si>
  <si>
    <t>PP00060-30</t>
  </si>
  <si>
    <t>7094198230 Doc ID 2595144</t>
  </si>
  <si>
    <t>P000982</t>
  </si>
  <si>
    <t>ET97-1.6/0.8-BLK-50mm</t>
  </si>
  <si>
    <t>1371536973 / 1</t>
  </si>
  <si>
    <t>PP00060-22</t>
  </si>
  <si>
    <t>7094198330 Doc ID 2595184</t>
  </si>
  <si>
    <t>P000983</t>
  </si>
  <si>
    <t>ET97-9.5/4.8-BLK-50mm</t>
  </si>
  <si>
    <t>1371537793 / 1</t>
  </si>
  <si>
    <t>PP00060-25</t>
  </si>
  <si>
    <t>7094198430 Doc ID 2595166</t>
  </si>
  <si>
    <t>P000984</t>
  </si>
  <si>
    <t>ET97-1.6/0.8-BLK-90mm</t>
  </si>
  <si>
    <t>1371538066 / 1</t>
  </si>
  <si>
    <t>PP00060-24</t>
  </si>
  <si>
    <t>7094199030 Doc ID 2595170</t>
  </si>
  <si>
    <t>P000986</t>
  </si>
  <si>
    <t>ET87-5.1/1.3-BLK-30mm</t>
  </si>
  <si>
    <t>1371160029 / 1</t>
  </si>
  <si>
    <t>PP00060-19</t>
  </si>
  <si>
    <t>7094199130 Doc ID 2595168</t>
  </si>
  <si>
    <t>P000771</t>
  </si>
  <si>
    <t>ET87-17.8/4.4-BLK-30mm</t>
  </si>
  <si>
    <t>1371530541 / 1</t>
  </si>
  <si>
    <t>PP00060-29</t>
  </si>
  <si>
    <t>7094199230 Doc ID 2595150</t>
  </si>
  <si>
    <t>P000972</t>
  </si>
  <si>
    <t>ET87-11.6/2.5-BLK-30mm</t>
  </si>
  <si>
    <t>1371531328 / 1</t>
  </si>
  <si>
    <t>PP00060-28</t>
  </si>
  <si>
    <t>7094199330 Doc ID 2595152</t>
  </si>
  <si>
    <t>P000985</t>
  </si>
  <si>
    <t>ET87-17.8/4.4-BLK-35mm</t>
  </si>
  <si>
    <t>1371532686 / 1</t>
  </si>
  <si>
    <t>PP00028-44</t>
  </si>
  <si>
    <t>PP00065-01</t>
  </si>
  <si>
    <t>Brose</t>
  </si>
  <si>
    <t>G8G1W5-100</t>
  </si>
  <si>
    <t>ET98</t>
  </si>
  <si>
    <t>D000119</t>
  </si>
  <si>
    <t>P001006</t>
  </si>
  <si>
    <t>ET98-34.5/23-36/24-22.5/15-BLK</t>
  </si>
  <si>
    <t>1358902386 / 4</t>
  </si>
  <si>
    <t>PP00064-01</t>
  </si>
  <si>
    <t>Voltaira</t>
  </si>
  <si>
    <t>P000933</t>
  </si>
  <si>
    <t>ET22-24.0/6.0-RED-1220mm</t>
  </si>
  <si>
    <t>1368512388 / 2</t>
  </si>
  <si>
    <t>PP00064-02</t>
  </si>
  <si>
    <t>P000934</t>
  </si>
  <si>
    <t>ET22-11.0/2.4-RED-1220mm</t>
  </si>
  <si>
    <t>1368512637 / 2</t>
  </si>
  <si>
    <t>PP00061-06</t>
  </si>
  <si>
    <t>P200318</t>
  </si>
  <si>
    <t>ET25-11.0/2.4R-BLK-35mm</t>
  </si>
  <si>
    <t>1368894275 / 2</t>
  </si>
  <si>
    <t>PP00028-45</t>
  </si>
  <si>
    <t>1173683423 / 1</t>
  </si>
  <si>
    <t>PP00028-46</t>
  </si>
  <si>
    <t>1076160554 / 2</t>
  </si>
  <si>
    <t>1210982220 / 1</t>
  </si>
  <si>
    <t>1194209127 / 1</t>
  </si>
  <si>
    <t>1214709577 / 1</t>
  </si>
  <si>
    <t>1214745059 / 1</t>
  </si>
  <si>
    <t>1214811503 / 1</t>
  </si>
  <si>
    <t>PP00032-34</t>
  </si>
  <si>
    <t>PP00034-34</t>
  </si>
  <si>
    <t>P000348</t>
  </si>
  <si>
    <t>ET82-7.4/1.7-BLK-65mm</t>
  </si>
  <si>
    <t>1346860713 / 1</t>
  </si>
  <si>
    <t>PP00034-35</t>
  </si>
  <si>
    <t>E47413</t>
  </si>
  <si>
    <t>DWT(VTO)CAP-4-7.40-BLK-35</t>
  </si>
  <si>
    <t>PP00034-36</t>
  </si>
  <si>
    <t>P000346</t>
  </si>
  <si>
    <t>ET82-4.0/1.0-BLK-65mm</t>
  </si>
  <si>
    <t>1349383511 / 1</t>
  </si>
  <si>
    <t>1242955812 / 1</t>
  </si>
  <si>
    <t>1256732125 / 1</t>
  </si>
  <si>
    <t>PP00060-32</t>
  </si>
  <si>
    <t>P001009</t>
  </si>
  <si>
    <t>ET87-7.6/1.7-RED-50MM</t>
  </si>
  <si>
    <t>PP00060-33</t>
  </si>
  <si>
    <t>P001010</t>
  </si>
  <si>
    <t>ET87-7.6/1.7-RED-100MM</t>
  </si>
  <si>
    <t>PP00042-0026</t>
  </si>
  <si>
    <t>1380450387 / 1</t>
  </si>
  <si>
    <t>PP00034-37</t>
  </si>
  <si>
    <t>1374507593 / 1</t>
  </si>
  <si>
    <t>PP00028-47</t>
  </si>
  <si>
    <t>E34515700</t>
  </si>
  <si>
    <t>P000137</t>
  </si>
  <si>
    <t>ET22-7.5/1.7-15MM-BLK</t>
  </si>
  <si>
    <t>1292705003 / 1</t>
  </si>
  <si>
    <t>PP00034-38</t>
  </si>
  <si>
    <t>1374510364 / 1</t>
  </si>
  <si>
    <t>PP00034-39</t>
  </si>
  <si>
    <t>1374510778 / 1</t>
  </si>
  <si>
    <t>PP00028-48</t>
  </si>
  <si>
    <t>PR2025016</t>
  </si>
  <si>
    <t>PP00057-04</t>
  </si>
  <si>
    <t>P000646</t>
  </si>
  <si>
    <t>ET00-24.0/8.0-ORG-SPL</t>
  </si>
  <si>
    <t>1384277421 / 2</t>
  </si>
  <si>
    <t>PP00057-02</t>
  </si>
  <si>
    <t>P000850</t>
  </si>
  <si>
    <t>ET00-30.0/15.0-ORG-SPL</t>
  </si>
  <si>
    <t>1384276190 / 1</t>
  </si>
  <si>
    <t>PP00057-03</t>
  </si>
  <si>
    <t>P000645</t>
  </si>
  <si>
    <t>ET00-38.0/19.0-ORG-SPL</t>
  </si>
  <si>
    <t>1384276619 / 1</t>
  </si>
  <si>
    <t>PP00066-01</t>
  </si>
  <si>
    <t>Leoni</t>
  </si>
  <si>
    <t>P00495963</t>
  </si>
  <si>
    <t>E57011</t>
  </si>
  <si>
    <t>CYG-135F,2:1,1.20,BLUE</t>
  </si>
  <si>
    <t>1230815655 / 1</t>
  </si>
  <si>
    <t>1201094179 / 1</t>
  </si>
  <si>
    <t>1245240801 / 1</t>
  </si>
  <si>
    <t>1245243969 / 1</t>
  </si>
  <si>
    <t>E42803</t>
  </si>
  <si>
    <t>E42801</t>
  </si>
  <si>
    <t>HT-15-B-0 LENGTH</t>
  </si>
  <si>
    <t>PP00046-03</t>
  </si>
  <si>
    <t>SHRINKTUBE15BLACK-EA</t>
  </si>
  <si>
    <t>E42804</t>
  </si>
  <si>
    <t>CYG-HT-15-120MM Length</t>
  </si>
  <si>
    <t>PP00026-45</t>
  </si>
  <si>
    <t>E62431</t>
  </si>
  <si>
    <t>DWT-RO-4-28.0-BK/STRIPES-33mm</t>
  </si>
  <si>
    <t>PP00026-46</t>
  </si>
  <si>
    <t>E62432</t>
  </si>
  <si>
    <t>DWT-RO-4-7.40-Blk/Stripes-33mm</t>
  </si>
  <si>
    <t>PP00026-47</t>
  </si>
  <si>
    <t>E62430</t>
  </si>
  <si>
    <t>DWT-RO-4-18.3-Blk/Stripes-25mm</t>
  </si>
  <si>
    <t>PP00026-48</t>
  </si>
  <si>
    <t>E62433</t>
  </si>
  <si>
    <t>DWT-RO-4-28.0-Blk/Stripes-45mm</t>
  </si>
  <si>
    <t>PP00067-01</t>
  </si>
  <si>
    <t>Senko</t>
  </si>
  <si>
    <t>Japan</t>
  </si>
  <si>
    <t>1385493488 / 1</t>
  </si>
  <si>
    <t>PP00067-02</t>
  </si>
  <si>
    <t>1385504305 / 1</t>
  </si>
  <si>
    <t>PP00067-03</t>
  </si>
  <si>
    <t>1385508961 / 1</t>
  </si>
  <si>
    <t>PP00067-04</t>
  </si>
  <si>
    <t>P001068</t>
  </si>
  <si>
    <t>ET87-7.6/1.7-BLK-65mm</t>
  </si>
  <si>
    <t>1385510387 / 1</t>
  </si>
  <si>
    <t>PP00067-05</t>
  </si>
  <si>
    <t>P001069</t>
  </si>
  <si>
    <t>ET87-5.1/1.3-BLK-33mm</t>
  </si>
  <si>
    <t>1385520567 / 1</t>
  </si>
  <si>
    <t>PP00028-49</t>
  </si>
  <si>
    <t>PP00032-35</t>
  </si>
  <si>
    <t>1161359076 / 1</t>
  </si>
  <si>
    <t>PP00067-22</t>
  </si>
  <si>
    <t>P001090</t>
  </si>
  <si>
    <t>ET87-5.1/1.3-BLK-65mm</t>
  </si>
  <si>
    <t>1394585334 / 1</t>
  </si>
  <si>
    <t>PP00067-23</t>
  </si>
  <si>
    <t>P001087</t>
  </si>
  <si>
    <t>ET87-11.6/2.5-BLK-65mm</t>
  </si>
  <si>
    <t>1394585468 / 1</t>
  </si>
  <si>
    <t>PP00067-24</t>
  </si>
  <si>
    <t>P001088</t>
  </si>
  <si>
    <t>ET87-17.8/4.4-BLK-65mm</t>
  </si>
  <si>
    <t>1394585552 / 1</t>
  </si>
  <si>
    <t>PP00028-50</t>
  </si>
  <si>
    <t>PP00067-13</t>
  </si>
  <si>
    <t>P001080</t>
  </si>
  <si>
    <t>ET87-11.6/2.5-BLK-33mm</t>
  </si>
  <si>
    <t>1388020665 / 1</t>
  </si>
  <si>
    <t>PP00067-14</t>
  </si>
  <si>
    <t>P001083</t>
  </si>
  <si>
    <t>ET87-11.6/2.5-RED-33mm</t>
  </si>
  <si>
    <t>1388371797 / 1</t>
  </si>
  <si>
    <t>PP00067-15</t>
  </si>
  <si>
    <t>P001085</t>
  </si>
  <si>
    <t>ET87-11.6/2.5-BLK-40mm</t>
  </si>
  <si>
    <t>1388373582 / 1</t>
  </si>
  <si>
    <t>PP00067-16</t>
  </si>
  <si>
    <t>P001081</t>
  </si>
  <si>
    <t>ET87-17.8/4.4-BLK-33mm</t>
  </si>
  <si>
    <t>1388376764 / 1</t>
  </si>
  <si>
    <t>PP00067-17</t>
  </si>
  <si>
    <t>P001084</t>
  </si>
  <si>
    <t>ET87-17.8/4.4-RED-33mm</t>
  </si>
  <si>
    <t>1388387644 / 1</t>
  </si>
  <si>
    <t>PP00067-18</t>
  </si>
  <si>
    <t>P001086</t>
  </si>
  <si>
    <t>ET87-5.1/1.3-BLK-15mm</t>
  </si>
  <si>
    <t>1388387812 / 1</t>
  </si>
  <si>
    <t>PP00067-06</t>
  </si>
  <si>
    <t>ET49</t>
  </si>
  <si>
    <t>D000063</t>
  </si>
  <si>
    <t>P001072</t>
  </si>
  <si>
    <t>ET49-12.7/6.4-BLK-33mm</t>
  </si>
  <si>
    <t>1394556287 / 2</t>
  </si>
  <si>
    <t>PP00067-19</t>
  </si>
  <si>
    <t>P001079</t>
  </si>
  <si>
    <t>ET87-7.6/1.7-BLK-33mm</t>
  </si>
  <si>
    <t>1388388063 / 1</t>
  </si>
  <si>
    <t>PP00067-20</t>
  </si>
  <si>
    <t>P001082</t>
  </si>
  <si>
    <t>ET87-7.6/1.7-RED-33mm</t>
  </si>
  <si>
    <t>1388388281 / 1</t>
  </si>
  <si>
    <t>PP00067-07</t>
  </si>
  <si>
    <t>P001073</t>
  </si>
  <si>
    <t>ET49-12.7/6.4-BLK-50mm</t>
  </si>
  <si>
    <t>1394556857 / 1</t>
  </si>
  <si>
    <t>PP00067-08</t>
  </si>
  <si>
    <t>P001074</t>
  </si>
  <si>
    <t>ET49-3.2/1.6-BLK-50mm</t>
  </si>
  <si>
    <t>1394574886 / 1</t>
  </si>
  <si>
    <t>PP00067-09</t>
  </si>
  <si>
    <t>P001075</t>
  </si>
  <si>
    <t>ET49-4.8/2.4-BLK-15mm</t>
  </si>
  <si>
    <t>1394576790 / 1</t>
  </si>
  <si>
    <t>PP00067-10</t>
  </si>
  <si>
    <t>P001076</t>
  </si>
  <si>
    <t>ET49-4.8/2.4-BLK-50mm</t>
  </si>
  <si>
    <t>1394578943 / 1</t>
  </si>
  <si>
    <t>PP00067-11</t>
  </si>
  <si>
    <t>P001077</t>
  </si>
  <si>
    <t>ET49-6.4/3.2-BLK-50mm</t>
  </si>
  <si>
    <t>1394585145 / 1</t>
  </si>
  <si>
    <t>PP00067-12</t>
  </si>
  <si>
    <t>P001078</t>
  </si>
  <si>
    <t>ET49-9.5/4.8-BLK-50mm</t>
  </si>
  <si>
    <t>1394585216 / 1</t>
  </si>
  <si>
    <t>PP00067-21</t>
  </si>
  <si>
    <t>1387597435 / 1</t>
  </si>
  <si>
    <t>1134426525 / 1</t>
  </si>
  <si>
    <t>PP00042-0027</t>
  </si>
  <si>
    <t>P000499</t>
  </si>
  <si>
    <t>ET00-6.4/3.2-BLK-40mm</t>
  </si>
  <si>
    <t>1395846143 / 1</t>
  </si>
  <si>
    <t>PR2025002</t>
  </si>
  <si>
    <t>PP00061-07</t>
  </si>
  <si>
    <t>7094174930 Document ID 2673163</t>
  </si>
  <si>
    <t>1395553124 / 1</t>
  </si>
  <si>
    <t>PP00061-08</t>
  </si>
  <si>
    <t>7094174530 Document ID 2673193</t>
  </si>
  <si>
    <t>1395553289 / 1</t>
  </si>
  <si>
    <t>PP00061-09</t>
  </si>
  <si>
    <t>7094174730 Document ID 2673191</t>
  </si>
  <si>
    <t>1395553508 / 1</t>
  </si>
  <si>
    <t>PP00068-01</t>
  </si>
  <si>
    <t>EDS Manufacturing</t>
  </si>
  <si>
    <t>ET87 7.6/1.7</t>
  </si>
  <si>
    <t>ET87-7.6/1.7-BLK-1220mm</t>
  </si>
  <si>
    <t>1393860231 / 1</t>
  </si>
  <si>
    <t>PP00028-51</t>
  </si>
  <si>
    <t>PP00034-40</t>
  </si>
  <si>
    <t>1374511701 / 1</t>
  </si>
  <si>
    <t>PP00028-52</t>
  </si>
  <si>
    <t>PP00028-53</t>
  </si>
  <si>
    <t>1188108153 / 1</t>
  </si>
  <si>
    <t>1189551671 / 1</t>
  </si>
  <si>
    <t>1188110244 / 1</t>
  </si>
  <si>
    <t>1188109083 / 1</t>
  </si>
  <si>
    <t>8M01760168M</t>
  </si>
  <si>
    <t>8M01760167M</t>
  </si>
  <si>
    <t>8001113010M</t>
  </si>
  <si>
    <t>8001113009M</t>
  </si>
  <si>
    <t>8001113005M</t>
  </si>
  <si>
    <t>8001113008M</t>
  </si>
  <si>
    <t>PP00034-41</t>
  </si>
  <si>
    <t>1380105017 / 1</t>
  </si>
  <si>
    <t>1165241008 / 1</t>
  </si>
  <si>
    <t>1285136462 / 1</t>
  </si>
  <si>
    <t>1285137916 / 1</t>
  </si>
  <si>
    <t>1285142630 / 1</t>
  </si>
  <si>
    <t>1285143563 / 1</t>
  </si>
  <si>
    <t>G8G1W5-101</t>
  </si>
  <si>
    <t>ET98-29/23-29/22-18/11-BLK</t>
  </si>
  <si>
    <t>1400918240 / 2</t>
  </si>
  <si>
    <t>PP00028-54</t>
  </si>
  <si>
    <t>PP00028-55</t>
  </si>
  <si>
    <t>1153164534 / 1</t>
  </si>
  <si>
    <t>PP00028-56</t>
  </si>
  <si>
    <t>1153163904 / 1</t>
  </si>
  <si>
    <t>PP00028-57</t>
  </si>
  <si>
    <t>PP00024-24</t>
  </si>
  <si>
    <t>836149091 / 2</t>
  </si>
  <si>
    <t>PP00060-34</t>
  </si>
  <si>
    <t>7094177530 Doc ID 2581097</t>
  </si>
  <si>
    <t>1408097197 / 1</t>
  </si>
  <si>
    <t>PP00069-01</t>
  </si>
  <si>
    <t>Draexlmaier</t>
  </si>
  <si>
    <t>S8100199</t>
  </si>
  <si>
    <t>1408940282 / 2</t>
  </si>
  <si>
    <t>PP00024-25</t>
  </si>
  <si>
    <t>E13723600</t>
  </si>
  <si>
    <t>E74905</t>
  </si>
  <si>
    <t>DWT(RO) 4:1 SHRINK RATIO, 14.00 ID, RD, 40mm</t>
  </si>
  <si>
    <t>PP00024-26</t>
  </si>
  <si>
    <t>E13723900</t>
  </si>
  <si>
    <t>E74907</t>
  </si>
  <si>
    <t>DWT(RO) 4:1 SHRINK RATIO, 5.75 ID, RED, 40 MM</t>
  </si>
  <si>
    <t>PP00034-42</t>
  </si>
  <si>
    <t>1383251679 / 1</t>
  </si>
  <si>
    <t>PP00034-43</t>
  </si>
  <si>
    <t>Information sent to customer</t>
  </si>
  <si>
    <t>ET102</t>
  </si>
  <si>
    <t>D000105</t>
  </si>
  <si>
    <t>P000989</t>
  </si>
  <si>
    <t>MDS requested</t>
  </si>
  <si>
    <t>DWT(RO) 4:1 SHRINK RATIO, 5.75 ID, BK, 25mm</t>
  </si>
  <si>
    <t>PP00047-13</t>
  </si>
  <si>
    <t>DWT-RO-1-STK</t>
  </si>
  <si>
    <t>E58302</t>
  </si>
  <si>
    <t>CYG-DWT(RO),4:1 SHRINK RATIO, 5.75 ID, BLACK</t>
  </si>
  <si>
    <t>PP00047-14</t>
  </si>
  <si>
    <t>DWT-RO-2-STK</t>
  </si>
  <si>
    <t>E58307</t>
  </si>
  <si>
    <t xml:space="preserve">DWT(RO) 4:1 SHRINK RATIO, 7.60 ID, BK, </t>
  </si>
  <si>
    <t>PP00053-11</t>
  </si>
  <si>
    <t>P000813</t>
  </si>
  <si>
    <t>ET21-19.0/6.0-RD-60mm</t>
  </si>
  <si>
    <t>1415658348 / 1</t>
  </si>
  <si>
    <t>PR2025006</t>
  </si>
  <si>
    <t>PP00047-16</t>
  </si>
  <si>
    <t>CYG-135F-1/4-40-BLK</t>
  </si>
  <si>
    <t>E58332</t>
  </si>
  <si>
    <t>135F, 2:1 SHRINK RATIO, 6.40 ID, BLK, 40MM</t>
  </si>
  <si>
    <t>PP00028-58</t>
  </si>
  <si>
    <t>1171171980 / 2</t>
  </si>
  <si>
    <t>PP00042-0028</t>
  </si>
  <si>
    <t>P000455</t>
  </si>
  <si>
    <t>ET84-7.4/1.7-CLR-50mm</t>
  </si>
  <si>
    <t>1416660873 / 2</t>
  </si>
  <si>
    <t>PP00047-17</t>
  </si>
  <si>
    <t>CYG-135F-3/8-1000-BLK</t>
  </si>
  <si>
    <t>E58341</t>
  </si>
  <si>
    <t>135F, 2:1 SHRINK RATIO, 9.50 ID, BLK</t>
  </si>
  <si>
    <t>PP00047-18</t>
  </si>
  <si>
    <t>135F, 2:1 SHRINK RATIO, 12.7 ID, BLK, 50MM LENGTH</t>
  </si>
  <si>
    <t>PP00047-19</t>
  </si>
  <si>
    <t>DWT-RO-2-75MM</t>
  </si>
  <si>
    <t>E58306</t>
  </si>
  <si>
    <t>CYG-DWT (RO), 4:1 SHRINK RATIO, 7.60 ID, BLACK, 75MM LENGTH</t>
  </si>
  <si>
    <t>PP00032-36</t>
  </si>
  <si>
    <t>1160608585 / 1</t>
  </si>
  <si>
    <t>PP00032-37</t>
  </si>
  <si>
    <t>E50924900</t>
  </si>
  <si>
    <t>P001029</t>
  </si>
  <si>
    <t>ET00-2.4/1.2-BLK-50MM</t>
  </si>
  <si>
    <t>1418818478 / 1</t>
  </si>
  <si>
    <t>PR2025007</t>
  </si>
  <si>
    <t>PP00028-59</t>
  </si>
  <si>
    <t>PP00047-12</t>
  </si>
  <si>
    <t>CYG-135F-1/2-1000-BLK</t>
  </si>
  <si>
    <t>E58333</t>
  </si>
  <si>
    <t>135F-2-12.7-BLK</t>
  </si>
  <si>
    <t>1405436172 / 1</t>
  </si>
  <si>
    <t>PP00047-15</t>
  </si>
  <si>
    <t>CYG-135F-1/4-1000-BLK</t>
  </si>
  <si>
    <t>E58339</t>
  </si>
  <si>
    <t>135F, 2:1 SHRINK RATIO, 6.40 ID, BLK</t>
  </si>
  <si>
    <t>PP00045-05</t>
  </si>
  <si>
    <t>E4407</t>
  </si>
  <si>
    <t>DWT(RO) 4:1 SHRINK RATIO 32.0 ID BLK 100MM</t>
  </si>
  <si>
    <t>PP00029-17</t>
  </si>
  <si>
    <t>DWT(VTS) #4-40mm</t>
  </si>
  <si>
    <t>E69612</t>
  </si>
  <si>
    <t>CYG-DWT(VTS), 4:1 SHRINK RATIO, 17.8 ID BLK 40MM</t>
  </si>
  <si>
    <t>PP00028-60</t>
  </si>
  <si>
    <t>PP00028-61</t>
  </si>
  <si>
    <t>1172779258 / 2</t>
  </si>
  <si>
    <t>PP00028-62</t>
  </si>
  <si>
    <t>PP00028-63</t>
  </si>
  <si>
    <t>PP00028-64</t>
  </si>
  <si>
    <t>PP00028-65</t>
  </si>
  <si>
    <t>E25727200</t>
  </si>
  <si>
    <t>E74937</t>
  </si>
  <si>
    <t>DWT(RO) 4:1 SHRINK RATIO, 32.0 ID, RED, 50MM LENGTH</t>
  </si>
  <si>
    <t>984817423 / 1</t>
  </si>
  <si>
    <t>PP00028-66</t>
  </si>
  <si>
    <t>E09481400</t>
  </si>
  <si>
    <t>E74921</t>
  </si>
  <si>
    <t>CYG-DWT(VTS),4:1 SHRINK RATIO, 7.62 ID,BLK,50MM LENGTH</t>
  </si>
  <si>
    <t>PP00028-67</t>
  </si>
  <si>
    <t>E25072100</t>
  </si>
  <si>
    <t>E74935</t>
  </si>
  <si>
    <t>CB-HFT 4:1 SHRINK RATIO, 18.0 ID, BLK</t>
  </si>
  <si>
    <t>912298266 / 1</t>
  </si>
  <si>
    <t>PP00028-68</t>
  </si>
  <si>
    <t>1152754527 / 1</t>
  </si>
  <si>
    <t>PP00028-69</t>
  </si>
  <si>
    <t>PP00028-70</t>
  </si>
  <si>
    <t>E34428000</t>
  </si>
  <si>
    <t>1300849554 / 1</t>
  </si>
  <si>
    <t>PP00028-71</t>
  </si>
  <si>
    <t>1152763196 / 1</t>
  </si>
  <si>
    <t>PP00028-72</t>
  </si>
  <si>
    <t>E45017100</t>
  </si>
  <si>
    <t>P000775</t>
  </si>
  <si>
    <t>ET87-9.0/2.3-60MM-BLK</t>
  </si>
  <si>
    <t>1309072701 / 1</t>
  </si>
  <si>
    <t>PP00028-73</t>
  </si>
  <si>
    <t>E39044000</t>
  </si>
  <si>
    <t>1303588700 / 1</t>
  </si>
  <si>
    <t>PP00028-74</t>
  </si>
  <si>
    <t>E39041600</t>
  </si>
  <si>
    <t>P000255</t>
  </si>
  <si>
    <t>ET25-11.0/2.5-BLK-35mm</t>
  </si>
  <si>
    <t>PP00047-23</t>
  </si>
  <si>
    <t>DWT-RO-2A-50MM</t>
  </si>
  <si>
    <t>E58310</t>
  </si>
  <si>
    <t>DWT(RO) 4:1 SHRINK RATIO, 9.02 ID, BLK, 50MM</t>
  </si>
  <si>
    <t>Submited</t>
  </si>
  <si>
    <t>PP00036-24</t>
  </si>
  <si>
    <t>Approved 2018</t>
  </si>
  <si>
    <t>HSTP1086</t>
  </si>
  <si>
    <t>E84408</t>
  </si>
  <si>
    <t>DWT(RO) 4:1 SHRINK RATIO, 18.30 ID, BLK, 50MM LENGTH</t>
  </si>
  <si>
    <t>Approved in 2018</t>
  </si>
  <si>
    <t>PP00047-24</t>
  </si>
  <si>
    <t>DWT-RO-4-75MM</t>
  </si>
  <si>
    <t>E58323</t>
  </si>
  <si>
    <t>DWT(RO) 4:1 SHRINK RATIO, 17.80 ID, BK, 75mm</t>
  </si>
  <si>
    <t>PP00061-11</t>
  </si>
  <si>
    <t>PPAP ready to be sent to customer</t>
  </si>
  <si>
    <t>ET25-18.3/4.5R-BK-50mm</t>
  </si>
  <si>
    <t>1429983779 / 1</t>
  </si>
  <si>
    <t>PP00061-10</t>
  </si>
  <si>
    <t>ET25-5.7/1.3R-BK-50mm</t>
  </si>
  <si>
    <t>1429982031 / 1</t>
  </si>
  <si>
    <t>PP00047-20</t>
  </si>
  <si>
    <t>CYG-135F-3/8-25-BLK</t>
  </si>
  <si>
    <t>E58345</t>
  </si>
  <si>
    <t>135F, 2:1 SHRINK RATIO, ID 9.5, BLK, 25MM</t>
  </si>
  <si>
    <t>Now requested (13-jun-2025)</t>
  </si>
  <si>
    <t>PP00047-21</t>
  </si>
  <si>
    <t>CYG-MT(HX)-2X-S0-12.7-2</t>
  </si>
  <si>
    <t>E58330</t>
  </si>
  <si>
    <t>MT(HX)-2X-S0-12.7-2 RD HS Wire Identification Sleeves</t>
  </si>
  <si>
    <t>PP00047-22</t>
  </si>
  <si>
    <t>DWT-RO-2-65MM</t>
  </si>
  <si>
    <t>E58353</t>
  </si>
  <si>
    <t>DWT (RO), 4:1 SHRINK RATIO, 7.40 ID, BK, 65mm</t>
  </si>
  <si>
    <t>1303589769 / 1</t>
  </si>
  <si>
    <t>PP00028-75</t>
  </si>
  <si>
    <t>PP00028-76</t>
  </si>
  <si>
    <t>E34934500</t>
  </si>
  <si>
    <t>P000135</t>
  </si>
  <si>
    <t>ET15-18.3/4.4-BLK-50mm</t>
  </si>
  <si>
    <t>1326974042 / 1</t>
  </si>
  <si>
    <t>PP00028-77</t>
  </si>
  <si>
    <t>E43971800</t>
  </si>
  <si>
    <t>P000727</t>
  </si>
  <si>
    <t>ET15-4.0/1.0-BLK-50mm</t>
  </si>
  <si>
    <t>PP00053-12</t>
  </si>
  <si>
    <t>P000655</t>
  </si>
  <si>
    <t>ET00-9.5/4.8-RD-1220mm</t>
  </si>
  <si>
    <t>1426132991 / 1</t>
  </si>
  <si>
    <t>PR2025011</t>
  </si>
  <si>
    <t>PP00047-25</t>
  </si>
  <si>
    <t>CYG-MT(HX)-3X-S3-9.5-9</t>
  </si>
  <si>
    <t>E58351</t>
  </si>
  <si>
    <t>MT(HX)-3X-S3-9.5-9-19mm HS Wire Identification Sleeves48-50mm with three cut to 19mm*2pcs</t>
  </si>
  <si>
    <t>1326975182 / 1</t>
  </si>
  <si>
    <t>PP00047-26</t>
  </si>
  <si>
    <t>CYG-135F-9/3-50-BLK</t>
  </si>
  <si>
    <t>E58344</t>
  </si>
  <si>
    <t>135F, 3:1 SHRINK RATIO, 9.00 ID, BK</t>
  </si>
  <si>
    <t>Material not sold yet, just forecast</t>
  </si>
  <si>
    <t>PP00047-27</t>
  </si>
  <si>
    <t>DWT-RO-3-75MM</t>
  </si>
  <si>
    <t>E58316</t>
  </si>
  <si>
    <t>DWT(RO) 4:1 SHRINK RATIO, 11.60 ID, BLK, 75MM LENGTH</t>
  </si>
  <si>
    <t>PP00047-28</t>
  </si>
  <si>
    <t>DWT-RO-4-STK</t>
  </si>
  <si>
    <t>E58324</t>
  </si>
  <si>
    <t>DWT(RO) 4:1 SHRINK RATIO, 17.80 ID, BLK, 1220MM LENGTH</t>
  </si>
  <si>
    <t>PP00036-25</t>
  </si>
  <si>
    <t>HSTP2435</t>
  </si>
  <si>
    <t>P000229</t>
  </si>
  <si>
    <t>ET22-9.0/2.3-BK-40mm</t>
  </si>
  <si>
    <t>1426144757 / 1</t>
  </si>
  <si>
    <t>PR2025010</t>
  </si>
  <si>
    <t>1200695361 / 1</t>
  </si>
  <si>
    <t>1201408694 / 1</t>
  </si>
  <si>
    <t>1201419866 / 1</t>
  </si>
  <si>
    <t>1201420648 / 1</t>
  </si>
  <si>
    <t>1201792533 / 1</t>
  </si>
  <si>
    <t>PR2025015</t>
  </si>
  <si>
    <t>1201795555 / 1</t>
  </si>
  <si>
    <t>PP00066-02</t>
  </si>
  <si>
    <t>P00159799</t>
  </si>
  <si>
    <t>E57002</t>
  </si>
  <si>
    <t>DWT(RO),4:1 SHRINK RATIO, 11.60 ID, BK, 45mm</t>
  </si>
  <si>
    <t>1201418073 / 1</t>
  </si>
  <si>
    <t>1230226930 / 1</t>
  </si>
  <si>
    <t>1213677083 / 1</t>
  </si>
  <si>
    <t>1230868873 / 1</t>
  </si>
  <si>
    <t>1230870895 / 1</t>
  </si>
  <si>
    <t>1233585997 / 1</t>
  </si>
  <si>
    <t>PP00036-26</t>
  </si>
  <si>
    <t>HSTP1090</t>
  </si>
  <si>
    <t>E84437</t>
  </si>
  <si>
    <t>DWT-135F 4:1 SHRINK RATION, 24.00 ID, BLK, 1220MM LENGTH</t>
  </si>
  <si>
    <t>PP00047-30</t>
  </si>
  <si>
    <t>DWT-RO-2-40MM</t>
  </si>
  <si>
    <t>E58304</t>
  </si>
  <si>
    <t>DWT(RO) 4:1 SHRINK RATIO, 7.60 ID, BLK, 40MM</t>
  </si>
  <si>
    <t>PP00047-31</t>
  </si>
  <si>
    <t>DWT-RO-2A-65MM</t>
  </si>
  <si>
    <t>E58359</t>
  </si>
  <si>
    <t>DWT(RO)-4S-9.02-BLK-65mm</t>
  </si>
  <si>
    <t>PP00047-29</t>
  </si>
  <si>
    <t>CYG-135F-1/4-25-BLK</t>
  </si>
  <si>
    <t>E58335</t>
  </si>
  <si>
    <t>135F, 2:1 SHRINK RATIO, 6.40 ID, BLK, 25MM LENGTH</t>
  </si>
  <si>
    <t>PP00061-12</t>
  </si>
  <si>
    <t>7094177130 Document ID 2757177</t>
  </si>
  <si>
    <t>1425408416 / 1</t>
  </si>
  <si>
    <t>PP00034-44</t>
  </si>
  <si>
    <t>E47402</t>
  </si>
  <si>
    <t>DWT(RO) 4:1 SHRINK RATIO, 5.75 ID, BK, 50mm</t>
  </si>
  <si>
    <t>PP00047-32</t>
  </si>
  <si>
    <t>DWT-RO-4-65MM</t>
  </si>
  <si>
    <t>E58322</t>
  </si>
  <si>
    <t>DWT(RO) 4:1 SHRINK RATIO, 17.80 ID, BLK, 65MM LENGTH</t>
  </si>
  <si>
    <t>PP00026-50</t>
  </si>
  <si>
    <t>Cancelled by customer</t>
  </si>
  <si>
    <t>P000555</t>
  </si>
  <si>
    <t>ET87-7.6/1.7-BLK-45mm</t>
  </si>
  <si>
    <t>PR2025014</t>
  </si>
  <si>
    <t>PP00026-51</t>
  </si>
  <si>
    <t>ET87-27.9/8.4-RD-50mm</t>
  </si>
  <si>
    <t>PP00026-49</t>
  </si>
  <si>
    <t>P000272</t>
  </si>
  <si>
    <t>ET25-18.3/4.5-RD-50mm w/stripes</t>
  </si>
  <si>
    <t>1430269436 / 1</t>
  </si>
  <si>
    <t>PR2025012</t>
  </si>
  <si>
    <t>PP00047-33</t>
  </si>
  <si>
    <t>DWT-RO-2-RED-50MM</t>
  </si>
  <si>
    <t>E58357</t>
  </si>
  <si>
    <t>DWT(RO) 4:1 SHRINK RATIO, 7.40 ID, RED, 50MM LENGTH</t>
  </si>
  <si>
    <t>PP00069-02</t>
  </si>
  <si>
    <t>S8100201</t>
  </si>
  <si>
    <t>P200366</t>
  </si>
  <si>
    <t>ET86-11.5/2.5-BLK-30mm</t>
  </si>
  <si>
    <t>1428630853 / 1</t>
  </si>
  <si>
    <t>PASS</t>
  </si>
  <si>
    <t>PR2025018</t>
  </si>
  <si>
    <t>PP00019-0002</t>
  </si>
  <si>
    <t>1432978980 / 1</t>
  </si>
  <si>
    <t>PP00019-0003</t>
  </si>
  <si>
    <t>E101710</t>
  </si>
  <si>
    <t>DWT(RO),4:1 SHRINK RATIO, 7.40 ID, BK, 50mm LENGTH</t>
  </si>
  <si>
    <t>PP00019-0004</t>
  </si>
  <si>
    <t>E101707</t>
  </si>
  <si>
    <t>DWT(RX), 4:1 SHRINK RATIO, 10.8 ID, CL, 100mm LENGTH</t>
  </si>
  <si>
    <t>PP00047-34</t>
  </si>
  <si>
    <t>CYG-MT(HX)-3X-S1-6.4-9</t>
  </si>
  <si>
    <t>E58356</t>
  </si>
  <si>
    <t>MT(HX)-3X-S1-6.4-9-24mm HS Wire Identification Sleeves</t>
  </si>
  <si>
    <t>1428478849 / 1</t>
  </si>
  <si>
    <t>PP00070-01</t>
  </si>
  <si>
    <t>Flextronics AGM</t>
  </si>
  <si>
    <t>711798-14 00</t>
  </si>
  <si>
    <t>P001132</t>
  </si>
  <si>
    <t>ET22-14.0/3.0-BK-50mm</t>
  </si>
  <si>
    <t>1436552673 / 1</t>
  </si>
  <si>
    <t>PP00070-02</t>
  </si>
  <si>
    <t>ET17-11.6/2.5-BLK-50mm</t>
  </si>
  <si>
    <t>ET17-11.6/2.5-BK-50mm</t>
  </si>
  <si>
    <t>1436553236 / 1</t>
  </si>
  <si>
    <t>PP00070-03</t>
  </si>
  <si>
    <t>ET17-17.8/4.4-BLK-50mm</t>
  </si>
  <si>
    <t>ET17-17.8/4.4-BK-50mm</t>
  </si>
  <si>
    <t>1436553834 / 1</t>
  </si>
  <si>
    <t>PP00036-27</t>
  </si>
  <si>
    <t>HSTP2436</t>
  </si>
  <si>
    <t>P000230</t>
  </si>
  <si>
    <t>ET22-9.0/2.3-BK-25mm</t>
  </si>
  <si>
    <t>PP00028-78</t>
  </si>
  <si>
    <t>E43660000</t>
  </si>
  <si>
    <t>1326975674/2</t>
  </si>
  <si>
    <t>PP00071-05</t>
  </si>
  <si>
    <t>Request cancelled</t>
  </si>
  <si>
    <t>Thai Summit Harness</t>
  </si>
  <si>
    <t>Asia</t>
  </si>
  <si>
    <t>UH080-50027-2H</t>
  </si>
  <si>
    <t>ET25-7.4/1.7R-BK-50mm</t>
  </si>
  <si>
    <t>PP00071-01</t>
  </si>
  <si>
    <t>UH110-50027-F9</t>
  </si>
  <si>
    <t>ET25-11.0/2.4R-BK-50mm
S/T 11L=50MM(B)GLUE-F9</t>
  </si>
  <si>
    <t>1446369969 / 1</t>
  </si>
  <si>
    <t>PP00071-02</t>
  </si>
  <si>
    <t>UH060-40027-F9</t>
  </si>
  <si>
    <t>P000417</t>
  </si>
  <si>
    <t>ET25-5.7/1.3R-BK-40mm
S/T 6L=40MM(B)GLUE-F9</t>
  </si>
  <si>
    <t>1446369986 / 1</t>
  </si>
  <si>
    <t>PP00071-03</t>
  </si>
  <si>
    <t>UH040-40027-F9</t>
  </si>
  <si>
    <t>P200244</t>
  </si>
  <si>
    <t>ET25-4.0/1.0R-BK-40mm
S/T 4L=40MM(B)GLUE-F9</t>
  </si>
  <si>
    <t>1446370000 / 1</t>
  </si>
  <si>
    <t>PP00071-04</t>
  </si>
  <si>
    <t>UH140-50027-F9</t>
  </si>
  <si>
    <t>ET25-14.0/3.0R-BK-50mm
S/T 14L=50MM(B)GLUE-F9</t>
  </si>
  <si>
    <t>1446370013 / 1</t>
  </si>
  <si>
    <t>E53119</t>
  </si>
  <si>
    <t>PP00072-01</t>
  </si>
  <si>
    <t>ET70-1.2/0.6-BLK-50mm
Shrink Tube 1.2mm L:50mm B</t>
  </si>
  <si>
    <t>1432972315 / 3</t>
  </si>
  <si>
    <t>PP00072-03</t>
  </si>
  <si>
    <t>P001013</t>
  </si>
  <si>
    <t>ET70-1.2/0.6-BLK-105mm</t>
  </si>
  <si>
    <t>1432973251 / 3</t>
  </si>
  <si>
    <t>PP00072-22</t>
  </si>
  <si>
    <t xml:space="preserve">Yazaki </t>
  </si>
  <si>
    <t>1432973427 / 2</t>
  </si>
  <si>
    <t>PP00072-23</t>
  </si>
  <si>
    <t>1432973538 / 2</t>
  </si>
  <si>
    <t>PP00072-24</t>
  </si>
  <si>
    <t>1432973678 / 2</t>
  </si>
  <si>
    <t>PP00072-02</t>
  </si>
  <si>
    <t>P001023</t>
  </si>
  <si>
    <t>ET70-1.2/0.6-BLK-75mm
Shrink Tube ET70-1.2/0.6-BLK-75mm</t>
  </si>
  <si>
    <t>1436890076 / 2</t>
  </si>
  <si>
    <t>PP00072-04</t>
  </si>
  <si>
    <t>P001017</t>
  </si>
  <si>
    <t>ET70-1.2/0.6-BLK-80mm
Shrink Tube ET70-1.2/0.6-BLK-80mm</t>
  </si>
  <si>
    <t>1436890226 / 3</t>
  </si>
  <si>
    <t>PP00072-05</t>
  </si>
  <si>
    <t>P001019</t>
  </si>
  <si>
    <t>ET70-1.2/0.6-BLK-95mm
Shrink Tube ET70-1.2/0.6-BLK-95mm</t>
  </si>
  <si>
    <t>1436890432 / 2</t>
  </si>
  <si>
    <t>PP00072-06</t>
  </si>
  <si>
    <t>P001024</t>
  </si>
  <si>
    <t>ET70-1.2/0.6-BLK-40mm
Shrink Tube ET70-1.2/0.6-BLK-40mm</t>
  </si>
  <si>
    <t>1436890493 / 2</t>
  </si>
  <si>
    <t>PP00072-25</t>
  </si>
  <si>
    <t>P000839</t>
  </si>
  <si>
    <t>ET25-18.3/4.5R-BLK-75mm</t>
  </si>
  <si>
    <t>1432977928 / 2</t>
  </si>
  <si>
    <t>PP00072-28</t>
  </si>
  <si>
    <t>1432978129 / 2</t>
  </si>
  <si>
    <t>PP00072-30</t>
  </si>
  <si>
    <t>1432978372 / 2</t>
  </si>
  <si>
    <t>PP00072-31</t>
  </si>
  <si>
    <t>1432978829 / 2</t>
  </si>
  <si>
    <t>PP00072-07</t>
  </si>
  <si>
    <t>P001016</t>
  </si>
  <si>
    <t>ET70-1.2/0.6-BLK-70mm
Shrink Tube ET70-1.2/0.6-BLK-70mm</t>
  </si>
  <si>
    <t>1436890552 / 2</t>
  </si>
  <si>
    <t>PP00072-19</t>
  </si>
  <si>
    <t>7094203130 27-aug-25</t>
  </si>
  <si>
    <t>ET71_ET104</t>
  </si>
  <si>
    <t>D000121</t>
  </si>
  <si>
    <t>P001027</t>
  </si>
  <si>
    <t>ET71-12.0/3.0-BLK-40mm+ET1042C
Shrink Tube ET71-12.0/3.0-BLK-40mm+ET1042C</t>
  </si>
  <si>
    <t>1443180952 / 1</t>
  </si>
  <si>
    <t>PP00072-32</t>
  </si>
  <si>
    <t>1432979594 / 2</t>
  </si>
  <si>
    <t>PP00072-33</t>
  </si>
  <si>
    <t>1432979685 / 2</t>
  </si>
  <si>
    <t>PP00072-08</t>
  </si>
  <si>
    <t>P001020</t>
  </si>
  <si>
    <t>ET70-1.2/0.6-BLK-60mm
Shrink Tube ET70-1.2/0.6-BLK-60mm</t>
  </si>
  <si>
    <t>1436891599 / 2</t>
  </si>
  <si>
    <t>PP00072-0034</t>
  </si>
  <si>
    <t>ET25-7.4/1.7R-BLK-30mm
Shrink Tube 7.4mm L:30mm B</t>
  </si>
  <si>
    <t>1432979827 / 2</t>
  </si>
  <si>
    <t>PP00072-09</t>
  </si>
  <si>
    <t>P200370</t>
  </si>
  <si>
    <t>ET70-1.2/0.6-BLK-65mm
Shrink Tube ET70-1.2/0.6-BLK-65mm</t>
  </si>
  <si>
    <t>1437148614 / 2</t>
  </si>
  <si>
    <t>PP00072-10</t>
  </si>
  <si>
    <t>P001015</t>
  </si>
  <si>
    <t>ET70-1.2/0.6-BLK-55mm
Shrink Tube ET70-1.2/0.6-BLK-55mm</t>
  </si>
  <si>
    <t>1437149095 / 2</t>
  </si>
  <si>
    <t>PP00072-11</t>
  </si>
  <si>
    <t>P000709</t>
  </si>
  <si>
    <t>ET70-1.2/0.6-BLK-90mm
Shrink Tube ET70-1.2/0.6-BLK-90mm</t>
  </si>
  <si>
    <t>1437149936 / 2</t>
  </si>
  <si>
    <t>PP00072-12</t>
  </si>
  <si>
    <t>P001014</t>
  </si>
  <si>
    <t>ET70-1.2/0.6-BLK-160mm
Shrink Tube ET70-1.2/0.6-BLK-160mm</t>
  </si>
  <si>
    <t>1437150861 / 2</t>
  </si>
  <si>
    <t>PP00072-13</t>
  </si>
  <si>
    <t>P001018</t>
  </si>
  <si>
    <t>ET70-1.2/0.6-BLK-85mm
Shrink Tube ET70-1.2/0.6-BLK-85mm</t>
  </si>
  <si>
    <t>1437151212 / 2</t>
  </si>
  <si>
    <t>PP00072-14</t>
  </si>
  <si>
    <t>P001025</t>
  </si>
  <si>
    <t>ET70-19.1/9.5-BLK-40mm
Shrink Tube ET70-19.1/9.5-BLK-40mm</t>
  </si>
  <si>
    <t>1437151699 / 2</t>
  </si>
  <si>
    <t>PP00072-15</t>
  </si>
  <si>
    <t>45044L03030</t>
  </si>
  <si>
    <t>ET70-1.2/0.6-BLK-SPL
Shrink Tube ET70-1.2/0.6-BLK</t>
  </si>
  <si>
    <t>1437152965 / 2</t>
  </si>
  <si>
    <t>PP00072-16</t>
  </si>
  <si>
    <t>45044L12430</t>
  </si>
  <si>
    <t>ET70-1.6/0.8-BLK-SPL
Shrink Tube ET70-1.6/0.8-BLK</t>
  </si>
  <si>
    <t>1437153375 / 2</t>
  </si>
  <si>
    <t>PP00072-17</t>
  </si>
  <si>
    <t>45044L25030</t>
  </si>
  <si>
    <t>ET70-19.1/9.5-BLK-SPL
Shrink Tube ET70-19.1/9.5-BLK</t>
  </si>
  <si>
    <t>1437154084 / 2</t>
  </si>
  <si>
    <t>PP00072-18</t>
  </si>
  <si>
    <t>45044L25050</t>
  </si>
  <si>
    <t>ET70-19.1/9.5-RED-SPL
Shrink Tube ET70-19.1/9.5-RED</t>
  </si>
  <si>
    <t>1437158359 / 2</t>
  </si>
  <si>
    <t>PP00072-26</t>
  </si>
  <si>
    <t>P000356</t>
  </si>
  <si>
    <t>ET25-7.4/1.7R-BLK-27mm</t>
  </si>
  <si>
    <t>1437158990 / 1</t>
  </si>
  <si>
    <t>PP00072-27</t>
  </si>
  <si>
    <t>P000406</t>
  </si>
  <si>
    <t>ET25-11.0/2.4R-BLK-27mm</t>
  </si>
  <si>
    <t>1437159077 / 1</t>
  </si>
  <si>
    <t>PP00072-29</t>
  </si>
  <si>
    <t>P001012</t>
  </si>
  <si>
    <t>ET25-11.0/2.4R-BLK-45mm</t>
  </si>
  <si>
    <t>1437159183 / 1</t>
  </si>
  <si>
    <t>PP00072-0036</t>
  </si>
  <si>
    <t>P000822</t>
  </si>
  <si>
    <t>ET25-14.0/3.0R-BLK-40mm
Shrink Tube ET25-14.0/3.0R-BLK-40mm</t>
  </si>
  <si>
    <t>1437159237 / 1</t>
  </si>
  <si>
    <t>PP00072-37</t>
  </si>
  <si>
    <t>1433363365 / 2</t>
  </si>
  <si>
    <t>PP00072-20</t>
  </si>
  <si>
    <t>7094203030 27-aug-25</t>
  </si>
  <si>
    <t>P001028</t>
  </si>
  <si>
    <t>ET71-12.0/3.0-BLK-25mm+ET1042C
Shrink Tube ET71-12.0/3.0-BLK-25mm+ET1042C</t>
  </si>
  <si>
    <t>1443182054 / 1</t>
  </si>
  <si>
    <t>PP00072-39</t>
  </si>
  <si>
    <t>P200161</t>
  </si>
  <si>
    <t>ET25-18.3-4.5R-BLK-40mm
Shrink Tube ET25-18.3-4.5R-BLK-40mm</t>
  </si>
  <si>
    <t>1437159287 / 1</t>
  </si>
  <si>
    <t>PP00072-35</t>
  </si>
  <si>
    <t>ET25-18.3-4.5R-BLK-30mm</t>
  </si>
  <si>
    <t>1433361885 / 2</t>
  </si>
  <si>
    <t>PP00072-38</t>
  </si>
  <si>
    <t>ET25-18.3-4.5R-BLK-65mm</t>
  </si>
  <si>
    <t>1433363686 / 2</t>
  </si>
  <si>
    <t>PP00072-40</t>
  </si>
  <si>
    <t>ET104</t>
  </si>
  <si>
    <t>D000109</t>
  </si>
  <si>
    <t>P001022</t>
  </si>
  <si>
    <t>ET104-4.0-Amber-20mm
Shrink Tube ET104-4.0-Amber-20mm</t>
  </si>
  <si>
    <t>1438887805 / 1</t>
  </si>
  <si>
    <t>PP00072-41</t>
  </si>
  <si>
    <t>P001021</t>
  </si>
  <si>
    <t>ET104-9.5-Amber-15mm
Shrink Tube ET104-9.5-Amber-15mm</t>
  </si>
  <si>
    <t>1438891659 / 1</t>
  </si>
  <si>
    <t>1326975674 / 2</t>
  </si>
  <si>
    <t>PP00072-21</t>
  </si>
  <si>
    <t>P001026</t>
  </si>
  <si>
    <t>ET21-24.0/6.0-RED-60mm
Shrink Tube ET21-24.0/6.0-RED-60mm</t>
  </si>
  <si>
    <t>1437158900 / 1</t>
  </si>
  <si>
    <t>PR2025019</t>
  </si>
  <si>
    <t>PP00028-79</t>
  </si>
  <si>
    <t>E43445600</t>
  </si>
  <si>
    <t>P000347</t>
  </si>
  <si>
    <t>ET82-5.7/1.3-BLK-65mm</t>
  </si>
  <si>
    <t>1188884297 / 3</t>
  </si>
  <si>
    <t>1188884584 / 2</t>
  </si>
  <si>
    <t>1189258225 / 3</t>
  </si>
  <si>
    <t>1189263052 / 2</t>
  </si>
  <si>
    <t>PP00029-18</t>
  </si>
  <si>
    <t>DWT(RO) #4-40mm</t>
  </si>
  <si>
    <t>E69601</t>
  </si>
  <si>
    <t>DWT(RO) 4:1 SHRINK RATIO, 17.80 ID, BK, 40mm LENGTH</t>
  </si>
  <si>
    <t>PP00047-35</t>
  </si>
  <si>
    <t>DWT-RO-3-STK</t>
  </si>
  <si>
    <t>E58317</t>
  </si>
  <si>
    <t>DWT(RO) 4:1 SHRINK RATIO, 11.60 ID, BK, 1220mm LENGTH</t>
  </si>
  <si>
    <t>PP00036-28</t>
  </si>
  <si>
    <t>HSTP2616</t>
  </si>
  <si>
    <t>1437981734 / 1</t>
  </si>
  <si>
    <t>1313989235 / 2</t>
  </si>
  <si>
    <t>1313992454 / 2</t>
  </si>
  <si>
    <t>PP00038-0001</t>
  </si>
  <si>
    <t>1213984825 / 3</t>
  </si>
  <si>
    <t>PP00038-0002</t>
  </si>
  <si>
    <t>PP00038-0003</t>
  </si>
  <si>
    <t>PP00038-0004</t>
  </si>
  <si>
    <t>PP00073-0006</t>
  </si>
  <si>
    <t>C000002</t>
  </si>
  <si>
    <t>P001120</t>
  </si>
  <si>
    <t>ET05-12.7/6.4-RD-100mm</t>
  </si>
  <si>
    <t>1444648185 / 1</t>
  </si>
  <si>
    <t>PP00074-0001</t>
  </si>
  <si>
    <t>Pending IMDS ID number</t>
  </si>
  <si>
    <t>E20032</t>
  </si>
  <si>
    <t xml:space="preserve">	DWT(RO)-4-9.02-BK-100mm</t>
  </si>
  <si>
    <t>3**</t>
  </si>
  <si>
    <t>PP00073-0008</t>
  </si>
  <si>
    <t>05</t>
  </si>
  <si>
    <t>P001121</t>
  </si>
  <si>
    <t>ET05-19.0/9.5-RD-40mm</t>
  </si>
  <si>
    <t>1444648635 / 2</t>
  </si>
  <si>
    <t>PP00073-0009</t>
  </si>
  <si>
    <t>ET05-19.0/9.5-RD-50mm</t>
  </si>
  <si>
    <t>1444648763 / 2</t>
  </si>
  <si>
    <t>PP00073-0001</t>
  </si>
  <si>
    <t>04</t>
  </si>
  <si>
    <t>P001122</t>
  </si>
  <si>
    <t>ET70-19.0/6.0-RD-35mm</t>
  </si>
  <si>
    <t>1444645604 / 1</t>
  </si>
  <si>
    <t>PP00073-0002</t>
  </si>
  <si>
    <t>P001123</t>
  </si>
  <si>
    <t>ET70-19.0/6.0-RD-50mm</t>
  </si>
  <si>
    <t>1444647514 / 2</t>
  </si>
  <si>
    <t>PP00073-0004</t>
  </si>
  <si>
    <t>P001119</t>
  </si>
  <si>
    <t>ET05-12.7/6.4-RD-35mm</t>
  </si>
  <si>
    <t>1444647870 / 3</t>
  </si>
  <si>
    <t>PP00073-0005</t>
  </si>
  <si>
    <t>ET05-12.7/6.4-RD-50mm</t>
  </si>
  <si>
    <t>1444648002 / 2</t>
  </si>
  <si>
    <t>PP00073-0007</t>
  </si>
  <si>
    <t>ET05-19.0/9.5-RD-30mm</t>
  </si>
  <si>
    <t>1444648352 / 2</t>
  </si>
  <si>
    <t>PP00073-0010</t>
  </si>
  <si>
    <t>P000802</t>
  </si>
  <si>
    <t>ET05-19.0/9.5-RD-80mm</t>
  </si>
  <si>
    <t>1450344544 / 1</t>
  </si>
  <si>
    <t>PP00073-0011</t>
  </si>
  <si>
    <t>P001118</t>
  </si>
  <si>
    <t>ET05-9.5/4.8-RD-40mm</t>
  </si>
  <si>
    <t>1450346241 / 1</t>
  </si>
  <si>
    <t>PP00042-0029</t>
  </si>
  <si>
    <t>ET84-10.8/2.4-BK-50mm</t>
  </si>
  <si>
    <t>1438600864 / 1</t>
  </si>
  <si>
    <t>PP00042-0030</t>
  </si>
  <si>
    <t>ET86-7.6/1.7-BK-43mm</t>
  </si>
  <si>
    <t>1438603490 / 1</t>
  </si>
  <si>
    <t>PP00042-0031</t>
  </si>
  <si>
    <t>P000465</t>
  </si>
  <si>
    <t>ET86-5.0/1.3-BK-27mm</t>
  </si>
  <si>
    <t>1438603884 / 1</t>
  </si>
  <si>
    <t>1326976042 / 1</t>
  </si>
  <si>
    <t>PP00028-80</t>
  </si>
  <si>
    <t>E43445500</t>
  </si>
  <si>
    <t>ET82-11.0/2.4-BLK-65mm</t>
  </si>
  <si>
    <t>1326977769 / 1</t>
  </si>
  <si>
    <t>PP00028-81</t>
  </si>
  <si>
    <t>E20504600</t>
  </si>
  <si>
    <t>E74925</t>
  </si>
  <si>
    <t>DWT-RO(4005)-24.0-BLK-40MM</t>
  </si>
  <si>
    <t>PP00012-05</t>
  </si>
  <si>
    <t>GAT130</t>
  </si>
  <si>
    <t>P001107</t>
  </si>
  <si>
    <t>ET05-7.5/2.5-BK-35mm - no print</t>
  </si>
  <si>
    <t>1442324656 / 1</t>
  </si>
  <si>
    <t>4**</t>
  </si>
  <si>
    <t>Requested by customer</t>
  </si>
  <si>
    <t>1304247396 / 1</t>
  </si>
  <si>
    <t>PP00049-02</t>
  </si>
  <si>
    <t>P001146</t>
  </si>
  <si>
    <t>ET73-4.3/2.0-BK-20mm</t>
  </si>
  <si>
    <t>1448426749 / 1</t>
  </si>
  <si>
    <t>PP00012-04</t>
  </si>
  <si>
    <t>GAT132</t>
  </si>
  <si>
    <t>P001117</t>
  </si>
  <si>
    <t>ET00-4.8/2.4-BK-35mm - no print</t>
  </si>
  <si>
    <t>1443833660 / 1</t>
  </si>
  <si>
    <t>PP00028-82</t>
  </si>
  <si>
    <t>E14168900</t>
  </si>
  <si>
    <t>E74903</t>
  </si>
  <si>
    <t>DWT-RO(4005)-7.4-BLK-65MM</t>
  </si>
  <si>
    <t>PP00074-0002</t>
  </si>
  <si>
    <t>E20031</t>
  </si>
  <si>
    <t>DWT(RO)-4-7.60-BK-50mm</t>
  </si>
  <si>
    <t>PP00074-0007</t>
  </si>
  <si>
    <t>E20027</t>
  </si>
  <si>
    <t>DWT(RO)-4-5.75-BK-50mm</t>
  </si>
  <si>
    <t>PP00074-03</t>
  </si>
  <si>
    <t>L000003722</t>
  </si>
  <si>
    <t>E20002</t>
  </si>
  <si>
    <t>CB-DWT-4-4.00-BK</t>
  </si>
  <si>
    <t>PP00074-04</t>
  </si>
  <si>
    <t>L000001768</t>
  </si>
  <si>
    <t>E20026</t>
  </si>
  <si>
    <t>DWT(RO)-4-5.75-BK-38mm</t>
  </si>
  <si>
    <t>PP00074-05</t>
  </si>
  <si>
    <t>L000003061</t>
  </si>
  <si>
    <t>E20012</t>
  </si>
  <si>
    <t>135F-3-18.0-BK</t>
  </si>
  <si>
    <t>PP00074-06</t>
  </si>
  <si>
    <t>L000003247</t>
  </si>
  <si>
    <t>E20019</t>
  </si>
  <si>
    <t>DWT-135F-3-6.40-BK-1000mm</t>
  </si>
  <si>
    <t>PP00034-45</t>
  </si>
  <si>
    <t>P000435</t>
  </si>
  <si>
    <t>ET82-17.8/4.5-BLK-50mm</t>
  </si>
  <si>
    <t>1413801150 / 1</t>
  </si>
  <si>
    <t>PP00074-0008</t>
  </si>
  <si>
    <t>E20034</t>
  </si>
  <si>
    <t>DWT(RO)-4-9.02-BK-50mm</t>
  </si>
  <si>
    <t>PP00074-0009</t>
  </si>
  <si>
    <t>E20025</t>
  </si>
  <si>
    <t>DWT(RO)-4-11.00-BK-50mm</t>
  </si>
  <si>
    <t>PP00074-0016</t>
  </si>
  <si>
    <t>E20009</t>
  </si>
  <si>
    <t>135F-2-6.40-BK</t>
  </si>
  <si>
    <t>PP00074-10</t>
  </si>
  <si>
    <t>L000003703</t>
  </si>
  <si>
    <t>E20033</t>
  </si>
  <si>
    <t>DWT(RO)-4-9.02-BK-38mm</t>
  </si>
  <si>
    <t>PP00074-11</t>
  </si>
  <si>
    <t>L000003786</t>
  </si>
  <si>
    <t>E20023</t>
  </si>
  <si>
    <t>DWT(RO)-4-11.00-BK-38mm</t>
  </si>
  <si>
    <t>PP00074-12</t>
  </si>
  <si>
    <t>L000004126</t>
  </si>
  <si>
    <t>E20030</t>
  </si>
  <si>
    <t>DWT(RO)-4-7.60-BK-40mm</t>
  </si>
  <si>
    <t>PP00074-13</t>
  </si>
  <si>
    <t>L000005194</t>
  </si>
  <si>
    <t>E20007</t>
  </si>
  <si>
    <t>135F-2-19.10-RD</t>
  </si>
  <si>
    <t>PP00074-14</t>
  </si>
  <si>
    <t>M000007043</t>
  </si>
  <si>
    <t>E20028</t>
  </si>
  <si>
    <t>DWT(RO)-4-7.60-BK-1000mm</t>
  </si>
  <si>
    <t>PP00074-15</t>
  </si>
  <si>
    <t>L000001043</t>
  </si>
  <si>
    <t>E20035</t>
  </si>
  <si>
    <t>DWT(VTA)-3-24.0-BK-1220mm</t>
  </si>
  <si>
    <t>PP00074-0017</t>
  </si>
  <si>
    <t>E20018</t>
  </si>
  <si>
    <t>DWT-135F-3-12.70-BK-1000mm</t>
  </si>
  <si>
    <t>PP00074-0018</t>
  </si>
  <si>
    <t>E20010</t>
  </si>
  <si>
    <t>135F-2-9.50-BK</t>
  </si>
  <si>
    <t>PP00072-50</t>
  </si>
  <si>
    <t>ET83</t>
  </si>
  <si>
    <t>D000086</t>
  </si>
  <si>
    <t>P200279</t>
  </si>
  <si>
    <t>ET83-3.2/1.0-BLK-50mm</t>
  </si>
  <si>
    <t>1452193679 / 2</t>
  </si>
  <si>
    <t>PP00074-19</t>
  </si>
  <si>
    <t>M000007294</t>
  </si>
  <si>
    <t>E20014</t>
  </si>
  <si>
    <t>135F-3-12.00-BK</t>
  </si>
  <si>
    <t>PP00072-0042</t>
  </si>
  <si>
    <t>ET86-7.6/1.7-BLK-30MM
DWS125 40PXTEVF SHRINK TUBE / 7194242130</t>
  </si>
  <si>
    <t>1452188806 / 2</t>
  </si>
  <si>
    <t>PP00072-0043</t>
  </si>
  <si>
    <t>ET86-7.6/1.7-BLK-50MM
DWS125 40PXTEVF SHRINK TUBE / 7194242230</t>
  </si>
  <si>
    <t>1452191853 / 2</t>
  </si>
  <si>
    <t>PP00072-0044</t>
  </si>
  <si>
    <t>ET86-11.5/2.5-BLK-65MM
DWS125 40PXTEVF SHRINK TUBE / 7194242330</t>
  </si>
  <si>
    <t>1452192254 / 2</t>
  </si>
  <si>
    <t>PP00072-0045</t>
  </si>
  <si>
    <t>ET86-9.0/2.3-BLK-50MM
DWS125 40PXTEVF SHRINK TUBE / 7194242530</t>
  </si>
  <si>
    <t>1452192469 / 3</t>
  </si>
  <si>
    <t>PP00072-0046</t>
  </si>
  <si>
    <t>ET86-9.0/2.3-BLK-30MM
DWS125 40PXTEVF SHRINK TUBE / 7194242030</t>
  </si>
  <si>
    <t>1452192611 / 2</t>
  </si>
  <si>
    <t>PP00072-0047</t>
  </si>
  <si>
    <t>ET86-5.0/1.3-BLK-35mm
SHRINK TUBE ET86 / 7194242630</t>
  </si>
  <si>
    <t>1452192175 / 2</t>
  </si>
  <si>
    <t>PP00072-0048</t>
  </si>
  <si>
    <t>P200156</t>
  </si>
  <si>
    <t>ET86-5.0/1.3-BLK-50mm
DWS125 40PXTEVF SHRINK TUBE / 7194242430</t>
  </si>
  <si>
    <t>1452193050 / 2</t>
  </si>
  <si>
    <t>PP00072-0049</t>
  </si>
  <si>
    <t>P200623</t>
  </si>
  <si>
    <t>ET86-14.0/3.0-BLK-50mm
SHRINK TUBE ET86 / 7194242730</t>
  </si>
  <si>
    <t>1452193338 / 2</t>
  </si>
  <si>
    <t>PP00072-51</t>
  </si>
  <si>
    <t>1452193718 / 2</t>
  </si>
  <si>
    <t>PP00032-38</t>
  </si>
  <si>
    <t>1180241318 / 2</t>
  </si>
  <si>
    <t>1146793758 / 1</t>
  </si>
  <si>
    <t>PP00042-0032</t>
  </si>
  <si>
    <t>P000467</t>
  </si>
  <si>
    <t>ET86-7.6/1.7-BK-101mm</t>
  </si>
  <si>
    <t>1443852771 / 1</t>
  </si>
  <si>
    <t>received</t>
  </si>
  <si>
    <t>PP00042-0033</t>
  </si>
  <si>
    <t>P000542</t>
  </si>
  <si>
    <t>ET11-24.0/6.0-BK-45mm</t>
  </si>
  <si>
    <t>1443853357 / 2</t>
  </si>
  <si>
    <t>PP00024-27</t>
  </si>
  <si>
    <t>E55046100</t>
  </si>
  <si>
    <t>P001153</t>
  </si>
  <si>
    <t>ET25-28.0/7.0-BK-50mm</t>
  </si>
  <si>
    <t>1445499406 / 1</t>
  </si>
  <si>
    <t>PP00045-0006</t>
  </si>
  <si>
    <t>ET71</t>
  </si>
  <si>
    <t>D000093</t>
  </si>
  <si>
    <t>P001159</t>
  </si>
  <si>
    <t>ET71-12.0/3.0-BLK-30mm</t>
  </si>
  <si>
    <t>1447478907 / 2</t>
  </si>
  <si>
    <t>PP00034-46</t>
  </si>
  <si>
    <t>P000428</t>
  </si>
  <si>
    <t>ET82-11.0/2.4-BLK-50mm</t>
  </si>
  <si>
    <t>1430612326 / 1</t>
  </si>
  <si>
    <t>PR2025017</t>
  </si>
  <si>
    <t>PP00069-0003</t>
  </si>
  <si>
    <t>S8100200</t>
  </si>
  <si>
    <t>P000956</t>
  </si>
  <si>
    <t>ET10-6.4/2.1-CLR-35mm</t>
  </si>
  <si>
    <t>PP00047-36</t>
  </si>
  <si>
    <t>DWT(RO) 4:1 SHRINK RATIO, 11.60 ID, BK, 40mm LENGTH</t>
  </si>
  <si>
    <t>PP00042-0034</t>
  </si>
  <si>
    <t>1443856561 / 1</t>
  </si>
  <si>
    <t>PP00042-0013</t>
  </si>
  <si>
    <t>07</t>
  </si>
  <si>
    <t>P000362</t>
  </si>
  <si>
    <t>ET86-9.0/2.3-BLK-65mm</t>
  </si>
  <si>
    <t>1289739461 / 2</t>
  </si>
  <si>
    <t>1137288954 / 3</t>
  </si>
  <si>
    <t>Change of rev</t>
  </si>
  <si>
    <t>1137289592 / 3</t>
  </si>
  <si>
    <t>PP00036-29</t>
  </si>
  <si>
    <t>HSTP2270</t>
  </si>
  <si>
    <t>E84461</t>
  </si>
  <si>
    <t>CB-HFT, 4:1 SHRINK RATIO, 8.00 ID,BLK, 25MM LENGTH</t>
  </si>
  <si>
    <t>PP00042-0035</t>
  </si>
  <si>
    <t>1449841281 / 1</t>
  </si>
  <si>
    <t>PP00034-47</t>
  </si>
  <si>
    <t>6211915105D</t>
  </si>
  <si>
    <t>ET102-19.0/35.0/1.5-BLK-70mm</t>
  </si>
  <si>
    <t>1451622447 / 1</t>
  </si>
  <si>
    <t>1173706697 / 1</t>
  </si>
  <si>
    <t>PP00019-0005</t>
  </si>
  <si>
    <t>E101709</t>
  </si>
  <si>
    <t>DWT(RO),4:1 SHRINK RATIO, 5.75 ID, BK, 50mm</t>
  </si>
  <si>
    <t>PP00042-0036</t>
  </si>
  <si>
    <t>1453153779 / 1</t>
  </si>
  <si>
    <t>PP00042-0037</t>
  </si>
  <si>
    <t>P000413</t>
  </si>
  <si>
    <t>ET25-18.3/4.5R-BK-42mm</t>
  </si>
  <si>
    <t>1453153974 / 1</t>
  </si>
  <si>
    <t>PP00042-0038</t>
  </si>
  <si>
    <t>ET25-5.7/1.3R-BK-40mm</t>
  </si>
  <si>
    <t>1453154017 / 1</t>
  </si>
  <si>
    <t>PP00042-0039</t>
  </si>
  <si>
    <t>P000423</t>
  </si>
  <si>
    <t>ET25-9.0/2.3R-BK-40mm</t>
  </si>
  <si>
    <t>1453154141 / 2</t>
  </si>
  <si>
    <t>PP00027-0029</t>
  </si>
  <si>
    <t>GHP032016</t>
  </si>
  <si>
    <t>P001207</t>
  </si>
  <si>
    <t>ET102-15/1.5-BLK-85mm</t>
  </si>
  <si>
    <t>1458570366 / 1</t>
  </si>
  <si>
    <t>PP00027-0030</t>
  </si>
  <si>
    <t>GP019659</t>
  </si>
  <si>
    <t>P001204</t>
  </si>
  <si>
    <t>ET25-5.7/1.3R-CLR-50mm-no print</t>
  </si>
  <si>
    <t>1456705727 / 1</t>
  </si>
  <si>
    <t>PP00027-0032</t>
  </si>
  <si>
    <t>GP022738</t>
  </si>
  <si>
    <t>P000692</t>
  </si>
  <si>
    <t>ET25-5.7/1.3R-CLR-1220mm-no print</t>
  </si>
  <si>
    <t>1456720697 / 1</t>
  </si>
  <si>
    <t>PP00027-0038</t>
  </si>
  <si>
    <t>GP085367</t>
  </si>
  <si>
    <t>P001209</t>
  </si>
  <si>
    <t>ET25-5.7/1.3R-CLR-25mm-no print</t>
  </si>
  <si>
    <t>1456730037 / 1</t>
  </si>
  <si>
    <t>PP00027-0035</t>
  </si>
  <si>
    <t>GP032141</t>
  </si>
  <si>
    <t>ET85+ET104</t>
  </si>
  <si>
    <t>D000125</t>
  </si>
  <si>
    <t>P001203</t>
  </si>
  <si>
    <t>ET85-10.0/2.0-CLR-30mm +ET104 5mm</t>
  </si>
  <si>
    <t>1458572607 / 1</t>
  </si>
  <si>
    <t>PP00027-0028</t>
  </si>
  <si>
    <t>GHP024248</t>
  </si>
  <si>
    <t>ET85</t>
  </si>
  <si>
    <t>D000067</t>
  </si>
  <si>
    <t>P001206</t>
  </si>
  <si>
    <t>ET85-11.6/2.4-CLR-50mm-no print</t>
  </si>
  <si>
    <t>1456694956 / 1</t>
  </si>
  <si>
    <t>PP00027-0031</t>
  </si>
  <si>
    <t>GP022384</t>
  </si>
  <si>
    <t>P001201</t>
  </si>
  <si>
    <t>ET85-17.8/4.5-CLR-60mm-no print</t>
  </si>
  <si>
    <t>1456697065 / 1</t>
  </si>
  <si>
    <t>PP00027-0033</t>
  </si>
  <si>
    <t>GP031742</t>
  </si>
  <si>
    <t>P001205</t>
  </si>
  <si>
    <t>ET85-17.8/4.5-CLR-35mm-no print</t>
  </si>
  <si>
    <t>1456697463 / 1</t>
  </si>
  <si>
    <t>PP00027-0034</t>
  </si>
  <si>
    <t>GP032086</t>
  </si>
  <si>
    <t>P001202</t>
  </si>
  <si>
    <t>ET85-17.8/4.5-CLR-70mm-no print</t>
  </si>
  <si>
    <t>1456691217 / 1</t>
  </si>
  <si>
    <t>PP00027-0036</t>
  </si>
  <si>
    <t>GP077437</t>
  </si>
  <si>
    <t>P001208</t>
  </si>
  <si>
    <t>ET85-10.0/2.0-CLR-1220mm-no print</t>
  </si>
  <si>
    <t>1456698568 / 1</t>
  </si>
  <si>
    <t>PP00027-0037</t>
  </si>
  <si>
    <t>GP081212</t>
  </si>
  <si>
    <t>P001200</t>
  </si>
  <si>
    <t>ET85-5.7/1.3-CLR-80mm-no print</t>
  </si>
  <si>
    <t>1456698732 / 1</t>
  </si>
  <si>
    <t>PP00028-83</t>
  </si>
  <si>
    <t>PP00028-84</t>
  </si>
  <si>
    <t>E47272500</t>
  </si>
  <si>
    <t>P000841</t>
  </si>
  <si>
    <t>ET87-14.0/3.0-RED-50MM</t>
  </si>
  <si>
    <t>1341636538 / 1</t>
  </si>
  <si>
    <t>PP00028-85</t>
  </si>
  <si>
    <t>E43971900</t>
  </si>
  <si>
    <t>P000728</t>
  </si>
  <si>
    <t>ET15-9.0/2.3-BLK-50mm</t>
  </si>
  <si>
    <t>PP00031-0009</t>
  </si>
  <si>
    <t>P000993</t>
  </si>
  <si>
    <t>ET00-38.0/19.0-WH - NO PRINT</t>
  </si>
  <si>
    <t>1453798855 / 1</t>
  </si>
  <si>
    <t>PR2025023</t>
  </si>
  <si>
    <t>PP00047-0037</t>
  </si>
  <si>
    <t>P000195</t>
  </si>
  <si>
    <t>ET25-11.0/2.5-BK-75mm</t>
  </si>
  <si>
    <t>1454679766 / 1</t>
  </si>
  <si>
    <t>PP00047-0038</t>
  </si>
  <si>
    <t>ET25-7.4/1.7-BK-27mm</t>
  </si>
  <si>
    <t>PP00047-0039</t>
  </si>
  <si>
    <t>1454681820 / 1</t>
  </si>
  <si>
    <t>PP00047-40</t>
  </si>
  <si>
    <t>PP00047-41</t>
  </si>
  <si>
    <t>P000514</t>
  </si>
  <si>
    <t>ET25-7.4/1.7-BK-40mm</t>
  </si>
  <si>
    <t>PP00047-42</t>
  </si>
  <si>
    <t>P000515</t>
  </si>
  <si>
    <t>ET25-7.4/1.7-BK-75mm</t>
  </si>
  <si>
    <t>PP00047-43</t>
  </si>
  <si>
    <t>P000517</t>
  </si>
  <si>
    <t>ET25-9.0/2.3-BK-50mm</t>
  </si>
  <si>
    <t>PP00061-13</t>
  </si>
  <si>
    <t>PP00061-14</t>
  </si>
  <si>
    <t>PP00061-15</t>
  </si>
  <si>
    <t>1342983308 / 1</t>
  </si>
  <si>
    <t>PP00028-86</t>
  </si>
  <si>
    <t>E08785100</t>
  </si>
  <si>
    <t>E74901</t>
  </si>
  <si>
    <t>DWT(VTO) CAP 4:1 3.2 ID, BLK, 35MM LENGTH</t>
  </si>
  <si>
    <t>PP00028-87</t>
  </si>
  <si>
    <t>1232776754 / 1</t>
  </si>
  <si>
    <t>PP00027-0006</t>
  </si>
  <si>
    <t>ET11-24.0/6.0-BK - NO PRINT, spool</t>
  </si>
  <si>
    <t>PP00027-0014</t>
  </si>
  <si>
    <t>ET21-24.0/8.0-RD - NO PRINT</t>
  </si>
  <si>
    <t>1189553513 / 1</t>
  </si>
  <si>
    <t>PP00027-0025</t>
  </si>
  <si>
    <t>ET21-12.0/4.0-RD-40mm - NO PRINT</t>
  </si>
  <si>
    <t>1289710429 / 1</t>
  </si>
  <si>
    <t>PP00034-48</t>
  </si>
  <si>
    <t>Mat Cert sent to customer</t>
  </si>
  <si>
    <t>443 971 881 G</t>
  </si>
  <si>
    <t>E47401</t>
  </si>
  <si>
    <t>135F,2.7:1 SHRINK RATIO, 28.0 ID, BK, 40mm LEGNTH</t>
  </si>
  <si>
    <t>PP00066-0003</t>
  </si>
  <si>
    <t>PPAP requested to UPM-3</t>
  </si>
  <si>
    <t>P01263747</t>
  </si>
  <si>
    <t>ET22-5.7/1.3-BK-50mm</t>
  </si>
  <si>
    <t>PP00012-0003</t>
  </si>
  <si>
    <t>PP00027-0039</t>
  </si>
  <si>
    <t>P000632</t>
  </si>
  <si>
    <t>ET22-5.7/1.3-BK-50mm - NO PRINT</t>
  </si>
  <si>
    <t>1459257972 / 1</t>
  </si>
  <si>
    <t>PP00028-88</t>
  </si>
  <si>
    <t>PP00028-89</t>
  </si>
  <si>
    <t>E13723700</t>
  </si>
  <si>
    <t>E74906</t>
  </si>
  <si>
    <t>DWT(RO), 4:1 SHRINK RATIO 32.0 ID RD40mm</t>
  </si>
  <si>
    <t>PP00028-90</t>
  </si>
  <si>
    <t>PP00027-0040</t>
  </si>
  <si>
    <t>P001195</t>
  </si>
  <si>
    <t>ET21-24.0/8.0-RD-40mm - NO PRINT</t>
  </si>
  <si>
    <t>1459258121 / 1</t>
  </si>
  <si>
    <t>P001197</t>
  </si>
  <si>
    <t>ET22-7.5/1.7-BK-50mm - NO PRINT</t>
  </si>
  <si>
    <t>1459258610 / 1</t>
  </si>
  <si>
    <t>PP00027-0012</t>
  </si>
  <si>
    <t>P001128</t>
  </si>
  <si>
    <t>ET22-11.0/2.4-BK-65mm - NO PRINT</t>
  </si>
  <si>
    <t>1459608733 / 1</t>
  </si>
  <si>
    <t>PP00027-0002</t>
  </si>
  <si>
    <t>P001129</t>
  </si>
  <si>
    <t>ET11-20.0/4.0-BK-40mm - NO PRINT</t>
  </si>
  <si>
    <t>1459608835 / 1</t>
  </si>
  <si>
    <t>PP00027-0015</t>
  </si>
  <si>
    <t>P001130</t>
  </si>
  <si>
    <t>ET11-14.5/3.0-BK-40mm - NO PRINT</t>
  </si>
  <si>
    <t>1459609136 / 1</t>
  </si>
  <si>
    <t>PP00027-0018</t>
  </si>
  <si>
    <t>P000935</t>
  </si>
  <si>
    <t>ET22-18.3/4.5-BK-75mm - NO PRINT</t>
  </si>
  <si>
    <t>1459609231 / 1</t>
  </si>
  <si>
    <t>PP00027-0009</t>
  </si>
  <si>
    <t>P001131</t>
  </si>
  <si>
    <t>ET11-24.2/5.0-BK-45mm - NO PRINT</t>
  </si>
  <si>
    <t>1459609326 / 1</t>
  </si>
  <si>
    <t>PP00042-0014</t>
  </si>
  <si>
    <t>ET86-11.5/2.5-BLK-65mm</t>
  </si>
  <si>
    <t>1289742545 / 1</t>
  </si>
  <si>
    <t>PP00056-0008</t>
  </si>
  <si>
    <t>P001216</t>
  </si>
  <si>
    <t>ET35-7.0/0.4-WT-SPL</t>
  </si>
  <si>
    <t>1463626280 / 1</t>
  </si>
  <si>
    <t>PP00056-0009</t>
  </si>
  <si>
    <t>P001217</t>
  </si>
  <si>
    <t>ET35-7.0/0.4-YL-SPL</t>
  </si>
  <si>
    <t>1463627273 / 1</t>
  </si>
  <si>
    <t>PP00056-0010</t>
  </si>
  <si>
    <t>P001218</t>
  </si>
  <si>
    <t>ET35-7.0/0.4-BN-SPL</t>
  </si>
  <si>
    <t>1463627904 / 1</t>
  </si>
  <si>
    <t>PP00056-0011</t>
  </si>
  <si>
    <t>P001219</t>
  </si>
  <si>
    <t>ET35-7.0/0.4-PR-SPL</t>
  </si>
  <si>
    <t>1463629221 / 1</t>
  </si>
  <si>
    <t>PP00056-0012</t>
  </si>
  <si>
    <t>P001220</t>
  </si>
  <si>
    <t>ET35-7.0/0.4-BK-SPL</t>
  </si>
  <si>
    <t>1463992106 / 1</t>
  </si>
  <si>
    <t>PP00056-0013</t>
  </si>
  <si>
    <t>P001221</t>
  </si>
  <si>
    <t>ET35-7.0/0.4-GRN-SPL</t>
  </si>
  <si>
    <t>1463992618 / 1</t>
  </si>
  <si>
    <t>PP00056-0014</t>
  </si>
  <si>
    <t>P001222</t>
  </si>
  <si>
    <t>ET35-7.0/0.4-BU-SPL</t>
  </si>
  <si>
    <t>1463992721 / 1</t>
  </si>
  <si>
    <t>PP00056-0015</t>
  </si>
  <si>
    <t>P001223</t>
  </si>
  <si>
    <t>ET35-7.0/0.4-ORG-SPL</t>
  </si>
  <si>
    <t>1463994195 / 1</t>
  </si>
  <si>
    <t>PP00056-0016</t>
  </si>
  <si>
    <t>P001224</t>
  </si>
  <si>
    <t>ET35-7.0/0.4-RD-SPL</t>
  </si>
  <si>
    <t>1463994417 / 1</t>
  </si>
  <si>
    <t>PP00107-0001</t>
  </si>
  <si>
    <t>EH Connector</t>
  </si>
  <si>
    <t>3500-0286</t>
  </si>
  <si>
    <t>ET22-7.5/1.7-BK-50mm</t>
  </si>
  <si>
    <t>1455895677 / 1</t>
  </si>
  <si>
    <t>N/A</t>
  </si>
  <si>
    <t>PP00107-0002</t>
  </si>
  <si>
    <t>IMDS requested to UPM</t>
  </si>
  <si>
    <t>3500-0675</t>
  </si>
  <si>
    <t>P001226</t>
  </si>
  <si>
    <t>ET22-11.0/2.4-BLK-55mm</t>
  </si>
  <si>
    <t>1456242267 / 1</t>
  </si>
  <si>
    <t>PP00028-91</t>
  </si>
  <si>
    <t>E01120300</t>
  </si>
  <si>
    <t>E74919</t>
  </si>
  <si>
    <t>DWT(RO) 4:1 SHRINK RATIO 11.00 ID BK65mm</t>
  </si>
  <si>
    <t>PP00028-92</t>
  </si>
  <si>
    <t>E04845500</t>
  </si>
  <si>
    <t>E74928</t>
  </si>
  <si>
    <t>DWT(RO) 4:1 SHRINK RATIO, 7.40 ID, BK, 50mm</t>
  </si>
  <si>
    <t>PP00024-0023</t>
  </si>
  <si>
    <t>949767217 / 1</t>
  </si>
  <si>
    <t>PP00024-0021</t>
  </si>
  <si>
    <t>PP00054-0003</t>
  </si>
  <si>
    <t>1349381994 / 2</t>
  </si>
  <si>
    <t>PP00042-0040</t>
  </si>
  <si>
    <t>1461539554 / 1</t>
  </si>
  <si>
    <t>PP00042-0041</t>
  </si>
  <si>
    <t>1461540196 / 1</t>
  </si>
  <si>
    <t>PP00028-93</t>
  </si>
  <si>
    <t>PP00059-01</t>
  </si>
  <si>
    <t>rejected</t>
  </si>
  <si>
    <t>PP00059-06</t>
  </si>
  <si>
    <t>PP00058-0007</t>
  </si>
  <si>
    <t>1460077143 / 1</t>
  </si>
  <si>
    <t>Change of cust.</t>
  </si>
  <si>
    <t>PP00028-0084</t>
  </si>
  <si>
    <t>PP00059-08</t>
  </si>
  <si>
    <t>PP00042-0042</t>
  </si>
  <si>
    <t>ET25-18.3/4.5R-BK-65mm</t>
  </si>
  <si>
    <t>1462520007 / 1</t>
  </si>
  <si>
    <t>PP00059-12</t>
  </si>
  <si>
    <t>E51299200</t>
  </si>
  <si>
    <t>P001065</t>
  </si>
  <si>
    <t>ET25-18.3/4.5-BLK-85mm</t>
  </si>
  <si>
    <t>1412092509 / 2</t>
  </si>
  <si>
    <t>PR2025005</t>
  </si>
  <si>
    <t>PP00108-0001</t>
  </si>
  <si>
    <t>PPAP requested to ETC</t>
  </si>
  <si>
    <t>ERRECINQUE S.r.l.</t>
  </si>
  <si>
    <t>GTR-39</t>
  </si>
  <si>
    <t>P000566</t>
  </si>
  <si>
    <t>ET70-39.0/13.0-BK-SPL</t>
  </si>
  <si>
    <t>PPAP pending to send to customer</t>
  </si>
  <si>
    <t>PP00042-0017</t>
  </si>
  <si>
    <t>P000359</t>
  </si>
  <si>
    <t>ET25-5.7/1.3R-BLK-15mm</t>
  </si>
  <si>
    <t>PP00028-0096</t>
  </si>
  <si>
    <t>PPAP requested to UPM</t>
  </si>
  <si>
    <t>E56949600</t>
  </si>
  <si>
    <t>P001215</t>
  </si>
  <si>
    <t>ET22-18.3/4.5-BK-45mm</t>
  </si>
  <si>
    <t>PP00028-0097</t>
  </si>
  <si>
    <t>E56919700</t>
  </si>
  <si>
    <t>PP00028-0098</t>
  </si>
  <si>
    <t>E55347600</t>
  </si>
  <si>
    <t>ET86-9.0/2.3-BK-65mm</t>
  </si>
  <si>
    <t>PP00034-0050</t>
  </si>
  <si>
    <t>ET86-11.5/2.5-BK-65mm</t>
  </si>
  <si>
    <t>PP00034-0051</t>
  </si>
  <si>
    <t>PP00034-0052</t>
  </si>
  <si>
    <t>PP00034-0053</t>
  </si>
  <si>
    <t>ET25-7.4/1.7R-BK-40mm</t>
  </si>
  <si>
    <t>PP00034-0054</t>
  </si>
  <si>
    <t>PP00074-0020</t>
  </si>
  <si>
    <t>Drawing requested to KTG</t>
  </si>
  <si>
    <t>E20038</t>
  </si>
  <si>
    <t>CNF-2-9.5-BK</t>
  </si>
  <si>
    <t>PP00074-0021</t>
  </si>
  <si>
    <t>E20006</t>
  </si>
  <si>
    <t>135F-2-12.7-BK</t>
  </si>
  <si>
    <t>PP00074-0022</t>
  </si>
  <si>
    <t>E20041</t>
  </si>
  <si>
    <t>DWT(RO)-4-18.30-BK-50mm</t>
  </si>
  <si>
    <t>1230ES-19-25-SLV</t>
  </si>
  <si>
    <t>1230ES-9-25-SLV</t>
  </si>
  <si>
    <t>1238X-19-25-SLV</t>
  </si>
  <si>
    <t>1238X-25-25-SLV</t>
  </si>
  <si>
    <t>1238XLT1-180-50-SIL</t>
  </si>
  <si>
    <t>1239X-19-25-SLV</t>
  </si>
  <si>
    <t>1239X-25-25-SLV</t>
  </si>
  <si>
    <t>1239X-30-25-SLV</t>
  </si>
  <si>
    <t>1239X-32-25-SLV</t>
  </si>
  <si>
    <t>1288X-19-25-SLV</t>
  </si>
  <si>
    <t>1288X-25-25-BLK</t>
  </si>
  <si>
    <t>1288X-32-25-SLV</t>
  </si>
  <si>
    <t>1289X-19-25-BLK</t>
  </si>
  <si>
    <t>301-15-10-BLK</t>
  </si>
  <si>
    <t>301-15-10-BLU</t>
  </si>
  <si>
    <t>301-19-33-BLK</t>
  </si>
  <si>
    <t>301-9-33-GRN</t>
  </si>
  <si>
    <t>302-12-33-BLK</t>
  </si>
  <si>
    <t>302-12-33-RED</t>
  </si>
  <si>
    <t>302-12-33-WHT</t>
  </si>
  <si>
    <t>302-15-10-BLU</t>
  </si>
  <si>
    <t>302-15-10-ORG</t>
  </si>
  <si>
    <t>302-15-10-RED</t>
  </si>
  <si>
    <t>302-15-25-BLK</t>
  </si>
  <si>
    <t>302-15-33-BU</t>
  </si>
  <si>
    <t>302-15-33-GN</t>
  </si>
  <si>
    <t>302-15-33-RED</t>
  </si>
  <si>
    <t>302-19-10-WH</t>
  </si>
  <si>
    <t>302-19-25-BLK</t>
  </si>
  <si>
    <t>302-19-25-BLU</t>
  </si>
  <si>
    <t>302-19-25-GN</t>
  </si>
  <si>
    <t>302-19-25-RED</t>
  </si>
  <si>
    <t>302-19-25-YEL</t>
  </si>
  <si>
    <t>302-19-33-BLK</t>
  </si>
  <si>
    <t>302-19-33-BLU</t>
  </si>
  <si>
    <t>302-19-33-WHT</t>
  </si>
  <si>
    <t>302-25-25-WHT</t>
  </si>
  <si>
    <t>302-25-33-YEL</t>
  </si>
  <si>
    <t>302-38-25-BLK</t>
  </si>
  <si>
    <t>302-50-25-YEL</t>
  </si>
  <si>
    <t>302-9-33-BLK</t>
  </si>
  <si>
    <t>302-9-33-ORG</t>
  </si>
  <si>
    <t>302-9-33-PUR</t>
  </si>
  <si>
    <t>302-9-33-RD</t>
  </si>
  <si>
    <t>302-9-33-WHT</t>
  </si>
  <si>
    <t>317-12-33-BL</t>
  </si>
  <si>
    <t>317-12-33-BLK</t>
  </si>
  <si>
    <t>317-12-33-RED</t>
  </si>
  <si>
    <t>317-12-33-WHT</t>
  </si>
  <si>
    <t>317-12-33-YE</t>
  </si>
  <si>
    <t>317-15-33-BLK</t>
  </si>
  <si>
    <t>317-15-33-YEL</t>
  </si>
  <si>
    <t>317-19-20-BLK</t>
  </si>
  <si>
    <t>317-19-33-BLK</t>
  </si>
  <si>
    <t>317-19-33-BLU</t>
  </si>
  <si>
    <t>317-19-33-BRN</t>
  </si>
  <si>
    <t>317-19-33-GRN</t>
  </si>
  <si>
    <t>317-19-33-GRY</t>
  </si>
  <si>
    <t>317-19-33-ORG</t>
  </si>
  <si>
    <t>317-19-33-PUR</t>
  </si>
  <si>
    <t>317-19-33-RED</t>
  </si>
  <si>
    <t>317-19-33-WHT</t>
  </si>
  <si>
    <t>317-19-33-YEL</t>
  </si>
  <si>
    <t>317-19-66-OR</t>
  </si>
  <si>
    <t>317-19-66-RED</t>
  </si>
  <si>
    <t>317-19-66-WH</t>
  </si>
  <si>
    <t>317-19-66-YEL</t>
  </si>
  <si>
    <t>317-25-33-BLK</t>
  </si>
  <si>
    <t>317-25-33-GN</t>
  </si>
  <si>
    <t>317-25-33-WHT</t>
  </si>
  <si>
    <t>317-25-33-YEL</t>
  </si>
  <si>
    <t>317-25-66-BLK</t>
  </si>
  <si>
    <t>317-50-33-BLK</t>
  </si>
  <si>
    <t>317-9-33-BLK</t>
  </si>
  <si>
    <t>317-9-33-BLU</t>
  </si>
  <si>
    <t>317-9-33-GRN</t>
  </si>
  <si>
    <t>317-9-33-ORG</t>
  </si>
  <si>
    <t>317-9-33-RD</t>
  </si>
  <si>
    <t>317-9-33-VIO</t>
  </si>
  <si>
    <t>317-9-33-WHT</t>
  </si>
  <si>
    <t>317-9-33-YE</t>
  </si>
  <si>
    <t>4203F-65-69.9-WHT</t>
  </si>
  <si>
    <t>503-19-25-BLK</t>
  </si>
  <si>
    <t>503-25-25-BLK</t>
  </si>
  <si>
    <t>505-12-25-RED</t>
  </si>
  <si>
    <t>505-19-25-BLK</t>
  </si>
  <si>
    <t>505-19-25-BLU</t>
  </si>
  <si>
    <t>505-19-25-BRN</t>
  </si>
  <si>
    <t>505-19-25-GRN</t>
  </si>
  <si>
    <t>505-19-25-GRY</t>
  </si>
  <si>
    <t>505-19-25-ORG</t>
  </si>
  <si>
    <t>505-19-25-RED</t>
  </si>
  <si>
    <t>505-19-25-WHT</t>
  </si>
  <si>
    <t>505-19-25-YEL</t>
  </si>
  <si>
    <t>505-25-25-BLK</t>
  </si>
  <si>
    <t>505-9-25-BLK</t>
  </si>
  <si>
    <t>505-9-25-BLU</t>
  </si>
  <si>
    <t>505-9-25-GRN</t>
  </si>
  <si>
    <t>505-9-25-ORG</t>
  </si>
  <si>
    <t>505-9-25-RED</t>
  </si>
  <si>
    <t>505-9-25-WHT</t>
  </si>
  <si>
    <t>505-9-25-YEL</t>
  </si>
  <si>
    <t>512-15-25-BLK</t>
  </si>
  <si>
    <t>512-15-25-WHT</t>
  </si>
  <si>
    <t>512-19-25-BLK</t>
  </si>
  <si>
    <t>512-19-25-ORG</t>
  </si>
  <si>
    <t>512-19-25-WHT</t>
  </si>
  <si>
    <t>512-19-25-YEL</t>
  </si>
  <si>
    <t>512-25-25-BLK</t>
  </si>
  <si>
    <t>512-9-25-ORG</t>
  </si>
  <si>
    <t>512-9-25-WHT</t>
  </si>
  <si>
    <t>651MSX-12-33-BLK</t>
  </si>
  <si>
    <t>651MSX-19-10-YEL</t>
  </si>
  <si>
    <t>651MSX-19-33-BLK</t>
  </si>
  <si>
    <t>651MSX-19-33-BLU</t>
  </si>
  <si>
    <t>651MSX-19-33-GRY</t>
  </si>
  <si>
    <t>651MSX-19-33-ORG</t>
  </si>
  <si>
    <t>651MSX-19-33-WHT</t>
  </si>
  <si>
    <t>651MSX-19-33-YEL</t>
  </si>
  <si>
    <t>651MSX-25-20-BLK</t>
  </si>
  <si>
    <t>651MSX-25-33-BLK</t>
  </si>
  <si>
    <t>651MSX-25-33-ORG</t>
  </si>
  <si>
    <t>651MSX-32-33-BLK</t>
  </si>
  <si>
    <t>651MSX-50-33-BLK</t>
  </si>
  <si>
    <t>651MSX-50-33-YEL</t>
  </si>
  <si>
    <t>651MSX-9-33-BLK</t>
  </si>
  <si>
    <t>651MSX-9-33-BLU</t>
  </si>
  <si>
    <t>651MSX-9-33-WHT</t>
  </si>
  <si>
    <t>8002-15-25-BLK</t>
  </si>
  <si>
    <t>8002-19-25-BLK</t>
  </si>
  <si>
    <t>8002-38-25-BLK</t>
  </si>
  <si>
    <t>8002-38-50-BLK</t>
  </si>
  <si>
    <t>8005-19-10-BLK</t>
  </si>
  <si>
    <t>8005-19-10-WHT</t>
  </si>
  <si>
    <t>8005-19-50-BLK</t>
  </si>
  <si>
    <t>8005-38-50-BLK</t>
  </si>
  <si>
    <t>8005-50-25-BLK</t>
  </si>
  <si>
    <t>823MPX-19-15-BLK</t>
  </si>
  <si>
    <t>8302-15-25-BLK</t>
  </si>
  <si>
    <t>8302-19-25-BLK</t>
  </si>
  <si>
    <t>8302-19-50-BLK</t>
  </si>
  <si>
    <t>8302-25-25-BLK</t>
  </si>
  <si>
    <t>8302-25-50-BLK</t>
  </si>
  <si>
    <t>8302-38-25-BLK</t>
  </si>
  <si>
    <t>8302-38-50-BLK</t>
  </si>
  <si>
    <t>8302-50-50-BLK</t>
  </si>
  <si>
    <t>8302-9-25-BLK</t>
  </si>
  <si>
    <t>8310RT-35-10-BLK</t>
  </si>
  <si>
    <t>8310SE-12-25-BLK</t>
  </si>
  <si>
    <t>8310SE-19-25-BLK</t>
  </si>
  <si>
    <t>8310SE-19-25-ORG</t>
  </si>
  <si>
    <t>8310SE-25-25-BLK</t>
  </si>
  <si>
    <t>8310SE-25-25-ORG</t>
  </si>
  <si>
    <t>8310SE-30-25-BLK</t>
  </si>
  <si>
    <t>8310SE-32-25-BLK</t>
  </si>
  <si>
    <t>8310SE-50-25-BLK</t>
  </si>
  <si>
    <t>8310SE-9-25-BLK</t>
  </si>
  <si>
    <t>831MPX-19-15-BLK</t>
  </si>
  <si>
    <t>8320-9-50-BLK</t>
  </si>
  <si>
    <t>8320SE-15-50-BLK</t>
  </si>
  <si>
    <t>8320SE-19-50-BLK</t>
  </si>
  <si>
    <t>8320SE-19-75-BLK</t>
  </si>
  <si>
    <t>8320SE-9-50-BLK-3</t>
  </si>
  <si>
    <t>832MPX-19-15-BLK</t>
  </si>
  <si>
    <t>832MPX-19-15-ORG</t>
  </si>
  <si>
    <t>832MPX-19-15-WH</t>
  </si>
  <si>
    <t>832MPX-25-15-BLK</t>
  </si>
  <si>
    <t>832MPX-32-15-BLK</t>
  </si>
  <si>
    <t>832MPX-38-15-BLK</t>
  </si>
  <si>
    <t>832MPX-38-15-ORG</t>
  </si>
  <si>
    <t>832MPXRT-35-10-BLK-RT</t>
  </si>
  <si>
    <t>832MPXRT-35-5-ORG</t>
  </si>
  <si>
    <t>832MPXTT-15-200-ORG</t>
  </si>
  <si>
    <t>832MPXTT-15-850-BLK</t>
  </si>
  <si>
    <t>832MPXTT-15-850-ORG</t>
  </si>
  <si>
    <t>832MPXTT-18-850-BLK</t>
  </si>
  <si>
    <t>832MPXTT-23-150-ORG</t>
  </si>
  <si>
    <t>832MPXTT-23-800-BLK</t>
  </si>
  <si>
    <t>832MPXTT-23-800-ORANGE</t>
  </si>
  <si>
    <t>832MPXTT-33-150-ORG</t>
  </si>
  <si>
    <t>832MPXTT-33-750-BLK</t>
  </si>
  <si>
    <t>832MPXTT-33-750-ORANGE</t>
  </si>
  <si>
    <t>832MPXTT-44-25-BLK</t>
  </si>
  <si>
    <t>832MPXTT-44-25-ORG</t>
  </si>
  <si>
    <t>832MPXTT-58-25-BLK</t>
  </si>
  <si>
    <t>833MPX-19-5-BLK</t>
  </si>
  <si>
    <t>833MPX-19-5-ORG</t>
  </si>
  <si>
    <t>833MPX-25-5-BLK</t>
  </si>
  <si>
    <t>833MPX-38-5-BLK</t>
  </si>
  <si>
    <t>834MPX-19-5-BLK</t>
  </si>
  <si>
    <t>834MPX-19-5-ORG</t>
  </si>
  <si>
    <t>834MPX-25-5-BLK</t>
  </si>
  <si>
    <t>834MPX-25-5-ORG</t>
  </si>
  <si>
    <t>834MPX-32-5-BLK</t>
  </si>
  <si>
    <t>834MPX-38-5-BLK</t>
  </si>
  <si>
    <t>834MPX-38-5-ORG</t>
  </si>
  <si>
    <t>834MPXRT-35-5-BLK</t>
  </si>
  <si>
    <t>835-19-15-BLK</t>
  </si>
  <si>
    <t>835-19-25-BLK</t>
  </si>
  <si>
    <t>835-25-25-BLK</t>
  </si>
  <si>
    <t>835-9-25-BLK</t>
  </si>
  <si>
    <t>835X-19-15-BLK</t>
  </si>
  <si>
    <t>835X-19-25-BLK</t>
  </si>
  <si>
    <t>835X-19-25-ORG</t>
  </si>
  <si>
    <t>835X-25-25-BLK</t>
  </si>
  <si>
    <t>835X-25-25-ORG</t>
  </si>
  <si>
    <t>835X-32-25-BLK</t>
  </si>
  <si>
    <t>835X-50-25-BLK</t>
  </si>
  <si>
    <t>835X-9-25-BLK</t>
  </si>
  <si>
    <t>835XRT-35-10-BLK</t>
  </si>
  <si>
    <t>836SLX-19-25-BLK</t>
  </si>
  <si>
    <t>8375X-19-25-BLK</t>
  </si>
  <si>
    <t>8375X-19-25-ORG</t>
  </si>
  <si>
    <t>8375X-19-25-YEL</t>
  </si>
  <si>
    <t>8375X-19-66-BLK</t>
  </si>
  <si>
    <t>8375X-19-66-ORG</t>
  </si>
  <si>
    <t>8375X-25-25-BLK</t>
  </si>
  <si>
    <t>8375X-25-25-BLU</t>
  </si>
  <si>
    <t>8375X-25-25-ORG</t>
  </si>
  <si>
    <t>8375X-25-25-YEL</t>
  </si>
  <si>
    <t>8375X-32-25-BLK</t>
  </si>
  <si>
    <t>8375X-32-25-ORG</t>
  </si>
  <si>
    <t>8375X-38-25-BLK</t>
  </si>
  <si>
    <t>8375X-9-25-BLK</t>
  </si>
  <si>
    <t>8375X-9-25-ORG</t>
  </si>
  <si>
    <t>837X-1000-25-BLK</t>
  </si>
  <si>
    <t>837X-12-25-BLK</t>
  </si>
  <si>
    <t>837X-15-25-BLK</t>
  </si>
  <si>
    <t>837X-19-15-BLK</t>
  </si>
  <si>
    <t>837X-19-25-BLK</t>
  </si>
  <si>
    <t>837X-19-25-BLU</t>
  </si>
  <si>
    <t>837X-19-25-GRN</t>
  </si>
  <si>
    <t>837X-19-25-GRY</t>
  </si>
  <si>
    <t>837X-19-25-ORG</t>
  </si>
  <si>
    <t>837X-19-25-YEL</t>
  </si>
  <si>
    <t>837X-25-25-BLK</t>
  </si>
  <si>
    <t>837X-25-25-BLU</t>
  </si>
  <si>
    <t>837X-25-25-ORG</t>
  </si>
  <si>
    <t>837X-32-25-BLK</t>
  </si>
  <si>
    <t>837X-38-25-BLK</t>
  </si>
  <si>
    <t>837X-38-25-ORG</t>
  </si>
  <si>
    <t>837X-5-25-BLK</t>
  </si>
  <si>
    <t>837X-50-25-BLK</t>
  </si>
  <si>
    <t>837X-9-25-BLK</t>
  </si>
  <si>
    <t>837X-9-25-ORG</t>
  </si>
  <si>
    <t>837XLT-115-50-BLK</t>
  </si>
  <si>
    <t>837XLT1-100-50-BLK-pfrtd</t>
  </si>
  <si>
    <t>837XLT1-115-50-BLK</t>
  </si>
  <si>
    <t>837XLT1-130-50-BLK</t>
  </si>
  <si>
    <t>837XLT1-160-50-BLK</t>
  </si>
  <si>
    <t>837XLT1-180-50-BLK</t>
  </si>
  <si>
    <t>837XLT1-55-50-BLK</t>
  </si>
  <si>
    <t>837XLT1-65-50-BLK</t>
  </si>
  <si>
    <t>837XLT1-65-50-BLK-365</t>
  </si>
  <si>
    <t>837XLT1-65-50-BLK-425</t>
  </si>
  <si>
    <t>837XLT1-80-50-BLK</t>
  </si>
  <si>
    <t>837XLT4-160-50-BLK</t>
  </si>
  <si>
    <t>837XLT4-180-50-BLK</t>
  </si>
  <si>
    <t>837XLT4-65-50-BLK</t>
  </si>
  <si>
    <t>837XLT7-100-50-BLK</t>
  </si>
  <si>
    <t>837XLT7-130-50-BLK</t>
  </si>
  <si>
    <t>837XLT7-180-50-BLK</t>
  </si>
  <si>
    <t>837XLT7-55-50-BLK</t>
  </si>
  <si>
    <t>837XLT7-65-50-BLK</t>
  </si>
  <si>
    <t>837XLT7-78-50-BLK</t>
  </si>
  <si>
    <t>837XLT7-85-50-BLK</t>
  </si>
  <si>
    <t>837XRT-35-10-BLK-LT</t>
  </si>
  <si>
    <t>837XRT-35-10-BLK-RT</t>
  </si>
  <si>
    <t>837XRT-35-10-ORG-RT</t>
  </si>
  <si>
    <t>837XRT-50-10-BLK-RT</t>
  </si>
  <si>
    <t>837XTT-10-200-BLK</t>
  </si>
  <si>
    <t>837XTT-10-950-BLK</t>
  </si>
  <si>
    <t>837XTT-15-25-ORG</t>
  </si>
  <si>
    <t>837XTT-15-300-BLK</t>
  </si>
  <si>
    <t>837XTT-15-950-BLK</t>
  </si>
  <si>
    <t>837XTT-15-950-ORG</t>
  </si>
  <si>
    <t>837XTT-23-850-BLK</t>
  </si>
  <si>
    <t>837XTT-23-900-BLK</t>
  </si>
  <si>
    <t>837XTT-23-900-ORG</t>
  </si>
  <si>
    <t>837XTT-33-25-BLK</t>
  </si>
  <si>
    <t>837XTT-33-850-BLK</t>
  </si>
  <si>
    <t>837XTT-33-850-ORG</t>
  </si>
  <si>
    <t>837XTT-44-25-ORG</t>
  </si>
  <si>
    <t>8380-19-25-BLK</t>
  </si>
  <si>
    <t>8380-32-25-BLK</t>
  </si>
  <si>
    <t>838X-10-66-PUR</t>
  </si>
  <si>
    <t>838X-12-50-BLK</t>
  </si>
  <si>
    <t>838X-15-50-BLK-3</t>
  </si>
  <si>
    <t>838X-19-50-BLK</t>
  </si>
  <si>
    <t>838X-19-50-BLK-3</t>
  </si>
  <si>
    <t>838X-19-50-BLU</t>
  </si>
  <si>
    <t>838X-19-66-BLK</t>
  </si>
  <si>
    <t>838X-19-66-BLU</t>
  </si>
  <si>
    <t>838X-19-66-GRY</t>
  </si>
  <si>
    <t>838X-19-66-ORG</t>
  </si>
  <si>
    <t>838X-19-66-YEL</t>
  </si>
  <si>
    <t>838X-25-66-BLK</t>
  </si>
  <si>
    <t>838X-30-66-BLK</t>
  </si>
  <si>
    <t>838X-32-50-BLK</t>
  </si>
  <si>
    <t>838X-9-50-BLK-3</t>
  </si>
  <si>
    <t>838X-9-50-BLU</t>
  </si>
  <si>
    <t>839-12-25-BLK</t>
  </si>
  <si>
    <t>839-15-25-BLK</t>
  </si>
  <si>
    <t>839-19-25-BLK</t>
  </si>
  <si>
    <t>839-19-25-ORG</t>
  </si>
  <si>
    <t>839-19-25-WHT</t>
  </si>
  <si>
    <t>839-25-25-BLK</t>
  </si>
  <si>
    <t>839-25-25-WHT</t>
  </si>
  <si>
    <t>839-25-50-BLK</t>
  </si>
  <si>
    <t>839-38-25-BLK</t>
  </si>
  <si>
    <t>839-50-25</t>
  </si>
  <si>
    <t>839-50-25-WHT</t>
  </si>
  <si>
    <t>839-9-25-BLK</t>
  </si>
  <si>
    <t>839-9-25-WHT</t>
  </si>
  <si>
    <t>839-9-50-BLK</t>
  </si>
  <si>
    <t>839-9-50-WHT</t>
  </si>
  <si>
    <t>8397FRX-19-15-BLK</t>
  </si>
  <si>
    <t>839RT-35-10-BLK</t>
  </si>
  <si>
    <t>839X-12-25-BLK</t>
  </si>
  <si>
    <t>839X-19-25-BLK</t>
  </si>
  <si>
    <t>839X-19-25-ORG</t>
  </si>
  <si>
    <t>839X-19-25-WHT</t>
  </si>
  <si>
    <t>839X-19-750-BLK</t>
  </si>
  <si>
    <t>839X-25-25-BLK</t>
  </si>
  <si>
    <t>839X-30-750-BLK</t>
  </si>
  <si>
    <t>839X-9-25-BLK</t>
  </si>
  <si>
    <t>839X-9-25-WHT</t>
  </si>
  <si>
    <t>839X-9-50-BLK</t>
  </si>
  <si>
    <t>839XRT-35-10-BLK</t>
  </si>
  <si>
    <t>839XRT-35-10-BLK-LT</t>
  </si>
  <si>
    <t>8440X-19-5-BLK</t>
  </si>
  <si>
    <t>8440X-25-5-BLK</t>
  </si>
  <si>
    <t>8510-19-10-BLK</t>
  </si>
  <si>
    <t>8510-25-10-BLK</t>
  </si>
  <si>
    <t>8515X-19-10-BLK</t>
  </si>
  <si>
    <t>8515X-25-10-BLK</t>
  </si>
  <si>
    <t>8515X-9-10-BLK</t>
  </si>
  <si>
    <t>8520-19-33-BLK</t>
  </si>
  <si>
    <t>8520-25-33-BLK</t>
  </si>
  <si>
    <t>8550-15-25-BLK</t>
  </si>
  <si>
    <t>8550-15-25-WHT</t>
  </si>
  <si>
    <t>8550-15-25-YEL</t>
  </si>
  <si>
    <t>8550-19-25-BLK</t>
  </si>
  <si>
    <t>8550-19-25-BLU</t>
  </si>
  <si>
    <t>8550-19-25-GRN</t>
  </si>
  <si>
    <t>8550-19-25-GRY</t>
  </si>
  <si>
    <t>8550-19-25-ORG</t>
  </si>
  <si>
    <t>8550-19-25-RED</t>
  </si>
  <si>
    <t>8550-19-25-WHT</t>
  </si>
  <si>
    <t>8550-19-25-YEL</t>
  </si>
  <si>
    <t>8550-25-25-BLK</t>
  </si>
  <si>
    <t>8550-25-25-BRN</t>
  </si>
  <si>
    <t>8550-25-25-WHT</t>
  </si>
  <si>
    <t>8550-50-25-BLK</t>
  </si>
  <si>
    <t>8550-50-25-ORG</t>
  </si>
  <si>
    <t>8550-9-25-BLK</t>
  </si>
  <si>
    <t>8550-9-25-BLU</t>
  </si>
  <si>
    <t>8550-9-25-GRN</t>
  </si>
  <si>
    <t>8550-9-25-ORG</t>
  </si>
  <si>
    <t>8550-9-25-WHT</t>
  </si>
  <si>
    <t>8550-9-25-YEL</t>
  </si>
  <si>
    <t>8550LT-180-50-BLK</t>
  </si>
  <si>
    <t>8550LT-80-50-BLK</t>
  </si>
  <si>
    <t>8550RT-35-10-BLK</t>
  </si>
  <si>
    <t>8550RT-35-10-BLK-Left</t>
  </si>
  <si>
    <t>8550X-12-25-BLK</t>
  </si>
  <si>
    <t>8550X-19-25-BLK</t>
  </si>
  <si>
    <t>8550X-25-25-BLK</t>
  </si>
  <si>
    <t>8550X-38-25-BLK</t>
  </si>
  <si>
    <t>8550X-50-25-BLK</t>
  </si>
  <si>
    <t>8550X-9-25-BLK</t>
  </si>
  <si>
    <t>8551-10-25-BLK</t>
  </si>
  <si>
    <t>8551-11-25-BLK</t>
  </si>
  <si>
    <t>8551-12-25-BLK</t>
  </si>
  <si>
    <t>8551-15-25-BLK</t>
  </si>
  <si>
    <t>8551-19-15-BLK</t>
  </si>
  <si>
    <t>8551-19-25-BLK</t>
  </si>
  <si>
    <t>8551-19-50-BLK</t>
  </si>
  <si>
    <t>8551-25-25-BLK</t>
  </si>
  <si>
    <t>8551-25-50-BLK-1.5</t>
  </si>
  <si>
    <t>8551-30-25-BLK</t>
  </si>
  <si>
    <t>8551-32-25-BLK</t>
  </si>
  <si>
    <t>8551-38-25-BLK</t>
  </si>
  <si>
    <t>8551-40-25-BLK</t>
  </si>
  <si>
    <t>8551-50-25-BLK</t>
  </si>
  <si>
    <t>8551-9-25-BLK</t>
  </si>
  <si>
    <t>8551-9-50-BLK</t>
  </si>
  <si>
    <t>8551-9-50-BLK-3</t>
  </si>
  <si>
    <t>8555X-19-20-BLK</t>
  </si>
  <si>
    <t>8555X-19-25-BLK</t>
  </si>
  <si>
    <t>8555X-25-25-BLK</t>
  </si>
  <si>
    <t>8560-19-50-BLK</t>
  </si>
  <si>
    <t>8560-19-50-BLK-3</t>
  </si>
  <si>
    <t>8560-19-50-WHT</t>
  </si>
  <si>
    <t>8560-9-45-BLK</t>
  </si>
  <si>
    <t>8560-9-50-BLK</t>
  </si>
  <si>
    <t>8560X-12-50-BLK</t>
  </si>
  <si>
    <t>8560X-19-50-BLK-1.5</t>
  </si>
  <si>
    <t>856SLX-12-25-BLK</t>
  </si>
  <si>
    <t>856SLX-19-25-BLK</t>
  </si>
  <si>
    <t>856SLX-25-25-BLK-81</t>
  </si>
  <si>
    <t>8570-19-5-BLK</t>
  </si>
  <si>
    <t>8570-32-5-BLK</t>
  </si>
  <si>
    <t>8571-19-7.5-BLK</t>
  </si>
  <si>
    <t>8571-19-7.5-ORG</t>
  </si>
  <si>
    <t>8571-25-7.5-BLK</t>
  </si>
  <si>
    <t>8571-32-7.5-BLK</t>
  </si>
  <si>
    <t>8572-19-7.5-BLK</t>
  </si>
  <si>
    <t>8575X-19-5-BLK</t>
  </si>
  <si>
    <t>8575X-25-5-BLK</t>
  </si>
  <si>
    <t>8575X-50-5-BLK</t>
  </si>
  <si>
    <t>8579X-19-5-BLK</t>
  </si>
  <si>
    <t>8606-12-25-SLV</t>
  </si>
  <si>
    <t>8606-19-25-ORG</t>
  </si>
  <si>
    <t>8606-19-25-WHT</t>
  </si>
  <si>
    <t>8606-25-25-SLV</t>
  </si>
  <si>
    <t>8608-19-25-SLV</t>
  </si>
  <si>
    <t>8608-25-25-SLV</t>
  </si>
  <si>
    <t>8750-19-25-BLK</t>
  </si>
  <si>
    <t>8750-9-25-BLK</t>
  </si>
  <si>
    <t>8750S-25-25-BLK-RT</t>
  </si>
  <si>
    <t>876SLX-19-15-BLK</t>
  </si>
  <si>
    <t>880-12-5-BLK</t>
  </si>
  <si>
    <t>880-15-5-BLK</t>
  </si>
  <si>
    <t>880-19-15-BLK</t>
  </si>
  <si>
    <t>880-19-5-BLK</t>
  </si>
  <si>
    <t>880-45-15-BLK</t>
  </si>
  <si>
    <t>880-45-5-BLK</t>
  </si>
  <si>
    <t>880X-19-15-BLK</t>
  </si>
  <si>
    <t>880X-19-5-BLK</t>
  </si>
  <si>
    <t>880X-25-5-BLK</t>
  </si>
  <si>
    <t>881-19-15-BLK</t>
  </si>
  <si>
    <t>E101708</t>
  </si>
  <si>
    <t>E10522</t>
  </si>
  <si>
    <t>E10524</t>
  </si>
  <si>
    <t>E10525</t>
  </si>
  <si>
    <t>E20001</t>
  </si>
  <si>
    <t>E20003</t>
  </si>
  <si>
    <t>E20004</t>
  </si>
  <si>
    <t>E20005</t>
  </si>
  <si>
    <t>E20008</t>
  </si>
  <si>
    <t>E20011</t>
  </si>
  <si>
    <t>E20013</t>
  </si>
  <si>
    <t>E20015</t>
  </si>
  <si>
    <t>E20016</t>
  </si>
  <si>
    <t>E20017</t>
  </si>
  <si>
    <t>E20020</t>
  </si>
  <si>
    <t>E20021</t>
  </si>
  <si>
    <t>E20022</t>
  </si>
  <si>
    <t>E20024</t>
  </si>
  <si>
    <t>E20029</t>
  </si>
  <si>
    <t>E20036</t>
  </si>
  <si>
    <t>E20037</t>
  </si>
  <si>
    <t>E20039</t>
  </si>
  <si>
    <t>E20040</t>
  </si>
  <si>
    <t>E20042</t>
  </si>
  <si>
    <t>E4406</t>
  </si>
  <si>
    <t>E47403</t>
  </si>
  <si>
    <t>E47404</t>
  </si>
  <si>
    <t>E47406</t>
  </si>
  <si>
    <t>E47407</t>
  </si>
  <si>
    <t>E47409</t>
  </si>
  <si>
    <t>E47410</t>
  </si>
  <si>
    <t>E47411</t>
  </si>
  <si>
    <t>E47412</t>
  </si>
  <si>
    <t>E47414</t>
  </si>
  <si>
    <t>E47416</t>
  </si>
  <si>
    <t>E47417</t>
  </si>
  <si>
    <t>E51226</t>
  </si>
  <si>
    <t>E53109</t>
  </si>
  <si>
    <t>E53116</t>
  </si>
  <si>
    <t>E57001</t>
  </si>
  <si>
    <t>E57003</t>
  </si>
  <si>
    <t>E57005</t>
  </si>
  <si>
    <t>E57008</t>
  </si>
  <si>
    <t>E57012</t>
  </si>
  <si>
    <t>E57014</t>
  </si>
  <si>
    <t>E58301</t>
  </si>
  <si>
    <t>E58303</t>
  </si>
  <si>
    <t>E58305</t>
  </si>
  <si>
    <t>E58308</t>
  </si>
  <si>
    <t>E58309</t>
  </si>
  <si>
    <t>E58311</t>
  </si>
  <si>
    <t>E58312</t>
  </si>
  <si>
    <t>E58314</t>
  </si>
  <si>
    <t>E58315</t>
  </si>
  <si>
    <t>E58318</t>
  </si>
  <si>
    <t>E58319</t>
  </si>
  <si>
    <t>E58320</t>
  </si>
  <si>
    <t>E58321</t>
  </si>
  <si>
    <t>E58325</t>
  </si>
  <si>
    <t>E58326</t>
  </si>
  <si>
    <t>E58327</t>
  </si>
  <si>
    <t>E58328</t>
  </si>
  <si>
    <t>E58329</t>
  </si>
  <si>
    <t>E58334</t>
  </si>
  <si>
    <t>E58336</t>
  </si>
  <si>
    <t>E58337</t>
  </si>
  <si>
    <t>E58338</t>
  </si>
  <si>
    <t>E58340</t>
  </si>
  <si>
    <t>E58342</t>
  </si>
  <si>
    <t>E58347</t>
  </si>
  <si>
    <t>E58349</t>
  </si>
  <si>
    <t>E58352</t>
  </si>
  <si>
    <t>E58354</t>
  </si>
  <si>
    <t>E58355</t>
  </si>
  <si>
    <t>E58358</t>
  </si>
  <si>
    <t>E58360</t>
  </si>
  <si>
    <t>E62417</t>
  </si>
  <si>
    <t>E62418</t>
  </si>
  <si>
    <t>E62419</t>
  </si>
  <si>
    <t>E62420</t>
  </si>
  <si>
    <t>E62421</t>
  </si>
  <si>
    <t>E62422</t>
  </si>
  <si>
    <t>E62423</t>
  </si>
  <si>
    <t>E62425</t>
  </si>
  <si>
    <t>E69602</t>
  </si>
  <si>
    <t>E69603</t>
  </si>
  <si>
    <t>E69604</t>
  </si>
  <si>
    <t>E69605</t>
  </si>
  <si>
    <t>E69606</t>
  </si>
  <si>
    <t>E69608</t>
  </si>
  <si>
    <t>E69609</t>
  </si>
  <si>
    <t>E69610</t>
  </si>
  <si>
    <t>E69611</t>
  </si>
  <si>
    <t>E69613</t>
  </si>
  <si>
    <t>E74904</t>
  </si>
  <si>
    <t>E74909</t>
  </si>
  <si>
    <t>E74915</t>
  </si>
  <si>
    <t>E74927</t>
  </si>
  <si>
    <t>E74940</t>
  </si>
  <si>
    <t>E84401</t>
  </si>
  <si>
    <t>E84402</t>
  </si>
  <si>
    <t>E84406</t>
  </si>
  <si>
    <t>E84407</t>
  </si>
  <si>
    <t>E84410</t>
  </si>
  <si>
    <t>E84420</t>
  </si>
  <si>
    <t>E84421</t>
  </si>
  <si>
    <t>E84422</t>
  </si>
  <si>
    <t>E84423</t>
  </si>
  <si>
    <t>E84425</t>
  </si>
  <si>
    <t>E84426</t>
  </si>
  <si>
    <t>E84427</t>
  </si>
  <si>
    <t>E84429</t>
  </si>
  <si>
    <t>E84431</t>
  </si>
  <si>
    <t>E84432</t>
  </si>
  <si>
    <t>E84433</t>
  </si>
  <si>
    <t>E84434</t>
  </si>
  <si>
    <t>E84435</t>
  </si>
  <si>
    <t>E84440</t>
  </si>
  <si>
    <t>E84441</t>
  </si>
  <si>
    <t>E84443</t>
  </si>
  <si>
    <t>E84444</t>
  </si>
  <si>
    <t>E84445</t>
  </si>
  <si>
    <t>E84448</t>
  </si>
  <si>
    <t>E84449</t>
  </si>
  <si>
    <t>E84453</t>
  </si>
  <si>
    <t>E84454</t>
  </si>
  <si>
    <t>E84455</t>
  </si>
  <si>
    <t>E84456</t>
  </si>
  <si>
    <t>E84457</t>
  </si>
  <si>
    <t>E85301</t>
  </si>
  <si>
    <t>E93704</t>
  </si>
  <si>
    <t>E93705</t>
  </si>
  <si>
    <t>P000001</t>
  </si>
  <si>
    <t>P000002</t>
  </si>
  <si>
    <t>P000003</t>
  </si>
  <si>
    <t>P000004</t>
  </si>
  <si>
    <t>P000005</t>
  </si>
  <si>
    <t>P000008</t>
  </si>
  <si>
    <t>P000009</t>
  </si>
  <si>
    <t>P000010</t>
  </si>
  <si>
    <t>P000011</t>
  </si>
  <si>
    <t>P000021</t>
  </si>
  <si>
    <t>P000022</t>
  </si>
  <si>
    <t>P000023</t>
  </si>
  <si>
    <t>P000024</t>
  </si>
  <si>
    <t>P000031</t>
  </si>
  <si>
    <t>P000034</t>
  </si>
  <si>
    <t>P000044</t>
  </si>
  <si>
    <t>P000045</t>
  </si>
  <si>
    <t>P000046</t>
  </si>
  <si>
    <t>P000048</t>
  </si>
  <si>
    <t>P000050</t>
  </si>
  <si>
    <t>P000051</t>
  </si>
  <si>
    <t>P000054</t>
  </si>
  <si>
    <t>P000055</t>
  </si>
  <si>
    <t>P000056</t>
  </si>
  <si>
    <t>P000059</t>
  </si>
  <si>
    <t>P000060</t>
  </si>
  <si>
    <t>P000061</t>
  </si>
  <si>
    <t>P000062</t>
  </si>
  <si>
    <t>P000078</t>
  </si>
  <si>
    <t>P000079</t>
  </si>
  <si>
    <t>P000153</t>
  </si>
  <si>
    <t>P000168</t>
  </si>
  <si>
    <t>P000169</t>
  </si>
  <si>
    <t>P000171</t>
  </si>
  <si>
    <t>P000172</t>
  </si>
  <si>
    <t>P000173</t>
  </si>
  <si>
    <t>P000174</t>
  </si>
  <si>
    <t>P000175</t>
  </si>
  <si>
    <t>P000176</t>
  </si>
  <si>
    <t>P000178</t>
  </si>
  <si>
    <t>P000182</t>
  </si>
  <si>
    <t>P000201</t>
  </si>
  <si>
    <t>P000210</t>
  </si>
  <si>
    <t>P000232</t>
  </si>
  <si>
    <t>P000278</t>
  </si>
  <si>
    <t>P000281</t>
  </si>
  <si>
    <t>P000305</t>
  </si>
  <si>
    <t>P000324</t>
  </si>
  <si>
    <t>P000349</t>
  </si>
  <si>
    <t>P000367</t>
  </si>
  <si>
    <t>P000387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</si>
  <si>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</si>
  <si>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</si>
  <si>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</si>
  <si>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</si>
  <si>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</si>
  <si>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</si>
  <si>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</si>
  <si>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</si>
  <si>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</si>
  <si>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</si>
  <si>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</si>
  <si>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P000438</t>
  </si>
  <si>
    <t>P000446</t>
  </si>
  <si>
    <t>P000453</t>
  </si>
  <si>
    <t>P000460</t>
  </si>
  <si>
    <t>P000461</t>
  </si>
  <si>
    <t>P000462</t>
  </si>
  <si>
    <t>P000464</t>
  </si>
  <si>
    <t>P000466</t>
  </si>
  <si>
    <t>P000468</t>
  </si>
  <si>
    <t>P000486</t>
  </si>
  <si>
    <t>P000487</t>
  </si>
  <si>
    <t>P000488</t>
  </si>
  <si>
    <t>P000489</t>
  </si>
  <si>
    <t>P000492</t>
  </si>
  <si>
    <t>P000503</t>
  </si>
  <si>
    <t>P000508</t>
  </si>
  <si>
    <t>P000644</t>
  </si>
  <si>
    <t>P000652</t>
  </si>
  <si>
    <t>P000656</t>
  </si>
  <si>
    <t>P000670</t>
  </si>
  <si>
    <t>P000676</t>
  </si>
  <si>
    <t>P000678</t>
  </si>
  <si>
    <t>P000684</t>
  </si>
  <si>
    <t>P000706</t>
  </si>
  <si>
    <t>P000707</t>
  </si>
  <si>
    <t>P000719</t>
  </si>
  <si>
    <t>P000721</t>
  </si>
  <si>
    <t>P000729</t>
  </si>
  <si>
    <t>P000730</t>
  </si>
  <si>
    <t>P000732</t>
  </si>
  <si>
    <t>P000734</t>
  </si>
  <si>
    <t>P000768</t>
  </si>
  <si>
    <t>P000769</t>
  </si>
  <si>
    <t>P000806</t>
  </si>
  <si>
    <t>P000807</t>
  </si>
  <si>
    <t>P000808</t>
  </si>
  <si>
    <t>P000809</t>
  </si>
  <si>
    <t>P000810</t>
  </si>
  <si>
    <t>P000811</t>
  </si>
  <si>
    <t>P000812</t>
  </si>
  <si>
    <t>P000814</t>
  </si>
  <si>
    <t>P000815</t>
  </si>
  <si>
    <t>P000816</t>
  </si>
  <si>
    <t>P000835</t>
  </si>
  <si>
    <t>P000838</t>
  </si>
  <si>
    <t>P000843</t>
  </si>
  <si>
    <t>P000844</t>
  </si>
  <si>
    <t>P000845</t>
  </si>
  <si>
    <t>P000849</t>
  </si>
  <si>
    <t>P000851</t>
  </si>
  <si>
    <t>P000865</t>
  </si>
  <si>
    <t>P000866</t>
  </si>
  <si>
    <t>P000868</t>
  </si>
  <si>
    <t>P000869</t>
  </si>
  <si>
    <t>P000942</t>
  </si>
  <si>
    <t>P001103</t>
  </si>
  <si>
    <t>P001155</t>
  </si>
  <si>
    <t>P001156</t>
  </si>
  <si>
    <t>P001157</t>
  </si>
  <si>
    <t>P001158</t>
  </si>
  <si>
    <t>P001167</t>
  </si>
  <si>
    <t>P001168</t>
  </si>
  <si>
    <t>P001169</t>
  </si>
  <si>
    <t>P001170</t>
  </si>
  <si>
    <t>P001171</t>
  </si>
  <si>
    <t>P001172</t>
  </si>
  <si>
    <t>P001173</t>
  </si>
  <si>
    <t>P001174</t>
  </si>
  <si>
    <t>P001175</t>
  </si>
  <si>
    <t>P001176</t>
  </si>
  <si>
    <t>P001177</t>
  </si>
  <si>
    <t>P001178</t>
  </si>
  <si>
    <t>P001179</t>
  </si>
  <si>
    <t>P001180</t>
  </si>
  <si>
    <t>P001181</t>
  </si>
  <si>
    <t>P001182</t>
  </si>
  <si>
    <t>P001183</t>
  </si>
  <si>
    <t>P001233</t>
  </si>
  <si>
    <t>P100208</t>
  </si>
  <si>
    <t>P100258</t>
  </si>
  <si>
    <t>P100264</t>
  </si>
  <si>
    <t>P100265</t>
  </si>
  <si>
    <t>P200249</t>
  </si>
  <si>
    <t>P200282</t>
  </si>
  <si>
    <t>P500000</t>
  </si>
  <si>
    <t>P500001</t>
  </si>
  <si>
    <t>P500002</t>
  </si>
  <si>
    <t>P500003</t>
  </si>
  <si>
    <t>P500004</t>
  </si>
  <si>
    <t>P500005</t>
  </si>
  <si>
    <t>P500006</t>
  </si>
  <si>
    <t>P500007</t>
  </si>
  <si>
    <t>P500008</t>
  </si>
  <si>
    <t>P500009</t>
  </si>
  <si>
    <t>P500010</t>
  </si>
  <si>
    <t>P500011</t>
  </si>
  <si>
    <t>P500012</t>
  </si>
  <si>
    <t>P500013</t>
  </si>
  <si>
    <t>P500014</t>
  </si>
  <si>
    <t>P500015</t>
  </si>
  <si>
    <t>P500016</t>
  </si>
  <si>
    <t>P500017</t>
  </si>
  <si>
    <t>P500018</t>
  </si>
  <si>
    <t>P500019</t>
  </si>
  <si>
    <t>P500020</t>
  </si>
  <si>
    <t>P500021</t>
  </si>
  <si>
    <t>P500022</t>
  </si>
  <si>
    <t>P500023</t>
  </si>
  <si>
    <t>P500024</t>
  </si>
  <si>
    <t>P500025</t>
  </si>
  <si>
    <t>P500026</t>
  </si>
  <si>
    <t>P500027</t>
  </si>
  <si>
    <t>P500028</t>
  </si>
  <si>
    <t>P500029</t>
  </si>
  <si>
    <t>P500030</t>
  </si>
  <si>
    <t>P500031</t>
  </si>
  <si>
    <t>P500032</t>
  </si>
  <si>
    <t>P500033</t>
  </si>
  <si>
    <t>P500034</t>
  </si>
  <si>
    <t>P500035</t>
  </si>
  <si>
    <t>P500036</t>
  </si>
  <si>
    <t>P500037</t>
  </si>
  <si>
    <t>P500038</t>
  </si>
  <si>
    <t>P500039</t>
  </si>
  <si>
    <t>P500040</t>
  </si>
  <si>
    <t>P500041</t>
  </si>
  <si>
    <t>P500042</t>
  </si>
  <si>
    <t>P500043</t>
  </si>
  <si>
    <t>P500044</t>
  </si>
  <si>
    <t>P500045</t>
  </si>
  <si>
    <t>P500046</t>
  </si>
  <si>
    <t>P500047</t>
  </si>
  <si>
    <t>P500048</t>
  </si>
  <si>
    <t>P500049</t>
  </si>
  <si>
    <t>P500050</t>
  </si>
  <si>
    <t>P500051</t>
  </si>
  <si>
    <t>P500052</t>
  </si>
  <si>
    <t>P500053</t>
  </si>
  <si>
    <t>P500054</t>
  </si>
  <si>
    <t>P500055</t>
  </si>
  <si>
    <t>P500056</t>
  </si>
  <si>
    <t>P500057</t>
  </si>
  <si>
    <t>P500058</t>
  </si>
  <si>
    <t>P500059</t>
  </si>
  <si>
    <t>P500060</t>
  </si>
  <si>
    <t>P500061</t>
  </si>
  <si>
    <t>P500062</t>
  </si>
  <si>
    <t>P500063</t>
  </si>
  <si>
    <t>Fail</t>
  </si>
  <si>
    <t>Pass</t>
  </si>
  <si>
    <t>P001124</t>
  </si>
  <si>
    <t>ET PN en NetSuite</t>
  </si>
  <si>
    <t>Si estan en la BD</t>
  </si>
  <si>
    <t>PP00074-01</t>
  </si>
  <si>
    <t>PP00074-02</t>
  </si>
  <si>
    <t>PP00074-07</t>
  </si>
  <si>
    <t>PP00074-08</t>
  </si>
  <si>
    <t>PP00074-09</t>
  </si>
  <si>
    <t>PP00074-16</t>
  </si>
  <si>
    <t>PP00074-17</t>
  </si>
  <si>
    <t>PP00074-18</t>
  </si>
  <si>
    <t>PP00075-01</t>
  </si>
  <si>
    <t>PP00075-02</t>
  </si>
  <si>
    <t>PP00075-03</t>
  </si>
  <si>
    <t>PP00075-04</t>
  </si>
  <si>
    <t>PP00075-05</t>
  </si>
  <si>
    <t>PP00075-06</t>
  </si>
  <si>
    <t>Customer_PN_ID</t>
  </si>
  <si>
    <t>M1185</t>
  </si>
  <si>
    <t>M1372-BE</t>
  </si>
  <si>
    <t>M1547</t>
  </si>
  <si>
    <t>M1514</t>
  </si>
  <si>
    <t>M0802</t>
  </si>
  <si>
    <t>M1317</t>
  </si>
  <si>
    <t>M1517</t>
  </si>
  <si>
    <t>M1212</t>
  </si>
  <si>
    <t>M1528</t>
  </si>
  <si>
    <t>M1502</t>
  </si>
  <si>
    <t>505-25</t>
  </si>
  <si>
    <t>832MPX19MMX15M BLK</t>
  </si>
  <si>
    <t>1104497-00-A</t>
  </si>
  <si>
    <t>1080636-00-A</t>
  </si>
  <si>
    <t>834MPX</t>
  </si>
  <si>
    <t>1107894-00-A</t>
  </si>
  <si>
    <t>1557918-01-A</t>
  </si>
  <si>
    <t>34160942A</t>
  </si>
  <si>
    <t>34189987A</t>
  </si>
  <si>
    <t>34156840A</t>
  </si>
  <si>
    <t>E49631300</t>
  </si>
  <si>
    <t>E51977000</t>
  </si>
  <si>
    <t>E51976400</t>
  </si>
  <si>
    <t>E51976700</t>
  </si>
  <si>
    <t>E51977300</t>
  </si>
  <si>
    <t>E51977200</t>
  </si>
  <si>
    <t>ZRM-982368-09 Rev A</t>
  </si>
  <si>
    <t>ZRM-982368-10 Rev A</t>
  </si>
  <si>
    <t>ZRM-98855-10</t>
  </si>
  <si>
    <t>ZRM-982413-10 RevA</t>
  </si>
  <si>
    <t>ZRM982448-02 Rev A</t>
  </si>
  <si>
    <t>G141043</t>
  </si>
  <si>
    <t>837X</t>
  </si>
  <si>
    <t>8550X-19-25</t>
  </si>
  <si>
    <t>2509328C1</t>
  </si>
  <si>
    <t>8310SE-25</t>
  </si>
  <si>
    <t>8310SE-19mm-25m</t>
  </si>
  <si>
    <t>8575X-19-5</t>
  </si>
  <si>
    <t>122G0-004059-01</t>
  </si>
  <si>
    <t>122G0-004313-01</t>
  </si>
  <si>
    <t>120G0-005808-01</t>
  </si>
  <si>
    <t>122GO-002704-01</t>
  </si>
  <si>
    <t>122G0-003092-01</t>
  </si>
  <si>
    <t>122G0-000937-01</t>
  </si>
  <si>
    <t>122G0-001488-01</t>
  </si>
  <si>
    <t>122G0-003397-01</t>
  </si>
  <si>
    <t>122G0-001211-01</t>
  </si>
  <si>
    <t>122G0-001639-01</t>
  </si>
  <si>
    <t>120G0-001666-01</t>
  </si>
  <si>
    <t>120G0-003861-01</t>
  </si>
  <si>
    <t>EUROTECH#ET008</t>
  </si>
  <si>
    <t>114G0-040373-01</t>
  </si>
  <si>
    <t>114G0-031173-01</t>
  </si>
  <si>
    <t>114G0-031503-01</t>
  </si>
  <si>
    <t>1-9-0136602</t>
  </si>
  <si>
    <t>1-9-0143799</t>
  </si>
  <si>
    <t>1-9-011509</t>
  </si>
  <si>
    <t>1-9-0144516</t>
  </si>
  <si>
    <t>10-750006-031</t>
  </si>
  <si>
    <t>10176895-001</t>
  </si>
  <si>
    <t>10173843-001</t>
  </si>
  <si>
    <t>10173694-001</t>
  </si>
  <si>
    <t>838X-9-50-BLK</t>
  </si>
  <si>
    <t>10164237-001</t>
  </si>
  <si>
    <t>10164237-002</t>
  </si>
  <si>
    <t>10176192-001</t>
  </si>
  <si>
    <t>Y00000149</t>
  </si>
  <si>
    <t>180AK907151</t>
  </si>
  <si>
    <t>MTP03781AB</t>
  </si>
  <si>
    <t>8375x-19</t>
  </si>
  <si>
    <t>S-T224619</t>
  </si>
  <si>
    <t>AD-0076</t>
  </si>
  <si>
    <t>835X</t>
  </si>
  <si>
    <t>1201-10-100</t>
  </si>
  <si>
    <t>13070-17270</t>
  </si>
  <si>
    <t>13070-13904</t>
  </si>
  <si>
    <t>11565-02184</t>
  </si>
  <si>
    <t>11089-08364</t>
  </si>
  <si>
    <t>834-MPX</t>
  </si>
  <si>
    <t>8310SE-32</t>
  </si>
  <si>
    <t>PS1397-BLK</t>
  </si>
  <si>
    <t>PS1397</t>
  </si>
  <si>
    <t>837XLT1</t>
  </si>
  <si>
    <t>837X-38</t>
  </si>
  <si>
    <t>Z6328188</t>
  </si>
  <si>
    <t>317COROPLAST9X33B</t>
  </si>
  <si>
    <t>880XCOROPLAST19X5B</t>
  </si>
  <si>
    <t>832MPX</t>
  </si>
  <si>
    <t>8550X</t>
  </si>
  <si>
    <t>COMP-030</t>
  </si>
  <si>
    <t>837X-ORG</t>
  </si>
  <si>
    <t>B3-24-00285</t>
  </si>
  <si>
    <t>B3-24-00287</t>
  </si>
  <si>
    <t>B3-01-02978</t>
  </si>
  <si>
    <t>AQ2767</t>
  </si>
  <si>
    <t>837XRT-35</t>
  </si>
  <si>
    <t>E16718900</t>
  </si>
  <si>
    <t>E14168700</t>
  </si>
  <si>
    <t>E16725300</t>
  </si>
  <si>
    <t>300010 BluSeal 500 gr</t>
  </si>
  <si>
    <t>ZT0478</t>
  </si>
  <si>
    <t>1238X-19</t>
  </si>
  <si>
    <t>329-3734</t>
  </si>
  <si>
    <t>329-3732</t>
  </si>
  <si>
    <t>ALM0427</t>
  </si>
  <si>
    <t>TAPE 505</t>
  </si>
  <si>
    <t>TAPE COROPLAST 512</t>
  </si>
  <si>
    <t>8551 - 19MMX25M BLK</t>
  </si>
  <si>
    <t>AP2988</t>
  </si>
  <si>
    <t>510199A</t>
  </si>
  <si>
    <t>510177A</t>
  </si>
  <si>
    <t>GAT126</t>
  </si>
  <si>
    <t>49070303AA</t>
  </si>
  <si>
    <t>49070304AA</t>
  </si>
  <si>
    <t>8608-25</t>
  </si>
  <si>
    <t>8375X1925BLK</t>
  </si>
  <si>
    <t>TAPE 837X</t>
  </si>
  <si>
    <t>8375X</t>
  </si>
  <si>
    <t>R103378</t>
  </si>
  <si>
    <t>317.25MM</t>
  </si>
  <si>
    <t>TAPCOR651MSX</t>
  </si>
  <si>
    <t>TAPCOR837X</t>
  </si>
  <si>
    <t>QS6480371</t>
  </si>
  <si>
    <t>8375x-19-25</t>
  </si>
  <si>
    <t>43-8282- (834MPX)</t>
  </si>
  <si>
    <t>78-8888-</t>
  </si>
  <si>
    <t>IO-795B1MB8-01</t>
  </si>
  <si>
    <t>IO-795B1NT5-02</t>
  </si>
  <si>
    <t>IO-795B1Q15-01</t>
  </si>
  <si>
    <t>IO-795B1T21-03</t>
  </si>
  <si>
    <t>IO-795B1VZL-03</t>
  </si>
  <si>
    <t>IO-795B1VZP-04</t>
  </si>
  <si>
    <t>IO-795B1YCF-01</t>
  </si>
  <si>
    <t>IO-795B1ZV2-03</t>
  </si>
  <si>
    <t>IO-795B1ZV4-02</t>
  </si>
  <si>
    <t>IO-795B1ZV5-02</t>
  </si>
  <si>
    <t>837X-19</t>
  </si>
  <si>
    <t>839X-19</t>
  </si>
  <si>
    <t>TD-CDA-BAA-BK</t>
  </si>
  <si>
    <t>34-9110</t>
  </si>
  <si>
    <t>ENG-PROTO-EXP</t>
  </si>
  <si>
    <t>221653-1</t>
  </si>
  <si>
    <t>750442-3</t>
  </si>
  <si>
    <t>RMTP00014</t>
  </si>
  <si>
    <t>835x-25-25-BLK</t>
  </si>
  <si>
    <t>837XRT-35-BLK-RT</t>
  </si>
  <si>
    <t>ETN1000E</t>
  </si>
  <si>
    <t>TAPE CLOTH 0748 25M BLK</t>
  </si>
  <si>
    <t>K1-001357</t>
  </si>
  <si>
    <t>837x-19-25-BLK</t>
  </si>
  <si>
    <t>GGEN001</t>
  </si>
  <si>
    <t>T24</t>
  </si>
  <si>
    <t>ET21-3.0/1.0-BLK</t>
  </si>
  <si>
    <t>ET21-6.0/2.0-BLK</t>
  </si>
  <si>
    <t>ET21-12.0/4.0-BLK</t>
  </si>
  <si>
    <t>ET21-19.0/6.0-BLK</t>
  </si>
  <si>
    <t>ET21-24.0/8.0-BLK</t>
  </si>
  <si>
    <t>FHLR2GCB2G 70MM2</t>
  </si>
  <si>
    <t>83C67763</t>
  </si>
  <si>
    <t>ME837X-25-25-BLK</t>
  </si>
  <si>
    <t>CET1700</t>
  </si>
  <si>
    <t>834 MPX Tape</t>
  </si>
  <si>
    <t>A00003M500011</t>
  </si>
  <si>
    <t>TAPE-837X-19</t>
  </si>
  <si>
    <t>8310SE</t>
  </si>
  <si>
    <t>TS51036.7</t>
  </si>
  <si>
    <t>329-3734-036</t>
  </si>
  <si>
    <t>CORO 838X 9MM</t>
  </si>
  <si>
    <t>835x-19-25-BLK</t>
  </si>
  <si>
    <t>EXP-50190</t>
  </si>
  <si>
    <t>837x-19-25-ORG</t>
  </si>
  <si>
    <t>837XRT-35-10-ORG</t>
  </si>
  <si>
    <t>Taper-00006</t>
  </si>
  <si>
    <t>TAPER-00012</t>
  </si>
  <si>
    <t>TAPER-00020</t>
  </si>
  <si>
    <t>TAPER-00006</t>
  </si>
  <si>
    <t>TAPER-00014</t>
  </si>
  <si>
    <t>TAPER-00013</t>
  </si>
  <si>
    <t>8375X19-25-BLK</t>
  </si>
  <si>
    <t>713349NG</t>
  </si>
  <si>
    <t>651MSX</t>
  </si>
  <si>
    <t>110010645A</t>
  </si>
  <si>
    <t>GM TAPE</t>
  </si>
  <si>
    <t>837XRT35-10-BLK-RT</t>
  </si>
  <si>
    <t>FHL2G 1x50</t>
  </si>
  <si>
    <t>FHL2G 1x25</t>
  </si>
  <si>
    <t>FHL2G 1x35</t>
  </si>
  <si>
    <t>FHLR2G2G 2x6</t>
  </si>
  <si>
    <t>837X Orange</t>
  </si>
  <si>
    <t>401-002819-01-1</t>
  </si>
  <si>
    <t>832MPX-19</t>
  </si>
  <si>
    <t>91-837X-19MM</t>
  </si>
  <si>
    <t>837x-25-25-BLK</t>
  </si>
  <si>
    <t>837 X</t>
  </si>
  <si>
    <t>27D2659</t>
  </si>
  <si>
    <t>122G0-003533-01</t>
  </si>
  <si>
    <t>060-0080</t>
  </si>
  <si>
    <t>RA1001425472</t>
  </si>
  <si>
    <t>RA1001288737</t>
  </si>
  <si>
    <t>RA1001288734</t>
  </si>
  <si>
    <t>RA1001210121</t>
  </si>
  <si>
    <t>RA1001288735</t>
  </si>
  <si>
    <t>RA1001288736</t>
  </si>
  <si>
    <t>711798 4.0 0030</t>
  </si>
  <si>
    <t>711798 11 0050</t>
  </si>
  <si>
    <t>13347728-001-V1</t>
  </si>
  <si>
    <t>835X Coroplast</t>
  </si>
  <si>
    <t>ET25-5.7/1.3R-CLR-25MM</t>
  </si>
  <si>
    <t>ET25-4.0/1.0R-CLR-25MM</t>
  </si>
  <si>
    <t>505-19-4</t>
  </si>
  <si>
    <t>512-19-0</t>
  </si>
  <si>
    <t>CME-M546</t>
  </si>
  <si>
    <t>CME-M42</t>
  </si>
  <si>
    <t>81-0085</t>
  </si>
  <si>
    <t>81-0086</t>
  </si>
  <si>
    <t>81-0088</t>
  </si>
  <si>
    <t>KB3T-1A303-BA</t>
  </si>
  <si>
    <t>837X-19-25-BLK (44A115-6)</t>
  </si>
  <si>
    <t>TAPE0000027</t>
  </si>
  <si>
    <t>TAPE0000028</t>
  </si>
  <si>
    <t>TAPE0000031</t>
  </si>
  <si>
    <t>T.B.D</t>
  </si>
  <si>
    <t>TAPE-837X</t>
  </si>
  <si>
    <t>0 36376</t>
  </si>
  <si>
    <t>WFHLR2GCB2G_25</t>
  </si>
  <si>
    <t>P10-101-825</t>
  </si>
  <si>
    <t>P10-106-778</t>
  </si>
  <si>
    <t>40400-00000092</t>
  </si>
  <si>
    <t>837X-5MM-25M-BLK</t>
  </si>
  <si>
    <t>02-00137-00</t>
  </si>
  <si>
    <t>00-OCTAPE</t>
  </si>
  <si>
    <t>14 0305</t>
  </si>
  <si>
    <t>STR23003704</t>
  </si>
  <si>
    <t>EXP-002</t>
  </si>
  <si>
    <t>10518645-</t>
  </si>
  <si>
    <t>10415965-00</t>
  </si>
  <si>
    <t>SWC-9-2611-50MM2</t>
  </si>
  <si>
    <t>PTR-COR8310SE1925-BK</t>
  </si>
  <si>
    <t>835X 25mm Black</t>
  </si>
  <si>
    <t>TAPE</t>
  </si>
  <si>
    <t>1238X-25-25-BLK</t>
  </si>
  <si>
    <t>W-1x50mm:BATCBL-ORNG</t>
  </si>
  <si>
    <t>ELC-2130</t>
  </si>
  <si>
    <t>FHLR2GCB2G</t>
  </si>
  <si>
    <t>SG-1475811</t>
  </si>
  <si>
    <t>SG-1535995</t>
  </si>
  <si>
    <t>ESLU5T-1A263-AA (CCD41A) DIA 5</t>
  </si>
  <si>
    <t>1.4950.063</t>
  </si>
  <si>
    <t>1.4950.066</t>
  </si>
  <si>
    <t>ZZ501010</t>
  </si>
  <si>
    <t>6514-837X</t>
  </si>
  <si>
    <t>LFTESLMAT-BK</t>
  </si>
  <si>
    <t>L000001801</t>
  </si>
  <si>
    <t>M000007047</t>
  </si>
  <si>
    <t>L000005288</t>
  </si>
  <si>
    <t>L000001742</t>
  </si>
  <si>
    <t>L000003930</t>
  </si>
  <si>
    <t>L000001800</t>
  </si>
  <si>
    <t>L000003619</t>
  </si>
  <si>
    <t>L000004047</t>
  </si>
  <si>
    <t>L000003246</t>
  </si>
  <si>
    <t>L000003245</t>
  </si>
  <si>
    <t>L000004127</t>
  </si>
  <si>
    <t>L000003667</t>
  </si>
  <si>
    <t>L000003665</t>
  </si>
  <si>
    <t>L000003653</t>
  </si>
  <si>
    <t>L000003708</t>
  </si>
  <si>
    <t>L000003666</t>
  </si>
  <si>
    <t>L000003749</t>
  </si>
  <si>
    <t>40-1468</t>
  </si>
  <si>
    <t>40-1469</t>
  </si>
  <si>
    <t>837X25-25-BLK</t>
  </si>
  <si>
    <t>OTH0014014R000 Rev 01</t>
  </si>
  <si>
    <t>704206OR</t>
  </si>
  <si>
    <t>F-TPE-1184</t>
  </si>
  <si>
    <t>Z#8375X0000Z</t>
  </si>
  <si>
    <t>CPT.837X.25MM.25M</t>
  </si>
  <si>
    <t>CPT-837X-38mm-25m</t>
  </si>
  <si>
    <t>X22-275</t>
  </si>
  <si>
    <t>000686S101</t>
  </si>
  <si>
    <t>000294S100</t>
  </si>
  <si>
    <t>CYG-DWT-RO,4:1,32.0,BLK,100MM</t>
  </si>
  <si>
    <t>AK 50076</t>
  </si>
  <si>
    <t>8575X50</t>
  </si>
  <si>
    <t>12186169-D</t>
  </si>
  <si>
    <t>12186334-D</t>
  </si>
  <si>
    <t>12186168-D</t>
  </si>
  <si>
    <t>M4088001</t>
  </si>
  <si>
    <t>35738189-P</t>
  </si>
  <si>
    <t>35738193-S</t>
  </si>
  <si>
    <t>061000-022</t>
  </si>
  <si>
    <t>810-88-003</t>
  </si>
  <si>
    <t>810-88-008</t>
  </si>
  <si>
    <t>2003-0017</t>
  </si>
  <si>
    <t>810-88-004</t>
  </si>
  <si>
    <t>832MPX-19-15</t>
  </si>
  <si>
    <t>ALUMFOILP08</t>
  </si>
  <si>
    <t>TAPE139</t>
  </si>
  <si>
    <t>TAPE19Y</t>
  </si>
  <si>
    <t>TAPE94</t>
  </si>
  <si>
    <t>TAPE16B-8310</t>
  </si>
  <si>
    <t>TAPET19ML5B</t>
  </si>
  <si>
    <t>TAPE24B</t>
  </si>
  <si>
    <t>TAPE34</t>
  </si>
  <si>
    <t>TAPE31</t>
  </si>
  <si>
    <t>TAPEPL088</t>
  </si>
  <si>
    <t>HSTP1015</t>
  </si>
  <si>
    <t>HSTP2086</t>
  </si>
  <si>
    <t>HSTP2084</t>
  </si>
  <si>
    <t>HSTP768</t>
  </si>
  <si>
    <t>HSTP885</t>
  </si>
  <si>
    <t>HSTP590</t>
  </si>
  <si>
    <t>HST555P77</t>
  </si>
  <si>
    <t>HSTP319</t>
  </si>
  <si>
    <t>HST6001P68</t>
  </si>
  <si>
    <t>SLVP1966</t>
  </si>
  <si>
    <t>HSTP395</t>
  </si>
  <si>
    <t>HSTP2062</t>
  </si>
  <si>
    <t>HSTP2067</t>
  </si>
  <si>
    <t>HSTP1995</t>
  </si>
  <si>
    <t>TAPE24</t>
  </si>
  <si>
    <t>TAPE194OX</t>
  </si>
  <si>
    <t>TAPET01</t>
  </si>
  <si>
    <t>TAPE130</t>
  </si>
  <si>
    <t>TAPE42</t>
  </si>
  <si>
    <t>TAPEPL08B</t>
  </si>
  <si>
    <t>HSTP534</t>
  </si>
  <si>
    <t>HSTP1089</t>
  </si>
  <si>
    <t>HSTP217</t>
  </si>
  <si>
    <t>HSTP250</t>
  </si>
  <si>
    <t>HSTP971</t>
  </si>
  <si>
    <t>TAPE19B</t>
  </si>
  <si>
    <t>TAPET12BX</t>
  </si>
  <si>
    <t>TAPE252</t>
  </si>
  <si>
    <t>SLVP2929</t>
  </si>
  <si>
    <t>TAPE1940X</t>
  </si>
  <si>
    <t>TAPE66/TAPET01</t>
  </si>
  <si>
    <t>TAPE33</t>
  </si>
  <si>
    <t>TAPE32</t>
  </si>
  <si>
    <t>TAPEPL12B</t>
  </si>
  <si>
    <t>TAPE9B</t>
  </si>
  <si>
    <t>TAPEFP01</t>
  </si>
  <si>
    <t>HSTP393</t>
  </si>
  <si>
    <t>HSTP808</t>
  </si>
  <si>
    <t>HSTP151</t>
  </si>
  <si>
    <t>HSTP773</t>
  </si>
  <si>
    <t>HSTP847</t>
  </si>
  <si>
    <t>SLVP2039</t>
  </si>
  <si>
    <t>HSTP381</t>
  </si>
  <si>
    <t>HSTP2543</t>
  </si>
  <si>
    <t>HSTP2573</t>
  </si>
  <si>
    <t>HSTP2078</t>
  </si>
  <si>
    <t>TAPET002</t>
  </si>
  <si>
    <t>TAPE16B-8551</t>
  </si>
  <si>
    <t>TAPE191</t>
  </si>
  <si>
    <t>TAPE25B-856</t>
  </si>
  <si>
    <t>SLVP5004</t>
  </si>
  <si>
    <t xml:space="preserve">SLVP3092 </t>
  </si>
  <si>
    <t>SLVP2150</t>
  </si>
  <si>
    <t>HSTP2238</t>
  </si>
  <si>
    <t>COROPLAST_512</t>
  </si>
  <si>
    <t>832MPXRT</t>
  </si>
  <si>
    <t>8375X-ORANGE</t>
  </si>
  <si>
    <t>837X RT</t>
  </si>
  <si>
    <t>COROPLAST_839</t>
  </si>
  <si>
    <t>8375X-19MM-25M</t>
  </si>
  <si>
    <t>837x19x25</t>
  </si>
  <si>
    <t>837X25x25</t>
  </si>
  <si>
    <t>839X19X25</t>
  </si>
  <si>
    <t>RO-2-75</t>
  </si>
  <si>
    <t>CT-34AHR</t>
  </si>
  <si>
    <t>CT-34MPX833</t>
  </si>
  <si>
    <t>CT-34MPX834</t>
  </si>
  <si>
    <t>CT-34ATXPOLY</t>
  </si>
  <si>
    <t>CT-2A8575X</t>
  </si>
  <si>
    <t>339-6185</t>
  </si>
  <si>
    <t>838x-19-BLK</t>
  </si>
  <si>
    <t>16-838X-OR</t>
  </si>
  <si>
    <t>63316302A</t>
  </si>
  <si>
    <t>705492 12 99</t>
  </si>
  <si>
    <t xml:space="preserve">648145 19 00 </t>
  </si>
  <si>
    <t>634421 25 00</t>
  </si>
  <si>
    <t>710065 25 00</t>
  </si>
  <si>
    <t>704206 19 33</t>
  </si>
  <si>
    <t>ESLU5T-1A263-AA (CCC41A) DIA 7.44mm L:50mm B</t>
  </si>
  <si>
    <t>ESLU5T-1A263-AA (CCC41A) DIA 10.85mm L:50mm B</t>
  </si>
  <si>
    <t>ESLU5T-1A263-AA (CCC41A) DIA 17.78mm L:50mm B</t>
  </si>
  <si>
    <t>ESLU5T-1A263-AA (ACC41A) DIA 5.72mm L:30mm B</t>
  </si>
  <si>
    <t>ESLU5T-1A263-AA (ACC41A) DIA 7.44mm L:30mm B</t>
  </si>
  <si>
    <t>ESLU5T-1A263-AA (ACC41A) DIA 10.85mm L:30mm B</t>
  </si>
  <si>
    <t>ESLU5T-1A263-AA (ACC41A) DIA 17.78mm L:30mm B</t>
  </si>
  <si>
    <t>ESLU5T-1A263-AA (CCC41B) DIA 5.72mm L:50mm B</t>
  </si>
  <si>
    <t>ET25-18.3/4.5-BLK-65mm</t>
  </si>
  <si>
    <t>ET25-18.3/4.5-BLK-50mm</t>
  </si>
  <si>
    <t>ET25-7.4/1.7-BLK-50mm</t>
  </si>
  <si>
    <t>ET25-5.7/1.3-BLK-50mm</t>
  </si>
  <si>
    <t>ET87-17.8/4.4-BLK-40mm</t>
  </si>
  <si>
    <t>Customer_PN</t>
  </si>
  <si>
    <t>Cust PN Coinciden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</si>
</sst>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yyyy\-mm\-dd;@"/>
    <numFmt numFmtId="166" formatCode="[$-409]d\-mmm\-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 applyAlignment="1">
      <alignment horizontal="center" vertic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15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2" borderId="0" xfId="0" quotePrefix="1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165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quotePrefix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0" fillId="0" borderId="0" xfId="0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quotePrefix="1" applyFill="1" applyAlignment="1">
      <alignment horizontal="center"/>
    </xf>
    <xf numFmtId="166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66" fontId="0" fillId="3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0" fillId="3" borderId="0" xfId="0" quotePrefix="1" applyFill="1" applyAlignment="1">
      <alignment horizontal="center"/>
    </xf>
    <xf numFmtId="165" fontId="0" fillId="5" borderId="0" xfId="0" applyNumberFormat="1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5" fontId="0" fillId="0" borderId="0" xfId="0" applyNumberFormat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17" fontId="0" fillId="0" borderId="0" xfId="0" applyNumberFormat="1"/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66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ray\Downloads\2.xlsx" TargetMode="External"/><Relationship Id="rId1" Type="http://schemas.openxmlformats.org/officeDocument/2006/relationships/externalLinkPath" Target="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US"/>
      <sheetName val="MASTER LIST"/>
      <sheetName val="CODES OF CUSTOMERS"/>
      <sheetName val="list of outsource"/>
    </sheetNames>
    <sheetDataSet>
      <sheetData sheetId="0"/>
      <sheetData sheetId="1"/>
      <sheetData sheetId="2"/>
      <sheetData sheetId="3">
        <row r="3">
          <cell r="G3" t="str">
            <v>Ellaborated by:</v>
          </cell>
          <cell r="H3" t="str">
            <v>Frank Du</v>
          </cell>
        </row>
        <row r="4">
          <cell r="G4" t="str">
            <v>Revision:</v>
          </cell>
          <cell r="H4" t="str">
            <v>01</v>
          </cell>
        </row>
        <row r="5">
          <cell r="G5" t="str">
            <v>Date of revision:</v>
          </cell>
          <cell r="H5">
            <v>46000</v>
          </cell>
        </row>
        <row r="7">
          <cell r="B7" t="str">
            <v>Model</v>
          </cell>
          <cell r="C7" t="str">
            <v>Name of Manufacturer</v>
          </cell>
          <cell r="D7" t="str">
            <v>Manufacturer location</v>
          </cell>
          <cell r="E7" t="str">
            <v>Proximity to Manufacturer  from ETC (car travel)</v>
          </cell>
          <cell r="F7" t="str">
            <v>Type of certificate
ISO 9001, IATF16949 or both</v>
          </cell>
          <cell r="G7" t="str">
            <v>Expiration date of certificate
(YYYY-MM-DD)</v>
          </cell>
          <cell r="H7" t="str">
            <v>Date of last audit to supplier by ETC
(YYYY-MM-DD)</v>
          </cell>
        </row>
        <row r="8">
          <cell r="B8" t="str">
            <v>ET01</v>
          </cell>
          <cell r="C8" t="str">
            <v>ETC design and Kebao manufacture</v>
          </cell>
          <cell r="D8" t="str">
            <v>Guangzhou</v>
          </cell>
          <cell r="E8" t="str">
            <v>16hr</v>
          </cell>
          <cell r="F8" t="str">
            <v>IATF 16949</v>
          </cell>
          <cell r="G8">
            <v>46343</v>
          </cell>
          <cell r="H8" t="str">
            <v>/</v>
          </cell>
        </row>
        <row r="9">
          <cell r="B9" t="str">
            <v>ET05</v>
          </cell>
          <cell r="C9" t="str">
            <v>ETC</v>
          </cell>
          <cell r="D9" t="str">
            <v>Taicang</v>
          </cell>
          <cell r="E9" t="str">
            <v>-</v>
          </cell>
          <cell r="F9" t="str">
            <v>IATF 16949</v>
          </cell>
          <cell r="G9">
            <v>47020</v>
          </cell>
          <cell r="H9" t="str">
            <v>N/A</v>
          </cell>
        </row>
        <row r="10">
          <cell r="B10" t="str">
            <v>ET25</v>
          </cell>
          <cell r="C10" t="str">
            <v>ETC</v>
          </cell>
          <cell r="D10" t="str">
            <v>Taicang</v>
          </cell>
          <cell r="E10" t="str">
            <v>-</v>
          </cell>
          <cell r="F10" t="str">
            <v>IATF 16949</v>
          </cell>
          <cell r="G10">
            <v>47020</v>
          </cell>
          <cell r="H10" t="str">
            <v>N/A</v>
          </cell>
        </row>
        <row r="11">
          <cell r="B11" t="str">
            <v>ET26</v>
          </cell>
          <cell r="C11" t="str">
            <v>ETC</v>
          </cell>
          <cell r="D11" t="str">
            <v>Taicang</v>
          </cell>
          <cell r="E11" t="str">
            <v>-</v>
          </cell>
          <cell r="F11" t="str">
            <v>IATF 16949</v>
          </cell>
          <cell r="G11">
            <v>47020</v>
          </cell>
          <cell r="H11" t="str">
            <v>N/A</v>
          </cell>
        </row>
        <row r="12">
          <cell r="B12" t="str">
            <v>ET27</v>
          </cell>
          <cell r="C12" t="str">
            <v>ETC</v>
          </cell>
          <cell r="D12" t="str">
            <v>Taicang</v>
          </cell>
          <cell r="E12" t="str">
            <v>-</v>
          </cell>
          <cell r="F12" t="str">
            <v>IATF 16949</v>
          </cell>
          <cell r="G12">
            <v>47020</v>
          </cell>
          <cell r="H12" t="str">
            <v>N/A</v>
          </cell>
        </row>
        <row r="13">
          <cell r="B13" t="str">
            <v>ET28</v>
          </cell>
          <cell r="C13" t="str">
            <v>ETC</v>
          </cell>
          <cell r="D13" t="str">
            <v>Taicang</v>
          </cell>
          <cell r="E13" t="str">
            <v>-</v>
          </cell>
          <cell r="F13" t="str">
            <v>IATF 16949</v>
          </cell>
          <cell r="G13">
            <v>47020</v>
          </cell>
          <cell r="H13" t="str">
            <v>N/A</v>
          </cell>
        </row>
        <row r="14">
          <cell r="B14" t="str">
            <v>ET42</v>
          </cell>
          <cell r="C14" t="str">
            <v>ETC</v>
          </cell>
          <cell r="D14" t="str">
            <v>Taicang</v>
          </cell>
          <cell r="E14" t="str">
            <v>-</v>
          </cell>
          <cell r="F14" t="str">
            <v>IATF 16949</v>
          </cell>
          <cell r="G14">
            <v>47020</v>
          </cell>
          <cell r="H14" t="str">
            <v>N/A</v>
          </cell>
        </row>
        <row r="15">
          <cell r="B15" t="str">
            <v>ET43</v>
          </cell>
          <cell r="C15" t="str">
            <v>ETC</v>
          </cell>
          <cell r="D15" t="str">
            <v>Taicang</v>
          </cell>
          <cell r="E15" t="str">
            <v>-</v>
          </cell>
          <cell r="F15" t="str">
            <v>IATF 16949</v>
          </cell>
          <cell r="G15">
            <v>47020</v>
          </cell>
          <cell r="H15" t="str">
            <v>N/A</v>
          </cell>
        </row>
        <row r="16">
          <cell r="B16" t="str">
            <v>ET44</v>
          </cell>
          <cell r="C16" t="str">
            <v>ETC</v>
          </cell>
          <cell r="D16" t="str">
            <v>Taicang</v>
          </cell>
          <cell r="E16" t="str">
            <v>-</v>
          </cell>
          <cell r="F16" t="str">
            <v>IATF 16949</v>
          </cell>
          <cell r="G16">
            <v>47020</v>
          </cell>
          <cell r="H16" t="str">
            <v>N/A</v>
          </cell>
        </row>
        <row r="17">
          <cell r="B17" t="str">
            <v>ET45</v>
          </cell>
          <cell r="C17" t="str">
            <v>ETC</v>
          </cell>
          <cell r="D17" t="str">
            <v>Taicang</v>
          </cell>
          <cell r="E17" t="str">
            <v>-</v>
          </cell>
          <cell r="F17" t="str">
            <v>IATF 16949</v>
          </cell>
          <cell r="G17">
            <v>47020</v>
          </cell>
          <cell r="H17" t="str">
            <v>N/A</v>
          </cell>
        </row>
        <row r="18">
          <cell r="B18" t="str">
            <v>ET46</v>
          </cell>
          <cell r="C18" t="str">
            <v>ETC</v>
          </cell>
          <cell r="D18" t="str">
            <v>Taicang</v>
          </cell>
          <cell r="E18" t="str">
            <v>-</v>
          </cell>
          <cell r="F18" t="str">
            <v>IATF 16949</v>
          </cell>
          <cell r="G18">
            <v>47020</v>
          </cell>
          <cell r="H18" t="str">
            <v>N/A</v>
          </cell>
        </row>
        <row r="19">
          <cell r="B19" t="str">
            <v>ET47</v>
          </cell>
          <cell r="C19" t="str">
            <v>ETC</v>
          </cell>
          <cell r="D19" t="str">
            <v>Taicang</v>
          </cell>
          <cell r="E19" t="str">
            <v>-</v>
          </cell>
          <cell r="F19" t="str">
            <v>IATF 16949</v>
          </cell>
          <cell r="G19">
            <v>47020</v>
          </cell>
          <cell r="H19" t="str">
            <v>N/A</v>
          </cell>
        </row>
        <row r="20">
          <cell r="B20" t="str">
            <v>ET48</v>
          </cell>
          <cell r="C20" t="str">
            <v>ETC</v>
          </cell>
          <cell r="D20" t="str">
            <v>Taicang</v>
          </cell>
          <cell r="E20" t="str">
            <v>-</v>
          </cell>
          <cell r="F20" t="str">
            <v>IATF 16949</v>
          </cell>
          <cell r="G20">
            <v>47020</v>
          </cell>
          <cell r="H20" t="str">
            <v>N/A</v>
          </cell>
        </row>
        <row r="21">
          <cell r="B21" t="str">
            <v>ET70</v>
          </cell>
          <cell r="C21" t="str">
            <v>ETC</v>
          </cell>
          <cell r="D21" t="str">
            <v>Taicang</v>
          </cell>
          <cell r="E21" t="str">
            <v>-</v>
          </cell>
          <cell r="F21" t="str">
            <v>IATF 16949</v>
          </cell>
          <cell r="G21">
            <v>47020</v>
          </cell>
          <cell r="H21" t="str">
            <v>N/A</v>
          </cell>
        </row>
        <row r="22">
          <cell r="B22" t="str">
            <v>ET71</v>
          </cell>
          <cell r="C22" t="str">
            <v>ETC</v>
          </cell>
          <cell r="D22" t="str">
            <v>Taicang</v>
          </cell>
          <cell r="E22" t="str">
            <v>-</v>
          </cell>
          <cell r="F22" t="str">
            <v>IATF 16949</v>
          </cell>
          <cell r="G22">
            <v>47020</v>
          </cell>
          <cell r="H22" t="str">
            <v>N/A</v>
          </cell>
        </row>
        <row r="23">
          <cell r="B23" t="str">
            <v>ET73</v>
          </cell>
          <cell r="C23" t="str">
            <v>ETC</v>
          </cell>
          <cell r="D23" t="str">
            <v>Taicang</v>
          </cell>
          <cell r="E23" t="str">
            <v>-</v>
          </cell>
          <cell r="F23" t="str">
            <v>IATF 16949</v>
          </cell>
          <cell r="G23">
            <v>47020</v>
          </cell>
          <cell r="H23" t="str">
            <v>N/A</v>
          </cell>
        </row>
        <row r="24">
          <cell r="B24" t="str">
            <v>ET77</v>
          </cell>
          <cell r="C24" t="str">
            <v>ETC</v>
          </cell>
          <cell r="D24" t="str">
            <v>Taicang</v>
          </cell>
          <cell r="E24" t="str">
            <v>-</v>
          </cell>
          <cell r="F24" t="str">
            <v>IATF 16949</v>
          </cell>
          <cell r="G24">
            <v>47020</v>
          </cell>
          <cell r="H24" t="str">
            <v>N/A</v>
          </cell>
        </row>
        <row r="25">
          <cell r="B25" t="str">
            <v>ET81</v>
          </cell>
          <cell r="C25" t="str">
            <v>ETC</v>
          </cell>
          <cell r="D25" t="str">
            <v>Taicang</v>
          </cell>
          <cell r="E25" t="str">
            <v>-</v>
          </cell>
          <cell r="F25" t="str">
            <v>IATF 16949</v>
          </cell>
          <cell r="G25">
            <v>47020</v>
          </cell>
          <cell r="H25" t="str">
            <v>N/A</v>
          </cell>
        </row>
        <row r="26">
          <cell r="B26" t="str">
            <v>ET82</v>
          </cell>
          <cell r="C26" t="str">
            <v>ETC</v>
          </cell>
          <cell r="D26" t="str">
            <v>Taicang</v>
          </cell>
          <cell r="E26" t="str">
            <v>-</v>
          </cell>
          <cell r="F26" t="str">
            <v>IATF 16949</v>
          </cell>
          <cell r="G26">
            <v>47020</v>
          </cell>
          <cell r="H26" t="str">
            <v>N/A</v>
          </cell>
        </row>
        <row r="27">
          <cell r="B27" t="str">
            <v>ET83</v>
          </cell>
          <cell r="C27" t="str">
            <v>ETC</v>
          </cell>
          <cell r="D27" t="str">
            <v>Taicang</v>
          </cell>
          <cell r="E27" t="str">
            <v>-</v>
          </cell>
          <cell r="F27" t="str">
            <v>IATF 16949</v>
          </cell>
          <cell r="G27">
            <v>47020</v>
          </cell>
          <cell r="H27" t="str">
            <v>N/A</v>
          </cell>
        </row>
        <row r="28">
          <cell r="B28" t="str">
            <v>ET84</v>
          </cell>
          <cell r="C28" t="str">
            <v>ETC</v>
          </cell>
          <cell r="D28" t="str">
            <v>Taicang</v>
          </cell>
          <cell r="E28" t="str">
            <v>-</v>
          </cell>
          <cell r="F28" t="str">
            <v>IATF 16949</v>
          </cell>
          <cell r="G28">
            <v>47020</v>
          </cell>
          <cell r="H28" t="str">
            <v>N/A</v>
          </cell>
        </row>
        <row r="29">
          <cell r="B29" t="str">
            <v>ET85</v>
          </cell>
          <cell r="C29" t="str">
            <v>ETC</v>
          </cell>
          <cell r="D29" t="str">
            <v>Taicang</v>
          </cell>
          <cell r="E29" t="str">
            <v>-</v>
          </cell>
          <cell r="F29" t="str">
            <v>IATF 16949</v>
          </cell>
          <cell r="G29">
            <v>47020</v>
          </cell>
          <cell r="H29" t="str">
            <v>N/A</v>
          </cell>
        </row>
        <row r="30">
          <cell r="B30" t="str">
            <v>ET86</v>
          </cell>
          <cell r="C30" t="str">
            <v>ETC</v>
          </cell>
          <cell r="D30" t="str">
            <v>Taicang</v>
          </cell>
          <cell r="E30" t="str">
            <v>-</v>
          </cell>
          <cell r="F30" t="str">
            <v>IATF 16949</v>
          </cell>
          <cell r="G30">
            <v>47020</v>
          </cell>
          <cell r="H30" t="str">
            <v>N/A</v>
          </cell>
        </row>
        <row r="31">
          <cell r="B31" t="str">
            <v>ET87</v>
          </cell>
          <cell r="C31" t="str">
            <v>ETC</v>
          </cell>
          <cell r="D31" t="str">
            <v>Taicang</v>
          </cell>
          <cell r="E31" t="str">
            <v>-</v>
          </cell>
          <cell r="F31" t="str">
            <v>IATF 16949</v>
          </cell>
          <cell r="G31">
            <v>47020</v>
          </cell>
          <cell r="H31" t="str">
            <v>N/A</v>
          </cell>
        </row>
        <row r="32">
          <cell r="B32" t="str">
            <v>ET94</v>
          </cell>
          <cell r="C32" t="str">
            <v>ETC</v>
          </cell>
          <cell r="D32" t="str">
            <v>Taicang</v>
          </cell>
          <cell r="E32" t="str">
            <v>-</v>
          </cell>
          <cell r="F32" t="str">
            <v>IATF 16949</v>
          </cell>
          <cell r="G32">
            <v>47020</v>
          </cell>
          <cell r="H32" t="str">
            <v>N/A</v>
          </cell>
        </row>
        <row r="33">
          <cell r="B33" t="str">
            <v>ET95</v>
          </cell>
          <cell r="C33" t="str">
            <v>ETC</v>
          </cell>
          <cell r="D33" t="str">
            <v>Taicang</v>
          </cell>
          <cell r="E33" t="str">
            <v>-</v>
          </cell>
          <cell r="F33" t="str">
            <v>IATF 16949</v>
          </cell>
          <cell r="G33">
            <v>47020</v>
          </cell>
          <cell r="H33" t="str">
            <v>N/A</v>
          </cell>
        </row>
        <row r="34">
          <cell r="B34" t="str">
            <v>ET96</v>
          </cell>
          <cell r="C34" t="str">
            <v>ETC</v>
          </cell>
          <cell r="D34" t="str">
            <v>Taicang</v>
          </cell>
          <cell r="E34" t="str">
            <v>-</v>
          </cell>
          <cell r="F34" t="str">
            <v>IATF 16949</v>
          </cell>
          <cell r="G34">
            <v>47020</v>
          </cell>
          <cell r="H34" t="str">
            <v>N/A</v>
          </cell>
        </row>
        <row r="35">
          <cell r="B35" t="str">
            <v>ET97</v>
          </cell>
          <cell r="C35" t="str">
            <v>ETC</v>
          </cell>
          <cell r="D35" t="str">
            <v>Taicang</v>
          </cell>
          <cell r="E35" t="str">
            <v>-</v>
          </cell>
          <cell r="F35" t="str">
            <v>IATF 16949</v>
          </cell>
          <cell r="G35">
            <v>47020</v>
          </cell>
          <cell r="H35" t="str">
            <v>N/A</v>
          </cell>
        </row>
        <row r="36">
          <cell r="B36" t="str">
            <v>ET102</v>
          </cell>
          <cell r="C36" t="str">
            <v xml:space="preserve">KEJIAN </v>
          </cell>
          <cell r="D36" t="str">
            <v>Shanghai city</v>
          </cell>
          <cell r="E36" t="str">
            <v>2h</v>
          </cell>
          <cell r="F36" t="str">
            <v>IATF 16949</v>
          </cell>
          <cell r="G36">
            <v>45582</v>
          </cell>
          <cell r="H36" t="str">
            <v>2024/12</v>
          </cell>
        </row>
        <row r="37">
          <cell r="B37" t="str">
            <v>ET30</v>
          </cell>
          <cell r="C37" t="str">
            <v>Ritch New Materials (Suzhou) Co. Ltd.</v>
          </cell>
          <cell r="D37" t="str">
            <v>Taicang City</v>
          </cell>
          <cell r="E37" t="str">
            <v>1 hrs</v>
          </cell>
          <cell r="F37" t="str">
            <v>IATF 16949</v>
          </cell>
          <cell r="G37">
            <v>46525</v>
          </cell>
          <cell r="H37" t="str">
            <v>2025/11</v>
          </cell>
        </row>
        <row r="38">
          <cell r="B38" t="str">
            <v>ET33</v>
          </cell>
          <cell r="C38" t="str">
            <v>Ritch New Materials (Suzhou) Co. Ltd.</v>
          </cell>
          <cell r="D38" t="str">
            <v>Taicang City</v>
          </cell>
          <cell r="E38" t="str">
            <v>1 hrs</v>
          </cell>
          <cell r="F38" t="str">
            <v>IATF 16949</v>
          </cell>
          <cell r="G38">
            <v>46525</v>
          </cell>
          <cell r="H38" t="str">
            <v>2025/11</v>
          </cell>
        </row>
        <row r="39">
          <cell r="B39" t="str">
            <v>ET35</v>
          </cell>
          <cell r="C39" t="str">
            <v xml:space="preserve">Huapeng </v>
          </cell>
          <cell r="D39" t="str">
            <v>Suzhou</v>
          </cell>
          <cell r="E39" t="str">
            <v>2h</v>
          </cell>
          <cell r="F39" t="str">
            <v>IATF16949</v>
          </cell>
          <cell r="G39">
            <v>46928</v>
          </cell>
          <cell r="H39" t="str">
            <v>/</v>
          </cell>
        </row>
        <row r="40">
          <cell r="B40" t="str">
            <v>ET39</v>
          </cell>
          <cell r="C40" t="str">
            <v>Pass</v>
          </cell>
          <cell r="D40" t="str">
            <v>Nantong</v>
          </cell>
          <cell r="E40" t="str">
            <v>1.5 hrs</v>
          </cell>
          <cell r="F40" t="str">
            <v>IATF 16949</v>
          </cell>
          <cell r="G40">
            <v>46761</v>
          </cell>
          <cell r="H40" t="str">
            <v>/</v>
          </cell>
        </row>
        <row r="41">
          <cell r="B41" t="str">
            <v>ET40</v>
          </cell>
          <cell r="C41" t="str">
            <v>Pass</v>
          </cell>
          <cell r="D41" t="str">
            <v>Nantong</v>
          </cell>
          <cell r="E41" t="str">
            <v>1.5 hrs</v>
          </cell>
          <cell r="F41" t="str">
            <v>IATF 16949</v>
          </cell>
          <cell r="G41">
            <v>46761</v>
          </cell>
          <cell r="H41" t="str">
            <v>/</v>
          </cell>
        </row>
        <row r="42">
          <cell r="B42" t="str">
            <v>ET41</v>
          </cell>
          <cell r="C42" t="str">
            <v>Pass</v>
          </cell>
          <cell r="D42" t="str">
            <v>Nantong</v>
          </cell>
          <cell r="E42" t="str">
            <v>1.5 hrs</v>
          </cell>
          <cell r="F42" t="str">
            <v>IATF 16949</v>
          </cell>
          <cell r="G42">
            <v>46761</v>
          </cell>
          <cell r="H42" t="str">
            <v>/</v>
          </cell>
        </row>
        <row r="43">
          <cell r="B43" t="str">
            <v>ET63</v>
          </cell>
          <cell r="C43" t="str">
            <v>Pass</v>
          </cell>
          <cell r="D43" t="str">
            <v>Nantong</v>
          </cell>
          <cell r="E43" t="str">
            <v>1.5 hrs</v>
          </cell>
          <cell r="F43" t="str">
            <v>IATF 16949</v>
          </cell>
          <cell r="G43">
            <v>46761</v>
          </cell>
          <cell r="H43" t="str">
            <v>/</v>
          </cell>
        </row>
        <row r="44">
          <cell r="B44" t="str">
            <v>ET66</v>
          </cell>
          <cell r="C44" t="str">
            <v>Pass</v>
          </cell>
          <cell r="D44" t="str">
            <v>Nantong</v>
          </cell>
          <cell r="E44" t="str">
            <v>1.5 hrs</v>
          </cell>
          <cell r="F44" t="str">
            <v>IATF 16949</v>
          </cell>
          <cell r="G44">
            <v>46761</v>
          </cell>
          <cell r="H44" t="str">
            <v>/</v>
          </cell>
        </row>
        <row r="45">
          <cell r="B45" t="str">
            <v>ET54</v>
          </cell>
          <cell r="C45" t="str">
            <v>Kebao</v>
          </cell>
          <cell r="D45" t="str">
            <v>Guangzhou</v>
          </cell>
          <cell r="E45" t="str">
            <v>16 hrs</v>
          </cell>
          <cell r="F45" t="str">
            <v>IATF 16949</v>
          </cell>
          <cell r="G45">
            <v>46343</v>
          </cell>
          <cell r="H45" t="str">
            <v>/</v>
          </cell>
        </row>
        <row r="46">
          <cell r="B46" t="str">
            <v>ET61</v>
          </cell>
          <cell r="C46" t="str">
            <v>Kebao</v>
          </cell>
          <cell r="D46" t="str">
            <v>Guangzhou</v>
          </cell>
          <cell r="E46" t="str">
            <v>16 hrs</v>
          </cell>
          <cell r="F46" t="str">
            <v>IATF 16949</v>
          </cell>
          <cell r="G46">
            <v>46343</v>
          </cell>
          <cell r="H46" t="str">
            <v>/</v>
          </cell>
        </row>
        <row r="47">
          <cell r="B47" t="str">
            <v>ET72</v>
          </cell>
          <cell r="C47" t="str">
            <v>Kebao</v>
          </cell>
          <cell r="D47" t="str">
            <v>Guangzhou</v>
          </cell>
          <cell r="E47" t="str">
            <v>16 hrs</v>
          </cell>
          <cell r="F47" t="str">
            <v>IATF 16949</v>
          </cell>
          <cell r="G47">
            <v>46343</v>
          </cell>
          <cell r="H47" t="str">
            <v>/</v>
          </cell>
        </row>
        <row r="48">
          <cell r="B48" t="str">
            <v>ET78</v>
          </cell>
          <cell r="C48" t="str">
            <v>Hongjing (Grandview)</v>
          </cell>
          <cell r="D48" t="str">
            <v>Dongguan</v>
          </cell>
          <cell r="E48" t="str">
            <v>16 hrs</v>
          </cell>
          <cell r="F48" t="str">
            <v>ISO 9001
PLAN end of 2024 for IATF16949
and  MES system</v>
          </cell>
          <cell r="G48">
            <v>46268</v>
          </cell>
          <cell r="H48" t="str">
            <v xml:space="preserve"> visit at 2024/8/9
move to a new location 
about 20,000 ㎡ from 2024/8/1 hard to audit.</v>
          </cell>
        </row>
        <row r="49">
          <cell r="B49" t="str">
            <v>ET79</v>
          </cell>
          <cell r="C49" t="str">
            <v>Hongjing (Grandview)</v>
          </cell>
          <cell r="D49" t="str">
            <v>Dongguan</v>
          </cell>
          <cell r="E49" t="str">
            <v>16 hrs</v>
          </cell>
          <cell r="F49" t="str">
            <v>ISO 9001
PLAN end of 2024 for IATF16949
and  MES system</v>
          </cell>
          <cell r="G49">
            <v>46268</v>
          </cell>
          <cell r="H49" t="str">
            <v xml:space="preserve"> visit at 2024/8/9
move to a new location 
about 20,000 ㎡ from 2024/8/1 hard to audit.</v>
          </cell>
        </row>
        <row r="50">
          <cell r="B50" t="str">
            <v>ET88</v>
          </cell>
          <cell r="C50" t="str">
            <v>Hongjing (Grandview)</v>
          </cell>
          <cell r="D50" t="str">
            <v>Dongguan</v>
          </cell>
          <cell r="E50" t="str">
            <v>16 hrs</v>
          </cell>
          <cell r="F50" t="str">
            <v>ISO 9001
PLAN end of 2024 for IATF16949
and  MES system</v>
          </cell>
          <cell r="G50">
            <v>46268</v>
          </cell>
          <cell r="H50" t="str">
            <v xml:space="preserve"> visit at 2024/8/9
move to a new location 
about 20,000 ㎡ from 2024/8/1 hard to audit.</v>
          </cell>
        </row>
        <row r="51">
          <cell r="B51" t="str">
            <v>ET89</v>
          </cell>
          <cell r="C51" t="str">
            <v>Hongjing (Grandview)</v>
          </cell>
          <cell r="D51" t="str">
            <v>Dongguan</v>
          </cell>
          <cell r="E51" t="str">
            <v>16 hrs</v>
          </cell>
          <cell r="F51" t="str">
            <v>ISO 9001
PLAN end of 2024 for IATF16949
and  MES system</v>
          </cell>
          <cell r="G51">
            <v>46268</v>
          </cell>
          <cell r="H51" t="str">
            <v xml:space="preserve"> visit at 2024/8/9
move to a new location 
about 20,000 ㎡ from 2024/8/1 hard to audit.</v>
          </cell>
        </row>
        <row r="52">
          <cell r="B52" t="str">
            <v>ET92</v>
          </cell>
          <cell r="C52" t="str">
            <v>Dongguan Gendian New Materials Co. , Ltd.</v>
          </cell>
          <cell r="F52" t="str">
            <v>IATF 16949</v>
          </cell>
          <cell r="G52">
            <v>46170</v>
          </cell>
          <cell r="H52" t="str">
            <v>/</v>
          </cell>
        </row>
        <row r="53">
          <cell r="B53" t="str">
            <v>ET93</v>
          </cell>
          <cell r="C53" t="str">
            <v>Dongguan Gendian New Materials Co. , Ltd.</v>
          </cell>
          <cell r="F53" t="str">
            <v>IATF 16949</v>
          </cell>
          <cell r="G53">
            <v>46170</v>
          </cell>
          <cell r="H53" t="str">
            <v>/</v>
          </cell>
        </row>
        <row r="54">
          <cell r="B54" t="str">
            <v>ET55</v>
          </cell>
          <cell r="C54" t="str">
            <v>Guangzhou yilian electronic Co. , Ltd.</v>
          </cell>
          <cell r="D54" t="str">
            <v>Guangzhou</v>
          </cell>
          <cell r="E54" t="str">
            <v>16 hrs</v>
          </cell>
          <cell r="F54" t="str">
            <v>IATF 16949</v>
          </cell>
          <cell r="G54">
            <v>46197</v>
          </cell>
          <cell r="H54" t="str">
            <v>/</v>
          </cell>
        </row>
        <row r="55">
          <cell r="B55" t="str">
            <v>ET56</v>
          </cell>
          <cell r="C55" t="str">
            <v>Guangzhou yilian electronic Co. , Ltd.</v>
          </cell>
          <cell r="D55" t="str">
            <v>Guangzhou</v>
          </cell>
          <cell r="E55" t="str">
            <v>16 hrs</v>
          </cell>
          <cell r="F55" t="str">
            <v>IATF 16949</v>
          </cell>
          <cell r="G55">
            <v>46197</v>
          </cell>
          <cell r="H55" t="str">
            <v>/</v>
          </cell>
        </row>
        <row r="56">
          <cell r="B56" t="str">
            <v>ET00</v>
          </cell>
          <cell r="C56" t="str">
            <v>Woer</v>
          </cell>
          <cell r="D56" t="str">
            <v>Shenzhen, China</v>
          </cell>
          <cell r="G56">
            <v>46614</v>
          </cell>
        </row>
        <row r="57">
          <cell r="B57" t="str">
            <v>ET22</v>
          </cell>
          <cell r="C57" t="str">
            <v>UPM</v>
          </cell>
          <cell r="G57">
            <v>46614</v>
          </cell>
        </row>
        <row r="58">
          <cell r="B58" t="str">
            <v>ET01</v>
          </cell>
          <cell r="C58" t="str">
            <v>UPM</v>
          </cell>
          <cell r="G58">
            <v>46614</v>
          </cell>
        </row>
        <row r="59">
          <cell r="B59" t="str">
            <v>ET02</v>
          </cell>
          <cell r="C59" t="str">
            <v>UPM</v>
          </cell>
          <cell r="G59">
            <v>46614</v>
          </cell>
        </row>
        <row r="60">
          <cell r="B60" t="str">
            <v>ET04</v>
          </cell>
          <cell r="C60" t="str">
            <v>UPM</v>
          </cell>
          <cell r="G60">
            <v>46614</v>
          </cell>
        </row>
        <row r="61">
          <cell r="B61" t="str">
            <v>ET06</v>
          </cell>
          <cell r="C61" t="str">
            <v>UPM</v>
          </cell>
          <cell r="G61">
            <v>46614</v>
          </cell>
        </row>
        <row r="62">
          <cell r="B62" t="str">
            <v>ET07</v>
          </cell>
          <cell r="C62" t="str">
            <v>Woer</v>
          </cell>
          <cell r="D62" t="str">
            <v>Shenzhen, China</v>
          </cell>
          <cell r="G62">
            <v>46614</v>
          </cell>
        </row>
        <row r="63">
          <cell r="B63" t="str">
            <v>ET08</v>
          </cell>
          <cell r="C63" t="str">
            <v>UPM</v>
          </cell>
          <cell r="G63">
            <v>46614</v>
          </cell>
        </row>
        <row r="64">
          <cell r="B64" t="str">
            <v>ET09</v>
          </cell>
          <cell r="C64" t="str">
            <v>UPM</v>
          </cell>
          <cell r="G64">
            <v>46614</v>
          </cell>
        </row>
        <row r="65">
          <cell r="B65" t="str">
            <v>ET10</v>
          </cell>
          <cell r="C65" t="str">
            <v>UPM</v>
          </cell>
          <cell r="G65">
            <v>46614</v>
          </cell>
        </row>
        <row r="66">
          <cell r="B66" t="str">
            <v>ET11</v>
          </cell>
          <cell r="C66" t="str">
            <v>UPM</v>
          </cell>
          <cell r="G66">
            <v>46614</v>
          </cell>
        </row>
        <row r="67">
          <cell r="B67" t="str">
            <v>ET12</v>
          </cell>
          <cell r="C67" t="str">
            <v>UPM</v>
          </cell>
          <cell r="G67">
            <v>46614</v>
          </cell>
        </row>
        <row r="68">
          <cell r="B68" t="str">
            <v>ET14</v>
          </cell>
          <cell r="C68" t="str">
            <v>UPM</v>
          </cell>
          <cell r="G68">
            <v>46614</v>
          </cell>
        </row>
        <row r="69">
          <cell r="B69" t="str">
            <v>ET15</v>
          </cell>
          <cell r="C69" t="str">
            <v>UPM</v>
          </cell>
          <cell r="G69">
            <v>46614</v>
          </cell>
        </row>
        <row r="70">
          <cell r="B70" t="str">
            <v>ET16</v>
          </cell>
          <cell r="C70" t="str">
            <v>UPM</v>
          </cell>
          <cell r="G70">
            <v>46614</v>
          </cell>
        </row>
        <row r="71">
          <cell r="B71" t="str">
            <v>ET17</v>
          </cell>
          <cell r="C71" t="str">
            <v>UPM</v>
          </cell>
          <cell r="G71">
            <v>46614</v>
          </cell>
        </row>
        <row r="72">
          <cell r="B72" t="str">
            <v>ET18</v>
          </cell>
          <cell r="C72" t="str">
            <v>UPM</v>
          </cell>
          <cell r="G72">
            <v>46614</v>
          </cell>
        </row>
        <row r="73">
          <cell r="B73" t="str">
            <v>ET20</v>
          </cell>
          <cell r="C73" t="str">
            <v>UPM</v>
          </cell>
          <cell r="G73">
            <v>46614</v>
          </cell>
        </row>
        <row r="74">
          <cell r="B74" t="str">
            <v>ET21</v>
          </cell>
          <cell r="C74" t="str">
            <v>UPM</v>
          </cell>
          <cell r="G74">
            <v>46614</v>
          </cell>
        </row>
        <row r="75">
          <cell r="B75" t="str">
            <v>ET24</v>
          </cell>
          <cell r="C75" t="str">
            <v>UPM</v>
          </cell>
          <cell r="G75">
            <v>46614</v>
          </cell>
        </row>
        <row r="76">
          <cell r="B76" t="str">
            <v>ET29</v>
          </cell>
          <cell r="C76" t="str">
            <v>UPM</v>
          </cell>
          <cell r="G76">
            <v>46614</v>
          </cell>
        </row>
        <row r="77">
          <cell r="B77" t="str">
            <v>ET31</v>
          </cell>
          <cell r="C77" t="str">
            <v>UPM</v>
          </cell>
          <cell r="G77">
            <v>46614</v>
          </cell>
        </row>
        <row r="78">
          <cell r="B78" t="str">
            <v>ET34</v>
          </cell>
          <cell r="C78" t="str">
            <v>UPM</v>
          </cell>
          <cell r="G78">
            <v>46614</v>
          </cell>
        </row>
        <row r="79">
          <cell r="B79" t="str">
            <v>ET49</v>
          </cell>
          <cell r="C79" t="str">
            <v>UPM</v>
          </cell>
          <cell r="G79">
            <v>46614</v>
          </cell>
        </row>
        <row r="80">
          <cell r="B80" t="str">
            <v>ET50</v>
          </cell>
          <cell r="C80" t="str">
            <v>UPM</v>
          </cell>
          <cell r="G80">
            <v>46614</v>
          </cell>
        </row>
        <row r="81">
          <cell r="B81" t="str">
            <v>ET51</v>
          </cell>
          <cell r="C81" t="str">
            <v>UPM</v>
          </cell>
          <cell r="G81">
            <v>46614</v>
          </cell>
        </row>
        <row r="82">
          <cell r="B82" t="str">
            <v>ET52</v>
          </cell>
          <cell r="C82" t="str">
            <v>UPM</v>
          </cell>
          <cell r="G82">
            <v>46614</v>
          </cell>
        </row>
        <row r="83">
          <cell r="B83" t="str">
            <v>ET100</v>
          </cell>
          <cell r="C83" t="str">
            <v>UPM</v>
          </cell>
          <cell r="G83">
            <v>46614</v>
          </cell>
        </row>
        <row r="84">
          <cell r="B84" t="str">
            <v>ET101</v>
          </cell>
          <cell r="C84" t="str">
            <v>UPM</v>
          </cell>
          <cell r="G84">
            <v>46614</v>
          </cell>
        </row>
        <row r="85">
          <cell r="B85" t="str">
            <v>ET85+ET104</v>
          </cell>
          <cell r="C85" t="str">
            <v>ETC</v>
          </cell>
          <cell r="G85">
            <v>46614</v>
          </cell>
        </row>
        <row r="86">
          <cell r="B86" t="str">
            <v>ET23</v>
          </cell>
          <cell r="C86" t="str">
            <v>UPM</v>
          </cell>
          <cell r="G86">
            <v>46614</v>
          </cell>
        </row>
        <row r="87">
          <cell r="B87" t="str">
            <v>ET19</v>
          </cell>
          <cell r="C87" t="str">
            <v>UPM</v>
          </cell>
          <cell r="G87">
            <v>46614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8797-9A60-4260-952D-2BD734CCFAD6}">
  <sheetPr filterMode="1"/>
  <dimension ref="A1:AJ1128"/>
  <sheetViews>
    <sheetView tabSelected="1" zoomScale="49" zoomScaleNormal="71" workbookViewId="0">
      <selection activeCell="AI1096" sqref="AI1096"/>
    </sheetView>
  </sheetViews>
  <sheetFormatPr baseColWidth="10" defaultRowHeight="14.5" x14ac:dyDescent="0.35"/>
  <cols>
    <col min="3" max="3" width="14.90625" style="54" customWidth="1"/>
    <col min="6" max="6" width="14.54296875" customWidth="1"/>
    <col min="8" max="8" width="35.90625" customWidth="1"/>
    <col min="23" max="23" width="10.90625" customWidth="1"/>
    <col min="24" max="24" width="14.1796875" customWidth="1"/>
    <col min="25" max="25" width="16.36328125" customWidth="1"/>
    <col min="27" max="27" width="10.90625" customWidth="1"/>
    <col min="29" max="29" width="10.90625" style="32"/>
    <col min="30" max="30" width="4.36328125" customWidth="1"/>
    <col min="31" max="31" width="15.54296875" customWidth="1"/>
    <col min="32" max="32" width="11" bestFit="1" customWidth="1"/>
    <col min="33" max="33" width="16.36328125" customWidth="1"/>
    <col min="34" max="34" width="11" bestFit="1" customWidth="1"/>
    <col min="35" max="35" width="17.6328125" customWidth="1"/>
    <col min="36" max="36" width="20.26953125" customWidth="1"/>
  </cols>
  <sheetData>
    <row r="1" spans="1:36" ht="56.5" thickBot="1" x14ac:dyDescent="0.4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5" t="s">
        <v>25</v>
      </c>
      <c r="AA1" s="5" t="s">
        <v>26</v>
      </c>
      <c r="AB1" s="5" t="s">
        <v>27</v>
      </c>
      <c r="AE1" s="5" t="s">
        <v>4212</v>
      </c>
      <c r="AF1" t="s">
        <v>4213</v>
      </c>
      <c r="AG1" s="5" t="s">
        <v>1</v>
      </c>
      <c r="AH1" s="5" t="s">
        <v>4228</v>
      </c>
      <c r="AI1" s="5" t="s">
        <v>4626</v>
      </c>
      <c r="AJ1" s="5" t="s">
        <v>4627</v>
      </c>
    </row>
    <row r="2" spans="1:36" ht="15.5" customHeight="1" x14ac:dyDescent="0.35">
      <c r="A2">
        <f t="shared" ref="A2:A65" ca="1" si="0">IF(X2="",(TODAY()-C2),(X2-C2))</f>
        <v>5451</v>
      </c>
      <c r="B2" s="6" t="s">
        <v>28</v>
      </c>
      <c r="C2" s="7">
        <v>38546</v>
      </c>
      <c r="D2" s="6" t="s">
        <v>29</v>
      </c>
      <c r="E2" s="6" t="s">
        <v>30</v>
      </c>
      <c r="F2" s="6" t="s">
        <v>31</v>
      </c>
      <c r="G2" s="6" t="s">
        <v>32</v>
      </c>
      <c r="H2" s="6">
        <v>95850329</v>
      </c>
      <c r="I2" s="6" t="s">
        <v>33</v>
      </c>
      <c r="J2" s="6" t="str">
        <f>IF(E2="KTG","KTG",(VLOOKUP(I2,'[1]list of outsource'!B:H,2,0)))</f>
        <v>KTG</v>
      </c>
      <c r="K2" s="6" t="s">
        <v>34</v>
      </c>
      <c r="L2" s="6"/>
      <c r="M2" s="6" t="s">
        <v>35</v>
      </c>
      <c r="N2" s="6" t="s">
        <v>36</v>
      </c>
      <c r="O2" s="6"/>
      <c r="P2" s="6"/>
      <c r="Q2" s="8"/>
      <c r="R2" s="6"/>
      <c r="S2" s="6"/>
      <c r="T2" s="6"/>
      <c r="U2" s="6">
        <v>4</v>
      </c>
      <c r="V2" s="6"/>
      <c r="W2" s="6" t="s">
        <v>37</v>
      </c>
      <c r="X2" s="7">
        <v>43997</v>
      </c>
      <c r="Y2" s="7">
        <v>44067</v>
      </c>
      <c r="AE2" t="str">
        <f>LEFT(M2, FIND(" ", M2 &amp; " ") - 1)</f>
        <v>E101702</v>
      </c>
      <c r="AF2" t="str">
        <f>_xlfn.XLOOKUP(AE2, Hoja2!A:A, Hoja2!A:A)</f>
        <v>E101702</v>
      </c>
      <c r="AG2" t="str">
        <f>LEFT(B2, FIND(" ", B2 &amp; " ") - 1)</f>
        <v>PP00003-1</v>
      </c>
      <c r="AH2">
        <f>_xlfn.XLOOKUP(AG2, Hoja3!A:A, Hoja3!B:B)</f>
        <v>104</v>
      </c>
      <c r="AI2">
        <f>_xlfn.XLOOKUP(AH2, Hoja4!A:A, Hoja4!B:B)</f>
        <v>95850329</v>
      </c>
      <c r="AJ2" t="b">
        <f>H2=AI2</f>
        <v>1</v>
      </c>
    </row>
    <row r="3" spans="1:36" ht="15.5" customHeight="1" x14ac:dyDescent="0.35">
      <c r="A3">
        <f t="shared" ca="1" si="0"/>
        <v>5451</v>
      </c>
      <c r="B3" s="6" t="s">
        <v>38</v>
      </c>
      <c r="C3" s="7">
        <v>38546</v>
      </c>
      <c r="D3" s="6" t="s">
        <v>29</v>
      </c>
      <c r="E3" s="6" t="s">
        <v>30</v>
      </c>
      <c r="F3" s="6" t="s">
        <v>31</v>
      </c>
      <c r="G3" s="6" t="s">
        <v>32</v>
      </c>
      <c r="H3" s="6">
        <v>95850330</v>
      </c>
      <c r="I3" s="6" t="s">
        <v>33</v>
      </c>
      <c r="J3" s="6" t="str">
        <f>IF(E3="KTG","KTG",(VLOOKUP(I3,'[1]list of outsource'!B:H,2,0)))</f>
        <v>KTG</v>
      </c>
      <c r="K3" s="6" t="s">
        <v>34</v>
      </c>
      <c r="L3" s="6"/>
      <c r="M3" s="6" t="s">
        <v>39</v>
      </c>
      <c r="N3" s="6" t="s">
        <v>40</v>
      </c>
      <c r="O3" s="6"/>
      <c r="P3" s="6"/>
      <c r="Q3" s="8"/>
      <c r="R3" s="6"/>
      <c r="S3" s="6"/>
      <c r="T3" s="6"/>
      <c r="U3" s="6">
        <v>4</v>
      </c>
      <c r="V3" s="6"/>
      <c r="W3" s="6" t="s">
        <v>37</v>
      </c>
      <c r="X3" s="7">
        <v>43997</v>
      </c>
      <c r="Y3" s="7">
        <v>44067</v>
      </c>
      <c r="AE3" t="str">
        <f t="shared" ref="AE3:AE66" si="1">LEFT(M3, FIND(" ", M3 &amp; " ") - 1)</f>
        <v>E101705</v>
      </c>
      <c r="AF3" t="str">
        <f>_xlfn.XLOOKUP(AE3, Hoja2!A:A, Hoja2!A:A)</f>
        <v>E101705</v>
      </c>
      <c r="AG3" t="str">
        <f t="shared" ref="AG3:AG6" si="2">LEFT(B3, FIND(" ", B3 &amp; " ") - 1)</f>
        <v>PP00003-2</v>
      </c>
      <c r="AH3">
        <f>_xlfn.XLOOKUP(AG3, Hoja3!A:A, Hoja3!B:B)</f>
        <v>107</v>
      </c>
      <c r="AI3">
        <f>_xlfn.XLOOKUP(AH3, Hoja4!A:A, Hoja4!B:B)</f>
        <v>95850330</v>
      </c>
      <c r="AJ3" t="b">
        <f t="shared" ref="AJ3:AJ6" si="3">H3=AI3</f>
        <v>1</v>
      </c>
    </row>
    <row r="4" spans="1:36" ht="15.5" customHeight="1" x14ac:dyDescent="0.35">
      <c r="A4">
        <f t="shared" ca="1" si="0"/>
        <v>5451</v>
      </c>
      <c r="B4" s="6" t="s">
        <v>41</v>
      </c>
      <c r="C4" s="7">
        <v>38546</v>
      </c>
      <c r="D4" s="6" t="s">
        <v>29</v>
      </c>
      <c r="E4" s="6" t="s">
        <v>30</v>
      </c>
      <c r="F4" s="6" t="s">
        <v>31</v>
      </c>
      <c r="G4" s="6" t="s">
        <v>32</v>
      </c>
      <c r="H4" s="6">
        <v>95850331</v>
      </c>
      <c r="I4" s="6" t="s">
        <v>33</v>
      </c>
      <c r="J4" s="6" t="str">
        <f>IF(E4="KTG","KTG",(VLOOKUP(I4,'[1]list of outsource'!B:H,2,0)))</f>
        <v>KTG</v>
      </c>
      <c r="K4" s="6" t="s">
        <v>34</v>
      </c>
      <c r="L4" s="6"/>
      <c r="M4" s="6" t="s">
        <v>42</v>
      </c>
      <c r="N4" s="6" t="s">
        <v>43</v>
      </c>
      <c r="O4" s="6"/>
      <c r="P4" s="6"/>
      <c r="Q4" s="8"/>
      <c r="R4" s="6"/>
      <c r="S4" s="6"/>
      <c r="T4" s="6"/>
      <c r="U4" s="6">
        <v>4</v>
      </c>
      <c r="V4" s="6"/>
      <c r="W4" s="6" t="s">
        <v>37</v>
      </c>
      <c r="X4" s="7">
        <v>43997</v>
      </c>
      <c r="Y4" s="7">
        <v>44067</v>
      </c>
      <c r="AC4"/>
      <c r="AE4" t="str">
        <f t="shared" si="1"/>
        <v>E101706</v>
      </c>
      <c r="AF4" t="str">
        <f>_xlfn.XLOOKUP(AE4, Hoja2!A:A, Hoja2!A:A)</f>
        <v>E101706</v>
      </c>
      <c r="AG4" t="str">
        <f t="shared" si="2"/>
        <v>PP00003-3</v>
      </c>
      <c r="AH4">
        <f>_xlfn.XLOOKUP(AG4, Hoja3!A:A, Hoja3!B:B)</f>
        <v>108</v>
      </c>
      <c r="AI4">
        <f>_xlfn.XLOOKUP(AH4, Hoja4!A:A, Hoja4!B:B)</f>
        <v>95850331</v>
      </c>
      <c r="AJ4" t="b">
        <f t="shared" si="3"/>
        <v>1</v>
      </c>
    </row>
    <row r="5" spans="1:36" ht="15.5" customHeight="1" x14ac:dyDescent="0.35">
      <c r="A5">
        <f t="shared" ca="1" si="0"/>
        <v>5451</v>
      </c>
      <c r="B5" s="6" t="s">
        <v>44</v>
      </c>
      <c r="C5" s="7">
        <v>38546</v>
      </c>
      <c r="D5" s="6" t="s">
        <v>29</v>
      </c>
      <c r="E5" s="6" t="s">
        <v>30</v>
      </c>
      <c r="F5" s="6" t="s">
        <v>31</v>
      </c>
      <c r="G5" s="6" t="s">
        <v>32</v>
      </c>
      <c r="H5" s="6">
        <v>95850332</v>
      </c>
      <c r="I5" s="6" t="s">
        <v>33</v>
      </c>
      <c r="J5" s="6" t="str">
        <f>IF(E5="KTG","KTG",(VLOOKUP(I5,'[1]list of outsource'!B:H,2,0)))</f>
        <v>KTG</v>
      </c>
      <c r="K5" s="6" t="s">
        <v>34</v>
      </c>
      <c r="L5" s="6"/>
      <c r="M5" s="6" t="s">
        <v>45</v>
      </c>
      <c r="N5" s="6" t="s">
        <v>46</v>
      </c>
      <c r="O5" s="6"/>
      <c r="P5" s="6"/>
      <c r="Q5" s="8"/>
      <c r="R5" s="6"/>
      <c r="S5" s="6"/>
      <c r="T5" s="6"/>
      <c r="U5" s="6">
        <v>4</v>
      </c>
      <c r="V5" s="6"/>
      <c r="W5" s="6" t="s">
        <v>37</v>
      </c>
      <c r="X5" s="7">
        <v>43997</v>
      </c>
      <c r="Y5" s="7">
        <v>44067</v>
      </c>
      <c r="AC5"/>
      <c r="AE5" t="str">
        <f t="shared" si="1"/>
        <v>E101703</v>
      </c>
      <c r="AF5" t="str">
        <f>_xlfn.XLOOKUP(AE5, Hoja2!A:A, Hoja2!A:A)</f>
        <v>E101703</v>
      </c>
      <c r="AG5" t="str">
        <f t="shared" si="2"/>
        <v>PP00003-4</v>
      </c>
      <c r="AH5">
        <f>_xlfn.XLOOKUP(AG5, Hoja3!A:A, Hoja3!B:B)</f>
        <v>105</v>
      </c>
      <c r="AI5">
        <f>_xlfn.XLOOKUP(AH5, Hoja4!A:A, Hoja4!B:B)</f>
        <v>95850332</v>
      </c>
      <c r="AJ5" t="b">
        <f t="shared" si="3"/>
        <v>1</v>
      </c>
    </row>
    <row r="6" spans="1:36" ht="15.5" customHeight="1" x14ac:dyDescent="0.35">
      <c r="A6">
        <f t="shared" ca="1" si="0"/>
        <v>5451</v>
      </c>
      <c r="B6" s="6" t="s">
        <v>47</v>
      </c>
      <c r="C6" s="7">
        <v>38546</v>
      </c>
      <c r="D6" s="6" t="s">
        <v>29</v>
      </c>
      <c r="E6" s="6" t="s">
        <v>30</v>
      </c>
      <c r="F6" s="6" t="s">
        <v>31</v>
      </c>
      <c r="G6" s="6" t="s">
        <v>32</v>
      </c>
      <c r="H6" s="6">
        <v>95850007</v>
      </c>
      <c r="I6" s="6" t="s">
        <v>33</v>
      </c>
      <c r="J6" s="6" t="str">
        <f>IF(E6="KTG","KTG",(VLOOKUP(I6,'[1]list of outsource'!B:H,2,0)))</f>
        <v>KTG</v>
      </c>
      <c r="K6" s="6" t="s">
        <v>34</v>
      </c>
      <c r="L6" s="6"/>
      <c r="M6" s="6" t="s">
        <v>48</v>
      </c>
      <c r="N6" s="6" t="s">
        <v>49</v>
      </c>
      <c r="O6" s="6"/>
      <c r="P6" s="6"/>
      <c r="Q6" s="8"/>
      <c r="R6" s="6"/>
      <c r="S6" s="6"/>
      <c r="T6" s="6"/>
      <c r="U6" s="6">
        <v>4</v>
      </c>
      <c r="V6" s="6"/>
      <c r="W6" s="6" t="s">
        <v>37</v>
      </c>
      <c r="X6" s="7">
        <v>43997</v>
      </c>
      <c r="Y6" s="7">
        <v>44067</v>
      </c>
      <c r="AC6"/>
      <c r="AE6" t="str">
        <f t="shared" si="1"/>
        <v>E101701</v>
      </c>
      <c r="AF6" t="str">
        <f>_xlfn.XLOOKUP(AE6, Hoja2!A:A, Hoja2!A:A)</f>
        <v>E101701</v>
      </c>
      <c r="AG6" t="str">
        <f t="shared" si="2"/>
        <v>PP00003-5</v>
      </c>
      <c r="AH6">
        <f>_xlfn.XLOOKUP(AG6, Hoja3!A:A, Hoja3!B:B)</f>
        <v>103</v>
      </c>
      <c r="AI6">
        <f>_xlfn.XLOOKUP(AH6, Hoja4!A:A, Hoja4!B:B)</f>
        <v>95850007</v>
      </c>
      <c r="AJ6" t="b">
        <f t="shared" si="3"/>
        <v>1</v>
      </c>
    </row>
    <row r="7" spans="1:36" ht="15.5" hidden="1" customHeight="1" x14ac:dyDescent="0.35">
      <c r="A7">
        <f t="shared" ca="1" si="0"/>
        <v>42115</v>
      </c>
      <c r="B7" s="55" t="s">
        <v>50</v>
      </c>
      <c r="C7" s="9">
        <v>2021</v>
      </c>
      <c r="D7" s="9" t="s">
        <v>51</v>
      </c>
      <c r="E7" s="9" t="s">
        <v>30</v>
      </c>
      <c r="F7" s="9" t="s">
        <v>52</v>
      </c>
      <c r="G7" s="9" t="s">
        <v>32</v>
      </c>
      <c r="H7" s="9" t="s">
        <v>53</v>
      </c>
      <c r="I7" s="9" t="s">
        <v>54</v>
      </c>
      <c r="J7" s="9" t="str">
        <f>IF(E7="KTG","KTG",(VLOOKUP(I7,'[1]list of outsource'!B:H,2,0)))</f>
        <v>KTG</v>
      </c>
      <c r="K7" s="9" t="s">
        <v>55</v>
      </c>
      <c r="L7" s="9"/>
      <c r="M7" s="55" t="s">
        <v>56</v>
      </c>
      <c r="N7" s="9" t="s">
        <v>57</v>
      </c>
      <c r="O7" s="9"/>
      <c r="P7" s="9"/>
      <c r="Q7" s="10"/>
      <c r="R7" s="9"/>
      <c r="S7" s="9"/>
      <c r="T7" s="9"/>
      <c r="U7" s="9">
        <v>2</v>
      </c>
      <c r="V7" s="9"/>
      <c r="W7" s="9"/>
      <c r="X7" s="11">
        <v>44136</v>
      </c>
      <c r="Y7" s="11"/>
      <c r="Z7" s="9"/>
      <c r="AC7"/>
      <c r="AE7" t="str">
        <f t="shared" si="1"/>
        <v>P000035</v>
      </c>
      <c r="AF7" t="e">
        <f>_xlfn.XLOOKUP(AE7, Hoja2!A:A, Hoja2!A:A)</f>
        <v>#N/A</v>
      </c>
    </row>
    <row r="8" spans="1:36" ht="15.5" hidden="1" customHeight="1" x14ac:dyDescent="0.35">
      <c r="A8">
        <f t="shared" ca="1" si="0"/>
        <v>42115</v>
      </c>
      <c r="B8" s="55" t="s">
        <v>58</v>
      </c>
      <c r="C8" s="9">
        <v>2021</v>
      </c>
      <c r="D8" s="9" t="s">
        <v>51</v>
      </c>
      <c r="E8" s="9" t="s">
        <v>30</v>
      </c>
      <c r="F8" s="9" t="s">
        <v>52</v>
      </c>
      <c r="G8" s="9" t="s">
        <v>32</v>
      </c>
      <c r="H8" s="9" t="s">
        <v>59</v>
      </c>
      <c r="I8" s="9" t="s">
        <v>54</v>
      </c>
      <c r="J8" s="9" t="str">
        <f>IF(E8="KTG","KTG",(VLOOKUP(I8,'[1]list of outsource'!B:H,2,0)))</f>
        <v>KTG</v>
      </c>
      <c r="K8" s="9" t="s">
        <v>55</v>
      </c>
      <c r="L8" s="9"/>
      <c r="M8" s="55" t="s">
        <v>60</v>
      </c>
      <c r="N8" s="9" t="s">
        <v>61</v>
      </c>
      <c r="O8" s="9"/>
      <c r="P8" s="9"/>
      <c r="Q8" s="10"/>
      <c r="R8" s="9"/>
      <c r="S8" s="9"/>
      <c r="T8" s="9"/>
      <c r="U8" s="9">
        <v>2</v>
      </c>
      <c r="V8" s="9"/>
      <c r="W8" s="9"/>
      <c r="X8" s="11">
        <v>44136</v>
      </c>
      <c r="Y8" s="11"/>
      <c r="Z8" s="9"/>
      <c r="AC8"/>
      <c r="AE8" t="str">
        <f t="shared" si="1"/>
        <v>P000036</v>
      </c>
      <c r="AF8" t="e">
        <f>_xlfn.XLOOKUP(AE8, Hoja2!A:A, Hoja2!A:A)</f>
        <v>#N/A</v>
      </c>
    </row>
    <row r="9" spans="1:36" ht="15.5" hidden="1" customHeight="1" x14ac:dyDescent="0.35">
      <c r="A9">
        <f t="shared" ca="1" si="0"/>
        <v>42115</v>
      </c>
      <c r="B9" s="55" t="s">
        <v>62</v>
      </c>
      <c r="C9" s="9">
        <v>2021</v>
      </c>
      <c r="D9" s="9" t="s">
        <v>51</v>
      </c>
      <c r="E9" s="9" t="s">
        <v>30</v>
      </c>
      <c r="F9" s="9" t="s">
        <v>52</v>
      </c>
      <c r="G9" s="9" t="s">
        <v>32</v>
      </c>
      <c r="H9" s="9" t="s">
        <v>63</v>
      </c>
      <c r="I9" s="9" t="s">
        <v>54</v>
      </c>
      <c r="J9" s="9" t="str">
        <f>IF(E9="KTG","KTG",(VLOOKUP(I9,'[1]list of outsource'!B:H,2,0)))</f>
        <v>KTG</v>
      </c>
      <c r="K9" s="9" t="s">
        <v>55</v>
      </c>
      <c r="L9" s="9"/>
      <c r="M9" s="55" t="s">
        <v>64</v>
      </c>
      <c r="N9" s="9" t="s">
        <v>65</v>
      </c>
      <c r="O9" s="9"/>
      <c r="P9" s="9"/>
      <c r="Q9" s="10"/>
      <c r="R9" s="9"/>
      <c r="S9" s="9"/>
      <c r="T9" s="9"/>
      <c r="U9" s="9">
        <v>2</v>
      </c>
      <c r="V9" s="9"/>
      <c r="W9" s="9"/>
      <c r="X9" s="11">
        <v>44136</v>
      </c>
      <c r="Y9" s="11"/>
      <c r="Z9" s="9"/>
      <c r="AC9"/>
      <c r="AE9" t="str">
        <f t="shared" si="1"/>
        <v>P000037</v>
      </c>
      <c r="AF9" t="e">
        <f>_xlfn.XLOOKUP(AE9, Hoja2!A:A, Hoja2!A:A)</f>
        <v>#N/A</v>
      </c>
    </row>
    <row r="10" spans="1:36" ht="15.5" hidden="1" customHeight="1" x14ac:dyDescent="0.35">
      <c r="A10">
        <f t="shared" ca="1" si="0"/>
        <v>5590</v>
      </c>
      <c r="B10" s="55" t="s">
        <v>66</v>
      </c>
      <c r="C10" s="7">
        <v>38546</v>
      </c>
      <c r="D10" s="6" t="s">
        <v>51</v>
      </c>
      <c r="E10" s="6" t="s">
        <v>30</v>
      </c>
      <c r="F10" s="6" t="s">
        <v>52</v>
      </c>
      <c r="G10" s="6" t="s">
        <v>32</v>
      </c>
      <c r="H10" s="6" t="s">
        <v>67</v>
      </c>
      <c r="I10" s="6" t="s">
        <v>54</v>
      </c>
      <c r="J10" s="6" t="str">
        <f>IF(E10="KTG","KTG",(VLOOKUP(I10,'[1]list of outsource'!B:H,2,0)))</f>
        <v>KTG</v>
      </c>
      <c r="K10" s="6" t="s">
        <v>55</v>
      </c>
      <c r="L10" s="6"/>
      <c r="M10" s="55" t="s">
        <v>68</v>
      </c>
      <c r="N10" s="6" t="s">
        <v>69</v>
      </c>
      <c r="O10" s="6"/>
      <c r="P10" s="6"/>
      <c r="Q10" s="8"/>
      <c r="R10" s="6"/>
      <c r="S10" s="6"/>
      <c r="T10" s="6"/>
      <c r="U10" s="6">
        <v>2</v>
      </c>
      <c r="V10" s="6"/>
      <c r="W10" s="6"/>
      <c r="X10" s="7">
        <v>44136</v>
      </c>
      <c r="Y10" s="7"/>
      <c r="AC10"/>
      <c r="AE10" t="str">
        <f t="shared" si="1"/>
        <v>P000038</v>
      </c>
      <c r="AF10" t="e">
        <f>_xlfn.XLOOKUP(AE10, Hoja2!A:A, Hoja2!A:A)</f>
        <v>#N/A</v>
      </c>
    </row>
    <row r="11" spans="1:36" ht="15.5" hidden="1" customHeight="1" x14ac:dyDescent="0.35">
      <c r="A11">
        <f t="shared" ca="1" si="0"/>
        <v>5590</v>
      </c>
      <c r="B11" s="55" t="s">
        <v>70</v>
      </c>
      <c r="C11" s="7">
        <v>38546</v>
      </c>
      <c r="D11" s="6" t="s">
        <v>51</v>
      </c>
      <c r="E11" s="6" t="s">
        <v>30</v>
      </c>
      <c r="F11" s="6" t="s">
        <v>52</v>
      </c>
      <c r="G11" s="6" t="s">
        <v>32</v>
      </c>
      <c r="H11" s="6" t="s">
        <v>71</v>
      </c>
      <c r="I11" s="6" t="s">
        <v>54</v>
      </c>
      <c r="J11" s="6" t="str">
        <f>IF(E11="KTG","KTG",(VLOOKUP(I11,'[1]list of outsource'!B:H,2,0)))</f>
        <v>KTG</v>
      </c>
      <c r="K11" s="6" t="s">
        <v>55</v>
      </c>
      <c r="L11" s="6"/>
      <c r="M11" s="55" t="s">
        <v>72</v>
      </c>
      <c r="N11" s="6" t="s">
        <v>73</v>
      </c>
      <c r="O11" s="6"/>
      <c r="P11" s="6"/>
      <c r="Q11" s="8"/>
      <c r="R11" s="6"/>
      <c r="S11" s="6"/>
      <c r="T11" s="6"/>
      <c r="U11" s="6">
        <v>2</v>
      </c>
      <c r="V11" s="6"/>
      <c r="W11" s="6"/>
      <c r="X11" s="7">
        <v>44136</v>
      </c>
      <c r="Y11" s="7"/>
      <c r="AC11"/>
      <c r="AE11" t="str">
        <f t="shared" si="1"/>
        <v>P000040</v>
      </c>
      <c r="AF11" t="e">
        <f>_xlfn.XLOOKUP(AE11, Hoja2!A:A, Hoja2!A:A)</f>
        <v>#N/A</v>
      </c>
    </row>
    <row r="12" spans="1:36" ht="15.5" hidden="1" customHeight="1" x14ac:dyDescent="0.35">
      <c r="A12">
        <f t="shared" ca="1" si="0"/>
        <v>5590</v>
      </c>
      <c r="B12" s="55" t="s">
        <v>74</v>
      </c>
      <c r="C12" s="7">
        <v>38546</v>
      </c>
      <c r="D12" s="6" t="s">
        <v>51</v>
      </c>
      <c r="E12" s="6" t="s">
        <v>30</v>
      </c>
      <c r="F12" s="6" t="s">
        <v>52</v>
      </c>
      <c r="G12" s="6" t="s">
        <v>32</v>
      </c>
      <c r="H12" s="6" t="s">
        <v>75</v>
      </c>
      <c r="I12" s="6" t="s">
        <v>54</v>
      </c>
      <c r="J12" s="6" t="str">
        <f>IF(E12="KTG","KTG",(VLOOKUP(I12,'[1]list of outsource'!B:H,2,0)))</f>
        <v>KTG</v>
      </c>
      <c r="K12" s="6" t="s">
        <v>55</v>
      </c>
      <c r="L12" s="6"/>
      <c r="M12" s="55" t="s">
        <v>76</v>
      </c>
      <c r="N12" s="6" t="s">
        <v>77</v>
      </c>
      <c r="O12" s="6"/>
      <c r="P12" s="6"/>
      <c r="Q12" s="8"/>
      <c r="R12" s="6"/>
      <c r="S12" s="6"/>
      <c r="T12" s="6"/>
      <c r="U12" s="6">
        <v>2</v>
      </c>
      <c r="V12" s="6"/>
      <c r="W12" s="6"/>
      <c r="X12" s="7">
        <v>44136</v>
      </c>
      <c r="Y12" s="7"/>
      <c r="AC12"/>
      <c r="AE12" t="str">
        <f t="shared" si="1"/>
        <v>P000039</v>
      </c>
      <c r="AF12" t="e">
        <f>_xlfn.XLOOKUP(AE12, Hoja2!A:A, Hoja2!A:A)</f>
        <v>#N/A</v>
      </c>
    </row>
    <row r="13" spans="1:36" ht="15.5" hidden="1" customHeight="1" x14ac:dyDescent="0.35">
      <c r="A13">
        <f t="shared" ca="1" si="0"/>
        <v>5590</v>
      </c>
      <c r="B13" s="55" t="s">
        <v>78</v>
      </c>
      <c r="C13" s="7">
        <v>38546</v>
      </c>
      <c r="D13" s="6" t="s">
        <v>51</v>
      </c>
      <c r="E13" s="6" t="s">
        <v>30</v>
      </c>
      <c r="F13" s="6" t="s">
        <v>52</v>
      </c>
      <c r="G13" s="6" t="s">
        <v>32</v>
      </c>
      <c r="H13" s="6" t="s">
        <v>79</v>
      </c>
      <c r="I13" s="6" t="s">
        <v>54</v>
      </c>
      <c r="J13" s="6" t="str">
        <f>IF(E13="KTG","KTG",(VLOOKUP(I13,'[1]list of outsource'!B:H,2,0)))</f>
        <v>KTG</v>
      </c>
      <c r="K13" s="6" t="s">
        <v>55</v>
      </c>
      <c r="L13" s="6"/>
      <c r="M13" s="55" t="s">
        <v>80</v>
      </c>
      <c r="N13" s="6" t="s">
        <v>81</v>
      </c>
      <c r="O13" s="6"/>
      <c r="P13" s="6"/>
      <c r="Q13" s="8"/>
      <c r="R13" s="6"/>
      <c r="S13" s="6"/>
      <c r="T13" s="6"/>
      <c r="U13" s="6">
        <v>2</v>
      </c>
      <c r="V13" s="6"/>
      <c r="W13" s="6"/>
      <c r="X13" s="7">
        <v>44136</v>
      </c>
      <c r="Y13" s="7"/>
      <c r="AC13"/>
      <c r="AE13" t="str">
        <f t="shared" si="1"/>
        <v>P000041</v>
      </c>
      <c r="AF13" t="e">
        <f>_xlfn.XLOOKUP(AE13, Hoja2!A:A, Hoja2!A:A)</f>
        <v>#N/A</v>
      </c>
    </row>
    <row r="14" spans="1:36" ht="15.5" customHeight="1" x14ac:dyDescent="0.35">
      <c r="A14">
        <f t="shared" ca="1" si="0"/>
        <v>5498</v>
      </c>
      <c r="B14" s="6" t="s">
        <v>82</v>
      </c>
      <c r="C14" s="7">
        <v>38546</v>
      </c>
      <c r="D14" s="6"/>
      <c r="E14" s="6" t="s">
        <v>83</v>
      </c>
      <c r="F14" s="6" t="s">
        <v>84</v>
      </c>
      <c r="G14" s="6" t="s">
        <v>85</v>
      </c>
      <c r="H14" s="6" t="s">
        <v>86</v>
      </c>
      <c r="I14" s="6" t="s">
        <v>87</v>
      </c>
      <c r="J14" s="6" t="str">
        <f>IF(E14="KTG","KTG",(VLOOKUP(I14,'[1]list of outsource'!B:H,2,0)))</f>
        <v>UPM</v>
      </c>
      <c r="K14" s="6" t="s">
        <v>88</v>
      </c>
      <c r="L14" s="6"/>
      <c r="M14" s="6" t="s">
        <v>89</v>
      </c>
      <c r="N14" s="6" t="s">
        <v>90</v>
      </c>
      <c r="O14" s="6"/>
      <c r="P14" s="6"/>
      <c r="Q14" s="8"/>
      <c r="R14" s="6"/>
      <c r="S14" s="6"/>
      <c r="T14" s="6"/>
      <c r="U14" s="6">
        <v>2</v>
      </c>
      <c r="V14" s="6"/>
      <c r="W14" s="6" t="s">
        <v>37</v>
      </c>
      <c r="X14" s="7">
        <v>44044</v>
      </c>
      <c r="Y14" s="7"/>
      <c r="AC14"/>
      <c r="AE14" t="str">
        <f t="shared" si="1"/>
        <v>P000042</v>
      </c>
      <c r="AF14" t="str">
        <f>_xlfn.XLOOKUP(AE14, Hoja2!A:A, Hoja2!A:A)</f>
        <v>P000042</v>
      </c>
      <c r="AG14" t="str">
        <f t="shared" ref="AG14:AG31" si="4">LEFT(B14, FIND(" ", B14 &amp; " ") - 1)</f>
        <v>PP00002-1</v>
      </c>
      <c r="AH14">
        <f>_xlfn.XLOOKUP(AG14, Hoja3!A:A, Hoja3!B:B)</f>
        <v>5241</v>
      </c>
      <c r="AI14" t="str">
        <f>_xlfn.XLOOKUP(AH14, Hoja4!A:A, Hoja4!B:B)</f>
        <v>E26424100</v>
      </c>
      <c r="AJ14" t="b">
        <f t="shared" ref="AJ14:AJ21" si="5">H14=AI14</f>
        <v>1</v>
      </c>
    </row>
    <row r="15" spans="1:36" ht="15.5" customHeight="1" x14ac:dyDescent="0.35">
      <c r="A15">
        <f t="shared" ca="1" si="0"/>
        <v>7463</v>
      </c>
      <c r="B15" s="6" t="s">
        <v>91</v>
      </c>
      <c r="C15" s="7">
        <v>38546</v>
      </c>
      <c r="D15" s="6" t="s">
        <v>92</v>
      </c>
      <c r="E15" s="6" t="s">
        <v>83</v>
      </c>
      <c r="F15" s="6" t="s">
        <v>52</v>
      </c>
      <c r="G15" s="6" t="s">
        <v>93</v>
      </c>
      <c r="H15" s="6" t="s">
        <v>94</v>
      </c>
      <c r="I15" s="6" t="s">
        <v>95</v>
      </c>
      <c r="J15" s="6" t="str">
        <f>IF(E15="KTG","KTG",(VLOOKUP(I15,'[1]list of outsource'!B:H,2,0)))</f>
        <v>Woer</v>
      </c>
      <c r="K15" s="6" t="s">
        <v>96</v>
      </c>
      <c r="L15" s="6"/>
      <c r="M15" s="6" t="s">
        <v>97</v>
      </c>
      <c r="N15" s="6" t="s">
        <v>98</v>
      </c>
      <c r="O15" s="6"/>
      <c r="P15" s="6"/>
      <c r="Q15" s="8"/>
      <c r="R15" s="6"/>
      <c r="S15" s="6"/>
      <c r="T15" s="6"/>
      <c r="U15" s="6">
        <v>2</v>
      </c>
      <c r="V15" s="6"/>
      <c r="W15" s="6" t="s">
        <v>37</v>
      </c>
      <c r="X15" s="7"/>
      <c r="Y15" s="7"/>
      <c r="AC15"/>
      <c r="AE15" t="str">
        <f t="shared" si="1"/>
        <v>P100207</v>
      </c>
      <c r="AF15" t="str">
        <f>_xlfn.XLOOKUP(AE15, Hoja2!A:A, Hoja2!A:A)</f>
        <v>P100207</v>
      </c>
      <c r="AG15" t="str">
        <f t="shared" si="4"/>
        <v>PP00006-1</v>
      </c>
      <c r="AH15">
        <f>_xlfn.XLOOKUP(AG15, Hoja3!A:A, Hoja3!B:B)</f>
        <v>5234</v>
      </c>
      <c r="AI15" t="str">
        <f>_xlfn.XLOOKUP(AH15, Hoja4!A:A, Hoja4!B:B)</f>
        <v>11039581A</v>
      </c>
      <c r="AJ15" t="b">
        <f t="shared" si="5"/>
        <v>1</v>
      </c>
    </row>
    <row r="16" spans="1:36" ht="15.5" customHeight="1" x14ac:dyDescent="0.35">
      <c r="A16">
        <f t="shared" ca="1" si="0"/>
        <v>5818</v>
      </c>
      <c r="B16" s="6" t="s">
        <v>99</v>
      </c>
      <c r="C16" s="7">
        <v>38546</v>
      </c>
      <c r="D16" s="6" t="s">
        <v>100</v>
      </c>
      <c r="E16" s="6" t="s">
        <v>83</v>
      </c>
      <c r="F16" s="6" t="s">
        <v>101</v>
      </c>
      <c r="G16" s="6" t="s">
        <v>102</v>
      </c>
      <c r="H16" s="6" t="s">
        <v>103</v>
      </c>
      <c r="I16" s="6" t="s">
        <v>95</v>
      </c>
      <c r="J16" s="6" t="str">
        <f>IF(E16="KTG","KTG",(VLOOKUP(I16,'[1]list of outsource'!B:H,2,0)))</f>
        <v>Woer</v>
      </c>
      <c r="K16" s="6" t="s">
        <v>96</v>
      </c>
      <c r="L16" s="6"/>
      <c r="M16" s="6" t="s">
        <v>104</v>
      </c>
      <c r="N16" s="6" t="s">
        <v>105</v>
      </c>
      <c r="O16" s="6"/>
      <c r="P16" s="6"/>
      <c r="Q16" s="8"/>
      <c r="R16" s="6"/>
      <c r="S16" s="6"/>
      <c r="T16" s="6"/>
      <c r="U16" s="6">
        <v>2</v>
      </c>
      <c r="V16" s="6"/>
      <c r="W16" s="6" t="s">
        <v>37</v>
      </c>
      <c r="X16" s="7">
        <v>44364</v>
      </c>
      <c r="Y16" s="7">
        <v>44368</v>
      </c>
      <c r="AC16"/>
      <c r="AE16" t="str">
        <f t="shared" si="1"/>
        <v>P100257</v>
      </c>
      <c r="AF16" t="str">
        <f>_xlfn.XLOOKUP(AE16, Hoja2!A:A, Hoja2!A:A)</f>
        <v>P100257</v>
      </c>
      <c r="AG16" t="str">
        <f t="shared" si="4"/>
        <v>PP00007-1</v>
      </c>
      <c r="AH16">
        <f>_xlfn.XLOOKUP(AG16, Hoja3!A:A, Hoja3!B:B)</f>
        <v>5552</v>
      </c>
      <c r="AI16" t="str">
        <f>_xlfn.XLOOKUP(AH16, Hoja4!A:A, Hoja4!B:B)</f>
        <v>GP078903</v>
      </c>
      <c r="AJ16" t="b">
        <f t="shared" si="5"/>
        <v>1</v>
      </c>
    </row>
    <row r="17" spans="1:36" ht="15.5" customHeight="1" x14ac:dyDescent="0.35">
      <c r="A17">
        <f t="shared" ca="1" si="0"/>
        <v>5947</v>
      </c>
      <c r="B17" s="6" t="s">
        <v>106</v>
      </c>
      <c r="C17" s="7">
        <v>38546</v>
      </c>
      <c r="D17" s="6" t="s">
        <v>100</v>
      </c>
      <c r="E17" s="6" t="s">
        <v>83</v>
      </c>
      <c r="F17" s="6" t="s">
        <v>52</v>
      </c>
      <c r="G17" s="6" t="s">
        <v>93</v>
      </c>
      <c r="H17" s="6" t="s">
        <v>107</v>
      </c>
      <c r="I17" s="6" t="s">
        <v>108</v>
      </c>
      <c r="J17" s="6" t="str">
        <f>IF(E17="KTG","KTG",(VLOOKUP(I17,'[1]list of outsource'!B:H,2,0)))</f>
        <v>UPM</v>
      </c>
      <c r="K17" s="6" t="s">
        <v>109</v>
      </c>
      <c r="L17" s="6"/>
      <c r="M17" s="6" t="s">
        <v>110</v>
      </c>
      <c r="N17" s="6" t="s">
        <v>111</v>
      </c>
      <c r="O17" s="6"/>
      <c r="P17" s="6"/>
      <c r="Q17" s="8"/>
      <c r="R17" s="6"/>
      <c r="S17" s="6"/>
      <c r="T17" s="6"/>
      <c r="U17" s="6">
        <v>2</v>
      </c>
      <c r="V17" s="6"/>
      <c r="W17" s="6" t="s">
        <v>37</v>
      </c>
      <c r="X17" s="7">
        <v>44493</v>
      </c>
      <c r="Y17" s="7">
        <v>44502</v>
      </c>
      <c r="AC17"/>
      <c r="AE17" t="str">
        <f t="shared" si="1"/>
        <v>P100262</v>
      </c>
      <c r="AF17" t="str">
        <f>_xlfn.XLOOKUP(AE17, Hoja2!A:A, Hoja2!A:A)</f>
        <v>P100262</v>
      </c>
      <c r="AG17" t="str">
        <f t="shared" si="4"/>
        <v>PP00010-1</v>
      </c>
      <c r="AH17">
        <f>_xlfn.XLOOKUP(AG17, Hoja3!A:A, Hoja3!B:B)</f>
        <v>5236</v>
      </c>
      <c r="AI17" t="str">
        <f>_xlfn.XLOOKUP(AH17, Hoja4!A:A, Hoja4!B:B)</f>
        <v>11026984A</v>
      </c>
      <c r="AJ17" t="b">
        <f t="shared" si="5"/>
        <v>1</v>
      </c>
    </row>
    <row r="18" spans="1:36" ht="15.5" customHeight="1" x14ac:dyDescent="0.35">
      <c r="A18">
        <f t="shared" ca="1" si="0"/>
        <v>5947</v>
      </c>
      <c r="B18" s="6" t="s">
        <v>112</v>
      </c>
      <c r="C18" s="7">
        <v>38546</v>
      </c>
      <c r="D18" s="6" t="s">
        <v>100</v>
      </c>
      <c r="E18" s="6" t="s">
        <v>83</v>
      </c>
      <c r="F18" s="6" t="s">
        <v>52</v>
      </c>
      <c r="G18" s="6" t="s">
        <v>93</v>
      </c>
      <c r="H18" s="6" t="s">
        <v>113</v>
      </c>
      <c r="I18" s="6" t="s">
        <v>108</v>
      </c>
      <c r="J18" s="6" t="str">
        <f>IF(E18="KTG","KTG",(VLOOKUP(I18,'[1]list of outsource'!B:H,2,0)))</f>
        <v>UPM</v>
      </c>
      <c r="K18" s="6" t="s">
        <v>109</v>
      </c>
      <c r="L18" s="6"/>
      <c r="M18" s="6" t="s">
        <v>114</v>
      </c>
      <c r="N18" s="6" t="s">
        <v>115</v>
      </c>
      <c r="O18" s="6"/>
      <c r="P18" s="6"/>
      <c r="Q18" s="8"/>
      <c r="R18" s="6"/>
      <c r="S18" s="6"/>
      <c r="T18" s="6"/>
      <c r="U18" s="6">
        <v>2</v>
      </c>
      <c r="V18" s="6"/>
      <c r="W18" s="6" t="s">
        <v>37</v>
      </c>
      <c r="X18" s="7">
        <v>44493</v>
      </c>
      <c r="Y18" s="7">
        <v>44502</v>
      </c>
      <c r="AC18"/>
      <c r="AE18" t="str">
        <f t="shared" si="1"/>
        <v>P100263</v>
      </c>
      <c r="AF18" t="str">
        <f>_xlfn.XLOOKUP(AE18, Hoja2!A:A, Hoja2!A:A)</f>
        <v>P100263</v>
      </c>
      <c r="AG18" t="str">
        <f t="shared" si="4"/>
        <v>PP00010-2</v>
      </c>
      <c r="AH18">
        <f>_xlfn.XLOOKUP(AG18, Hoja3!A:A, Hoja3!B:B)</f>
        <v>5238</v>
      </c>
      <c r="AI18" t="str">
        <f>_xlfn.XLOOKUP(AH18, Hoja4!A:A, Hoja4!B:B)</f>
        <v>11026985A</v>
      </c>
      <c r="AJ18" t="b">
        <f t="shared" si="5"/>
        <v>1</v>
      </c>
    </row>
    <row r="19" spans="1:36" ht="15.5" customHeight="1" x14ac:dyDescent="0.35">
      <c r="A19">
        <f t="shared" ca="1" si="0"/>
        <v>5498</v>
      </c>
      <c r="B19" s="6" t="s">
        <v>116</v>
      </c>
      <c r="C19" s="7">
        <v>38546</v>
      </c>
      <c r="D19" s="6"/>
      <c r="E19" s="6" t="s">
        <v>83</v>
      </c>
      <c r="F19" s="6" t="s">
        <v>84</v>
      </c>
      <c r="G19" s="6" t="s">
        <v>85</v>
      </c>
      <c r="H19" s="6" t="s">
        <v>117</v>
      </c>
      <c r="I19" s="6" t="s">
        <v>87</v>
      </c>
      <c r="J19" s="6" t="str">
        <f>IF(E19="KTG","KTG",(VLOOKUP(I19,'[1]list of outsource'!B:H,2,0)))</f>
        <v>UPM</v>
      </c>
      <c r="K19" s="6" t="s">
        <v>88</v>
      </c>
      <c r="L19" s="6"/>
      <c r="M19" s="6" t="s">
        <v>118</v>
      </c>
      <c r="N19" s="6" t="s">
        <v>119</v>
      </c>
      <c r="O19" s="6"/>
      <c r="P19" s="6"/>
      <c r="Q19" s="8"/>
      <c r="R19" s="6"/>
      <c r="S19" s="6"/>
      <c r="T19" s="6"/>
      <c r="U19" s="6">
        <v>2</v>
      </c>
      <c r="V19" s="6"/>
      <c r="W19" s="6" t="s">
        <v>37</v>
      </c>
      <c r="X19" s="7">
        <v>44044</v>
      </c>
      <c r="Y19" s="7"/>
      <c r="AC19"/>
      <c r="AE19" t="str">
        <f t="shared" si="1"/>
        <v>P000043</v>
      </c>
      <c r="AF19" t="str">
        <f>_xlfn.XLOOKUP(AE19, Hoja2!A:A, Hoja2!A:A)</f>
        <v>P000043</v>
      </c>
      <c r="AG19" t="str">
        <f t="shared" si="4"/>
        <v>PP00002-2</v>
      </c>
      <c r="AH19">
        <f>_xlfn.XLOOKUP(AG19, Hoja3!A:A, Hoja3!B:B)</f>
        <v>5243</v>
      </c>
      <c r="AI19" t="str">
        <f>_xlfn.XLOOKUP(AH19, Hoja4!A:A, Hoja4!B:B)</f>
        <v>E26459700</v>
      </c>
      <c r="AJ19" t="b">
        <f t="shared" si="5"/>
        <v>1</v>
      </c>
    </row>
    <row r="20" spans="1:36" ht="15.5" customHeight="1" x14ac:dyDescent="0.35">
      <c r="A20">
        <f t="shared" ca="1" si="0"/>
        <v>6004</v>
      </c>
      <c r="B20" s="6" t="s">
        <v>120</v>
      </c>
      <c r="C20" s="7">
        <v>38546</v>
      </c>
      <c r="D20" s="6" t="s">
        <v>121</v>
      </c>
      <c r="E20" s="6" t="s">
        <v>30</v>
      </c>
      <c r="F20" s="6" t="s">
        <v>31</v>
      </c>
      <c r="G20" s="6" t="s">
        <v>32</v>
      </c>
      <c r="H20" s="6">
        <v>95850332</v>
      </c>
      <c r="I20" s="6" t="s">
        <v>33</v>
      </c>
      <c r="J20" s="6" t="str">
        <f>IF(E20="KTG","KTG",(VLOOKUP(I20,'[1]list of outsource'!B:H,2,0)))</f>
        <v>KTG</v>
      </c>
      <c r="K20" s="6" t="s">
        <v>34</v>
      </c>
      <c r="L20" s="6"/>
      <c r="M20" s="6" t="s">
        <v>45</v>
      </c>
      <c r="N20" s="6" t="s">
        <v>46</v>
      </c>
      <c r="O20" s="6"/>
      <c r="P20" s="6"/>
      <c r="Q20" s="8"/>
      <c r="R20" s="6"/>
      <c r="S20" s="6"/>
      <c r="T20" s="6"/>
      <c r="U20" s="6">
        <v>1</v>
      </c>
      <c r="V20" s="6"/>
      <c r="W20" s="6" t="s">
        <v>122</v>
      </c>
      <c r="X20" s="7">
        <v>44550</v>
      </c>
      <c r="Y20" s="7"/>
      <c r="AC20"/>
      <c r="AE20" t="str">
        <f t="shared" si="1"/>
        <v>E101703</v>
      </c>
      <c r="AF20" t="str">
        <f>_xlfn.XLOOKUP(AE20, Hoja2!A:A, Hoja2!A:A)</f>
        <v>E101703</v>
      </c>
      <c r="AG20" t="str">
        <f t="shared" si="4"/>
        <v>PP00011-1</v>
      </c>
      <c r="AH20">
        <f>_xlfn.XLOOKUP(AG20, Hoja3!A:A, Hoja3!B:B)</f>
        <v>105</v>
      </c>
      <c r="AI20">
        <f>_xlfn.XLOOKUP(AH20, Hoja4!A:A, Hoja4!B:B)</f>
        <v>95850332</v>
      </c>
      <c r="AJ20" t="b">
        <f t="shared" si="5"/>
        <v>1</v>
      </c>
    </row>
    <row r="21" spans="1:36" ht="15.5" customHeight="1" x14ac:dyDescent="0.35">
      <c r="A21">
        <f t="shared" ca="1" si="0"/>
        <v>6004</v>
      </c>
      <c r="B21" s="6" t="s">
        <v>123</v>
      </c>
      <c r="C21" s="7">
        <v>38546</v>
      </c>
      <c r="D21" s="6" t="s">
        <v>121</v>
      </c>
      <c r="E21" s="6" t="s">
        <v>30</v>
      </c>
      <c r="F21" s="6" t="s">
        <v>31</v>
      </c>
      <c r="G21" s="6" t="s">
        <v>32</v>
      </c>
      <c r="H21" s="6">
        <v>95850007</v>
      </c>
      <c r="I21" s="6" t="s">
        <v>33</v>
      </c>
      <c r="J21" s="6" t="str">
        <f>IF(E21="KTG","KTG",(VLOOKUP(I21,'[1]list of outsource'!B:H,2,0)))</f>
        <v>KTG</v>
      </c>
      <c r="K21" s="6" t="s">
        <v>34</v>
      </c>
      <c r="L21" s="6"/>
      <c r="M21" s="6" t="s">
        <v>48</v>
      </c>
      <c r="N21" s="6" t="s">
        <v>49</v>
      </c>
      <c r="O21" s="6"/>
      <c r="P21" s="6"/>
      <c r="Q21" s="8"/>
      <c r="R21" s="6"/>
      <c r="S21" s="6"/>
      <c r="T21" s="6"/>
      <c r="U21" s="6">
        <v>1</v>
      </c>
      <c r="V21" s="6"/>
      <c r="W21" s="6" t="s">
        <v>122</v>
      </c>
      <c r="X21" s="7">
        <v>44550</v>
      </c>
      <c r="Y21" s="7"/>
      <c r="AC21"/>
      <c r="AE21" t="str">
        <f t="shared" si="1"/>
        <v>E101701</v>
      </c>
      <c r="AF21" t="str">
        <f>_xlfn.XLOOKUP(AE21, Hoja2!A:A, Hoja2!A:A)</f>
        <v>E101701</v>
      </c>
      <c r="AG21" t="str">
        <f t="shared" si="4"/>
        <v>PP00011-2</v>
      </c>
      <c r="AH21">
        <f>_xlfn.XLOOKUP(AG21, Hoja3!A:A, Hoja3!B:B)</f>
        <v>103</v>
      </c>
      <c r="AI21">
        <f>_xlfn.XLOOKUP(AH21, Hoja4!A:A, Hoja4!B:B)</f>
        <v>95850007</v>
      </c>
      <c r="AJ21" t="b">
        <f t="shared" si="5"/>
        <v>1</v>
      </c>
    </row>
    <row r="22" spans="1:36" ht="15.5" hidden="1" customHeight="1" x14ac:dyDescent="0.35">
      <c r="A22">
        <f t="shared" ca="1" si="0"/>
        <v>6091</v>
      </c>
      <c r="B22" s="55" t="s">
        <v>124</v>
      </c>
      <c r="C22" s="7">
        <v>38546</v>
      </c>
      <c r="D22" s="6" t="s">
        <v>121</v>
      </c>
      <c r="E22" s="6" t="s">
        <v>83</v>
      </c>
      <c r="F22" s="55" t="s">
        <v>125</v>
      </c>
      <c r="G22" s="6" t="s">
        <v>126</v>
      </c>
      <c r="H22" s="6" t="s">
        <v>127</v>
      </c>
      <c r="I22" s="6" t="s">
        <v>95</v>
      </c>
      <c r="J22" s="6" t="str">
        <f>IF(E22="KTG","KTG",(VLOOKUP(I22,'[1]list of outsource'!B:H,2,0)))</f>
        <v>Woer</v>
      </c>
      <c r="K22" s="6" t="s">
        <v>96</v>
      </c>
      <c r="L22" s="6"/>
      <c r="M22" s="6" t="s">
        <v>128</v>
      </c>
      <c r="N22" s="6" t="s">
        <v>129</v>
      </c>
      <c r="O22" s="6"/>
      <c r="P22" s="6"/>
      <c r="Q22" s="8"/>
      <c r="R22" s="6"/>
      <c r="S22" s="6"/>
      <c r="T22" s="6"/>
      <c r="U22" s="6">
        <v>1</v>
      </c>
      <c r="V22" s="6"/>
      <c r="W22" s="6" t="s">
        <v>37</v>
      </c>
      <c r="X22" s="7">
        <v>44637</v>
      </c>
      <c r="Y22" s="7"/>
      <c r="AC22"/>
      <c r="AE22" t="str">
        <f t="shared" si="1"/>
        <v>P000030</v>
      </c>
      <c r="AF22" t="str">
        <f>_xlfn.XLOOKUP(AE22, Hoja2!A:A, Hoja2!A:A)</f>
        <v>P000030</v>
      </c>
      <c r="AG22" t="str">
        <f t="shared" si="4"/>
        <v>PP00015-1</v>
      </c>
      <c r="AH22" t="e">
        <f>_xlfn.XLOOKUP(AG22, Hoja3!A:A, Hoja3!B:B)</f>
        <v>#N/A</v>
      </c>
    </row>
    <row r="23" spans="1:36" ht="15.5" customHeight="1" x14ac:dyDescent="0.35">
      <c r="A23">
        <f t="shared" ca="1" si="0"/>
        <v>5899</v>
      </c>
      <c r="B23" s="12" t="s">
        <v>130</v>
      </c>
      <c r="C23" s="13">
        <v>38546</v>
      </c>
      <c r="D23" s="14" t="s">
        <v>121</v>
      </c>
      <c r="E23" s="14" t="s">
        <v>83</v>
      </c>
      <c r="F23" s="14" t="s">
        <v>101</v>
      </c>
      <c r="G23" s="14" t="s">
        <v>131</v>
      </c>
      <c r="H23" s="14" t="s">
        <v>132</v>
      </c>
      <c r="I23" s="14" t="s">
        <v>133</v>
      </c>
      <c r="J23" s="14" t="str">
        <f>IF(E23="KTG","KTG",(VLOOKUP(I23,'[1]list of outsource'!B:H,2,0)))</f>
        <v>UPM</v>
      </c>
      <c r="K23" s="14" t="s">
        <v>134</v>
      </c>
      <c r="L23" s="14"/>
      <c r="M23" s="14" t="s">
        <v>135</v>
      </c>
      <c r="N23" s="14" t="s">
        <v>136</v>
      </c>
      <c r="O23" s="14"/>
      <c r="P23" s="14"/>
      <c r="Q23" s="15"/>
      <c r="R23" s="14"/>
      <c r="S23" s="16"/>
      <c r="T23" s="14"/>
      <c r="U23" s="14">
        <v>2</v>
      </c>
      <c r="V23" s="14"/>
      <c r="W23" s="14" t="s">
        <v>37</v>
      </c>
      <c r="X23" s="13">
        <v>44445</v>
      </c>
      <c r="Y23" s="13"/>
      <c r="AC23"/>
      <c r="AE23" t="str">
        <f t="shared" si="1"/>
        <v>P000028</v>
      </c>
      <c r="AF23" t="str">
        <f>_xlfn.XLOOKUP(AE23, Hoja2!A:A, Hoja2!A:A)</f>
        <v>P000028</v>
      </c>
      <c r="AG23" t="str">
        <f t="shared" si="4"/>
        <v>PP00009-1</v>
      </c>
      <c r="AH23">
        <v>5558</v>
      </c>
      <c r="AI23" t="str">
        <f>_xlfn.XLOOKUP(AH23, Hoja4!A:A, Hoja4!B:B)</f>
        <v>GP085283</v>
      </c>
      <c r="AJ23" t="b">
        <f t="shared" ref="AJ23:AJ31" si="6">H23=AI23</f>
        <v>1</v>
      </c>
    </row>
    <row r="24" spans="1:36" ht="15.5" customHeight="1" x14ac:dyDescent="0.35">
      <c r="A24">
        <f t="shared" ca="1" si="0"/>
        <v>6224</v>
      </c>
      <c r="B24" s="6" t="s">
        <v>137</v>
      </c>
      <c r="C24" s="7">
        <v>38547</v>
      </c>
      <c r="D24" s="6" t="s">
        <v>138</v>
      </c>
      <c r="E24" s="6" t="s">
        <v>139</v>
      </c>
      <c r="F24" s="6" t="s">
        <v>140</v>
      </c>
      <c r="G24" s="6" t="s">
        <v>32</v>
      </c>
      <c r="H24" s="6" t="s">
        <v>141</v>
      </c>
      <c r="I24" s="6" t="s">
        <v>142</v>
      </c>
      <c r="J24" s="6" t="str">
        <f>IF(E24="KTG","KTG",(VLOOKUP(I24,'[1]list of outsource'!B:H,2,0)))</f>
        <v>Kebao</v>
      </c>
      <c r="K24" s="6" t="s">
        <v>143</v>
      </c>
      <c r="L24" s="6"/>
      <c r="M24" s="6" t="s">
        <v>144</v>
      </c>
      <c r="N24" s="6" t="s">
        <v>145</v>
      </c>
      <c r="O24" s="6"/>
      <c r="P24" s="6"/>
      <c r="Q24" s="8"/>
      <c r="R24" s="6"/>
      <c r="S24" s="6"/>
      <c r="T24" s="6"/>
      <c r="U24" s="6">
        <v>2</v>
      </c>
      <c r="V24" s="6"/>
      <c r="W24" s="6" t="s">
        <v>37</v>
      </c>
      <c r="X24" s="7">
        <v>44771</v>
      </c>
      <c r="Y24" s="7">
        <v>44778</v>
      </c>
      <c r="AC24"/>
      <c r="AE24" t="str">
        <f t="shared" si="1"/>
        <v>P000115</v>
      </c>
      <c r="AF24" t="str">
        <f>_xlfn.XLOOKUP(AE24, Hoja2!A:A, Hoja2!A:A)</f>
        <v>P000115</v>
      </c>
      <c r="AG24" t="str">
        <f t="shared" si="4"/>
        <v>PP00014-01</v>
      </c>
      <c r="AH24">
        <f>_xlfn.XLOOKUP(AG24, Hoja3!A:A, Hoja3!B:B)</f>
        <v>5173</v>
      </c>
      <c r="AI24" t="str">
        <f>_xlfn.XLOOKUP(AH24, Hoja4!A:A, Hoja4!B:B)</f>
        <v>HST555P78</v>
      </c>
      <c r="AJ24" t="b">
        <f t="shared" si="6"/>
        <v>1</v>
      </c>
    </row>
    <row r="25" spans="1:36" ht="15.5" customHeight="1" x14ac:dyDescent="0.35">
      <c r="A25">
        <f t="shared" ca="1" si="0"/>
        <v>5450</v>
      </c>
      <c r="B25" s="6" t="s">
        <v>28</v>
      </c>
      <c r="C25" s="7">
        <v>38547</v>
      </c>
      <c r="D25" s="6" t="s">
        <v>29</v>
      </c>
      <c r="E25" s="6" t="s">
        <v>30</v>
      </c>
      <c r="F25" s="6" t="s">
        <v>31</v>
      </c>
      <c r="G25" s="6" t="s">
        <v>32</v>
      </c>
      <c r="H25" s="6">
        <v>95850329</v>
      </c>
      <c r="I25" s="6" t="s">
        <v>33</v>
      </c>
      <c r="J25" s="6" t="str">
        <f>IF(E25="KTG","KTG",(VLOOKUP(I25,'[1]list of outsource'!B:H,2,0)))</f>
        <v>KTG</v>
      </c>
      <c r="K25" s="6" t="s">
        <v>34</v>
      </c>
      <c r="L25" s="6"/>
      <c r="M25" s="58" t="s">
        <v>35</v>
      </c>
      <c r="N25" s="6" t="s">
        <v>36</v>
      </c>
      <c r="O25" s="6"/>
      <c r="P25" s="6"/>
      <c r="Q25" s="8"/>
      <c r="R25" s="6"/>
      <c r="S25" s="6"/>
      <c r="T25" s="6"/>
      <c r="U25" s="6">
        <v>4</v>
      </c>
      <c r="V25" s="6"/>
      <c r="W25" s="6" t="s">
        <v>37</v>
      </c>
      <c r="X25" s="7">
        <v>43997</v>
      </c>
      <c r="Y25" s="7">
        <v>44067</v>
      </c>
      <c r="AC25"/>
      <c r="AE25" t="str">
        <f t="shared" si="1"/>
        <v>E101702</v>
      </c>
      <c r="AF25" t="str">
        <f>_xlfn.XLOOKUP(AE25, Hoja2!A:A, Hoja2!A:A)</f>
        <v>E101702</v>
      </c>
      <c r="AG25" t="str">
        <f t="shared" si="4"/>
        <v>PP00003-1</v>
      </c>
      <c r="AH25">
        <f>_xlfn.XLOOKUP(AG25, Hoja3!A:A, Hoja3!B:B)</f>
        <v>104</v>
      </c>
      <c r="AI25">
        <f>_xlfn.XLOOKUP(AH25, Hoja4!A:A, Hoja4!B:B)</f>
        <v>95850329</v>
      </c>
      <c r="AJ25" t="b">
        <f t="shared" si="6"/>
        <v>1</v>
      </c>
    </row>
    <row r="26" spans="1:36" ht="15.5" customHeight="1" x14ac:dyDescent="0.35">
      <c r="A26">
        <f t="shared" ca="1" si="0"/>
        <v>5450</v>
      </c>
      <c r="B26" s="6" t="s">
        <v>38</v>
      </c>
      <c r="C26" s="7">
        <v>38547</v>
      </c>
      <c r="D26" s="6" t="s">
        <v>29</v>
      </c>
      <c r="E26" s="6" t="s">
        <v>30</v>
      </c>
      <c r="F26" s="6" t="s">
        <v>31</v>
      </c>
      <c r="G26" s="6" t="s">
        <v>32</v>
      </c>
      <c r="H26" s="6">
        <v>95850330</v>
      </c>
      <c r="I26" s="6" t="s">
        <v>33</v>
      </c>
      <c r="J26" s="6" t="str">
        <f>IF(E26="KTG","KTG",(VLOOKUP(I26,'[1]list of outsource'!B:H,2,0)))</f>
        <v>KTG</v>
      </c>
      <c r="K26" s="6" t="s">
        <v>34</v>
      </c>
      <c r="L26" s="6"/>
      <c r="M26" s="58" t="s">
        <v>39</v>
      </c>
      <c r="N26" s="6" t="s">
        <v>40</v>
      </c>
      <c r="O26" s="6"/>
      <c r="P26" s="6"/>
      <c r="Q26" s="8"/>
      <c r="R26" s="6"/>
      <c r="S26" s="6"/>
      <c r="T26" s="6"/>
      <c r="U26" s="6">
        <v>4</v>
      </c>
      <c r="V26" s="6"/>
      <c r="W26" s="6" t="s">
        <v>37</v>
      </c>
      <c r="X26" s="7">
        <v>43997</v>
      </c>
      <c r="Y26" s="7">
        <v>44067</v>
      </c>
      <c r="AC26"/>
      <c r="AE26" t="str">
        <f t="shared" si="1"/>
        <v>E101705</v>
      </c>
      <c r="AF26" t="str">
        <f>_xlfn.XLOOKUP(AE26, Hoja2!A:A, Hoja2!A:A)</f>
        <v>E101705</v>
      </c>
      <c r="AG26" t="str">
        <f t="shared" si="4"/>
        <v>PP00003-2</v>
      </c>
      <c r="AH26">
        <f>_xlfn.XLOOKUP(AG26, Hoja3!A:A, Hoja3!B:B)</f>
        <v>107</v>
      </c>
      <c r="AI26">
        <f>_xlfn.XLOOKUP(AH26, Hoja4!A:A, Hoja4!B:B)</f>
        <v>95850330</v>
      </c>
      <c r="AJ26" t="b">
        <f t="shared" si="6"/>
        <v>1</v>
      </c>
    </row>
    <row r="27" spans="1:36" ht="15.5" customHeight="1" x14ac:dyDescent="0.35">
      <c r="A27">
        <f t="shared" ca="1" si="0"/>
        <v>5450</v>
      </c>
      <c r="B27" s="6" t="s">
        <v>41</v>
      </c>
      <c r="C27" s="7">
        <v>38547</v>
      </c>
      <c r="D27" s="6" t="s">
        <v>29</v>
      </c>
      <c r="E27" s="6" t="s">
        <v>30</v>
      </c>
      <c r="F27" s="6" t="s">
        <v>31</v>
      </c>
      <c r="G27" s="6" t="s">
        <v>32</v>
      </c>
      <c r="H27" s="6">
        <v>95850331</v>
      </c>
      <c r="I27" s="6" t="s">
        <v>33</v>
      </c>
      <c r="J27" s="6" t="str">
        <f>IF(E27="KTG","KTG",(VLOOKUP(I27,'[1]list of outsource'!B:H,2,0)))</f>
        <v>KTG</v>
      </c>
      <c r="K27" s="6" t="s">
        <v>34</v>
      </c>
      <c r="L27" s="6"/>
      <c r="M27" s="58" t="s">
        <v>42</v>
      </c>
      <c r="N27" s="6" t="s">
        <v>43</v>
      </c>
      <c r="O27" s="6"/>
      <c r="P27" s="6"/>
      <c r="Q27" s="8"/>
      <c r="R27" s="6"/>
      <c r="S27" s="6"/>
      <c r="T27" s="6"/>
      <c r="U27" s="6">
        <v>4</v>
      </c>
      <c r="V27" s="6"/>
      <c r="W27" s="6" t="s">
        <v>37</v>
      </c>
      <c r="X27" s="7">
        <v>43997</v>
      </c>
      <c r="Y27" s="7">
        <v>44067</v>
      </c>
      <c r="AC27"/>
      <c r="AE27" t="str">
        <f t="shared" si="1"/>
        <v>E101706</v>
      </c>
      <c r="AF27" t="str">
        <f>_xlfn.XLOOKUP(AE27, Hoja2!A:A, Hoja2!A:A)</f>
        <v>E101706</v>
      </c>
      <c r="AG27" t="str">
        <f t="shared" si="4"/>
        <v>PP00003-3</v>
      </c>
      <c r="AH27">
        <f>_xlfn.XLOOKUP(AG27, Hoja3!A:A, Hoja3!B:B)</f>
        <v>108</v>
      </c>
      <c r="AI27">
        <f>_xlfn.XLOOKUP(AH27, Hoja4!A:A, Hoja4!B:B)</f>
        <v>95850331</v>
      </c>
      <c r="AJ27" t="b">
        <f t="shared" si="6"/>
        <v>1</v>
      </c>
    </row>
    <row r="28" spans="1:36" ht="15.5" customHeight="1" x14ac:dyDescent="0.35">
      <c r="A28">
        <f t="shared" ca="1" si="0"/>
        <v>5450</v>
      </c>
      <c r="B28" s="6" t="s">
        <v>44</v>
      </c>
      <c r="C28" s="7">
        <v>38547</v>
      </c>
      <c r="D28" s="6" t="s">
        <v>29</v>
      </c>
      <c r="E28" s="6" t="s">
        <v>30</v>
      </c>
      <c r="F28" s="6" t="s">
        <v>31</v>
      </c>
      <c r="G28" s="6" t="s">
        <v>32</v>
      </c>
      <c r="H28" s="6">
        <v>95850332</v>
      </c>
      <c r="I28" s="6" t="s">
        <v>33</v>
      </c>
      <c r="J28" s="6" t="str">
        <f>IF(E28="KTG","KTG",(VLOOKUP(I28,'[1]list of outsource'!B:H,2,0)))</f>
        <v>KTG</v>
      </c>
      <c r="K28" s="6" t="s">
        <v>34</v>
      </c>
      <c r="L28" s="6"/>
      <c r="M28" s="58" t="s">
        <v>45</v>
      </c>
      <c r="N28" s="6" t="s">
        <v>46</v>
      </c>
      <c r="O28" s="6"/>
      <c r="P28" s="6"/>
      <c r="Q28" s="8"/>
      <c r="R28" s="6"/>
      <c r="S28" s="6"/>
      <c r="T28" s="6"/>
      <c r="U28" s="6">
        <v>4</v>
      </c>
      <c r="V28" s="6"/>
      <c r="W28" s="6" t="s">
        <v>37</v>
      </c>
      <c r="X28" s="7">
        <v>43997</v>
      </c>
      <c r="Y28" s="7">
        <v>44067</v>
      </c>
      <c r="AC28"/>
      <c r="AE28" t="str">
        <f t="shared" si="1"/>
        <v>E101703</v>
      </c>
      <c r="AF28" t="str">
        <f>_xlfn.XLOOKUP(AE28, Hoja2!A:A, Hoja2!A:A)</f>
        <v>E101703</v>
      </c>
      <c r="AG28" t="str">
        <f t="shared" si="4"/>
        <v>PP00003-4</v>
      </c>
      <c r="AH28">
        <f>_xlfn.XLOOKUP(AG28, Hoja3!A:A, Hoja3!B:B)</f>
        <v>105</v>
      </c>
      <c r="AI28">
        <f>_xlfn.XLOOKUP(AH28, Hoja4!A:A, Hoja4!B:B)</f>
        <v>95850332</v>
      </c>
      <c r="AJ28" t="b">
        <f t="shared" si="6"/>
        <v>1</v>
      </c>
    </row>
    <row r="29" spans="1:36" ht="15.5" customHeight="1" x14ac:dyDescent="0.35">
      <c r="A29">
        <f t="shared" ca="1" si="0"/>
        <v>5450</v>
      </c>
      <c r="B29" s="6" t="s">
        <v>47</v>
      </c>
      <c r="C29" s="7">
        <v>38547</v>
      </c>
      <c r="D29" s="6" t="s">
        <v>29</v>
      </c>
      <c r="E29" s="6" t="s">
        <v>30</v>
      </c>
      <c r="F29" s="6" t="s">
        <v>31</v>
      </c>
      <c r="G29" s="6" t="s">
        <v>32</v>
      </c>
      <c r="H29" s="6">
        <v>95850007</v>
      </c>
      <c r="I29" s="6" t="s">
        <v>33</v>
      </c>
      <c r="J29" s="6" t="str">
        <f>IF(E29="KTG","KTG",(VLOOKUP(I29,'[1]list of outsource'!B:H,2,0)))</f>
        <v>KTG</v>
      </c>
      <c r="K29" s="6" t="s">
        <v>34</v>
      </c>
      <c r="L29" s="6"/>
      <c r="M29" s="58" t="s">
        <v>48</v>
      </c>
      <c r="N29" s="6" t="s">
        <v>49</v>
      </c>
      <c r="O29" s="6"/>
      <c r="P29" s="6"/>
      <c r="Q29" s="8"/>
      <c r="R29" s="6"/>
      <c r="S29" s="6"/>
      <c r="T29" s="6"/>
      <c r="U29" s="6">
        <v>4</v>
      </c>
      <c r="V29" s="6"/>
      <c r="W29" s="6" t="s">
        <v>37</v>
      </c>
      <c r="X29" s="7">
        <v>43997</v>
      </c>
      <c r="Y29" s="7">
        <v>44067</v>
      </c>
      <c r="AC29"/>
      <c r="AE29" t="str">
        <f t="shared" si="1"/>
        <v>E101701</v>
      </c>
      <c r="AF29" t="str">
        <f>_xlfn.XLOOKUP(AE29, Hoja2!A:A, Hoja2!A:A)</f>
        <v>E101701</v>
      </c>
      <c r="AG29" t="str">
        <f t="shared" si="4"/>
        <v>PP00003-5</v>
      </c>
      <c r="AH29">
        <f>_xlfn.XLOOKUP(AG29, Hoja3!A:A, Hoja3!B:B)</f>
        <v>103</v>
      </c>
      <c r="AI29">
        <f>_xlfn.XLOOKUP(AH29, Hoja4!A:A, Hoja4!B:B)</f>
        <v>95850007</v>
      </c>
      <c r="AJ29" t="b">
        <f t="shared" si="6"/>
        <v>1</v>
      </c>
    </row>
    <row r="30" spans="1:36" ht="15.5" customHeight="1" x14ac:dyDescent="0.35">
      <c r="A30">
        <f t="shared" ca="1" si="0"/>
        <v>5817</v>
      </c>
      <c r="B30" s="6" t="s">
        <v>99</v>
      </c>
      <c r="C30" s="7">
        <v>38547</v>
      </c>
      <c r="D30" s="6" t="s">
        <v>100</v>
      </c>
      <c r="E30" s="6" t="s">
        <v>83</v>
      </c>
      <c r="F30" s="6" t="s">
        <v>101</v>
      </c>
      <c r="G30" s="6" t="s">
        <v>102</v>
      </c>
      <c r="H30" s="6" t="s">
        <v>103</v>
      </c>
      <c r="I30" s="6" t="s">
        <v>95</v>
      </c>
      <c r="J30" s="6" t="str">
        <f>IF(E30="KTG","KTG",(VLOOKUP(I30,'[1]list of outsource'!B:H,2,0)))</f>
        <v>Woer</v>
      </c>
      <c r="K30" s="6" t="s">
        <v>96</v>
      </c>
      <c r="L30" s="6"/>
      <c r="M30" s="6" t="s">
        <v>104</v>
      </c>
      <c r="N30" s="6" t="s">
        <v>105</v>
      </c>
      <c r="O30" s="6"/>
      <c r="P30" s="6"/>
      <c r="Q30" s="8"/>
      <c r="R30" s="6"/>
      <c r="S30" s="6"/>
      <c r="T30" s="6"/>
      <c r="U30" s="6">
        <v>2</v>
      </c>
      <c r="V30" s="6"/>
      <c r="W30" s="6" t="s">
        <v>37</v>
      </c>
      <c r="X30" s="7">
        <v>44364</v>
      </c>
      <c r="Y30" s="7">
        <v>44368</v>
      </c>
      <c r="AC30"/>
      <c r="AE30" t="str">
        <f t="shared" si="1"/>
        <v>P100257</v>
      </c>
      <c r="AF30" t="str">
        <f>_xlfn.XLOOKUP(AE30, Hoja2!A:A, Hoja2!A:A)</f>
        <v>P100257</v>
      </c>
      <c r="AG30" t="str">
        <f t="shared" si="4"/>
        <v>PP00007-1</v>
      </c>
      <c r="AH30">
        <f>_xlfn.XLOOKUP(AG30, Hoja3!A:A, Hoja3!B:B)</f>
        <v>5552</v>
      </c>
      <c r="AI30" t="str">
        <f>_xlfn.XLOOKUP(AH30, Hoja4!A:A, Hoja4!B:B)</f>
        <v>GP078903</v>
      </c>
      <c r="AJ30" t="b">
        <f t="shared" si="6"/>
        <v>1</v>
      </c>
    </row>
    <row r="31" spans="1:36" ht="15.5" customHeight="1" x14ac:dyDescent="0.35">
      <c r="A31">
        <f t="shared" ca="1" si="0"/>
        <v>5497</v>
      </c>
      <c r="B31" s="6" t="s">
        <v>82</v>
      </c>
      <c r="C31" s="7">
        <v>38547</v>
      </c>
      <c r="D31" s="6"/>
      <c r="E31" s="6" t="s">
        <v>83</v>
      </c>
      <c r="F31" s="6" t="s">
        <v>84</v>
      </c>
      <c r="G31" s="6" t="s">
        <v>85</v>
      </c>
      <c r="H31" s="6" t="s">
        <v>86</v>
      </c>
      <c r="I31" s="6" t="s">
        <v>87</v>
      </c>
      <c r="J31" s="6" t="str">
        <f>IF(E31="KTG","KTG",(VLOOKUP(I31,'[1]list of outsource'!B:H,2,0)))</f>
        <v>UPM</v>
      </c>
      <c r="K31" s="6" t="s">
        <v>88</v>
      </c>
      <c r="L31" s="6"/>
      <c r="M31" s="6" t="s">
        <v>89</v>
      </c>
      <c r="N31" s="6" t="s">
        <v>90</v>
      </c>
      <c r="O31" s="6"/>
      <c r="P31" s="6"/>
      <c r="Q31" s="8"/>
      <c r="R31" s="6"/>
      <c r="S31" s="6"/>
      <c r="T31" s="6"/>
      <c r="U31" s="6">
        <v>2</v>
      </c>
      <c r="V31" s="6"/>
      <c r="W31" s="6" t="s">
        <v>37</v>
      </c>
      <c r="X31" s="7">
        <v>44044</v>
      </c>
      <c r="Y31" s="7"/>
      <c r="AC31"/>
      <c r="AE31" t="str">
        <f t="shared" si="1"/>
        <v>P000042</v>
      </c>
      <c r="AF31" t="str">
        <f>_xlfn.XLOOKUP(AE31, Hoja2!A:A, Hoja2!A:A)</f>
        <v>P000042</v>
      </c>
      <c r="AG31" t="str">
        <f t="shared" si="4"/>
        <v>PP00002-1</v>
      </c>
      <c r="AH31">
        <f>_xlfn.XLOOKUP(AG31, Hoja3!A:A, Hoja3!B:B)</f>
        <v>5241</v>
      </c>
      <c r="AI31" t="str">
        <f>_xlfn.XLOOKUP(AH31, Hoja4!A:A, Hoja4!B:B)</f>
        <v>E26424100</v>
      </c>
      <c r="AJ31" t="b">
        <f t="shared" si="6"/>
        <v>1</v>
      </c>
    </row>
    <row r="32" spans="1:36" ht="15.5" hidden="1" customHeight="1" x14ac:dyDescent="0.35">
      <c r="A32">
        <f t="shared" ca="1" si="0"/>
        <v>5589</v>
      </c>
      <c r="B32" s="55" t="s">
        <v>50</v>
      </c>
      <c r="C32" s="7">
        <v>38547</v>
      </c>
      <c r="D32" s="6" t="s">
        <v>51</v>
      </c>
      <c r="E32" s="6" t="s">
        <v>30</v>
      </c>
      <c r="F32" s="6" t="s">
        <v>52</v>
      </c>
      <c r="G32" s="6" t="s">
        <v>32</v>
      </c>
      <c r="H32" s="6" t="s">
        <v>53</v>
      </c>
      <c r="I32" s="6" t="s">
        <v>54</v>
      </c>
      <c r="J32" s="6" t="str">
        <f>IF(E32="KTG","KTG",(VLOOKUP(I32,'[1]list of outsource'!B:H,2,0)))</f>
        <v>KTG</v>
      </c>
      <c r="K32" s="6" t="s">
        <v>55</v>
      </c>
      <c r="L32" s="6"/>
      <c r="M32" s="55" t="s">
        <v>56</v>
      </c>
      <c r="N32" s="6" t="s">
        <v>57</v>
      </c>
      <c r="O32" s="6"/>
      <c r="P32" s="6"/>
      <c r="Q32" s="8"/>
      <c r="R32" s="6"/>
      <c r="S32" s="6"/>
      <c r="T32" s="6"/>
      <c r="U32" s="6">
        <v>2</v>
      </c>
      <c r="V32" s="6"/>
      <c r="W32" s="6"/>
      <c r="X32" s="7">
        <v>44136</v>
      </c>
      <c r="Y32" s="7"/>
      <c r="AC32"/>
      <c r="AE32" t="str">
        <f t="shared" si="1"/>
        <v>P000035</v>
      </c>
      <c r="AF32" t="e">
        <f>_xlfn.XLOOKUP(AE32, Hoja2!A:A, Hoja2!A:A)</f>
        <v>#N/A</v>
      </c>
    </row>
    <row r="33" spans="1:36" ht="15.5" hidden="1" customHeight="1" x14ac:dyDescent="0.35">
      <c r="A33">
        <f t="shared" ca="1" si="0"/>
        <v>5589</v>
      </c>
      <c r="B33" s="55" t="s">
        <v>58</v>
      </c>
      <c r="C33" s="7">
        <v>38547</v>
      </c>
      <c r="D33" s="6" t="s">
        <v>51</v>
      </c>
      <c r="E33" s="6" t="s">
        <v>30</v>
      </c>
      <c r="F33" s="6" t="s">
        <v>52</v>
      </c>
      <c r="G33" s="6" t="s">
        <v>32</v>
      </c>
      <c r="H33" s="6" t="s">
        <v>59</v>
      </c>
      <c r="I33" s="6" t="s">
        <v>54</v>
      </c>
      <c r="J33" s="6" t="str">
        <f>IF(E33="KTG","KTG",(VLOOKUP(I33,'[1]list of outsource'!B:H,2,0)))</f>
        <v>KTG</v>
      </c>
      <c r="K33" s="6" t="s">
        <v>55</v>
      </c>
      <c r="L33" s="6"/>
      <c r="M33" s="55" t="s">
        <v>60</v>
      </c>
      <c r="N33" s="6" t="s">
        <v>61</v>
      </c>
      <c r="O33" s="6"/>
      <c r="P33" s="6"/>
      <c r="Q33" s="8"/>
      <c r="R33" s="6"/>
      <c r="S33" s="6"/>
      <c r="T33" s="6"/>
      <c r="U33" s="6">
        <v>2</v>
      </c>
      <c r="V33" s="6"/>
      <c r="W33" s="6"/>
      <c r="X33" s="7">
        <v>44136</v>
      </c>
      <c r="Y33" s="7"/>
      <c r="AC33"/>
      <c r="AE33" t="str">
        <f t="shared" si="1"/>
        <v>P000036</v>
      </c>
      <c r="AF33" t="e">
        <f>_xlfn.XLOOKUP(AE33, Hoja2!A:A, Hoja2!A:A)</f>
        <v>#N/A</v>
      </c>
    </row>
    <row r="34" spans="1:36" ht="15.5" hidden="1" customHeight="1" x14ac:dyDescent="0.35">
      <c r="A34">
        <f t="shared" ca="1" si="0"/>
        <v>5589</v>
      </c>
      <c r="B34" s="55" t="s">
        <v>62</v>
      </c>
      <c r="C34" s="7">
        <v>38547</v>
      </c>
      <c r="D34" s="6" t="s">
        <v>51</v>
      </c>
      <c r="E34" s="6" t="s">
        <v>30</v>
      </c>
      <c r="F34" s="6" t="s">
        <v>52</v>
      </c>
      <c r="G34" s="6" t="s">
        <v>32</v>
      </c>
      <c r="H34" s="6" t="s">
        <v>63</v>
      </c>
      <c r="I34" s="6" t="s">
        <v>54</v>
      </c>
      <c r="J34" s="6" t="str">
        <f>IF(E34="KTG","KTG",(VLOOKUP(I34,'[1]list of outsource'!B:H,2,0)))</f>
        <v>KTG</v>
      </c>
      <c r="K34" s="6" t="s">
        <v>55</v>
      </c>
      <c r="L34" s="6"/>
      <c r="M34" s="55" t="s">
        <v>64</v>
      </c>
      <c r="N34" s="6" t="s">
        <v>65</v>
      </c>
      <c r="O34" s="6"/>
      <c r="P34" s="6"/>
      <c r="Q34" s="8"/>
      <c r="R34" s="6"/>
      <c r="S34" s="6"/>
      <c r="T34" s="6"/>
      <c r="U34" s="6">
        <v>2</v>
      </c>
      <c r="V34" s="6"/>
      <c r="W34" s="6"/>
      <c r="X34" s="7">
        <v>44136</v>
      </c>
      <c r="Y34" s="7"/>
      <c r="AC34"/>
      <c r="AE34" t="str">
        <f t="shared" si="1"/>
        <v>P000037</v>
      </c>
      <c r="AF34" t="e">
        <f>_xlfn.XLOOKUP(AE34, Hoja2!A:A, Hoja2!A:A)</f>
        <v>#N/A</v>
      </c>
    </row>
    <row r="35" spans="1:36" ht="15.5" hidden="1" customHeight="1" x14ac:dyDescent="0.35">
      <c r="A35">
        <f t="shared" ca="1" si="0"/>
        <v>5589</v>
      </c>
      <c r="B35" s="55" t="s">
        <v>66</v>
      </c>
      <c r="C35" s="7">
        <v>38547</v>
      </c>
      <c r="D35" s="6" t="s">
        <v>51</v>
      </c>
      <c r="E35" s="6" t="s">
        <v>30</v>
      </c>
      <c r="F35" s="6" t="s">
        <v>52</v>
      </c>
      <c r="G35" s="6" t="s">
        <v>32</v>
      </c>
      <c r="H35" s="6" t="s">
        <v>67</v>
      </c>
      <c r="I35" s="6" t="s">
        <v>54</v>
      </c>
      <c r="J35" s="6" t="str">
        <f>IF(E35="KTG","KTG",(VLOOKUP(I35,'[1]list of outsource'!B:H,2,0)))</f>
        <v>KTG</v>
      </c>
      <c r="K35" s="6" t="s">
        <v>55</v>
      </c>
      <c r="L35" s="6"/>
      <c r="M35" s="55" t="s">
        <v>68</v>
      </c>
      <c r="N35" s="6" t="s">
        <v>69</v>
      </c>
      <c r="O35" s="6"/>
      <c r="P35" s="6"/>
      <c r="Q35" s="8"/>
      <c r="R35" s="6"/>
      <c r="S35" s="6"/>
      <c r="T35" s="6"/>
      <c r="U35" s="6">
        <v>2</v>
      </c>
      <c r="V35" s="6"/>
      <c r="W35" s="6"/>
      <c r="X35" s="7">
        <v>44136</v>
      </c>
      <c r="Y35" s="7"/>
      <c r="AC35"/>
      <c r="AE35" t="str">
        <f t="shared" si="1"/>
        <v>P000038</v>
      </c>
      <c r="AF35" t="e">
        <f>_xlfn.XLOOKUP(AE35, Hoja2!A:A, Hoja2!A:A)</f>
        <v>#N/A</v>
      </c>
    </row>
    <row r="36" spans="1:36" ht="15.5" hidden="1" customHeight="1" x14ac:dyDescent="0.35">
      <c r="A36">
        <f t="shared" ca="1" si="0"/>
        <v>5589</v>
      </c>
      <c r="B36" s="55" t="s">
        <v>70</v>
      </c>
      <c r="C36" s="7">
        <v>38547</v>
      </c>
      <c r="D36" s="6" t="s">
        <v>51</v>
      </c>
      <c r="E36" s="6" t="s">
        <v>30</v>
      </c>
      <c r="F36" s="6" t="s">
        <v>52</v>
      </c>
      <c r="G36" s="6" t="s">
        <v>32</v>
      </c>
      <c r="H36" s="6" t="s">
        <v>71</v>
      </c>
      <c r="I36" s="6" t="s">
        <v>54</v>
      </c>
      <c r="J36" s="6" t="str">
        <f>IF(E36="KTG","KTG",(VLOOKUP(I36,'[1]list of outsource'!B:H,2,0)))</f>
        <v>KTG</v>
      </c>
      <c r="K36" s="6" t="s">
        <v>55</v>
      </c>
      <c r="L36" s="6"/>
      <c r="M36" s="55" t="s">
        <v>72</v>
      </c>
      <c r="N36" s="6" t="s">
        <v>73</v>
      </c>
      <c r="O36" s="6"/>
      <c r="P36" s="6"/>
      <c r="Q36" s="8"/>
      <c r="R36" s="6"/>
      <c r="S36" s="6"/>
      <c r="T36" s="6"/>
      <c r="U36" s="6">
        <v>2</v>
      </c>
      <c r="V36" s="6"/>
      <c r="W36" s="6"/>
      <c r="X36" s="7">
        <v>44136</v>
      </c>
      <c r="Y36" s="7"/>
      <c r="AC36"/>
      <c r="AE36" t="str">
        <f t="shared" si="1"/>
        <v>P000040</v>
      </c>
      <c r="AF36" t="e">
        <f>_xlfn.XLOOKUP(AE36, Hoja2!A:A, Hoja2!A:A)</f>
        <v>#N/A</v>
      </c>
    </row>
    <row r="37" spans="1:36" ht="15.5" hidden="1" customHeight="1" x14ac:dyDescent="0.35">
      <c r="A37">
        <f t="shared" ca="1" si="0"/>
        <v>5589</v>
      </c>
      <c r="B37" s="55" t="s">
        <v>74</v>
      </c>
      <c r="C37" s="7">
        <v>38547</v>
      </c>
      <c r="D37" s="6" t="s">
        <v>51</v>
      </c>
      <c r="E37" s="6" t="s">
        <v>30</v>
      </c>
      <c r="F37" s="6" t="s">
        <v>52</v>
      </c>
      <c r="G37" s="6" t="s">
        <v>32</v>
      </c>
      <c r="H37" s="6" t="s">
        <v>75</v>
      </c>
      <c r="I37" s="6" t="s">
        <v>54</v>
      </c>
      <c r="J37" s="6" t="str">
        <f>IF(E37="KTG","KTG",(VLOOKUP(I37,'[1]list of outsource'!B:H,2,0)))</f>
        <v>KTG</v>
      </c>
      <c r="K37" s="6" t="s">
        <v>55</v>
      </c>
      <c r="L37" s="6"/>
      <c r="M37" s="55" t="s">
        <v>76</v>
      </c>
      <c r="N37" s="6" t="s">
        <v>77</v>
      </c>
      <c r="O37" s="6"/>
      <c r="P37" s="6"/>
      <c r="Q37" s="8"/>
      <c r="R37" s="6"/>
      <c r="S37" s="6"/>
      <c r="T37" s="6"/>
      <c r="U37" s="6">
        <v>2</v>
      </c>
      <c r="V37" s="6"/>
      <c r="W37" s="6"/>
      <c r="X37" s="7">
        <v>44136</v>
      </c>
      <c r="Y37" s="7"/>
      <c r="AC37"/>
      <c r="AE37" t="str">
        <f t="shared" si="1"/>
        <v>P000039</v>
      </c>
      <c r="AF37" t="e">
        <f>_xlfn.XLOOKUP(AE37, Hoja2!A:A, Hoja2!A:A)</f>
        <v>#N/A</v>
      </c>
    </row>
    <row r="38" spans="1:36" ht="15.5" hidden="1" customHeight="1" x14ac:dyDescent="0.35">
      <c r="A38">
        <f t="shared" ca="1" si="0"/>
        <v>5589</v>
      </c>
      <c r="B38" s="55" t="s">
        <v>78</v>
      </c>
      <c r="C38" s="7">
        <v>38547</v>
      </c>
      <c r="D38" s="6" t="s">
        <v>51</v>
      </c>
      <c r="E38" s="6" t="s">
        <v>30</v>
      </c>
      <c r="F38" s="6" t="s">
        <v>52</v>
      </c>
      <c r="G38" s="6" t="s">
        <v>32</v>
      </c>
      <c r="H38" s="6" t="s">
        <v>79</v>
      </c>
      <c r="I38" s="6" t="s">
        <v>54</v>
      </c>
      <c r="J38" s="6" t="str">
        <f>IF(E38="KTG","KTG",(VLOOKUP(I38,'[1]list of outsource'!B:H,2,0)))</f>
        <v>KTG</v>
      </c>
      <c r="K38" s="6" t="s">
        <v>55</v>
      </c>
      <c r="L38" s="6"/>
      <c r="M38" s="55" t="s">
        <v>80</v>
      </c>
      <c r="N38" s="6" t="s">
        <v>81</v>
      </c>
      <c r="O38" s="6"/>
      <c r="P38" s="6"/>
      <c r="Q38" s="8"/>
      <c r="R38" s="6"/>
      <c r="S38" s="6"/>
      <c r="T38" s="6"/>
      <c r="U38" s="6">
        <v>2</v>
      </c>
      <c r="V38" s="6"/>
      <c r="W38" s="6"/>
      <c r="X38" s="7">
        <v>44136</v>
      </c>
      <c r="Y38" s="7"/>
      <c r="AC38"/>
      <c r="AE38" t="str">
        <f t="shared" si="1"/>
        <v>P000041</v>
      </c>
      <c r="AF38" t="e">
        <f>_xlfn.XLOOKUP(AE38, Hoja2!A:A, Hoja2!A:A)</f>
        <v>#N/A</v>
      </c>
    </row>
    <row r="39" spans="1:36" ht="15.5" customHeight="1" x14ac:dyDescent="0.35">
      <c r="A39">
        <f t="shared" ca="1" si="0"/>
        <v>5497</v>
      </c>
      <c r="B39" s="6" t="s">
        <v>116</v>
      </c>
      <c r="C39" s="7">
        <v>38547</v>
      </c>
      <c r="D39" s="6"/>
      <c r="E39" s="6" t="s">
        <v>83</v>
      </c>
      <c r="F39" s="6" t="s">
        <v>84</v>
      </c>
      <c r="G39" s="6" t="s">
        <v>85</v>
      </c>
      <c r="H39" s="6" t="s">
        <v>117</v>
      </c>
      <c r="I39" s="6" t="s">
        <v>87</v>
      </c>
      <c r="J39" s="6" t="str">
        <f>IF(E39="KTG","KTG",(VLOOKUP(I39,'[1]list of outsource'!B:H,2,0)))</f>
        <v>UPM</v>
      </c>
      <c r="K39" s="6" t="s">
        <v>88</v>
      </c>
      <c r="L39" s="6"/>
      <c r="M39" s="6" t="s">
        <v>118</v>
      </c>
      <c r="N39" s="6" t="s">
        <v>119</v>
      </c>
      <c r="O39" s="6"/>
      <c r="P39" s="6"/>
      <c r="Q39" s="8"/>
      <c r="R39" s="6"/>
      <c r="S39" s="6"/>
      <c r="T39" s="6"/>
      <c r="U39" s="6">
        <v>2</v>
      </c>
      <c r="V39" s="6"/>
      <c r="W39" s="6" t="s">
        <v>37</v>
      </c>
      <c r="X39" s="7">
        <v>44044</v>
      </c>
      <c r="Y39" s="7"/>
      <c r="AC39"/>
      <c r="AE39" t="str">
        <f t="shared" si="1"/>
        <v>P000043</v>
      </c>
      <c r="AF39" t="str">
        <f>_xlfn.XLOOKUP(AE39, Hoja2!A:A, Hoja2!A:A)</f>
        <v>P000043</v>
      </c>
      <c r="AG39" t="str">
        <f t="shared" ref="AG39:AG73" si="7">LEFT(B39, FIND(" ", B39 &amp; " ") - 1)</f>
        <v>PP00002-2</v>
      </c>
      <c r="AH39">
        <f>_xlfn.XLOOKUP(AG39, Hoja3!A:A, Hoja3!B:B)</f>
        <v>5243</v>
      </c>
      <c r="AI39" t="str">
        <f>_xlfn.XLOOKUP(AH39, Hoja4!A:A, Hoja4!B:B)</f>
        <v>E26459700</v>
      </c>
      <c r="AJ39" t="b">
        <f t="shared" ref="AJ39:AJ43" si="8">H39=AI39</f>
        <v>1</v>
      </c>
    </row>
    <row r="40" spans="1:36" ht="15.5" customHeight="1" x14ac:dyDescent="0.35">
      <c r="A40">
        <f t="shared" ca="1" si="0"/>
        <v>7462</v>
      </c>
      <c r="B40" s="6" t="s">
        <v>91</v>
      </c>
      <c r="C40" s="7">
        <v>38547</v>
      </c>
      <c r="D40" s="6" t="s">
        <v>92</v>
      </c>
      <c r="E40" s="6" t="s">
        <v>30</v>
      </c>
      <c r="F40" s="6" t="s">
        <v>52</v>
      </c>
      <c r="G40" s="6" t="s">
        <v>93</v>
      </c>
      <c r="H40" s="6" t="s">
        <v>94</v>
      </c>
      <c r="I40" s="6" t="s">
        <v>95</v>
      </c>
      <c r="J40" s="6" t="str">
        <f>IF(E40="KTG","KTG",(VLOOKUP(I40,'[1]list of outsource'!B:H,2,0)))</f>
        <v>KTG</v>
      </c>
      <c r="K40" s="6" t="s">
        <v>96</v>
      </c>
      <c r="L40" s="6"/>
      <c r="M40" s="6" t="s">
        <v>97</v>
      </c>
      <c r="N40" s="6" t="s">
        <v>98</v>
      </c>
      <c r="O40" s="6"/>
      <c r="P40" s="6"/>
      <c r="Q40" s="8"/>
      <c r="R40" s="6"/>
      <c r="S40" s="6"/>
      <c r="T40" s="6"/>
      <c r="U40" s="6">
        <v>2</v>
      </c>
      <c r="V40" s="6"/>
      <c r="W40" s="6" t="s">
        <v>37</v>
      </c>
      <c r="X40" s="7"/>
      <c r="Y40" s="7"/>
      <c r="AC40"/>
      <c r="AE40" t="str">
        <f t="shared" si="1"/>
        <v>P100207</v>
      </c>
      <c r="AF40" t="str">
        <f>_xlfn.XLOOKUP(AE40, Hoja2!A:A, Hoja2!A:A)</f>
        <v>P100207</v>
      </c>
      <c r="AG40" t="str">
        <f t="shared" si="7"/>
        <v>PP00006-1</v>
      </c>
      <c r="AH40">
        <f>_xlfn.XLOOKUP(AG40, Hoja3!A:A, Hoja3!B:B)</f>
        <v>5234</v>
      </c>
      <c r="AI40" t="str">
        <f>_xlfn.XLOOKUP(AH40, Hoja4!A:A, Hoja4!B:B)</f>
        <v>11039581A</v>
      </c>
      <c r="AJ40" t="b">
        <f t="shared" si="8"/>
        <v>1</v>
      </c>
    </row>
    <row r="41" spans="1:36" ht="15.5" customHeight="1" x14ac:dyDescent="0.35">
      <c r="A41">
        <f t="shared" ca="1" si="0"/>
        <v>5946</v>
      </c>
      <c r="B41" s="6" t="s">
        <v>106</v>
      </c>
      <c r="C41" s="7">
        <v>38547</v>
      </c>
      <c r="D41" s="6" t="s">
        <v>100</v>
      </c>
      <c r="E41" s="6" t="s">
        <v>83</v>
      </c>
      <c r="F41" s="6" t="s">
        <v>52</v>
      </c>
      <c r="G41" s="6" t="s">
        <v>93</v>
      </c>
      <c r="H41" s="6" t="s">
        <v>107</v>
      </c>
      <c r="I41" s="6" t="s">
        <v>108</v>
      </c>
      <c r="J41" s="6" t="str">
        <f>IF(E41="KTG","KTG",(VLOOKUP(I41,'[1]list of outsource'!B:H,2,0)))</f>
        <v>UPM</v>
      </c>
      <c r="K41" s="6" t="s">
        <v>109</v>
      </c>
      <c r="L41" s="6"/>
      <c r="M41" s="6" t="s">
        <v>110</v>
      </c>
      <c r="N41" s="6" t="s">
        <v>111</v>
      </c>
      <c r="O41" s="6"/>
      <c r="P41" s="6"/>
      <c r="Q41" s="8"/>
      <c r="R41" s="6"/>
      <c r="S41" s="6"/>
      <c r="T41" s="6"/>
      <c r="U41" s="6">
        <v>2</v>
      </c>
      <c r="V41" s="6"/>
      <c r="W41" s="6" t="s">
        <v>37</v>
      </c>
      <c r="X41" s="7">
        <v>44493</v>
      </c>
      <c r="Y41" s="7">
        <v>44502</v>
      </c>
      <c r="AC41"/>
      <c r="AE41" t="str">
        <f t="shared" si="1"/>
        <v>P100262</v>
      </c>
      <c r="AF41" t="str">
        <f>_xlfn.XLOOKUP(AE41, Hoja2!A:A, Hoja2!A:A)</f>
        <v>P100262</v>
      </c>
      <c r="AG41" t="str">
        <f t="shared" si="7"/>
        <v>PP00010-1</v>
      </c>
      <c r="AH41">
        <f>_xlfn.XLOOKUP(AG41, Hoja3!A:A, Hoja3!B:B)</f>
        <v>5236</v>
      </c>
      <c r="AI41" t="str">
        <f>_xlfn.XLOOKUP(AH41, Hoja4!A:A, Hoja4!B:B)</f>
        <v>11026984A</v>
      </c>
      <c r="AJ41" t="b">
        <f t="shared" si="8"/>
        <v>1</v>
      </c>
    </row>
    <row r="42" spans="1:36" ht="15.5" customHeight="1" x14ac:dyDescent="0.35">
      <c r="A42">
        <f t="shared" ca="1" si="0"/>
        <v>5946</v>
      </c>
      <c r="B42" s="6" t="s">
        <v>112</v>
      </c>
      <c r="C42" s="7">
        <v>38547</v>
      </c>
      <c r="D42" s="6" t="s">
        <v>100</v>
      </c>
      <c r="E42" s="6" t="s">
        <v>83</v>
      </c>
      <c r="F42" s="6" t="s">
        <v>52</v>
      </c>
      <c r="G42" s="6" t="s">
        <v>93</v>
      </c>
      <c r="H42" s="6" t="s">
        <v>113</v>
      </c>
      <c r="I42" s="6" t="s">
        <v>108</v>
      </c>
      <c r="J42" s="6" t="str">
        <f>IF(E42="KTG","KTG",(VLOOKUP(I42,'[1]list of outsource'!B:H,2,0)))</f>
        <v>UPM</v>
      </c>
      <c r="K42" s="6" t="s">
        <v>109</v>
      </c>
      <c r="L42" s="6"/>
      <c r="M42" s="6" t="s">
        <v>114</v>
      </c>
      <c r="N42" s="6" t="s">
        <v>115</v>
      </c>
      <c r="O42" s="6"/>
      <c r="P42" s="6"/>
      <c r="Q42" s="8"/>
      <c r="R42" s="6"/>
      <c r="S42" s="6"/>
      <c r="T42" s="6"/>
      <c r="U42" s="6">
        <v>2</v>
      </c>
      <c r="V42" s="6"/>
      <c r="W42" s="6" t="s">
        <v>37</v>
      </c>
      <c r="X42" s="7">
        <v>44493</v>
      </c>
      <c r="Y42" s="7">
        <v>44502</v>
      </c>
      <c r="AC42"/>
      <c r="AE42" t="str">
        <f t="shared" si="1"/>
        <v>P100263</v>
      </c>
      <c r="AF42" t="str">
        <f>_xlfn.XLOOKUP(AE42, Hoja2!A:A, Hoja2!A:A)</f>
        <v>P100263</v>
      </c>
      <c r="AG42" t="str">
        <f t="shared" si="7"/>
        <v>PP00010-2</v>
      </c>
      <c r="AH42">
        <f>_xlfn.XLOOKUP(AG42, Hoja3!A:A, Hoja3!B:B)</f>
        <v>5238</v>
      </c>
      <c r="AI42" t="str">
        <f>_xlfn.XLOOKUP(AH42, Hoja4!A:A, Hoja4!B:B)</f>
        <v>11026985A</v>
      </c>
      <c r="AJ42" t="b">
        <f t="shared" si="8"/>
        <v>1</v>
      </c>
    </row>
    <row r="43" spans="1:36" ht="15.5" customHeight="1" x14ac:dyDescent="0.35">
      <c r="A43">
        <f t="shared" ca="1" si="0"/>
        <v>6159</v>
      </c>
      <c r="B43" s="6" t="s">
        <v>146</v>
      </c>
      <c r="C43" s="7">
        <v>38547</v>
      </c>
      <c r="D43" s="6" t="s">
        <v>138</v>
      </c>
      <c r="E43" s="6" t="s">
        <v>147</v>
      </c>
      <c r="F43" s="6" t="s">
        <v>148</v>
      </c>
      <c r="G43" s="6" t="s">
        <v>32</v>
      </c>
      <c r="H43" s="6" t="s">
        <v>149</v>
      </c>
      <c r="I43" s="6" t="s">
        <v>150</v>
      </c>
      <c r="J43" s="6" t="e">
        <f>IF(E43="KTG","KTG",(VLOOKUP(I43,'[1]list of outsource'!B:H,2,0)))</f>
        <v>#N/A</v>
      </c>
      <c r="K43" s="6" t="s">
        <v>151</v>
      </c>
      <c r="L43" s="6"/>
      <c r="M43" s="6" t="s">
        <v>149</v>
      </c>
      <c r="N43" s="6" t="s">
        <v>150</v>
      </c>
      <c r="O43" s="6"/>
      <c r="P43" s="6"/>
      <c r="Q43" s="8"/>
      <c r="R43" s="6"/>
      <c r="S43" s="6"/>
      <c r="T43" s="6"/>
      <c r="U43" s="6">
        <v>2</v>
      </c>
      <c r="V43" s="6"/>
      <c r="W43" s="6" t="s">
        <v>37</v>
      </c>
      <c r="X43" s="7">
        <v>44706</v>
      </c>
      <c r="Y43" s="7">
        <v>44830</v>
      </c>
      <c r="AC43"/>
      <c r="AE43" t="str">
        <f t="shared" si="1"/>
        <v>ET008-50</v>
      </c>
      <c r="AF43" t="str">
        <f>_xlfn.XLOOKUP(AE43, Hoja2!A:A, Hoja2!A:A)</f>
        <v>ET008-50</v>
      </c>
      <c r="AG43" t="str">
        <f t="shared" si="7"/>
        <v>PP00013-1</v>
      </c>
      <c r="AH43">
        <f>_xlfn.XLOOKUP(AG43, Hoja3!A:A, Hoja3!B:B)</f>
        <v>71</v>
      </c>
      <c r="AI43" t="str">
        <f>_xlfn.XLOOKUP(AH43, Hoja4!A:A, Hoja4!B:B)</f>
        <v>ET008-50</v>
      </c>
      <c r="AJ43" t="b">
        <f t="shared" si="8"/>
        <v>1</v>
      </c>
    </row>
    <row r="44" spans="1:36" ht="15.5" hidden="1" customHeight="1" x14ac:dyDescent="0.35">
      <c r="A44">
        <f t="shared" ca="1" si="0"/>
        <v>6090</v>
      </c>
      <c r="B44" s="55" t="s">
        <v>124</v>
      </c>
      <c r="C44" s="7">
        <v>38547</v>
      </c>
      <c r="D44" s="6" t="s">
        <v>138</v>
      </c>
      <c r="E44" s="6" t="s">
        <v>83</v>
      </c>
      <c r="F44" s="55" t="s">
        <v>125</v>
      </c>
      <c r="G44" s="6" t="s">
        <v>126</v>
      </c>
      <c r="H44" s="6" t="s">
        <v>127</v>
      </c>
      <c r="I44" s="6" t="s">
        <v>95</v>
      </c>
      <c r="J44" s="6" t="str">
        <f>IF(E44="KTG","KTG",(VLOOKUP(I44,'[1]list of outsource'!B:H,2,0)))</f>
        <v>Woer</v>
      </c>
      <c r="K44" s="6" t="s">
        <v>96</v>
      </c>
      <c r="L44" s="6"/>
      <c r="M44" s="6" t="s">
        <v>128</v>
      </c>
      <c r="N44" s="6" t="s">
        <v>129</v>
      </c>
      <c r="O44" s="6"/>
      <c r="P44" s="6"/>
      <c r="Q44" s="8"/>
      <c r="R44" s="6"/>
      <c r="S44" s="6"/>
      <c r="T44" s="6"/>
      <c r="U44" s="6">
        <v>1</v>
      </c>
      <c r="V44" s="6"/>
      <c r="W44" s="6" t="s">
        <v>37</v>
      </c>
      <c r="X44" s="7">
        <v>44637</v>
      </c>
      <c r="Y44" s="7">
        <v>44776</v>
      </c>
      <c r="AC44"/>
      <c r="AE44" t="str">
        <f t="shared" si="1"/>
        <v>P000030</v>
      </c>
      <c r="AF44" t="str">
        <f>_xlfn.XLOOKUP(AE44, Hoja2!A:A, Hoja2!A:A)</f>
        <v>P000030</v>
      </c>
      <c r="AG44" t="str">
        <f t="shared" si="7"/>
        <v>PP00015-1</v>
      </c>
      <c r="AH44" t="e">
        <f>_xlfn.XLOOKUP(AG44, Hoja3!A:A, Hoja3!B:B)</f>
        <v>#N/A</v>
      </c>
    </row>
    <row r="45" spans="1:36" ht="15.5" customHeight="1" x14ac:dyDescent="0.35">
      <c r="A45">
        <f t="shared" ca="1" si="0"/>
        <v>6199</v>
      </c>
      <c r="B45" s="6" t="s">
        <v>152</v>
      </c>
      <c r="C45" s="7">
        <v>38547</v>
      </c>
      <c r="D45" s="6" t="s">
        <v>138</v>
      </c>
      <c r="E45" s="6" t="s">
        <v>83</v>
      </c>
      <c r="F45" s="6" t="s">
        <v>84</v>
      </c>
      <c r="G45" s="6" t="s">
        <v>85</v>
      </c>
      <c r="H45" s="6" t="s">
        <v>117</v>
      </c>
      <c r="I45" s="6" t="s">
        <v>87</v>
      </c>
      <c r="J45" s="6" t="str">
        <f>IF(E45="KTG","KTG",(VLOOKUP(I45,'[1]list of outsource'!B:H,2,0)))</f>
        <v>UPM</v>
      </c>
      <c r="K45" s="6" t="s">
        <v>88</v>
      </c>
      <c r="L45" s="6"/>
      <c r="M45" s="6" t="s">
        <v>118</v>
      </c>
      <c r="N45" s="6" t="s">
        <v>153</v>
      </c>
      <c r="O45" s="6"/>
      <c r="P45" s="6"/>
      <c r="Q45" s="8"/>
      <c r="R45" s="6"/>
      <c r="S45" s="6"/>
      <c r="T45" s="6"/>
      <c r="U45" s="6">
        <v>2</v>
      </c>
      <c r="V45" s="6"/>
      <c r="W45" s="6" t="s">
        <v>154</v>
      </c>
      <c r="X45" s="7">
        <v>44746</v>
      </c>
      <c r="Y45" s="7">
        <v>44748</v>
      </c>
      <c r="AC45"/>
      <c r="AE45" t="str">
        <f t="shared" si="1"/>
        <v>P000043</v>
      </c>
      <c r="AF45" t="str">
        <f>_xlfn.XLOOKUP(AE45, Hoja2!A:A, Hoja2!A:A)</f>
        <v>P000043</v>
      </c>
      <c r="AG45" t="str">
        <f t="shared" si="7"/>
        <v>PP00017-2</v>
      </c>
      <c r="AH45">
        <f>_xlfn.XLOOKUP(AG45, Hoja3!A:A, Hoja3!B:B)</f>
        <v>5248</v>
      </c>
      <c r="AI45" t="str">
        <f>_xlfn.XLOOKUP(AH45, Hoja4!A:A, Hoja4!B:B)</f>
        <v>E26459700</v>
      </c>
      <c r="AJ45" t="b">
        <f t="shared" ref="AJ45:AJ73" si="9">H45=AI45</f>
        <v>1</v>
      </c>
    </row>
    <row r="46" spans="1:36" ht="15.5" customHeight="1" x14ac:dyDescent="0.35">
      <c r="A46">
        <f t="shared" ca="1" si="0"/>
        <v>6147</v>
      </c>
      <c r="B46" s="6" t="s">
        <v>155</v>
      </c>
      <c r="C46" s="7">
        <v>38546</v>
      </c>
      <c r="D46" s="6" t="s">
        <v>138</v>
      </c>
      <c r="E46" s="6" t="s">
        <v>83</v>
      </c>
      <c r="F46" s="6" t="s">
        <v>84</v>
      </c>
      <c r="G46" s="6" t="s">
        <v>156</v>
      </c>
      <c r="H46" s="6" t="s">
        <v>157</v>
      </c>
      <c r="I46" s="6" t="s">
        <v>158</v>
      </c>
      <c r="J46" s="6" t="str">
        <f>IF(E46="KTG","KTG",(VLOOKUP(I46,'[1]list of outsource'!B:H,2,0)))</f>
        <v>UPM</v>
      </c>
      <c r="K46" s="6" t="s">
        <v>159</v>
      </c>
      <c r="L46" s="6"/>
      <c r="M46" s="6" t="s">
        <v>160</v>
      </c>
      <c r="N46" s="6" t="s">
        <v>161</v>
      </c>
      <c r="O46" s="6"/>
      <c r="P46" s="6"/>
      <c r="Q46" s="8"/>
      <c r="R46" s="6"/>
      <c r="S46" s="6"/>
      <c r="T46" s="6"/>
      <c r="U46" s="6">
        <v>2</v>
      </c>
      <c r="V46" s="6"/>
      <c r="W46" s="6" t="s">
        <v>37</v>
      </c>
      <c r="X46" s="7">
        <v>44693</v>
      </c>
      <c r="Y46" s="7">
        <v>44720</v>
      </c>
      <c r="AC46"/>
      <c r="AE46" t="str">
        <f t="shared" si="1"/>
        <v>P000053</v>
      </c>
      <c r="AF46" t="str">
        <f>_xlfn.XLOOKUP(AE46, Hoja2!A:A, Hoja2!A:A)</f>
        <v>P000053</v>
      </c>
      <c r="AG46" t="str">
        <f t="shared" si="7"/>
        <v>PP00016-1</v>
      </c>
      <c r="AH46">
        <f>_xlfn.XLOOKUP(AG46, Hoja3!A:A, Hoja3!B:B)</f>
        <v>5244</v>
      </c>
      <c r="AI46" t="str">
        <f>_xlfn.XLOOKUP(AH46, Hoja4!A:A, Hoja4!B:B)</f>
        <v>E33300300</v>
      </c>
      <c r="AJ46" t="b">
        <f t="shared" si="9"/>
        <v>1</v>
      </c>
    </row>
    <row r="47" spans="1:36" ht="15.5" customHeight="1" x14ac:dyDescent="0.35">
      <c r="A47">
        <f t="shared" ca="1" si="0"/>
        <v>6147</v>
      </c>
      <c r="B47" s="6" t="s">
        <v>162</v>
      </c>
      <c r="C47" s="7">
        <v>38546</v>
      </c>
      <c r="D47" s="6" t="s">
        <v>138</v>
      </c>
      <c r="E47" s="6" t="s">
        <v>83</v>
      </c>
      <c r="F47" s="6" t="s">
        <v>84</v>
      </c>
      <c r="G47" s="6" t="s">
        <v>156</v>
      </c>
      <c r="H47" s="6" t="s">
        <v>163</v>
      </c>
      <c r="I47" s="6" t="s">
        <v>158</v>
      </c>
      <c r="J47" s="6" t="str">
        <f>IF(E47="KTG","KTG",(VLOOKUP(I47,'[1]list of outsource'!B:H,2,0)))</f>
        <v>UPM</v>
      </c>
      <c r="K47" s="6" t="s">
        <v>159</v>
      </c>
      <c r="L47" s="6"/>
      <c r="M47" s="6" t="s">
        <v>164</v>
      </c>
      <c r="N47" s="6" t="s">
        <v>165</v>
      </c>
      <c r="O47" s="6"/>
      <c r="P47" s="6"/>
      <c r="Q47" s="8"/>
      <c r="R47" s="6"/>
      <c r="S47" s="6"/>
      <c r="T47" s="6"/>
      <c r="U47" s="6">
        <v>2</v>
      </c>
      <c r="V47" s="6"/>
      <c r="W47" s="6" t="s">
        <v>37</v>
      </c>
      <c r="X47" s="7">
        <v>44693</v>
      </c>
      <c r="Y47" s="7">
        <v>44713</v>
      </c>
      <c r="AC47"/>
      <c r="AE47" t="str">
        <f t="shared" si="1"/>
        <v>P000106</v>
      </c>
      <c r="AF47" t="str">
        <f>_xlfn.XLOOKUP(AE47, Hoja2!A:A, Hoja2!A:A)</f>
        <v>P000106</v>
      </c>
      <c r="AG47" t="str">
        <f t="shared" si="7"/>
        <v>PP00016-2</v>
      </c>
      <c r="AH47">
        <f>_xlfn.XLOOKUP(AG47, Hoja3!A:A, Hoja3!B:B)</f>
        <v>5245</v>
      </c>
      <c r="AI47" t="str">
        <f>_xlfn.XLOOKUP(AH47, Hoja4!A:A, Hoja4!B:B)</f>
        <v>E33301100</v>
      </c>
      <c r="AJ47" t="b">
        <f t="shared" si="9"/>
        <v>1</v>
      </c>
    </row>
    <row r="48" spans="1:36" ht="15.5" customHeight="1" x14ac:dyDescent="0.35">
      <c r="A48">
        <f t="shared" ca="1" si="0"/>
        <v>6147</v>
      </c>
      <c r="B48" s="6" t="s">
        <v>166</v>
      </c>
      <c r="C48" s="7">
        <v>38546</v>
      </c>
      <c r="D48" s="6" t="s">
        <v>138</v>
      </c>
      <c r="E48" s="6" t="s">
        <v>83</v>
      </c>
      <c r="F48" s="6" t="s">
        <v>84</v>
      </c>
      <c r="G48" s="6" t="s">
        <v>156</v>
      </c>
      <c r="H48" s="6" t="s">
        <v>167</v>
      </c>
      <c r="I48" s="6" t="s">
        <v>158</v>
      </c>
      <c r="J48" s="6" t="str">
        <f>IF(E48="KTG","KTG",(VLOOKUP(I48,'[1]list of outsource'!B:H,2,0)))</f>
        <v>UPM</v>
      </c>
      <c r="K48" s="6" t="s">
        <v>159</v>
      </c>
      <c r="L48" s="6"/>
      <c r="M48" s="6" t="s">
        <v>168</v>
      </c>
      <c r="N48" s="6" t="s">
        <v>169</v>
      </c>
      <c r="O48" s="6"/>
      <c r="P48" s="6"/>
      <c r="Q48" s="8"/>
      <c r="R48" s="6"/>
      <c r="S48" s="6"/>
      <c r="T48" s="6"/>
      <c r="U48" s="6">
        <v>2</v>
      </c>
      <c r="V48" s="6"/>
      <c r="W48" s="6" t="s">
        <v>37</v>
      </c>
      <c r="X48" s="7">
        <v>44693</v>
      </c>
      <c r="Y48" s="7">
        <v>44700</v>
      </c>
      <c r="AC48"/>
      <c r="AE48" t="str">
        <f t="shared" si="1"/>
        <v>P000121</v>
      </c>
      <c r="AF48" t="str">
        <f>_xlfn.XLOOKUP(AE48, Hoja2!A:A, Hoja2!A:A)</f>
        <v>P000121</v>
      </c>
      <c r="AG48" t="str">
        <f t="shared" si="7"/>
        <v>PP00016-3</v>
      </c>
      <c r="AH48">
        <f>_xlfn.XLOOKUP(AG48, Hoja3!A:A, Hoja3!B:B)</f>
        <v>5246</v>
      </c>
      <c r="AI48" t="str">
        <f>_xlfn.XLOOKUP(AH48, Hoja4!A:A, Hoja4!B:B)</f>
        <v>E34284700</v>
      </c>
      <c r="AJ48" t="b">
        <f t="shared" si="9"/>
        <v>1</v>
      </c>
    </row>
    <row r="49" spans="1:36" ht="15.5" customHeight="1" x14ac:dyDescent="0.35">
      <c r="A49">
        <f t="shared" ca="1" si="0"/>
        <v>6161</v>
      </c>
      <c r="B49" s="6" t="s">
        <v>170</v>
      </c>
      <c r="C49" s="7">
        <v>38546</v>
      </c>
      <c r="D49" s="6" t="s">
        <v>138</v>
      </c>
      <c r="E49" s="6" t="s">
        <v>83</v>
      </c>
      <c r="F49" s="6" t="s">
        <v>84</v>
      </c>
      <c r="G49" s="6" t="s">
        <v>156</v>
      </c>
      <c r="H49" s="6" t="s">
        <v>171</v>
      </c>
      <c r="I49" s="6" t="s">
        <v>158</v>
      </c>
      <c r="J49" s="6" t="str">
        <f>IF(E49="KTG","KTG",(VLOOKUP(I49,'[1]list of outsource'!B:H,2,0)))</f>
        <v>UPM</v>
      </c>
      <c r="K49" s="6" t="s">
        <v>159</v>
      </c>
      <c r="L49" s="6"/>
      <c r="M49" s="6" t="s">
        <v>172</v>
      </c>
      <c r="N49" s="6" t="s">
        <v>173</v>
      </c>
      <c r="O49" s="6"/>
      <c r="P49" s="6"/>
      <c r="Q49" s="8"/>
      <c r="R49" s="6"/>
      <c r="S49" s="6"/>
      <c r="T49" s="6"/>
      <c r="U49" s="6">
        <v>2</v>
      </c>
      <c r="V49" s="6"/>
      <c r="W49" s="6" t="s">
        <v>37</v>
      </c>
      <c r="X49" s="7">
        <v>44707</v>
      </c>
      <c r="Y49" s="7">
        <v>44719</v>
      </c>
      <c r="AC49"/>
      <c r="AE49" t="str">
        <f t="shared" si="1"/>
        <v>P000124</v>
      </c>
      <c r="AF49" t="str">
        <f>_xlfn.XLOOKUP(AE49, Hoja2!A:A, Hoja2!A:A)</f>
        <v>P000124</v>
      </c>
      <c r="AG49" t="str">
        <f t="shared" si="7"/>
        <v>PP00018-1</v>
      </c>
      <c r="AH49">
        <f>_xlfn.XLOOKUP(AG49, Hoja3!A:A, Hoja3!B:B)</f>
        <v>5249</v>
      </c>
      <c r="AI49" t="str">
        <f>_xlfn.XLOOKUP(AH49, Hoja4!A:A, Hoja4!B:B)</f>
        <v>E34285300</v>
      </c>
      <c r="AJ49" t="b">
        <f t="shared" si="9"/>
        <v>1</v>
      </c>
    </row>
    <row r="50" spans="1:36" ht="15.5" customHeight="1" x14ac:dyDescent="0.35">
      <c r="A50">
        <f t="shared" ca="1" si="0"/>
        <v>6249</v>
      </c>
      <c r="B50" s="6" t="s">
        <v>174</v>
      </c>
      <c r="C50" s="7">
        <v>38547</v>
      </c>
      <c r="D50" s="6" t="s">
        <v>138</v>
      </c>
      <c r="E50" s="6" t="s">
        <v>83</v>
      </c>
      <c r="F50" s="6" t="s">
        <v>84</v>
      </c>
      <c r="G50" s="6" t="s">
        <v>156</v>
      </c>
      <c r="H50" s="6" t="s">
        <v>175</v>
      </c>
      <c r="I50" s="6" t="s">
        <v>176</v>
      </c>
      <c r="J50" s="6" t="str">
        <f>IF(E50="KTG","KTG",(VLOOKUP(I50,'[1]list of outsource'!B:H,2,0)))</f>
        <v>UPM</v>
      </c>
      <c r="K50" s="6" t="s">
        <v>177</v>
      </c>
      <c r="L50" s="6"/>
      <c r="M50" s="6" t="s">
        <v>178</v>
      </c>
      <c r="N50" s="6" t="s">
        <v>179</v>
      </c>
      <c r="O50" s="6"/>
      <c r="P50" s="6"/>
      <c r="Q50" s="8"/>
      <c r="R50" s="6"/>
      <c r="S50" s="6"/>
      <c r="T50" s="6"/>
      <c r="U50" s="6">
        <v>2</v>
      </c>
      <c r="V50" s="6"/>
      <c r="W50" s="6" t="s">
        <v>37</v>
      </c>
      <c r="X50" s="7">
        <v>44796</v>
      </c>
      <c r="Y50" s="7">
        <v>44811</v>
      </c>
      <c r="AC50"/>
      <c r="AE50" t="str">
        <f t="shared" si="1"/>
        <v>P000049</v>
      </c>
      <c r="AF50" t="str">
        <f>_xlfn.XLOOKUP(AE50, Hoja2!A:A, Hoja2!A:A)</f>
        <v>P000049</v>
      </c>
      <c r="AG50" t="str">
        <f t="shared" si="7"/>
        <v>PP00018-10</v>
      </c>
      <c r="AH50">
        <f>_xlfn.XLOOKUP(AG50, Hoja3!A:A, Hoja3!B:B)</f>
        <v>5250</v>
      </c>
      <c r="AI50" t="str">
        <f>_xlfn.XLOOKUP(AH50, Hoja4!A:A, Hoja4!B:B)</f>
        <v>E35081800</v>
      </c>
      <c r="AJ50" t="b">
        <f t="shared" si="9"/>
        <v>1</v>
      </c>
    </row>
    <row r="51" spans="1:36" ht="15.5" customHeight="1" x14ac:dyDescent="0.35">
      <c r="A51">
        <f t="shared" ca="1" si="0"/>
        <v>6252</v>
      </c>
      <c r="B51" s="6" t="s">
        <v>180</v>
      </c>
      <c r="C51" s="7">
        <v>38547</v>
      </c>
      <c r="D51" s="6" t="s">
        <v>138</v>
      </c>
      <c r="E51" s="6" t="s">
        <v>83</v>
      </c>
      <c r="F51" s="6" t="s">
        <v>84</v>
      </c>
      <c r="G51" s="6" t="s">
        <v>156</v>
      </c>
      <c r="H51" s="6" t="s">
        <v>181</v>
      </c>
      <c r="I51" s="6" t="s">
        <v>176</v>
      </c>
      <c r="J51" s="6" t="str">
        <f>IF(E51="KTG","KTG",(VLOOKUP(I51,'[1]list of outsource'!B:H,2,0)))</f>
        <v>UPM</v>
      </c>
      <c r="K51" s="6" t="s">
        <v>177</v>
      </c>
      <c r="L51" s="6"/>
      <c r="M51" s="6" t="s">
        <v>182</v>
      </c>
      <c r="N51" s="6" t="s">
        <v>183</v>
      </c>
      <c r="O51" s="6"/>
      <c r="P51" s="6"/>
      <c r="Q51" s="8"/>
      <c r="R51" s="6"/>
      <c r="S51" s="6"/>
      <c r="T51" s="6"/>
      <c r="U51" s="6">
        <v>2</v>
      </c>
      <c r="V51" s="6"/>
      <c r="W51" s="6" t="s">
        <v>37</v>
      </c>
      <c r="X51" s="7">
        <v>44799</v>
      </c>
      <c r="Y51" s="7">
        <v>44832</v>
      </c>
      <c r="AC51"/>
      <c r="AE51" t="str">
        <f t="shared" si="1"/>
        <v>P000150</v>
      </c>
      <c r="AF51" t="str">
        <f>_xlfn.XLOOKUP(AE51, Hoja2!A:A, Hoja2!A:A)</f>
        <v>P000150</v>
      </c>
      <c r="AG51" t="str">
        <f t="shared" si="7"/>
        <v>PP00018-11</v>
      </c>
      <c r="AH51">
        <f>_xlfn.XLOOKUP(AG51, Hoja3!A:A, Hoja3!B:B)</f>
        <v>5251</v>
      </c>
      <c r="AI51" t="str">
        <f>_xlfn.XLOOKUP(AH51, Hoja4!A:A, Hoja4!B:B)</f>
        <v>E35099100</v>
      </c>
      <c r="AJ51" t="b">
        <f t="shared" si="9"/>
        <v>1</v>
      </c>
    </row>
    <row r="52" spans="1:36" ht="15.5" customHeight="1" x14ac:dyDescent="0.35">
      <c r="A52">
        <f t="shared" ca="1" si="0"/>
        <v>6251</v>
      </c>
      <c r="B52" s="6" t="s">
        <v>184</v>
      </c>
      <c r="C52" s="7">
        <v>38546</v>
      </c>
      <c r="D52" s="6" t="s">
        <v>138</v>
      </c>
      <c r="E52" s="6" t="s">
        <v>83</v>
      </c>
      <c r="F52" s="6" t="s">
        <v>84</v>
      </c>
      <c r="G52" s="6" t="s">
        <v>156</v>
      </c>
      <c r="H52" s="6" t="s">
        <v>185</v>
      </c>
      <c r="I52" s="6" t="s">
        <v>158</v>
      </c>
      <c r="J52" s="6" t="str">
        <f>IF(E52="KTG","KTG",(VLOOKUP(I52,'[1]list of outsource'!B:H,2,0)))</f>
        <v>UPM</v>
      </c>
      <c r="K52" s="6" t="s">
        <v>159</v>
      </c>
      <c r="L52" s="6"/>
      <c r="M52" s="6" t="s">
        <v>186</v>
      </c>
      <c r="N52" s="6" t="s">
        <v>187</v>
      </c>
      <c r="O52" s="6"/>
      <c r="P52" s="6"/>
      <c r="Q52" s="8"/>
      <c r="R52" s="6"/>
      <c r="S52" s="6"/>
      <c r="T52" s="6"/>
      <c r="U52" s="6">
        <v>2</v>
      </c>
      <c r="V52" s="6"/>
      <c r="W52" s="6" t="s">
        <v>37</v>
      </c>
      <c r="X52" s="7">
        <v>44797</v>
      </c>
      <c r="Y52" s="7">
        <v>44798</v>
      </c>
      <c r="AC52"/>
      <c r="AE52" t="str">
        <f t="shared" si="1"/>
        <v>P000126</v>
      </c>
      <c r="AF52" t="str">
        <f>_xlfn.XLOOKUP(AE52, Hoja2!A:A, Hoja2!A:A)</f>
        <v>P000126</v>
      </c>
      <c r="AG52" t="str">
        <f t="shared" si="7"/>
        <v>PP00018-12</v>
      </c>
      <c r="AH52">
        <f>_xlfn.XLOOKUP(AG52, Hoja3!A:A, Hoja3!B:B)</f>
        <v>5252</v>
      </c>
      <c r="AI52" t="str">
        <f>_xlfn.XLOOKUP(AH52, Hoja4!A:A, Hoja4!B:B)</f>
        <v>E34427900</v>
      </c>
      <c r="AJ52" t="b">
        <f t="shared" si="9"/>
        <v>1</v>
      </c>
    </row>
    <row r="53" spans="1:36" ht="15.5" customHeight="1" x14ac:dyDescent="0.35">
      <c r="A53">
        <f t="shared" ca="1" si="0"/>
        <v>6256</v>
      </c>
      <c r="B53" s="6" t="s">
        <v>188</v>
      </c>
      <c r="C53" s="7">
        <v>38547</v>
      </c>
      <c r="D53" s="6" t="s">
        <v>138</v>
      </c>
      <c r="E53" s="6" t="s">
        <v>83</v>
      </c>
      <c r="F53" s="6" t="s">
        <v>84</v>
      </c>
      <c r="G53" s="6" t="s">
        <v>156</v>
      </c>
      <c r="H53" s="6" t="s">
        <v>189</v>
      </c>
      <c r="I53" s="6" t="s">
        <v>95</v>
      </c>
      <c r="J53" s="6" t="str">
        <f>IF(E53="KTG","KTG",(VLOOKUP(I53,'[1]list of outsource'!B:H,2,0)))</f>
        <v>Woer</v>
      </c>
      <c r="K53" s="6" t="s">
        <v>96</v>
      </c>
      <c r="L53" s="6"/>
      <c r="M53" s="6" t="s">
        <v>190</v>
      </c>
      <c r="N53" s="6" t="s">
        <v>191</v>
      </c>
      <c r="O53" s="6"/>
      <c r="P53" s="6"/>
      <c r="Q53" s="8"/>
      <c r="R53" s="6"/>
      <c r="S53" s="6"/>
      <c r="T53" s="6"/>
      <c r="U53" s="6">
        <v>2</v>
      </c>
      <c r="V53" s="6"/>
      <c r="W53" s="6" t="s">
        <v>37</v>
      </c>
      <c r="X53" s="7">
        <v>44803</v>
      </c>
      <c r="Y53" s="7">
        <v>44838</v>
      </c>
      <c r="AC53"/>
      <c r="AE53" t="str">
        <f t="shared" si="1"/>
        <v>P000233</v>
      </c>
      <c r="AF53" t="str">
        <f>_xlfn.XLOOKUP(AE53, Hoja2!A:A, Hoja2!A:A)</f>
        <v>P000233</v>
      </c>
      <c r="AG53" t="str">
        <f t="shared" si="7"/>
        <v>PP00018-13</v>
      </c>
      <c r="AH53">
        <f>_xlfn.XLOOKUP(AG53, Hoja3!A:A, Hoja3!B:B)</f>
        <v>5253</v>
      </c>
      <c r="AI53" t="str">
        <f>_xlfn.XLOOKUP(AH53, Hoja4!A:A, Hoja4!B:B)</f>
        <v>E35924800</v>
      </c>
      <c r="AJ53" t="b">
        <f t="shared" si="9"/>
        <v>1</v>
      </c>
    </row>
    <row r="54" spans="1:36" ht="15.5" customHeight="1" x14ac:dyDescent="0.35">
      <c r="A54">
        <f t="shared" ca="1" si="0"/>
        <v>6256</v>
      </c>
      <c r="B54" s="6" t="s">
        <v>192</v>
      </c>
      <c r="C54" s="7">
        <v>38547</v>
      </c>
      <c r="D54" s="6" t="s">
        <v>138</v>
      </c>
      <c r="E54" s="6" t="s">
        <v>83</v>
      </c>
      <c r="F54" s="6" t="s">
        <v>84</v>
      </c>
      <c r="G54" s="6" t="s">
        <v>156</v>
      </c>
      <c r="H54" s="6" t="s">
        <v>193</v>
      </c>
      <c r="I54" s="6" t="s">
        <v>95</v>
      </c>
      <c r="J54" s="6" t="str">
        <f>IF(E54="KTG","KTG",(VLOOKUP(I54,'[1]list of outsource'!B:H,2,0)))</f>
        <v>Woer</v>
      </c>
      <c r="K54" s="6" t="s">
        <v>96</v>
      </c>
      <c r="L54" s="6"/>
      <c r="M54" s="6" t="s">
        <v>194</v>
      </c>
      <c r="N54" s="6" t="s">
        <v>195</v>
      </c>
      <c r="O54" s="6"/>
      <c r="P54" s="6"/>
      <c r="Q54" s="8"/>
      <c r="R54" s="6"/>
      <c r="S54" s="6"/>
      <c r="T54" s="6"/>
      <c r="U54" s="6">
        <v>2</v>
      </c>
      <c r="V54" s="6"/>
      <c r="W54" s="6" t="s">
        <v>37</v>
      </c>
      <c r="X54" s="7">
        <v>44803</v>
      </c>
      <c r="Y54" s="7">
        <v>44838</v>
      </c>
      <c r="AC54"/>
      <c r="AE54" t="str">
        <f t="shared" si="1"/>
        <v>P000234</v>
      </c>
      <c r="AF54" t="str">
        <f>_xlfn.XLOOKUP(AE54, Hoja2!A:A, Hoja2!A:A)</f>
        <v>P000234</v>
      </c>
      <c r="AG54" t="str">
        <f t="shared" si="7"/>
        <v>PP00018-14</v>
      </c>
      <c r="AH54">
        <f>_xlfn.XLOOKUP(AG54, Hoja3!A:A, Hoja3!B:B)</f>
        <v>5254</v>
      </c>
      <c r="AI54" t="str">
        <f>_xlfn.XLOOKUP(AH54, Hoja4!A:A, Hoja4!B:B)</f>
        <v>E35924700</v>
      </c>
      <c r="AJ54" t="b">
        <f t="shared" si="9"/>
        <v>1</v>
      </c>
    </row>
    <row r="55" spans="1:36" ht="15.5" customHeight="1" x14ac:dyDescent="0.35">
      <c r="A55">
        <f t="shared" ca="1" si="0"/>
        <v>6264</v>
      </c>
      <c r="B55" s="6" t="s">
        <v>196</v>
      </c>
      <c r="C55" s="7">
        <v>38547</v>
      </c>
      <c r="D55" s="6" t="s">
        <v>138</v>
      </c>
      <c r="E55" s="6" t="s">
        <v>83</v>
      </c>
      <c r="F55" s="6" t="s">
        <v>84</v>
      </c>
      <c r="G55" s="6" t="s">
        <v>156</v>
      </c>
      <c r="H55" s="6" t="s">
        <v>197</v>
      </c>
      <c r="I55" s="6" t="s">
        <v>198</v>
      </c>
      <c r="J55" s="6" t="str">
        <f>IF(E55="KTG","KTG",(VLOOKUP(I55,'[1]list of outsource'!B:H,2,0)))</f>
        <v>UPM</v>
      </c>
      <c r="K55" s="6" t="s">
        <v>199</v>
      </c>
      <c r="L55" s="6"/>
      <c r="M55" s="6" t="s">
        <v>200</v>
      </c>
      <c r="N55" s="6" t="s">
        <v>201</v>
      </c>
      <c r="O55" s="6"/>
      <c r="P55" s="6"/>
      <c r="Q55" s="8"/>
      <c r="R55" s="6"/>
      <c r="S55" s="6"/>
      <c r="T55" s="6"/>
      <c r="U55" s="6">
        <v>2</v>
      </c>
      <c r="V55" s="6"/>
      <c r="W55" s="6" t="s">
        <v>37</v>
      </c>
      <c r="X55" s="7">
        <v>44811</v>
      </c>
      <c r="Y55" s="7">
        <v>44811</v>
      </c>
      <c r="AC55"/>
      <c r="AE55" t="str">
        <f t="shared" si="1"/>
        <v>P000143</v>
      </c>
      <c r="AF55" t="str">
        <f>_xlfn.XLOOKUP(AE55, Hoja2!A:A, Hoja2!A:A)</f>
        <v>P000143</v>
      </c>
      <c r="AG55" t="str">
        <f t="shared" si="7"/>
        <v>PP00018-15</v>
      </c>
      <c r="AH55">
        <f>_xlfn.XLOOKUP(AG55, Hoja3!A:A, Hoja3!B:B)</f>
        <v>5255</v>
      </c>
      <c r="AI55" t="str">
        <f>_xlfn.XLOOKUP(AH55, Hoja4!A:A, Hoja4!B:B)</f>
        <v>E34875500</v>
      </c>
      <c r="AJ55" t="b">
        <f t="shared" si="9"/>
        <v>1</v>
      </c>
    </row>
    <row r="56" spans="1:36" ht="15.5" customHeight="1" x14ac:dyDescent="0.35">
      <c r="A56">
        <f t="shared" ca="1" si="0"/>
        <v>6259</v>
      </c>
      <c r="B56" s="6" t="s">
        <v>202</v>
      </c>
      <c r="C56" s="7">
        <v>38546</v>
      </c>
      <c r="D56" s="6" t="s">
        <v>138</v>
      </c>
      <c r="E56" s="6" t="s">
        <v>83</v>
      </c>
      <c r="F56" s="6" t="s">
        <v>84</v>
      </c>
      <c r="G56" s="6" t="s">
        <v>156</v>
      </c>
      <c r="H56" s="6" t="s">
        <v>203</v>
      </c>
      <c r="I56" s="6" t="s">
        <v>158</v>
      </c>
      <c r="J56" s="6" t="str">
        <f>IF(E56="KTG","KTG",(VLOOKUP(I56,'[1]list of outsource'!B:H,2,0)))</f>
        <v>UPM</v>
      </c>
      <c r="K56" s="6" t="s">
        <v>159</v>
      </c>
      <c r="L56" s="6"/>
      <c r="M56" s="6" t="s">
        <v>204</v>
      </c>
      <c r="N56" s="6" t="s">
        <v>205</v>
      </c>
      <c r="O56" s="6"/>
      <c r="P56" s="6"/>
      <c r="Q56" s="8"/>
      <c r="R56" s="6"/>
      <c r="S56" s="6"/>
      <c r="T56" s="6"/>
      <c r="U56" s="6">
        <v>2</v>
      </c>
      <c r="V56" s="6"/>
      <c r="W56" s="6" t="s">
        <v>37</v>
      </c>
      <c r="X56" s="7">
        <v>44805</v>
      </c>
      <c r="Y56" s="7">
        <v>44811</v>
      </c>
      <c r="AC56"/>
      <c r="AE56" t="str">
        <f t="shared" si="1"/>
        <v>P000146</v>
      </c>
      <c r="AF56" t="str">
        <f>_xlfn.XLOOKUP(AE56, Hoja2!A:A, Hoja2!A:A)</f>
        <v>P000146</v>
      </c>
      <c r="AG56" t="str">
        <f t="shared" si="7"/>
        <v>PP00018-16</v>
      </c>
      <c r="AH56">
        <f>_xlfn.XLOOKUP(AG56, Hoja3!A:A, Hoja3!B:B)</f>
        <v>5256</v>
      </c>
      <c r="AI56" t="str">
        <f>_xlfn.XLOOKUP(AH56, Hoja4!A:A, Hoja4!B:B)</f>
        <v>E34991700</v>
      </c>
      <c r="AJ56" t="b">
        <f t="shared" si="9"/>
        <v>1</v>
      </c>
    </row>
    <row r="57" spans="1:36" ht="15.5" customHeight="1" x14ac:dyDescent="0.35">
      <c r="A57">
        <f t="shared" ca="1" si="0"/>
        <v>6262</v>
      </c>
      <c r="B57" s="6" t="s">
        <v>206</v>
      </c>
      <c r="C57" s="7">
        <v>38547</v>
      </c>
      <c r="D57" s="6" t="s">
        <v>138</v>
      </c>
      <c r="E57" s="6" t="s">
        <v>139</v>
      </c>
      <c r="F57" s="6" t="s">
        <v>84</v>
      </c>
      <c r="G57" s="6" t="s">
        <v>156</v>
      </c>
      <c r="H57" s="6" t="s">
        <v>207</v>
      </c>
      <c r="I57" s="6" t="s">
        <v>208</v>
      </c>
      <c r="J57" s="6" t="str">
        <f>IF(E57="KTG","KTG",(VLOOKUP(I57,'[1]list of outsource'!B:H,2,0)))</f>
        <v>ETC</v>
      </c>
      <c r="K57" s="6" t="s">
        <v>209</v>
      </c>
      <c r="L57" s="6"/>
      <c r="M57" s="6" t="s">
        <v>210</v>
      </c>
      <c r="N57" s="6" t="s">
        <v>211</v>
      </c>
      <c r="O57" s="6"/>
      <c r="P57" s="6"/>
      <c r="Q57" s="8"/>
      <c r="R57" s="6"/>
      <c r="S57" s="6"/>
      <c r="T57" s="6"/>
      <c r="U57" s="6">
        <v>2</v>
      </c>
      <c r="V57" s="6"/>
      <c r="W57" s="6" t="s">
        <v>37</v>
      </c>
      <c r="X57" s="7">
        <v>44809</v>
      </c>
      <c r="Y57" s="7">
        <v>44809</v>
      </c>
      <c r="AC57"/>
      <c r="AE57" t="str">
        <f t="shared" si="1"/>
        <v>P000160</v>
      </c>
      <c r="AF57" t="str">
        <f>_xlfn.XLOOKUP(AE57, Hoja2!A:A, Hoja2!A:A)</f>
        <v>P000160</v>
      </c>
      <c r="AG57" t="str">
        <f t="shared" si="7"/>
        <v>PP00018-17</v>
      </c>
      <c r="AH57">
        <f>_xlfn.XLOOKUP(AG57, Hoja3!A:A, Hoja3!B:B)</f>
        <v>5257</v>
      </c>
      <c r="AI57" t="str">
        <f>_xlfn.XLOOKUP(AH57, Hoja4!A:A, Hoja4!B:B)</f>
        <v>E35099800</v>
      </c>
      <c r="AJ57" t="b">
        <f t="shared" si="9"/>
        <v>1</v>
      </c>
    </row>
    <row r="58" spans="1:36" ht="15.5" customHeight="1" x14ac:dyDescent="0.35">
      <c r="A58">
        <f t="shared" ca="1" si="0"/>
        <v>6262</v>
      </c>
      <c r="B58" s="6" t="s">
        <v>212</v>
      </c>
      <c r="C58" s="7">
        <v>38547</v>
      </c>
      <c r="D58" s="6" t="s">
        <v>138</v>
      </c>
      <c r="E58" s="6" t="s">
        <v>83</v>
      </c>
      <c r="F58" s="6" t="s">
        <v>84</v>
      </c>
      <c r="G58" s="6" t="s">
        <v>156</v>
      </c>
      <c r="H58" s="6" t="s">
        <v>213</v>
      </c>
      <c r="I58" s="6" t="s">
        <v>95</v>
      </c>
      <c r="J58" s="6" t="str">
        <f>IF(E58="KTG","KTG",(VLOOKUP(I58,'[1]list of outsource'!B:H,2,0)))</f>
        <v>Woer</v>
      </c>
      <c r="K58" s="6" t="s">
        <v>96</v>
      </c>
      <c r="L58" s="6"/>
      <c r="M58" s="6" t="s">
        <v>214</v>
      </c>
      <c r="N58" s="6" t="s">
        <v>215</v>
      </c>
      <c r="O58" s="6"/>
      <c r="P58" s="6"/>
      <c r="Q58" s="8"/>
      <c r="R58" s="6"/>
      <c r="S58" s="6"/>
      <c r="T58" s="6"/>
      <c r="U58" s="6">
        <v>2</v>
      </c>
      <c r="V58" s="6"/>
      <c r="W58" s="6" t="s">
        <v>37</v>
      </c>
      <c r="X58" s="7">
        <v>44809</v>
      </c>
      <c r="Y58" s="7">
        <v>44810</v>
      </c>
      <c r="AC58"/>
      <c r="AE58" t="str">
        <f t="shared" si="1"/>
        <v>P000167</v>
      </c>
      <c r="AF58" t="str">
        <f>_xlfn.XLOOKUP(AE58, Hoja2!A:A, Hoja2!A:A)</f>
        <v>P000167</v>
      </c>
      <c r="AG58" t="str">
        <f t="shared" si="7"/>
        <v>PP00018-18</v>
      </c>
      <c r="AH58">
        <f>_xlfn.XLOOKUP(AG58, Hoja3!A:A, Hoja3!B:B)</f>
        <v>5258</v>
      </c>
      <c r="AI58" t="str">
        <f>_xlfn.XLOOKUP(AH58, Hoja4!A:A, Hoja4!B:B)</f>
        <v>E35101000</v>
      </c>
      <c r="AJ58" t="b">
        <f t="shared" si="9"/>
        <v>1</v>
      </c>
    </row>
    <row r="59" spans="1:36" ht="15.5" customHeight="1" x14ac:dyDescent="0.35">
      <c r="A59">
        <f t="shared" ca="1" si="0"/>
        <v>6262</v>
      </c>
      <c r="B59" s="6" t="s">
        <v>216</v>
      </c>
      <c r="C59" s="7">
        <v>38547</v>
      </c>
      <c r="D59" s="6" t="s">
        <v>138</v>
      </c>
      <c r="E59" s="6" t="s">
        <v>83</v>
      </c>
      <c r="F59" s="6" t="s">
        <v>84</v>
      </c>
      <c r="G59" s="6" t="s">
        <v>156</v>
      </c>
      <c r="H59" s="6" t="s">
        <v>217</v>
      </c>
      <c r="I59" s="6" t="s">
        <v>218</v>
      </c>
      <c r="J59" s="6" t="str">
        <f>IF(E59="KTG","KTG",(VLOOKUP(I59,'[1]list of outsource'!B:H,2,0)))</f>
        <v>UPM</v>
      </c>
      <c r="K59" s="6" t="s">
        <v>219</v>
      </c>
      <c r="L59" s="6"/>
      <c r="M59" s="6" t="s">
        <v>220</v>
      </c>
      <c r="N59" s="6" t="s">
        <v>221</v>
      </c>
      <c r="O59" s="6"/>
      <c r="P59" s="6"/>
      <c r="Q59" s="8"/>
      <c r="R59" s="6"/>
      <c r="S59" s="6"/>
      <c r="T59" s="6"/>
      <c r="U59" s="6">
        <v>2</v>
      </c>
      <c r="V59" s="6"/>
      <c r="W59" s="6" t="s">
        <v>37</v>
      </c>
      <c r="X59" s="7">
        <v>44809</v>
      </c>
      <c r="Y59" s="7">
        <v>44810</v>
      </c>
      <c r="AC59"/>
      <c r="AE59" t="str">
        <f t="shared" si="1"/>
        <v>P000129</v>
      </c>
      <c r="AF59" t="str">
        <f>_xlfn.XLOOKUP(AE59, Hoja2!A:A, Hoja2!A:A)</f>
        <v>P000129</v>
      </c>
      <c r="AG59" t="str">
        <f t="shared" si="7"/>
        <v>PP00018-19</v>
      </c>
      <c r="AH59">
        <f>_xlfn.XLOOKUP(AG59, Hoja3!A:A, Hoja3!B:B)</f>
        <v>5259</v>
      </c>
      <c r="AI59" t="str">
        <f>_xlfn.XLOOKUP(AH59, Hoja4!A:A, Hoja4!B:B)</f>
        <v>E34750100</v>
      </c>
      <c r="AJ59" t="b">
        <f t="shared" si="9"/>
        <v>1</v>
      </c>
    </row>
    <row r="60" spans="1:36" ht="15.5" customHeight="1" x14ac:dyDescent="0.35">
      <c r="A60">
        <f t="shared" ca="1" si="0"/>
        <v>6161</v>
      </c>
      <c r="B60" s="6" t="s">
        <v>222</v>
      </c>
      <c r="C60" s="7">
        <v>38546</v>
      </c>
      <c r="D60" s="6" t="s">
        <v>138</v>
      </c>
      <c r="E60" s="6" t="s">
        <v>83</v>
      </c>
      <c r="F60" s="6" t="s">
        <v>84</v>
      </c>
      <c r="G60" s="6" t="s">
        <v>156</v>
      </c>
      <c r="H60" s="6" t="s">
        <v>223</v>
      </c>
      <c r="I60" s="6" t="s">
        <v>158</v>
      </c>
      <c r="J60" s="6" t="str">
        <f>IF(E60="KTG","KTG",(VLOOKUP(I60,'[1]list of outsource'!B:H,2,0)))</f>
        <v>UPM</v>
      </c>
      <c r="K60" s="6" t="s">
        <v>159</v>
      </c>
      <c r="L60" s="6"/>
      <c r="M60" s="6" t="s">
        <v>224</v>
      </c>
      <c r="N60" s="6" t="s">
        <v>225</v>
      </c>
      <c r="O60" s="6"/>
      <c r="P60" s="6"/>
      <c r="Q60" s="8"/>
      <c r="R60" s="6"/>
      <c r="S60" s="6"/>
      <c r="T60" s="6"/>
      <c r="U60" s="6">
        <v>2</v>
      </c>
      <c r="V60" s="6"/>
      <c r="W60" s="6" t="s">
        <v>37</v>
      </c>
      <c r="X60" s="7">
        <v>44707</v>
      </c>
      <c r="Y60" s="7">
        <v>44719</v>
      </c>
      <c r="AC60"/>
      <c r="AE60" t="str">
        <f t="shared" si="1"/>
        <v>P000127</v>
      </c>
      <c r="AF60" t="str">
        <f>_xlfn.XLOOKUP(AE60, Hoja2!A:A, Hoja2!A:A)</f>
        <v>P000127</v>
      </c>
      <c r="AG60" t="str">
        <f t="shared" si="7"/>
        <v>PP00018-2</v>
      </c>
      <c r="AH60">
        <f>_xlfn.XLOOKUP(AG60, Hoja3!A:A, Hoja3!B:B)</f>
        <v>5260</v>
      </c>
      <c r="AI60" t="str">
        <f>_xlfn.XLOOKUP(AH60, Hoja4!A:A, Hoja4!B:B)</f>
        <v>E34427600</v>
      </c>
      <c r="AJ60" t="b">
        <f t="shared" si="9"/>
        <v>1</v>
      </c>
    </row>
    <row r="61" spans="1:36" ht="15.5" customHeight="1" x14ac:dyDescent="0.35">
      <c r="A61">
        <f t="shared" ca="1" si="0"/>
        <v>6262</v>
      </c>
      <c r="B61" s="6" t="s">
        <v>226</v>
      </c>
      <c r="C61" s="7">
        <v>38547</v>
      </c>
      <c r="D61" s="6" t="s">
        <v>138</v>
      </c>
      <c r="E61" s="6" t="s">
        <v>83</v>
      </c>
      <c r="F61" s="6" t="s">
        <v>84</v>
      </c>
      <c r="G61" s="6" t="s">
        <v>156</v>
      </c>
      <c r="H61" s="6" t="s">
        <v>227</v>
      </c>
      <c r="I61" s="6" t="s">
        <v>218</v>
      </c>
      <c r="J61" s="6" t="str">
        <f>IF(E61="KTG","KTG",(VLOOKUP(I61,'[1]list of outsource'!B:H,2,0)))</f>
        <v>UPM</v>
      </c>
      <c r="K61" s="6" t="s">
        <v>219</v>
      </c>
      <c r="L61" s="6"/>
      <c r="M61" s="6" t="s">
        <v>228</v>
      </c>
      <c r="N61" s="6" t="s">
        <v>229</v>
      </c>
      <c r="O61" s="6"/>
      <c r="P61" s="6"/>
      <c r="Q61" s="8"/>
      <c r="R61" s="6"/>
      <c r="S61" s="6"/>
      <c r="T61" s="6"/>
      <c r="U61" s="6">
        <v>2</v>
      </c>
      <c r="V61" s="6"/>
      <c r="W61" s="6" t="s">
        <v>37</v>
      </c>
      <c r="X61" s="7">
        <v>44809</v>
      </c>
      <c r="Y61" s="7">
        <v>44811</v>
      </c>
      <c r="AC61"/>
      <c r="AE61" t="str">
        <f t="shared" si="1"/>
        <v>P000131</v>
      </c>
      <c r="AF61" t="str">
        <f>_xlfn.XLOOKUP(AE61, Hoja2!A:A, Hoja2!A:A)</f>
        <v>P000131</v>
      </c>
      <c r="AG61" t="str">
        <f t="shared" si="7"/>
        <v>PP00018-20</v>
      </c>
      <c r="AH61">
        <f>_xlfn.XLOOKUP(AG61, Hoja3!A:A, Hoja3!B:B)</f>
        <v>5261</v>
      </c>
      <c r="AI61" t="str">
        <f>_xlfn.XLOOKUP(AH61, Hoja4!A:A, Hoja4!B:B)</f>
        <v>E34748400</v>
      </c>
      <c r="AJ61" t="b">
        <f t="shared" si="9"/>
        <v>1</v>
      </c>
    </row>
    <row r="62" spans="1:36" ht="15.5" customHeight="1" x14ac:dyDescent="0.35">
      <c r="A62">
        <f t="shared" ca="1" si="0"/>
        <v>6264</v>
      </c>
      <c r="B62" s="6" t="s">
        <v>230</v>
      </c>
      <c r="C62" s="7">
        <v>38547</v>
      </c>
      <c r="D62" s="6" t="s">
        <v>138</v>
      </c>
      <c r="E62" s="6" t="s">
        <v>139</v>
      </c>
      <c r="F62" s="6" t="s">
        <v>84</v>
      </c>
      <c r="G62" s="6" t="s">
        <v>156</v>
      </c>
      <c r="H62" s="6" t="s">
        <v>231</v>
      </c>
      <c r="I62" s="6" t="s">
        <v>208</v>
      </c>
      <c r="J62" s="6" t="str">
        <f>IF(E62="KTG","KTG",(VLOOKUP(I62,'[1]list of outsource'!B:H,2,0)))</f>
        <v>ETC</v>
      </c>
      <c r="K62" s="6" t="s">
        <v>209</v>
      </c>
      <c r="L62" s="6"/>
      <c r="M62" s="6" t="s">
        <v>232</v>
      </c>
      <c r="N62" s="6" t="s">
        <v>233</v>
      </c>
      <c r="O62" s="6"/>
      <c r="P62" s="6"/>
      <c r="Q62" s="8"/>
      <c r="R62" s="6"/>
      <c r="S62" s="6"/>
      <c r="T62" s="6"/>
      <c r="U62" s="6">
        <v>2</v>
      </c>
      <c r="V62" s="6"/>
      <c r="W62" s="6" t="s">
        <v>37</v>
      </c>
      <c r="X62" s="7">
        <v>44811</v>
      </c>
      <c r="Y62" s="7">
        <v>44811</v>
      </c>
      <c r="AC62"/>
      <c r="AE62" t="str">
        <f t="shared" si="1"/>
        <v>P000161</v>
      </c>
      <c r="AF62" t="str">
        <f>_xlfn.XLOOKUP(AE62, Hoja2!A:A, Hoja2!A:A)</f>
        <v>P000161</v>
      </c>
      <c r="AG62" t="str">
        <f t="shared" si="7"/>
        <v>PP00018-21</v>
      </c>
      <c r="AH62">
        <f>_xlfn.XLOOKUP(AG62, Hoja3!A:A, Hoja3!B:B)</f>
        <v>5262</v>
      </c>
      <c r="AI62" t="str">
        <f>_xlfn.XLOOKUP(AH62, Hoja4!A:A, Hoja4!B:B)</f>
        <v>E35099900</v>
      </c>
      <c r="AJ62" t="b">
        <f t="shared" si="9"/>
        <v>1</v>
      </c>
    </row>
    <row r="63" spans="1:36" ht="15.5" customHeight="1" x14ac:dyDescent="0.35">
      <c r="A63">
        <f t="shared" ca="1" si="0"/>
        <v>6286</v>
      </c>
      <c r="B63" s="6" t="s">
        <v>234</v>
      </c>
      <c r="C63" s="7">
        <v>38547</v>
      </c>
      <c r="D63" s="6" t="s">
        <v>138</v>
      </c>
      <c r="E63" s="6" t="s">
        <v>83</v>
      </c>
      <c r="F63" s="6" t="s">
        <v>84</v>
      </c>
      <c r="G63" s="6" t="s">
        <v>156</v>
      </c>
      <c r="H63" s="6" t="s">
        <v>235</v>
      </c>
      <c r="I63" s="6" t="s">
        <v>95</v>
      </c>
      <c r="J63" s="6" t="str">
        <f>IF(E63="KTG","KTG",(VLOOKUP(I63,'[1]list of outsource'!B:H,2,0)))</f>
        <v>Woer</v>
      </c>
      <c r="K63" s="6" t="s">
        <v>96</v>
      </c>
      <c r="L63" s="6"/>
      <c r="M63" s="6" t="s">
        <v>236</v>
      </c>
      <c r="N63" s="6" t="s">
        <v>237</v>
      </c>
      <c r="O63" s="6"/>
      <c r="P63" s="6"/>
      <c r="Q63" s="8"/>
      <c r="R63" s="6"/>
      <c r="S63" s="6"/>
      <c r="T63" s="6"/>
      <c r="U63" s="6">
        <v>2</v>
      </c>
      <c r="V63" s="6"/>
      <c r="W63" s="6" t="s">
        <v>37</v>
      </c>
      <c r="X63" s="7">
        <v>44833</v>
      </c>
      <c r="Y63" s="7">
        <v>44838</v>
      </c>
      <c r="AC63"/>
      <c r="AE63" t="str">
        <f t="shared" si="1"/>
        <v>P000249</v>
      </c>
      <c r="AF63" t="str">
        <f>_xlfn.XLOOKUP(AE63, Hoja2!A:A, Hoja2!A:A)</f>
        <v>P000249</v>
      </c>
      <c r="AG63" t="str">
        <f t="shared" si="7"/>
        <v>PP00018-22</v>
      </c>
      <c r="AH63">
        <f>_xlfn.XLOOKUP(AG63, Hoja3!A:A, Hoja3!B:B)</f>
        <v>5263</v>
      </c>
      <c r="AI63" t="str">
        <f>_xlfn.XLOOKUP(AH63, Hoja4!A:A, Hoja4!B:B)</f>
        <v>E37241800</v>
      </c>
      <c r="AJ63" t="b">
        <f t="shared" si="9"/>
        <v>1</v>
      </c>
    </row>
    <row r="64" spans="1:36" ht="15.5" customHeight="1" x14ac:dyDescent="0.35">
      <c r="A64">
        <f t="shared" ca="1" si="0"/>
        <v>6299</v>
      </c>
      <c r="B64" s="6" t="s">
        <v>238</v>
      </c>
      <c r="C64" s="7">
        <v>38547</v>
      </c>
      <c r="D64" s="6" t="s">
        <v>138</v>
      </c>
      <c r="E64" s="6" t="s">
        <v>83</v>
      </c>
      <c r="F64" s="6" t="s">
        <v>84</v>
      </c>
      <c r="G64" s="6" t="s">
        <v>156</v>
      </c>
      <c r="H64" s="6" t="s">
        <v>239</v>
      </c>
      <c r="I64" s="6" t="s">
        <v>198</v>
      </c>
      <c r="J64" s="6" t="str">
        <f>IF(E64="KTG","KTG",(VLOOKUP(I64,'[1]list of outsource'!B:H,2,0)))</f>
        <v>UPM</v>
      </c>
      <c r="K64" s="6" t="s">
        <v>199</v>
      </c>
      <c r="L64" s="6"/>
      <c r="M64" s="6" t="s">
        <v>240</v>
      </c>
      <c r="N64" s="6" t="s">
        <v>241</v>
      </c>
      <c r="O64" s="6"/>
      <c r="P64" s="6"/>
      <c r="Q64" s="8"/>
      <c r="R64" s="6"/>
      <c r="S64" s="6"/>
      <c r="T64" s="6"/>
      <c r="U64" s="6">
        <v>2</v>
      </c>
      <c r="V64" s="6"/>
      <c r="W64" s="6" t="s">
        <v>37</v>
      </c>
      <c r="X64" s="7">
        <v>44846</v>
      </c>
      <c r="Y64" s="7">
        <v>44847</v>
      </c>
      <c r="AC64"/>
      <c r="AE64" t="str">
        <f t="shared" si="1"/>
        <v>P000140</v>
      </c>
      <c r="AF64" t="str">
        <f>_xlfn.XLOOKUP(AE64, Hoja2!A:A, Hoja2!A:A)</f>
        <v>P000140</v>
      </c>
      <c r="AG64" t="str">
        <f t="shared" si="7"/>
        <v>PP00018-23</v>
      </c>
      <c r="AH64">
        <f>_xlfn.XLOOKUP(AG64, Hoja3!A:A, Hoja3!B:B)</f>
        <v>5264</v>
      </c>
      <c r="AI64" t="str">
        <f>_xlfn.XLOOKUP(AH64, Hoja4!A:A, Hoja4!B:B)</f>
        <v>E34875700</v>
      </c>
      <c r="AJ64" t="b">
        <f t="shared" si="9"/>
        <v>1</v>
      </c>
    </row>
    <row r="65" spans="1:36" ht="15.5" customHeight="1" x14ac:dyDescent="0.35">
      <c r="A65">
        <f t="shared" ca="1" si="0"/>
        <v>6287</v>
      </c>
      <c r="B65" s="6" t="s">
        <v>242</v>
      </c>
      <c r="C65" s="7">
        <v>38546</v>
      </c>
      <c r="D65" s="6" t="s">
        <v>138</v>
      </c>
      <c r="E65" s="6" t="s">
        <v>83</v>
      </c>
      <c r="F65" s="6" t="s">
        <v>84</v>
      </c>
      <c r="G65" s="6" t="s">
        <v>156</v>
      </c>
      <c r="H65" s="6" t="s">
        <v>243</v>
      </c>
      <c r="I65" s="6" t="s">
        <v>158</v>
      </c>
      <c r="J65" s="6" t="str">
        <f>IF(E65="KTG","KTG",(VLOOKUP(I65,'[1]list of outsource'!B:H,2,0)))</f>
        <v>UPM</v>
      </c>
      <c r="K65" s="6" t="s">
        <v>159</v>
      </c>
      <c r="L65" s="6"/>
      <c r="M65" s="6" t="s">
        <v>244</v>
      </c>
      <c r="N65" s="6" t="s">
        <v>245</v>
      </c>
      <c r="O65" s="6"/>
      <c r="P65" s="6"/>
      <c r="Q65" s="8"/>
      <c r="R65" s="6"/>
      <c r="S65" s="6"/>
      <c r="T65" s="6"/>
      <c r="U65" s="6">
        <v>2</v>
      </c>
      <c r="V65" s="6"/>
      <c r="W65" s="6" t="s">
        <v>37</v>
      </c>
      <c r="X65" s="7">
        <v>44833</v>
      </c>
      <c r="Y65" s="7">
        <v>44833</v>
      </c>
      <c r="AC65"/>
      <c r="AE65" t="str">
        <f t="shared" si="1"/>
        <v>P000138</v>
      </c>
      <c r="AF65" t="str">
        <f>_xlfn.XLOOKUP(AE65, Hoja2!A:A, Hoja2!A:A)</f>
        <v>P000138</v>
      </c>
      <c r="AG65" t="str">
        <f t="shared" si="7"/>
        <v>PP00018-24</v>
      </c>
      <c r="AH65">
        <f>_xlfn.XLOOKUP(AG65, Hoja3!A:A, Hoja3!B:B)</f>
        <v>5265</v>
      </c>
      <c r="AI65" t="str">
        <f>_xlfn.XLOOKUP(AH65, Hoja4!A:A, Hoja4!B:B)</f>
        <v>E34516400</v>
      </c>
      <c r="AJ65" t="b">
        <f t="shared" si="9"/>
        <v>1</v>
      </c>
    </row>
    <row r="66" spans="1:36" ht="15.5" customHeight="1" x14ac:dyDescent="0.35">
      <c r="A66">
        <f t="shared" ref="A66:A129" ca="1" si="10">IF(X66="",(TODAY()-C66),(X66-C66))</f>
        <v>6293</v>
      </c>
      <c r="B66" s="6" t="s">
        <v>246</v>
      </c>
      <c r="C66" s="7">
        <v>38547</v>
      </c>
      <c r="D66" s="6" t="s">
        <v>138</v>
      </c>
      <c r="E66" s="6" t="s">
        <v>83</v>
      </c>
      <c r="F66" s="6" t="s">
        <v>84</v>
      </c>
      <c r="G66" s="6" t="s">
        <v>156</v>
      </c>
      <c r="H66" s="6" t="s">
        <v>247</v>
      </c>
      <c r="I66" s="6" t="s">
        <v>95</v>
      </c>
      <c r="J66" s="6" t="str">
        <f>IF(E66="KTG","KTG",(VLOOKUP(I66,'[1]list of outsource'!B:H,2,0)))</f>
        <v>Woer</v>
      </c>
      <c r="K66" s="6" t="s">
        <v>96</v>
      </c>
      <c r="L66" s="6"/>
      <c r="M66" s="6" t="s">
        <v>248</v>
      </c>
      <c r="N66" s="6" t="s">
        <v>249</v>
      </c>
      <c r="O66" s="6"/>
      <c r="P66" s="6"/>
      <c r="Q66" s="8"/>
      <c r="R66" s="6"/>
      <c r="S66" s="6"/>
      <c r="T66" s="6"/>
      <c r="U66" s="6">
        <v>2</v>
      </c>
      <c r="V66" s="6"/>
      <c r="W66" s="6" t="s">
        <v>37</v>
      </c>
      <c r="X66" s="7">
        <v>44840</v>
      </c>
      <c r="Y66" s="7">
        <v>44840</v>
      </c>
      <c r="AC66"/>
      <c r="AE66" t="str">
        <f t="shared" si="1"/>
        <v>P000107</v>
      </c>
      <c r="AF66" t="str">
        <f>_xlfn.XLOOKUP(AE66, Hoja2!A:A, Hoja2!A:A)</f>
        <v>P000107</v>
      </c>
      <c r="AG66" t="str">
        <f t="shared" si="7"/>
        <v>PP00018-25</v>
      </c>
      <c r="AH66">
        <f>_xlfn.XLOOKUP(AG66, Hoja3!A:A, Hoja3!B:B)</f>
        <v>5266</v>
      </c>
      <c r="AI66" t="str">
        <f>_xlfn.XLOOKUP(AH66, Hoja4!A:A, Hoja4!B:B)</f>
        <v>E35217000</v>
      </c>
      <c r="AJ66" t="b">
        <f t="shared" si="9"/>
        <v>1</v>
      </c>
    </row>
    <row r="67" spans="1:36" ht="15.5" customHeight="1" x14ac:dyDescent="0.35">
      <c r="A67">
        <f t="shared" ca="1" si="10"/>
        <v>6293</v>
      </c>
      <c r="B67" s="6" t="s">
        <v>250</v>
      </c>
      <c r="C67" s="7">
        <v>38547</v>
      </c>
      <c r="D67" s="6" t="s">
        <v>138</v>
      </c>
      <c r="E67" s="6" t="s">
        <v>83</v>
      </c>
      <c r="F67" s="6" t="s">
        <v>84</v>
      </c>
      <c r="G67" s="6" t="s">
        <v>156</v>
      </c>
      <c r="H67" s="6" t="s">
        <v>251</v>
      </c>
      <c r="I67" s="6" t="s">
        <v>198</v>
      </c>
      <c r="J67" s="6" t="str">
        <f>IF(E67="KTG","KTG",(VLOOKUP(I67,'[1]list of outsource'!B:H,2,0)))</f>
        <v>UPM</v>
      </c>
      <c r="K67" s="6" t="s">
        <v>199</v>
      </c>
      <c r="L67" s="6"/>
      <c r="M67" s="6" t="s">
        <v>252</v>
      </c>
      <c r="N67" s="6" t="s">
        <v>253</v>
      </c>
      <c r="O67" s="6"/>
      <c r="P67" s="6"/>
      <c r="Q67" s="8"/>
      <c r="R67" s="6"/>
      <c r="S67" s="6"/>
      <c r="T67" s="6"/>
      <c r="U67" s="6">
        <v>2</v>
      </c>
      <c r="V67" s="6"/>
      <c r="W67" s="6" t="s">
        <v>37</v>
      </c>
      <c r="X67" s="7">
        <v>44840</v>
      </c>
      <c r="Y67" s="7">
        <v>44841</v>
      </c>
      <c r="AC67"/>
      <c r="AE67" t="str">
        <f t="shared" ref="AE67:AE130" si="11">LEFT(M67, FIND(" ", M67 &amp; " ") - 1)</f>
        <v>P000142</v>
      </c>
      <c r="AF67" t="str">
        <f>_xlfn.XLOOKUP(AE67, Hoja2!A:A, Hoja2!A:A)</f>
        <v>P000142</v>
      </c>
      <c r="AG67" t="str">
        <f t="shared" si="7"/>
        <v>PP00018-26</v>
      </c>
      <c r="AH67">
        <f>_xlfn.XLOOKUP(AG67, Hoja3!A:A, Hoja3!B:B)</f>
        <v>5267</v>
      </c>
      <c r="AI67" t="str">
        <f>_xlfn.XLOOKUP(AH67, Hoja4!A:A, Hoja4!B:B)</f>
        <v>E34875900</v>
      </c>
      <c r="AJ67" t="b">
        <f t="shared" si="9"/>
        <v>1</v>
      </c>
    </row>
    <row r="68" spans="1:36" ht="15.5" customHeight="1" x14ac:dyDescent="0.35">
      <c r="A68">
        <f t="shared" ca="1" si="10"/>
        <v>6293</v>
      </c>
      <c r="B68" s="6" t="s">
        <v>254</v>
      </c>
      <c r="C68" s="7">
        <v>38547</v>
      </c>
      <c r="D68" s="6" t="s">
        <v>138</v>
      </c>
      <c r="E68" s="6" t="s">
        <v>83</v>
      </c>
      <c r="F68" s="6" t="s">
        <v>84</v>
      </c>
      <c r="G68" s="6" t="s">
        <v>156</v>
      </c>
      <c r="H68" s="6" t="s">
        <v>255</v>
      </c>
      <c r="I68" s="6" t="s">
        <v>198</v>
      </c>
      <c r="J68" s="6" t="str">
        <f>IF(E68="KTG","KTG",(VLOOKUP(I68,'[1]list of outsource'!B:H,2,0)))</f>
        <v>UPM</v>
      </c>
      <c r="K68" s="6" t="s">
        <v>199</v>
      </c>
      <c r="L68" s="6"/>
      <c r="M68" s="6" t="s">
        <v>256</v>
      </c>
      <c r="N68" s="6" t="s">
        <v>257</v>
      </c>
      <c r="O68" s="6"/>
      <c r="P68" s="6"/>
      <c r="Q68" s="8"/>
      <c r="R68" s="6"/>
      <c r="S68" s="6"/>
      <c r="T68" s="6"/>
      <c r="U68" s="6">
        <v>2</v>
      </c>
      <c r="V68" s="6"/>
      <c r="W68" s="6" t="s">
        <v>37</v>
      </c>
      <c r="X68" s="7">
        <v>44840</v>
      </c>
      <c r="Y68" s="7">
        <v>44841</v>
      </c>
      <c r="AC68"/>
      <c r="AE68" t="str">
        <f t="shared" si="11"/>
        <v>P000144</v>
      </c>
      <c r="AF68" t="str">
        <f>_xlfn.XLOOKUP(AE68, Hoja2!A:A, Hoja2!A:A)</f>
        <v>P000144</v>
      </c>
      <c r="AG68" t="str">
        <f t="shared" si="7"/>
        <v>PP00018-27</v>
      </c>
      <c r="AH68">
        <f>_xlfn.XLOOKUP(AG68, Hoja3!A:A, Hoja3!B:B)</f>
        <v>5268</v>
      </c>
      <c r="AI68" t="str">
        <f>_xlfn.XLOOKUP(AH68, Hoja4!A:A, Hoja4!B:B)</f>
        <v>E34875800</v>
      </c>
      <c r="AJ68" t="b">
        <f t="shared" si="9"/>
        <v>1</v>
      </c>
    </row>
    <row r="69" spans="1:36" ht="15.5" customHeight="1" x14ac:dyDescent="0.35">
      <c r="A69">
        <f t="shared" ca="1" si="10"/>
        <v>6299</v>
      </c>
      <c r="B69" s="6" t="s">
        <v>258</v>
      </c>
      <c r="C69" s="7">
        <v>38547</v>
      </c>
      <c r="D69" s="6" t="s">
        <v>138</v>
      </c>
      <c r="E69" s="6" t="s">
        <v>83</v>
      </c>
      <c r="F69" s="6" t="s">
        <v>84</v>
      </c>
      <c r="G69" s="6" t="s">
        <v>156</v>
      </c>
      <c r="H69" s="6" t="s">
        <v>259</v>
      </c>
      <c r="I69" s="6" t="s">
        <v>198</v>
      </c>
      <c r="J69" s="6" t="str">
        <f>IF(E69="KTG","KTG",(VLOOKUP(I69,'[1]list of outsource'!B:H,2,0)))</f>
        <v>UPM</v>
      </c>
      <c r="K69" s="6" t="s">
        <v>199</v>
      </c>
      <c r="L69" s="6"/>
      <c r="M69" s="6" t="s">
        <v>260</v>
      </c>
      <c r="N69" s="6" t="s">
        <v>261</v>
      </c>
      <c r="O69" s="6"/>
      <c r="P69" s="6"/>
      <c r="Q69" s="8"/>
      <c r="R69" s="6"/>
      <c r="S69" s="6"/>
      <c r="T69" s="6"/>
      <c r="U69" s="6">
        <v>2</v>
      </c>
      <c r="V69" s="6"/>
      <c r="W69" s="6" t="s">
        <v>37</v>
      </c>
      <c r="X69" s="7">
        <v>44846</v>
      </c>
      <c r="Y69" s="7">
        <v>44847</v>
      </c>
      <c r="AC69"/>
      <c r="AE69" t="str">
        <f t="shared" si="11"/>
        <v>P000141</v>
      </c>
      <c r="AF69" t="str">
        <f>_xlfn.XLOOKUP(AE69, Hoja2!A:A, Hoja2!A:A)</f>
        <v>P000141</v>
      </c>
      <c r="AG69" t="str">
        <f t="shared" si="7"/>
        <v>PP00018-28</v>
      </c>
      <c r="AH69">
        <f>_xlfn.XLOOKUP(AG69, Hoja3!A:A, Hoja3!B:B)</f>
        <v>5269</v>
      </c>
      <c r="AI69" t="str">
        <f>_xlfn.XLOOKUP(AH69, Hoja4!A:A, Hoja4!B:B)</f>
        <v>E34875600</v>
      </c>
      <c r="AJ69" t="b">
        <f t="shared" si="9"/>
        <v>1</v>
      </c>
    </row>
    <row r="70" spans="1:36" ht="15.5" customHeight="1" x14ac:dyDescent="0.35">
      <c r="A70">
        <f t="shared" ca="1" si="10"/>
        <v>6305</v>
      </c>
      <c r="B70" s="6" t="s">
        <v>262</v>
      </c>
      <c r="C70" s="7">
        <v>38547</v>
      </c>
      <c r="D70" s="6" t="s">
        <v>138</v>
      </c>
      <c r="E70" s="6" t="s">
        <v>83</v>
      </c>
      <c r="F70" s="6" t="s">
        <v>84</v>
      </c>
      <c r="G70" s="6" t="s">
        <v>156</v>
      </c>
      <c r="H70" s="6" t="s">
        <v>263</v>
      </c>
      <c r="I70" s="6" t="s">
        <v>176</v>
      </c>
      <c r="J70" s="6" t="str">
        <f>IF(E70="KTG","KTG",(VLOOKUP(I70,'[1]list of outsource'!B:H,2,0)))</f>
        <v>UPM</v>
      </c>
      <c r="K70" s="6" t="s">
        <v>177</v>
      </c>
      <c r="L70" s="6"/>
      <c r="M70" s="6" t="s">
        <v>264</v>
      </c>
      <c r="N70" s="6" t="s">
        <v>265</v>
      </c>
      <c r="O70" s="6"/>
      <c r="P70" s="6"/>
      <c r="Q70" s="8"/>
      <c r="R70" s="6"/>
      <c r="S70" s="6"/>
      <c r="T70" s="6"/>
      <c r="U70" s="6">
        <v>2</v>
      </c>
      <c r="V70" s="6"/>
      <c r="W70" s="6" t="s">
        <v>37</v>
      </c>
      <c r="X70" s="7">
        <v>44852</v>
      </c>
      <c r="Y70" s="7">
        <v>44852</v>
      </c>
      <c r="AC70"/>
      <c r="AE70" t="str">
        <f t="shared" si="11"/>
        <v>P000151</v>
      </c>
      <c r="AF70" t="str">
        <f>_xlfn.XLOOKUP(AE70, Hoja2!A:A, Hoja2!A:A)</f>
        <v>P000151</v>
      </c>
      <c r="AG70" t="str">
        <f t="shared" si="7"/>
        <v>PP00018-29</v>
      </c>
      <c r="AH70">
        <f>_xlfn.XLOOKUP(AG70, Hoja3!A:A, Hoja3!B:B)</f>
        <v>5270</v>
      </c>
      <c r="AI70" t="str">
        <f>_xlfn.XLOOKUP(AH70, Hoja4!A:A, Hoja4!B:B)</f>
        <v>E35099300</v>
      </c>
      <c r="AJ70" t="b">
        <f t="shared" si="9"/>
        <v>1</v>
      </c>
    </row>
    <row r="71" spans="1:36" ht="15.5" customHeight="1" x14ac:dyDescent="0.35">
      <c r="A71">
        <f t="shared" ca="1" si="10"/>
        <v>6173</v>
      </c>
      <c r="B71" s="6" t="s">
        <v>266</v>
      </c>
      <c r="C71" s="7">
        <v>38547</v>
      </c>
      <c r="D71" s="6" t="s">
        <v>138</v>
      </c>
      <c r="E71" s="6" t="s">
        <v>83</v>
      </c>
      <c r="F71" s="6" t="s">
        <v>84</v>
      </c>
      <c r="G71" s="6" t="s">
        <v>156</v>
      </c>
      <c r="H71" s="6" t="s">
        <v>267</v>
      </c>
      <c r="I71" s="6" t="s">
        <v>95</v>
      </c>
      <c r="J71" s="6" t="str">
        <f>IF(E71="KTG","KTG",(VLOOKUP(I71,'[1]list of outsource'!B:H,2,0)))</f>
        <v>Woer</v>
      </c>
      <c r="K71" s="6" t="s">
        <v>96</v>
      </c>
      <c r="L71" s="6"/>
      <c r="M71" s="6" t="s">
        <v>268</v>
      </c>
      <c r="N71" s="6" t="s">
        <v>269</v>
      </c>
      <c r="O71" s="6"/>
      <c r="P71" s="6"/>
      <c r="Q71" s="8"/>
      <c r="R71" s="6"/>
      <c r="S71" s="6"/>
      <c r="T71" s="6"/>
      <c r="U71" s="6">
        <v>2</v>
      </c>
      <c r="V71" s="6"/>
      <c r="W71" s="6" t="s">
        <v>37</v>
      </c>
      <c r="X71" s="7">
        <v>44720</v>
      </c>
      <c r="Y71" s="7">
        <v>44722</v>
      </c>
      <c r="AC71"/>
      <c r="AE71" t="str">
        <f t="shared" si="11"/>
        <v>P000147</v>
      </c>
      <c r="AF71" t="str">
        <f>_xlfn.XLOOKUP(AE71, Hoja2!A:A, Hoja2!A:A)</f>
        <v>P000147</v>
      </c>
      <c r="AG71" t="str">
        <f t="shared" si="7"/>
        <v>PP00018-3</v>
      </c>
      <c r="AH71">
        <f>_xlfn.XLOOKUP(AG71, Hoja3!A:A, Hoja3!B:B)</f>
        <v>5271</v>
      </c>
      <c r="AI71" t="str">
        <f>_xlfn.XLOOKUP(AH71, Hoja4!A:A, Hoja4!B:B)</f>
        <v>E35100900</v>
      </c>
      <c r="AJ71" t="b">
        <f t="shared" si="9"/>
        <v>1</v>
      </c>
    </row>
    <row r="72" spans="1:36" ht="15.5" customHeight="1" x14ac:dyDescent="0.35">
      <c r="A72">
        <f t="shared" ca="1" si="10"/>
        <v>6307</v>
      </c>
      <c r="B72" s="6" t="s">
        <v>270</v>
      </c>
      <c r="C72" s="7">
        <v>38546</v>
      </c>
      <c r="D72" s="6" t="s">
        <v>138</v>
      </c>
      <c r="E72" s="6" t="s">
        <v>83</v>
      </c>
      <c r="F72" s="6" t="s">
        <v>84</v>
      </c>
      <c r="G72" s="6" t="s">
        <v>156</v>
      </c>
      <c r="H72" s="6" t="s">
        <v>271</v>
      </c>
      <c r="I72" s="6" t="s">
        <v>158</v>
      </c>
      <c r="J72" s="6" t="str">
        <f>IF(E72="KTG","KTG",(VLOOKUP(I72,'[1]list of outsource'!B:H,2,0)))</f>
        <v>UPM</v>
      </c>
      <c r="K72" s="6" t="s">
        <v>159</v>
      </c>
      <c r="L72" s="6"/>
      <c r="M72" s="6" t="s">
        <v>272</v>
      </c>
      <c r="N72" s="6" t="s">
        <v>273</v>
      </c>
      <c r="O72" s="6"/>
      <c r="P72" s="6"/>
      <c r="Q72" s="8"/>
      <c r="R72" s="6"/>
      <c r="S72" s="6"/>
      <c r="T72" s="6"/>
      <c r="U72" s="6">
        <v>2</v>
      </c>
      <c r="V72" s="6"/>
      <c r="W72" s="6" t="s">
        <v>37</v>
      </c>
      <c r="X72" s="7">
        <v>44853</v>
      </c>
      <c r="Y72" s="7">
        <v>44853</v>
      </c>
      <c r="AC72"/>
      <c r="AE72" t="str">
        <f t="shared" si="11"/>
        <v>P000156</v>
      </c>
      <c r="AF72" t="str">
        <f>_xlfn.XLOOKUP(AE72, Hoja2!A:A, Hoja2!A:A)</f>
        <v>P000156</v>
      </c>
      <c r="AG72" t="str">
        <f t="shared" si="7"/>
        <v>PP00018-30</v>
      </c>
      <c r="AH72">
        <f>_xlfn.XLOOKUP(AG72, Hoja3!A:A, Hoja3!B:B)</f>
        <v>5272</v>
      </c>
      <c r="AI72" t="str">
        <f>_xlfn.XLOOKUP(AH72, Hoja4!A:A, Hoja4!B:B)</f>
        <v>E35113000</v>
      </c>
      <c r="AJ72" t="b">
        <f t="shared" si="9"/>
        <v>1</v>
      </c>
    </row>
    <row r="73" spans="1:36" ht="15.5" customHeight="1" x14ac:dyDescent="0.35">
      <c r="A73">
        <f t="shared" ca="1" si="10"/>
        <v>6308</v>
      </c>
      <c r="B73" s="6" t="s">
        <v>274</v>
      </c>
      <c r="C73" s="7">
        <v>38547</v>
      </c>
      <c r="D73" s="6" t="s">
        <v>138</v>
      </c>
      <c r="E73" s="6" t="s">
        <v>83</v>
      </c>
      <c r="F73" s="6" t="s">
        <v>84</v>
      </c>
      <c r="G73" s="6" t="s">
        <v>156</v>
      </c>
      <c r="H73" s="6" t="s">
        <v>275</v>
      </c>
      <c r="I73" s="6" t="s">
        <v>176</v>
      </c>
      <c r="J73" s="6" t="str">
        <f>IF(E73="KTG","KTG",(VLOOKUP(I73,'[1]list of outsource'!B:H,2,0)))</f>
        <v>UPM</v>
      </c>
      <c r="K73" s="6" t="s">
        <v>177</v>
      </c>
      <c r="L73" s="6"/>
      <c r="M73" s="6" t="s">
        <v>276</v>
      </c>
      <c r="N73" s="6" t="s">
        <v>277</v>
      </c>
      <c r="O73" s="6"/>
      <c r="P73" s="6"/>
      <c r="Q73" s="8"/>
      <c r="R73" s="6"/>
      <c r="S73" s="6"/>
      <c r="T73" s="6"/>
      <c r="U73" s="6">
        <v>2</v>
      </c>
      <c r="V73" s="6"/>
      <c r="W73" s="6" t="s">
        <v>37</v>
      </c>
      <c r="X73" s="7">
        <v>44855</v>
      </c>
      <c r="Y73" s="7">
        <v>44855</v>
      </c>
      <c r="AC73"/>
      <c r="AE73" t="str">
        <f t="shared" si="11"/>
        <v>P000125</v>
      </c>
      <c r="AF73" t="str">
        <f>_xlfn.XLOOKUP(AE73, Hoja2!A:A, Hoja2!A:A)</f>
        <v>P000125</v>
      </c>
      <c r="AG73" t="str">
        <f t="shared" si="7"/>
        <v>PP00018-31</v>
      </c>
      <c r="AH73">
        <f>_xlfn.XLOOKUP(AG73, Hoja3!A:A, Hoja3!B:B)</f>
        <v>5273</v>
      </c>
      <c r="AI73" t="str">
        <f>_xlfn.XLOOKUP(AH73, Hoja4!A:A, Hoja4!B:B)</f>
        <v>E35081900</v>
      </c>
      <c r="AJ73" t="b">
        <f t="shared" si="9"/>
        <v>1</v>
      </c>
    </row>
    <row r="74" spans="1:36" ht="15.5" hidden="1" customHeight="1" x14ac:dyDescent="0.35">
      <c r="A74">
        <f t="shared" ca="1" si="10"/>
        <v>6309</v>
      </c>
      <c r="B74" s="55" t="s">
        <v>278</v>
      </c>
      <c r="C74" s="7">
        <v>38546</v>
      </c>
      <c r="D74" s="6" t="s">
        <v>138</v>
      </c>
      <c r="E74" s="6" t="s">
        <v>83</v>
      </c>
      <c r="F74" s="6" t="s">
        <v>84</v>
      </c>
      <c r="G74" s="6" t="s">
        <v>156</v>
      </c>
      <c r="H74" s="6" t="s">
        <v>279</v>
      </c>
      <c r="I74" s="6" t="s">
        <v>158</v>
      </c>
      <c r="J74" s="6" t="str">
        <f>IF(E74="KTG","KTG",(VLOOKUP(I74,'[1]list of outsource'!B:H,2,0)))</f>
        <v>UPM</v>
      </c>
      <c r="K74" s="6" t="s">
        <v>159</v>
      </c>
      <c r="L74" s="6"/>
      <c r="M74" s="55" t="s">
        <v>280</v>
      </c>
      <c r="N74" s="6" t="s">
        <v>281</v>
      </c>
      <c r="O74" s="6"/>
      <c r="P74" s="6"/>
      <c r="Q74" s="8"/>
      <c r="R74" s="6"/>
      <c r="S74" s="6"/>
      <c r="T74" s="6"/>
      <c r="U74" s="6">
        <v>2</v>
      </c>
      <c r="V74" s="6"/>
      <c r="W74" s="6" t="s">
        <v>37</v>
      </c>
      <c r="X74" s="7">
        <v>44855</v>
      </c>
      <c r="Y74" s="7">
        <v>44855</v>
      </c>
      <c r="AC74"/>
      <c r="AE74" t="str">
        <f t="shared" si="11"/>
        <v>P000192</v>
      </c>
      <c r="AF74" t="e">
        <f>_xlfn.XLOOKUP(AE74, Hoja2!A:A, Hoja2!A:A)</f>
        <v>#N/A</v>
      </c>
    </row>
    <row r="75" spans="1:36" ht="15.5" customHeight="1" x14ac:dyDescent="0.35">
      <c r="A75">
        <f t="shared" ca="1" si="10"/>
        <v>6326</v>
      </c>
      <c r="B75" s="6" t="s">
        <v>282</v>
      </c>
      <c r="C75" s="7">
        <v>38547</v>
      </c>
      <c r="D75" s="6" t="s">
        <v>138</v>
      </c>
      <c r="E75" s="6" t="s">
        <v>83</v>
      </c>
      <c r="F75" s="6" t="s">
        <v>84</v>
      </c>
      <c r="G75" s="6" t="s">
        <v>156</v>
      </c>
      <c r="H75" s="6" t="s">
        <v>283</v>
      </c>
      <c r="I75" s="6" t="s">
        <v>95</v>
      </c>
      <c r="J75" s="6" t="str">
        <f>IF(E75="KTG","KTG",(VLOOKUP(I75,'[1]list of outsource'!B:H,2,0)))</f>
        <v>Woer</v>
      </c>
      <c r="K75" s="6" t="s">
        <v>96</v>
      </c>
      <c r="L75" s="6"/>
      <c r="M75" s="6" t="s">
        <v>284</v>
      </c>
      <c r="N75" s="6" t="s">
        <v>285</v>
      </c>
      <c r="O75" s="6"/>
      <c r="P75" s="6"/>
      <c r="Q75" s="8"/>
      <c r="R75" s="6"/>
      <c r="S75" s="6"/>
      <c r="T75" s="6"/>
      <c r="U75" s="6">
        <v>2</v>
      </c>
      <c r="V75" s="6"/>
      <c r="W75" s="6" t="s">
        <v>37</v>
      </c>
      <c r="X75" s="7">
        <v>44873</v>
      </c>
      <c r="Y75" s="7">
        <v>44873</v>
      </c>
      <c r="AC75"/>
      <c r="AE75" t="str">
        <f t="shared" si="11"/>
        <v>P000170</v>
      </c>
      <c r="AF75" t="str">
        <f>_xlfn.XLOOKUP(AE75, Hoja2!A:A, Hoja2!A:A)</f>
        <v>P000170</v>
      </c>
      <c r="AG75" t="str">
        <f t="shared" ref="AG75:AG81" si="12">LEFT(B75, FIND(" ", B75 &amp; " ") - 1)</f>
        <v>PP00018-33</v>
      </c>
      <c r="AH75">
        <f>_xlfn.XLOOKUP(AG75, Hoja3!A:A, Hoja3!B:B)</f>
        <v>5275</v>
      </c>
      <c r="AI75" t="str">
        <f>_xlfn.XLOOKUP(AH75, Hoja4!A:A, Hoja4!B:B)</f>
        <v>E35246300</v>
      </c>
      <c r="AJ75" t="b">
        <f t="shared" ref="AJ75:AJ81" si="13">H75=AI75</f>
        <v>1</v>
      </c>
    </row>
    <row r="76" spans="1:36" ht="15.5" customHeight="1" x14ac:dyDescent="0.35">
      <c r="A76">
        <f t="shared" ca="1" si="10"/>
        <v>6322</v>
      </c>
      <c r="B76" s="6" t="s">
        <v>286</v>
      </c>
      <c r="C76" s="7">
        <v>38547</v>
      </c>
      <c r="D76" s="6" t="s">
        <v>138</v>
      </c>
      <c r="E76" s="6" t="s">
        <v>139</v>
      </c>
      <c r="F76" s="6" t="s">
        <v>84</v>
      </c>
      <c r="G76" s="6" t="s">
        <v>156</v>
      </c>
      <c r="H76" s="6" t="s">
        <v>287</v>
      </c>
      <c r="I76" s="6" t="s">
        <v>208</v>
      </c>
      <c r="J76" s="6" t="str">
        <f>IF(E76="KTG","KTG",(VLOOKUP(I76,'[1]list of outsource'!B:H,2,0)))</f>
        <v>ETC</v>
      </c>
      <c r="K76" s="6" t="s">
        <v>209</v>
      </c>
      <c r="L76" s="6"/>
      <c r="M76" s="6" t="s">
        <v>288</v>
      </c>
      <c r="N76" s="6" t="s">
        <v>289</v>
      </c>
      <c r="O76" s="6"/>
      <c r="P76" s="6"/>
      <c r="Q76" s="8"/>
      <c r="R76" s="6"/>
      <c r="S76" s="6"/>
      <c r="T76" s="6"/>
      <c r="U76" s="6">
        <v>2</v>
      </c>
      <c r="V76" s="6"/>
      <c r="W76" s="6" t="s">
        <v>37</v>
      </c>
      <c r="X76" s="7">
        <v>44869</v>
      </c>
      <c r="Y76" s="7">
        <v>44869</v>
      </c>
      <c r="AC76"/>
      <c r="AE76" t="str">
        <f t="shared" si="11"/>
        <v>P000162</v>
      </c>
      <c r="AF76" t="str">
        <f>_xlfn.XLOOKUP(AE76, Hoja2!A:A, Hoja2!A:A)</f>
        <v>P000162</v>
      </c>
      <c r="AG76" t="str">
        <f t="shared" si="12"/>
        <v>PP00018-34</v>
      </c>
      <c r="AH76">
        <f>_xlfn.XLOOKUP(AG76, Hoja3!A:A, Hoja3!B:B)</f>
        <v>5276</v>
      </c>
      <c r="AI76" t="str">
        <f>_xlfn.XLOOKUP(AH76, Hoja4!A:A, Hoja4!B:B)</f>
        <v>E35100000</v>
      </c>
      <c r="AJ76" t="b">
        <f t="shared" si="13"/>
        <v>1</v>
      </c>
    </row>
    <row r="77" spans="1:36" ht="15.5" customHeight="1" x14ac:dyDescent="0.35">
      <c r="A77">
        <f t="shared" ca="1" si="10"/>
        <v>6328</v>
      </c>
      <c r="B77" s="6" t="s">
        <v>290</v>
      </c>
      <c r="C77" s="7">
        <v>38547</v>
      </c>
      <c r="D77" s="6" t="s">
        <v>138</v>
      </c>
      <c r="E77" s="6" t="s">
        <v>139</v>
      </c>
      <c r="F77" s="6" t="s">
        <v>84</v>
      </c>
      <c r="G77" s="6" t="s">
        <v>156</v>
      </c>
      <c r="H77" s="6" t="s">
        <v>291</v>
      </c>
      <c r="I77" s="6" t="s">
        <v>208</v>
      </c>
      <c r="J77" s="6" t="str">
        <f>IF(E77="KTG","KTG",(VLOOKUP(I77,'[1]list of outsource'!B:H,2,0)))</f>
        <v>ETC</v>
      </c>
      <c r="K77" s="6" t="s">
        <v>209</v>
      </c>
      <c r="L77" s="6"/>
      <c r="M77" s="6" t="s">
        <v>292</v>
      </c>
      <c r="N77" s="6" t="s">
        <v>293</v>
      </c>
      <c r="O77" s="6"/>
      <c r="P77" s="6"/>
      <c r="Q77" s="8"/>
      <c r="R77" s="6"/>
      <c r="S77" s="6"/>
      <c r="T77" s="6"/>
      <c r="U77" s="6">
        <v>2</v>
      </c>
      <c r="V77" s="6"/>
      <c r="W77" s="6" t="s">
        <v>37</v>
      </c>
      <c r="X77" s="7">
        <v>44875</v>
      </c>
      <c r="Y77" s="7">
        <v>44875</v>
      </c>
      <c r="AC77"/>
      <c r="AE77" t="str">
        <f t="shared" si="11"/>
        <v>P000158</v>
      </c>
      <c r="AF77" t="str">
        <f>_xlfn.XLOOKUP(AE77, Hoja2!A:A, Hoja2!A:A)</f>
        <v>P000158</v>
      </c>
      <c r="AG77" t="str">
        <f t="shared" si="12"/>
        <v>PP00018-35</v>
      </c>
      <c r="AH77">
        <f>_xlfn.XLOOKUP(AG77, Hoja3!A:A, Hoja3!B:B)</f>
        <v>5277</v>
      </c>
      <c r="AI77" t="str">
        <f>_xlfn.XLOOKUP(AH77, Hoja4!A:A, Hoja4!B:B)</f>
        <v>E35099600</v>
      </c>
      <c r="AJ77" t="b">
        <f t="shared" si="13"/>
        <v>1</v>
      </c>
    </row>
    <row r="78" spans="1:36" ht="15.5" customHeight="1" x14ac:dyDescent="0.35">
      <c r="A78">
        <f t="shared" ca="1" si="10"/>
        <v>6328</v>
      </c>
      <c r="B78" s="6" t="s">
        <v>294</v>
      </c>
      <c r="C78" s="7">
        <v>38547</v>
      </c>
      <c r="D78" s="6" t="s">
        <v>138</v>
      </c>
      <c r="E78" s="6" t="s">
        <v>139</v>
      </c>
      <c r="F78" s="6" t="s">
        <v>84</v>
      </c>
      <c r="G78" s="6" t="s">
        <v>156</v>
      </c>
      <c r="H78" s="6" t="s">
        <v>295</v>
      </c>
      <c r="I78" s="6" t="s">
        <v>208</v>
      </c>
      <c r="J78" s="6" t="str">
        <f>IF(E78="KTG","KTG",(VLOOKUP(I78,'[1]list of outsource'!B:H,2,0)))</f>
        <v>ETC</v>
      </c>
      <c r="K78" s="6" t="s">
        <v>209</v>
      </c>
      <c r="L78" s="6"/>
      <c r="M78" s="6" t="s">
        <v>296</v>
      </c>
      <c r="N78" s="6" t="s">
        <v>297</v>
      </c>
      <c r="O78" s="6"/>
      <c r="P78" s="6"/>
      <c r="Q78" s="8"/>
      <c r="R78" s="6"/>
      <c r="S78" s="6"/>
      <c r="T78" s="6"/>
      <c r="U78" s="6">
        <v>2</v>
      </c>
      <c r="V78" s="6"/>
      <c r="W78" s="6" t="s">
        <v>37</v>
      </c>
      <c r="X78" s="7">
        <v>44875</v>
      </c>
      <c r="Y78" s="7">
        <v>44875</v>
      </c>
      <c r="AC78"/>
      <c r="AE78" t="str">
        <f t="shared" si="11"/>
        <v>P000159</v>
      </c>
      <c r="AF78" t="str">
        <f>_xlfn.XLOOKUP(AE78, Hoja2!A:A, Hoja2!A:A)</f>
        <v>P000159</v>
      </c>
      <c r="AG78" t="str">
        <f t="shared" si="12"/>
        <v>PP00018-36</v>
      </c>
      <c r="AH78">
        <f>_xlfn.XLOOKUP(AG78, Hoja3!A:A, Hoja3!B:B)</f>
        <v>5278</v>
      </c>
      <c r="AI78" t="str">
        <f>_xlfn.XLOOKUP(AH78, Hoja4!A:A, Hoja4!B:B)</f>
        <v>E35099700</v>
      </c>
      <c r="AJ78" t="b">
        <f t="shared" si="13"/>
        <v>1</v>
      </c>
    </row>
    <row r="79" spans="1:36" ht="15.5" customHeight="1" x14ac:dyDescent="0.35">
      <c r="A79">
        <f t="shared" ca="1" si="10"/>
        <v>6249</v>
      </c>
      <c r="B79" s="6" t="s">
        <v>298</v>
      </c>
      <c r="C79" s="7">
        <v>38547</v>
      </c>
      <c r="D79" s="6" t="s">
        <v>138</v>
      </c>
      <c r="E79" s="6" t="s">
        <v>83</v>
      </c>
      <c r="F79" s="6" t="s">
        <v>101</v>
      </c>
      <c r="G79" s="6" t="s">
        <v>299</v>
      </c>
      <c r="H79" s="6" t="s">
        <v>300</v>
      </c>
      <c r="I79" s="6" t="s">
        <v>133</v>
      </c>
      <c r="J79" s="6" t="str">
        <f>IF(E79="KTG","KTG",(VLOOKUP(I79,'[1]list of outsource'!B:H,2,0)))</f>
        <v>UPM</v>
      </c>
      <c r="K79" s="6" t="s">
        <v>301</v>
      </c>
      <c r="L79" s="6"/>
      <c r="M79" s="6" t="s">
        <v>302</v>
      </c>
      <c r="N79" s="6" t="s">
        <v>303</v>
      </c>
      <c r="O79" s="6"/>
      <c r="P79" s="6"/>
      <c r="Q79" s="8"/>
      <c r="R79" s="6"/>
      <c r="S79" s="6"/>
      <c r="T79" s="6"/>
      <c r="U79" s="6">
        <v>2</v>
      </c>
      <c r="V79" s="6"/>
      <c r="W79" s="6" t="s">
        <v>37</v>
      </c>
      <c r="X79" s="7">
        <v>44796</v>
      </c>
      <c r="Y79" s="7">
        <v>44804</v>
      </c>
      <c r="AC79"/>
      <c r="AE79" t="str">
        <f t="shared" si="11"/>
        <v>P000026</v>
      </c>
      <c r="AF79" t="str">
        <f>_xlfn.XLOOKUP(AE79, Hoja2!A:A, Hoja2!A:A)</f>
        <v>P000026</v>
      </c>
      <c r="AG79" t="str">
        <f t="shared" si="12"/>
        <v>PP00020-1</v>
      </c>
      <c r="AH79">
        <v>5559</v>
      </c>
      <c r="AI79" t="str">
        <f>_xlfn.XLOOKUP(AH79, Hoja4!A:A, Hoja4!B:B)</f>
        <v>GP088846</v>
      </c>
      <c r="AJ79" t="b">
        <f t="shared" si="13"/>
        <v>1</v>
      </c>
    </row>
    <row r="80" spans="1:36" ht="15.5" customHeight="1" x14ac:dyDescent="0.35">
      <c r="A80">
        <f t="shared" ca="1" si="10"/>
        <v>6229</v>
      </c>
      <c r="B80" s="6" t="s">
        <v>304</v>
      </c>
      <c r="C80" s="7">
        <v>38547</v>
      </c>
      <c r="D80" s="6" t="s">
        <v>138</v>
      </c>
      <c r="E80" s="6" t="s">
        <v>83</v>
      </c>
      <c r="F80" s="6" t="s">
        <v>101</v>
      </c>
      <c r="G80" s="6" t="s">
        <v>299</v>
      </c>
      <c r="H80" s="6" t="s">
        <v>305</v>
      </c>
      <c r="I80" s="6" t="s">
        <v>218</v>
      </c>
      <c r="J80" s="6" t="str">
        <f>IF(E80="KTG","KTG",(VLOOKUP(I80,'[1]list of outsource'!B:H,2,0)))</f>
        <v>UPM</v>
      </c>
      <c r="K80" s="6" t="s">
        <v>219</v>
      </c>
      <c r="L80" s="6"/>
      <c r="M80" s="6" t="s">
        <v>306</v>
      </c>
      <c r="N80" s="6" t="s">
        <v>307</v>
      </c>
      <c r="O80" s="6"/>
      <c r="P80" s="6"/>
      <c r="Q80" s="8"/>
      <c r="R80" s="6"/>
      <c r="S80" s="6"/>
      <c r="T80" s="6"/>
      <c r="U80" s="6">
        <v>2</v>
      </c>
      <c r="V80" s="6"/>
      <c r="W80" s="6" t="s">
        <v>37</v>
      </c>
      <c r="X80" s="7">
        <v>44776</v>
      </c>
      <c r="Y80" s="7">
        <v>44781</v>
      </c>
      <c r="AC80"/>
      <c r="AE80" t="str">
        <f t="shared" si="11"/>
        <v>P000032</v>
      </c>
      <c r="AF80" t="str">
        <f>_xlfn.XLOOKUP(AE80, Hoja2!A:A, Hoja2!A:A)</f>
        <v>P000032</v>
      </c>
      <c r="AG80" t="str">
        <f t="shared" si="12"/>
        <v>PP00020-2</v>
      </c>
      <c r="AH80">
        <v>5560</v>
      </c>
      <c r="AI80" t="str">
        <f>_xlfn.XLOOKUP(AH80, Hoja4!A:A, Hoja4!B:B)</f>
        <v>GP089792</v>
      </c>
      <c r="AJ80" t="b">
        <f t="shared" si="13"/>
        <v>1</v>
      </c>
    </row>
    <row r="81" spans="1:36" ht="15.5" customHeight="1" x14ac:dyDescent="0.35">
      <c r="A81">
        <f t="shared" ca="1" si="10"/>
        <v>6229</v>
      </c>
      <c r="B81" s="6" t="s">
        <v>308</v>
      </c>
      <c r="C81" s="7">
        <v>38547</v>
      </c>
      <c r="D81" s="6" t="s">
        <v>138</v>
      </c>
      <c r="E81" s="6" t="s">
        <v>83</v>
      </c>
      <c r="F81" s="6" t="s">
        <v>101</v>
      </c>
      <c r="G81" s="6" t="s">
        <v>299</v>
      </c>
      <c r="H81" s="6" t="s">
        <v>309</v>
      </c>
      <c r="I81" s="6" t="s">
        <v>218</v>
      </c>
      <c r="J81" s="6" t="str">
        <f>IF(E81="KTG","KTG",(VLOOKUP(I81,'[1]list of outsource'!B:H,2,0)))</f>
        <v>UPM</v>
      </c>
      <c r="K81" s="6" t="s">
        <v>219</v>
      </c>
      <c r="L81" s="6"/>
      <c r="M81" s="6" t="s">
        <v>310</v>
      </c>
      <c r="N81" s="6" t="s">
        <v>311</v>
      </c>
      <c r="O81" s="6"/>
      <c r="P81" s="6"/>
      <c r="Q81" s="8"/>
      <c r="R81" s="6"/>
      <c r="S81" s="6"/>
      <c r="T81" s="6"/>
      <c r="U81" s="6">
        <v>2</v>
      </c>
      <c r="V81" s="6"/>
      <c r="W81" s="6" t="s">
        <v>37</v>
      </c>
      <c r="X81" s="7">
        <v>44776</v>
      </c>
      <c r="Y81" s="7">
        <v>44781</v>
      </c>
      <c r="AC81"/>
      <c r="AE81" t="str">
        <f t="shared" si="11"/>
        <v>P000033</v>
      </c>
      <c r="AF81" t="str">
        <f>_xlfn.XLOOKUP(AE81, Hoja2!A:A, Hoja2!A:A)</f>
        <v>P000033</v>
      </c>
      <c r="AG81" t="str">
        <f t="shared" si="12"/>
        <v>PP00020-3</v>
      </c>
      <c r="AH81">
        <f>_xlfn.XLOOKUP(AG81, Hoja3!A:A, Hoja3!B:B)</f>
        <v>5561</v>
      </c>
      <c r="AI81" t="str">
        <f>_xlfn.XLOOKUP(AH81, Hoja4!A:A, Hoja4!B:B)</f>
        <v>GP089790</v>
      </c>
      <c r="AJ81" t="b">
        <f t="shared" si="13"/>
        <v>1</v>
      </c>
    </row>
    <row r="82" spans="1:36" ht="15.5" hidden="1" customHeight="1" x14ac:dyDescent="0.35">
      <c r="A82">
        <f t="shared" ca="1" si="10"/>
        <v>6249</v>
      </c>
      <c r="B82" s="55" t="s">
        <v>312</v>
      </c>
      <c r="C82" s="7">
        <v>38547</v>
      </c>
      <c r="D82" s="6" t="s">
        <v>138</v>
      </c>
      <c r="E82" s="6" t="s">
        <v>83</v>
      </c>
      <c r="F82" s="6" t="s">
        <v>101</v>
      </c>
      <c r="G82" s="6" t="s">
        <v>299</v>
      </c>
      <c r="H82" s="6" t="s">
        <v>313</v>
      </c>
      <c r="I82" s="6" t="s">
        <v>314</v>
      </c>
      <c r="J82" s="6" t="str">
        <f>IF(E82="KTG","KTG",(VLOOKUP(I82,'[1]list of outsource'!B:H,2,0)))</f>
        <v>UPM</v>
      </c>
      <c r="K82" s="6" t="s">
        <v>315</v>
      </c>
      <c r="L82" s="6"/>
      <c r="M82" s="55" t="s">
        <v>316</v>
      </c>
      <c r="N82" s="6" t="s">
        <v>317</v>
      </c>
      <c r="O82" s="6"/>
      <c r="P82" s="6"/>
      <c r="Q82" s="8"/>
      <c r="R82" s="6"/>
      <c r="S82" s="6"/>
      <c r="T82" s="6"/>
      <c r="U82" s="6">
        <v>2</v>
      </c>
      <c r="V82" s="6"/>
      <c r="W82" s="6" t="s">
        <v>37</v>
      </c>
      <c r="X82" s="7">
        <v>44796</v>
      </c>
      <c r="Y82" s="7">
        <v>44804</v>
      </c>
      <c r="AC82"/>
      <c r="AE82" t="str">
        <f t="shared" si="11"/>
        <v>P100360</v>
      </c>
      <c r="AF82" t="e">
        <f>_xlfn.XLOOKUP(AE82, Hoja2!A:A, Hoja2!A:A)</f>
        <v>#N/A</v>
      </c>
    </row>
    <row r="83" spans="1:36" ht="15.5" hidden="1" customHeight="1" x14ac:dyDescent="0.35">
      <c r="A83">
        <f t="shared" ca="1" si="10"/>
        <v>6249</v>
      </c>
      <c r="B83" s="55" t="s">
        <v>318</v>
      </c>
      <c r="C83" s="7">
        <v>38547</v>
      </c>
      <c r="D83" s="6" t="s">
        <v>138</v>
      </c>
      <c r="E83" s="6" t="s">
        <v>83</v>
      </c>
      <c r="F83" s="6" t="s">
        <v>101</v>
      </c>
      <c r="G83" s="6" t="s">
        <v>299</v>
      </c>
      <c r="H83" s="6" t="s">
        <v>319</v>
      </c>
      <c r="I83" s="6" t="s">
        <v>314</v>
      </c>
      <c r="J83" s="6" t="str">
        <f>IF(E83="KTG","KTG",(VLOOKUP(I83,'[1]list of outsource'!B:H,2,0)))</f>
        <v>UPM</v>
      </c>
      <c r="K83" s="6" t="s">
        <v>315</v>
      </c>
      <c r="L83" s="6"/>
      <c r="M83" s="55" t="s">
        <v>320</v>
      </c>
      <c r="N83" s="6" t="s">
        <v>321</v>
      </c>
      <c r="O83" s="6"/>
      <c r="P83" s="6"/>
      <c r="Q83" s="8"/>
      <c r="R83" s="6"/>
      <c r="S83" s="6"/>
      <c r="T83" s="6"/>
      <c r="U83" s="6">
        <v>2</v>
      </c>
      <c r="V83" s="6"/>
      <c r="W83" s="6" t="s">
        <v>37</v>
      </c>
      <c r="X83" s="7">
        <v>44796</v>
      </c>
      <c r="Y83" s="7">
        <v>44804</v>
      </c>
      <c r="AC83"/>
      <c r="AE83" t="str">
        <f t="shared" si="11"/>
        <v>P100362</v>
      </c>
      <c r="AF83" t="e">
        <f>_xlfn.XLOOKUP(AE83, Hoja2!A:A, Hoja2!A:A)</f>
        <v>#N/A</v>
      </c>
    </row>
    <row r="84" spans="1:36" ht="15.5" hidden="1" customHeight="1" x14ac:dyDescent="0.35">
      <c r="A84">
        <f t="shared" ca="1" si="10"/>
        <v>6249</v>
      </c>
      <c r="B84" s="55" t="s">
        <v>322</v>
      </c>
      <c r="C84" s="7">
        <v>38547</v>
      </c>
      <c r="D84" s="6" t="s">
        <v>138</v>
      </c>
      <c r="E84" s="6" t="s">
        <v>83</v>
      </c>
      <c r="F84" s="6" t="s">
        <v>101</v>
      </c>
      <c r="G84" s="6" t="s">
        <v>299</v>
      </c>
      <c r="H84" s="6" t="s">
        <v>323</v>
      </c>
      <c r="I84" s="6" t="s">
        <v>314</v>
      </c>
      <c r="J84" s="6" t="str">
        <f>IF(E84="KTG","KTG",(VLOOKUP(I84,'[1]list of outsource'!B:H,2,0)))</f>
        <v>UPM</v>
      </c>
      <c r="K84" s="6" t="s">
        <v>315</v>
      </c>
      <c r="L84" s="6"/>
      <c r="M84" s="55" t="s">
        <v>324</v>
      </c>
      <c r="N84" s="6" t="s">
        <v>325</v>
      </c>
      <c r="O84" s="6"/>
      <c r="P84" s="6"/>
      <c r="Q84" s="8"/>
      <c r="R84" s="6"/>
      <c r="S84" s="6"/>
      <c r="T84" s="6"/>
      <c r="U84" s="6">
        <v>2</v>
      </c>
      <c r="V84" s="6"/>
      <c r="W84" s="6" t="s">
        <v>37</v>
      </c>
      <c r="X84" s="7">
        <v>44796</v>
      </c>
      <c r="Y84" s="7">
        <v>44804</v>
      </c>
      <c r="AC84"/>
      <c r="AE84" t="str">
        <f t="shared" si="11"/>
        <v>P100364</v>
      </c>
      <c r="AF84" t="e">
        <f>_xlfn.XLOOKUP(AE84, Hoja2!A:A, Hoja2!A:A)</f>
        <v>#N/A</v>
      </c>
    </row>
    <row r="85" spans="1:36" ht="15.5" customHeight="1" x14ac:dyDescent="0.35">
      <c r="A85">
        <f t="shared" ca="1" si="10"/>
        <v>6206</v>
      </c>
      <c r="B85" s="6" t="s">
        <v>326</v>
      </c>
      <c r="C85" s="7">
        <v>38547</v>
      </c>
      <c r="D85" s="6" t="s">
        <v>138</v>
      </c>
      <c r="E85" s="6" t="s">
        <v>147</v>
      </c>
      <c r="F85" s="6" t="s">
        <v>84</v>
      </c>
      <c r="G85" s="6" t="s">
        <v>299</v>
      </c>
      <c r="H85" s="6" t="s">
        <v>327</v>
      </c>
      <c r="I85" s="6" t="s">
        <v>150</v>
      </c>
      <c r="J85" s="6" t="e">
        <f>IF(E85="KTG","KTG",(VLOOKUP(I85,'[1]list of outsource'!B:H,2,0)))</f>
        <v>#N/A</v>
      </c>
      <c r="K85" s="6" t="s">
        <v>151</v>
      </c>
      <c r="L85" s="6"/>
      <c r="M85" s="6" t="s">
        <v>149</v>
      </c>
      <c r="N85" s="6" t="s">
        <v>150</v>
      </c>
      <c r="O85" s="6"/>
      <c r="P85" s="6"/>
      <c r="Q85" s="8"/>
      <c r="R85" s="6"/>
      <c r="S85" s="6"/>
      <c r="T85" s="6"/>
      <c r="U85" s="6">
        <v>2</v>
      </c>
      <c r="V85" s="6"/>
      <c r="W85" s="6" t="s">
        <v>37</v>
      </c>
      <c r="X85" s="7">
        <v>44753</v>
      </c>
      <c r="Y85" s="7">
        <v>44951</v>
      </c>
      <c r="AC85"/>
      <c r="AE85" t="str">
        <f t="shared" si="11"/>
        <v>ET008-50</v>
      </c>
      <c r="AF85" t="str">
        <f>_xlfn.XLOOKUP(AE85, Hoja2!A:A, Hoja2!A:A)</f>
        <v>ET008-50</v>
      </c>
      <c r="AG85" t="str">
        <f t="shared" ref="AG85:AG97" si="14">LEFT(B85, FIND(" ", B85 &amp; " ") - 1)</f>
        <v>PP00021-1</v>
      </c>
      <c r="AH85">
        <f>_xlfn.XLOOKUP(AG85, Hoja3!A:A, Hoja3!B:B)</f>
        <v>5296</v>
      </c>
      <c r="AI85" t="str">
        <f>_xlfn.XLOOKUP(AH85, Hoja4!A:A, Hoja4!B:B)</f>
        <v>E66699500</v>
      </c>
      <c r="AJ85" t="b">
        <f t="shared" ref="AJ85:AJ93" si="15">H85=AI85</f>
        <v>1</v>
      </c>
    </row>
    <row r="86" spans="1:36" ht="15.5" customHeight="1" x14ac:dyDescent="0.35">
      <c r="A86">
        <f t="shared" ca="1" si="10"/>
        <v>6349</v>
      </c>
      <c r="B86" s="6" t="s">
        <v>328</v>
      </c>
      <c r="C86" s="7">
        <v>38547</v>
      </c>
      <c r="D86" s="6" t="s">
        <v>138</v>
      </c>
      <c r="E86" s="6" t="s">
        <v>83</v>
      </c>
      <c r="F86" s="6" t="s">
        <v>329</v>
      </c>
      <c r="G86" s="6" t="s">
        <v>299</v>
      </c>
      <c r="H86" s="6" t="s">
        <v>330</v>
      </c>
      <c r="I86" s="6" t="s">
        <v>87</v>
      </c>
      <c r="J86" s="6" t="str">
        <f>IF(E86="KTG","KTG",(VLOOKUP(I86,'[1]list of outsource'!B:H,2,0)))</f>
        <v>UPM</v>
      </c>
      <c r="K86" s="6" t="s">
        <v>88</v>
      </c>
      <c r="L86" s="6"/>
      <c r="M86" s="6" t="s">
        <v>331</v>
      </c>
      <c r="N86" s="6" t="s">
        <v>332</v>
      </c>
      <c r="O86" s="6"/>
      <c r="P86" s="6"/>
      <c r="Q86" s="8"/>
      <c r="R86" s="6"/>
      <c r="S86" s="6"/>
      <c r="T86" s="6"/>
      <c r="U86" s="6">
        <v>2</v>
      </c>
      <c r="V86" s="6"/>
      <c r="W86" s="6" t="s">
        <v>37</v>
      </c>
      <c r="X86" s="7">
        <v>44896</v>
      </c>
      <c r="Y86" s="7">
        <v>44915</v>
      </c>
      <c r="AC86"/>
      <c r="AE86" t="str">
        <f t="shared" si="11"/>
        <v>P000198</v>
      </c>
      <c r="AF86" t="str">
        <f>_xlfn.XLOOKUP(AE86, Hoja2!A:A, Hoja2!A:A)</f>
        <v>P000198</v>
      </c>
      <c r="AG86" t="str">
        <f t="shared" si="14"/>
        <v>PP00024-01</v>
      </c>
      <c r="AH86">
        <f>_xlfn.XLOOKUP(AG86, Hoja3!A:A, Hoja3!B:B)</f>
        <v>4498</v>
      </c>
      <c r="AI86" t="str">
        <f>_xlfn.XLOOKUP(AH86, Hoja4!A:A, Hoja4!B:B)</f>
        <v>E36091300</v>
      </c>
      <c r="AJ86" t="b">
        <f t="shared" si="15"/>
        <v>1</v>
      </c>
    </row>
    <row r="87" spans="1:36" ht="15.5" customHeight="1" x14ac:dyDescent="0.35">
      <c r="A87">
        <f t="shared" ca="1" si="10"/>
        <v>6003</v>
      </c>
      <c r="B87" s="6" t="s">
        <v>120</v>
      </c>
      <c r="C87" s="7">
        <v>38547</v>
      </c>
      <c r="D87" s="6" t="s">
        <v>121</v>
      </c>
      <c r="E87" s="6" t="s">
        <v>30</v>
      </c>
      <c r="F87" s="6" t="s">
        <v>31</v>
      </c>
      <c r="G87" s="6" t="s">
        <v>32</v>
      </c>
      <c r="H87" s="6">
        <v>95850332</v>
      </c>
      <c r="I87" s="6" t="s">
        <v>33</v>
      </c>
      <c r="J87" s="6" t="str">
        <f>IF(E87="KTG","KTG",(VLOOKUP(I87,'[1]list of outsource'!B:H,2,0)))</f>
        <v>KTG</v>
      </c>
      <c r="K87" s="6" t="s">
        <v>34</v>
      </c>
      <c r="L87" s="6"/>
      <c r="M87" s="58" t="s">
        <v>45</v>
      </c>
      <c r="N87" s="6" t="s">
        <v>46</v>
      </c>
      <c r="O87" s="6"/>
      <c r="P87" s="6"/>
      <c r="Q87" s="8"/>
      <c r="R87" s="6"/>
      <c r="S87" s="6"/>
      <c r="T87" s="6"/>
      <c r="U87" s="6">
        <v>1</v>
      </c>
      <c r="V87" s="6"/>
      <c r="W87" s="6" t="s">
        <v>122</v>
      </c>
      <c r="X87" s="7">
        <v>44550</v>
      </c>
      <c r="Y87" s="7"/>
      <c r="AC87"/>
      <c r="AE87" t="str">
        <f t="shared" si="11"/>
        <v>E101703</v>
      </c>
      <c r="AF87" t="str">
        <f>_xlfn.XLOOKUP(AE87, Hoja2!A:A, Hoja2!A:A)</f>
        <v>E101703</v>
      </c>
      <c r="AG87" t="str">
        <f t="shared" si="14"/>
        <v>PP00011-1</v>
      </c>
      <c r="AH87">
        <f>_xlfn.XLOOKUP(AG87, Hoja3!A:A, Hoja3!B:B)</f>
        <v>105</v>
      </c>
      <c r="AI87">
        <f>_xlfn.XLOOKUP(AH87, Hoja4!A:A, Hoja4!B:B)</f>
        <v>95850332</v>
      </c>
      <c r="AJ87" t="b">
        <f t="shared" si="15"/>
        <v>1</v>
      </c>
    </row>
    <row r="88" spans="1:36" ht="15.5" customHeight="1" x14ac:dyDescent="0.35">
      <c r="A88">
        <f t="shared" ca="1" si="10"/>
        <v>6003</v>
      </c>
      <c r="B88" s="6" t="s">
        <v>123</v>
      </c>
      <c r="C88" s="7">
        <v>38547</v>
      </c>
      <c r="D88" s="6" t="s">
        <v>121</v>
      </c>
      <c r="E88" s="6" t="s">
        <v>30</v>
      </c>
      <c r="F88" s="6" t="s">
        <v>31</v>
      </c>
      <c r="G88" s="6" t="s">
        <v>32</v>
      </c>
      <c r="H88" s="6">
        <v>95850007</v>
      </c>
      <c r="I88" s="6" t="s">
        <v>33</v>
      </c>
      <c r="J88" s="6" t="str">
        <f>IF(E88="KTG","KTG",(VLOOKUP(I88,'[1]list of outsource'!B:H,2,0)))</f>
        <v>KTG</v>
      </c>
      <c r="K88" s="6" t="s">
        <v>34</v>
      </c>
      <c r="L88" s="6"/>
      <c r="M88" s="58" t="s">
        <v>48</v>
      </c>
      <c r="N88" s="6" t="s">
        <v>49</v>
      </c>
      <c r="O88" s="6"/>
      <c r="P88" s="6"/>
      <c r="Q88" s="8"/>
      <c r="R88" s="6"/>
      <c r="S88" s="6"/>
      <c r="T88" s="6"/>
      <c r="U88" s="6">
        <v>1</v>
      </c>
      <c r="V88" s="6"/>
      <c r="W88" s="6" t="s">
        <v>122</v>
      </c>
      <c r="X88" s="7">
        <v>44550</v>
      </c>
      <c r="Y88" s="7"/>
      <c r="AC88"/>
      <c r="AE88" t="str">
        <f t="shared" si="11"/>
        <v>E101701</v>
      </c>
      <c r="AF88" t="str">
        <f>_xlfn.XLOOKUP(AE88, Hoja2!A:A, Hoja2!A:A)</f>
        <v>E101701</v>
      </c>
      <c r="AG88" t="str">
        <f t="shared" si="14"/>
        <v>PP00011-2</v>
      </c>
      <c r="AH88">
        <f>_xlfn.XLOOKUP(AG88, Hoja3!A:A, Hoja3!B:B)</f>
        <v>103</v>
      </c>
      <c r="AI88">
        <f>_xlfn.XLOOKUP(AH88, Hoja4!A:A, Hoja4!B:B)</f>
        <v>95850007</v>
      </c>
      <c r="AJ88" t="b">
        <f t="shared" si="15"/>
        <v>1</v>
      </c>
    </row>
    <row r="89" spans="1:36" ht="15.5" customHeight="1" x14ac:dyDescent="0.35">
      <c r="A89">
        <f t="shared" ca="1" si="10"/>
        <v>5898</v>
      </c>
      <c r="B89" s="12" t="s">
        <v>130</v>
      </c>
      <c r="C89" s="13">
        <v>38547</v>
      </c>
      <c r="D89" s="14" t="s">
        <v>121</v>
      </c>
      <c r="E89" s="14" t="s">
        <v>83</v>
      </c>
      <c r="F89" s="14" t="s">
        <v>101</v>
      </c>
      <c r="G89" s="14" t="s">
        <v>131</v>
      </c>
      <c r="H89" s="14" t="s">
        <v>132</v>
      </c>
      <c r="I89" s="14" t="s">
        <v>133</v>
      </c>
      <c r="J89" s="14" t="str">
        <f>IF(E89="KTG","KTG",(VLOOKUP(I89,'[1]list of outsource'!B:H,2,0)))</f>
        <v>UPM</v>
      </c>
      <c r="K89" s="14" t="s">
        <v>134</v>
      </c>
      <c r="L89" s="14"/>
      <c r="M89" s="14" t="s">
        <v>135</v>
      </c>
      <c r="N89" s="14" t="s">
        <v>136</v>
      </c>
      <c r="O89" s="14"/>
      <c r="P89" s="14"/>
      <c r="Q89" s="15"/>
      <c r="R89" s="14"/>
      <c r="S89" s="16"/>
      <c r="T89" s="14"/>
      <c r="U89" s="14">
        <v>2</v>
      </c>
      <c r="V89" s="14"/>
      <c r="W89" s="14" t="s">
        <v>37</v>
      </c>
      <c r="X89" s="13">
        <v>44445</v>
      </c>
      <c r="Y89" s="13"/>
      <c r="AC89"/>
      <c r="AE89" t="str">
        <f t="shared" si="11"/>
        <v>P000028</v>
      </c>
      <c r="AF89" t="str">
        <f>_xlfn.XLOOKUP(AE89, Hoja2!A:A, Hoja2!A:A)</f>
        <v>P000028</v>
      </c>
      <c r="AG89" t="str">
        <f t="shared" si="14"/>
        <v>PP00009-1</v>
      </c>
      <c r="AH89">
        <v>5558</v>
      </c>
      <c r="AI89" t="str">
        <f>_xlfn.XLOOKUP(AH89, Hoja4!A:A, Hoja4!B:B)</f>
        <v>GP085283</v>
      </c>
      <c r="AJ89" t="b">
        <f t="shared" si="15"/>
        <v>1</v>
      </c>
    </row>
    <row r="90" spans="1:36" ht="15.5" customHeight="1" x14ac:dyDescent="0.35">
      <c r="A90">
        <f t="shared" ca="1" si="10"/>
        <v>6146</v>
      </c>
      <c r="B90" s="6" t="s">
        <v>333</v>
      </c>
      <c r="C90" s="7">
        <v>38547</v>
      </c>
      <c r="D90" s="6" t="s">
        <v>121</v>
      </c>
      <c r="E90" s="6" t="s">
        <v>83</v>
      </c>
      <c r="F90" s="6" t="s">
        <v>84</v>
      </c>
      <c r="G90" s="6" t="s">
        <v>85</v>
      </c>
      <c r="H90" s="6" t="s">
        <v>86</v>
      </c>
      <c r="I90" s="6" t="s">
        <v>87</v>
      </c>
      <c r="J90" s="6" t="str">
        <f>IF(E90="KTG","KTG",(VLOOKUP(I90,'[1]list of outsource'!B:H,2,0)))</f>
        <v>UPM</v>
      </c>
      <c r="K90" s="6" t="s">
        <v>88</v>
      </c>
      <c r="L90" s="6"/>
      <c r="M90" s="6" t="s">
        <v>89</v>
      </c>
      <c r="N90" s="6" t="s">
        <v>90</v>
      </c>
      <c r="O90" s="6"/>
      <c r="P90" s="6"/>
      <c r="Q90" s="8"/>
      <c r="R90" s="6"/>
      <c r="S90" s="6"/>
      <c r="T90" s="6"/>
      <c r="U90" s="6">
        <v>2</v>
      </c>
      <c r="V90" s="6"/>
      <c r="W90" s="6" t="s">
        <v>154</v>
      </c>
      <c r="X90" s="7">
        <v>44693</v>
      </c>
      <c r="Y90" s="7"/>
      <c r="AC90"/>
      <c r="AE90" t="str">
        <f t="shared" si="11"/>
        <v>P000042</v>
      </c>
      <c r="AF90" t="str">
        <f>_xlfn.XLOOKUP(AE90, Hoja2!A:A, Hoja2!A:A)</f>
        <v>P000042</v>
      </c>
      <c r="AG90" t="str">
        <f t="shared" si="14"/>
        <v>PP00017-1</v>
      </c>
      <c r="AH90">
        <f>_xlfn.XLOOKUP(AG90, Hoja3!A:A, Hoja3!B:B)</f>
        <v>5247</v>
      </c>
      <c r="AI90" t="str">
        <f>_xlfn.XLOOKUP(AH90, Hoja4!A:A, Hoja4!B:B)</f>
        <v>E26424100</v>
      </c>
      <c r="AJ90" t="b">
        <f t="shared" si="15"/>
        <v>1</v>
      </c>
    </row>
    <row r="91" spans="1:36" ht="15.5" customHeight="1" x14ac:dyDescent="0.35">
      <c r="A91">
        <f t="shared" ca="1" si="10"/>
        <v>6328</v>
      </c>
      <c r="B91" s="6" t="s">
        <v>334</v>
      </c>
      <c r="C91" s="7">
        <v>38547</v>
      </c>
      <c r="D91" s="6" t="s">
        <v>138</v>
      </c>
      <c r="E91" s="6" t="s">
        <v>139</v>
      </c>
      <c r="F91" s="6" t="s">
        <v>84</v>
      </c>
      <c r="G91" s="6" t="s">
        <v>156</v>
      </c>
      <c r="H91" s="6" t="s">
        <v>335</v>
      </c>
      <c r="I91" s="6" t="s">
        <v>208</v>
      </c>
      <c r="J91" s="6" t="str">
        <f>IF(E91="KTG","KTG",(VLOOKUP(I91,'[1]list of outsource'!B:H,2,0)))</f>
        <v>ETC</v>
      </c>
      <c r="K91" s="6" t="s">
        <v>209</v>
      </c>
      <c r="L91" s="6"/>
      <c r="M91" s="6" t="s">
        <v>336</v>
      </c>
      <c r="N91" s="6" t="s">
        <v>337</v>
      </c>
      <c r="O91" s="6"/>
      <c r="P91" s="6"/>
      <c r="Q91" s="8"/>
      <c r="R91" s="6"/>
      <c r="S91" s="6"/>
      <c r="T91" s="6"/>
      <c r="U91" s="6">
        <v>2</v>
      </c>
      <c r="V91" s="6"/>
      <c r="W91" s="6" t="s">
        <v>37</v>
      </c>
      <c r="X91" s="7">
        <v>44875</v>
      </c>
      <c r="Y91" s="7">
        <v>44875</v>
      </c>
      <c r="AC91"/>
      <c r="AE91" t="str">
        <f t="shared" si="11"/>
        <v>P000164</v>
      </c>
      <c r="AF91" t="str">
        <f>_xlfn.XLOOKUP(AE91, Hoja2!A:A, Hoja2!A:A)</f>
        <v>P000164</v>
      </c>
      <c r="AG91" t="str">
        <f t="shared" si="14"/>
        <v>PP00018-37</v>
      </c>
      <c r="AH91">
        <f>_xlfn.XLOOKUP(AG91, Hoja3!A:A, Hoja3!B:B)</f>
        <v>5279</v>
      </c>
      <c r="AI91" t="str">
        <f>_xlfn.XLOOKUP(AH91, Hoja4!A:A, Hoja4!B:B)</f>
        <v>E35100300</v>
      </c>
      <c r="AJ91" t="b">
        <f t="shared" si="15"/>
        <v>1</v>
      </c>
    </row>
    <row r="92" spans="1:36" ht="15.5" customHeight="1" x14ac:dyDescent="0.35">
      <c r="A92">
        <f t="shared" ca="1" si="10"/>
        <v>6350</v>
      </c>
      <c r="B92" s="6" t="s">
        <v>338</v>
      </c>
      <c r="C92" s="7">
        <v>38547</v>
      </c>
      <c r="D92" s="6" t="s">
        <v>121</v>
      </c>
      <c r="E92" s="6" t="s">
        <v>83</v>
      </c>
      <c r="F92" s="6" t="s">
        <v>84</v>
      </c>
      <c r="G92" s="6" t="s">
        <v>156</v>
      </c>
      <c r="H92" s="6" t="s">
        <v>339</v>
      </c>
      <c r="I92" s="6" t="s">
        <v>340</v>
      </c>
      <c r="J92" s="6" t="str">
        <f>IF(E92="KTG","KTG",(VLOOKUP(I92,'[1]list of outsource'!B:H,2,0)))</f>
        <v>UPM</v>
      </c>
      <c r="K92" s="6" t="s">
        <v>341</v>
      </c>
      <c r="L92" s="6"/>
      <c r="M92" s="6" t="s">
        <v>342</v>
      </c>
      <c r="N92" s="6" t="s">
        <v>343</v>
      </c>
      <c r="O92" s="6"/>
      <c r="P92" s="6"/>
      <c r="Q92" s="8"/>
      <c r="R92" s="6"/>
      <c r="S92" s="6"/>
      <c r="T92" s="6"/>
      <c r="U92" s="6">
        <v>2</v>
      </c>
      <c r="V92" s="6"/>
      <c r="W92" s="6" t="s">
        <v>37</v>
      </c>
      <c r="X92" s="7">
        <v>44897</v>
      </c>
      <c r="Y92" s="7"/>
      <c r="AC92"/>
      <c r="AE92" t="str">
        <f t="shared" si="11"/>
        <v>P000148</v>
      </c>
      <c r="AF92" t="str">
        <f>_xlfn.XLOOKUP(AE92, Hoja2!A:A, Hoja2!A:A)</f>
        <v>P000148</v>
      </c>
      <c r="AG92" t="str">
        <f t="shared" si="14"/>
        <v>PP00018-38</v>
      </c>
      <c r="AH92">
        <f>_xlfn.XLOOKUP(AG92, Hoja3!A:A, Hoja3!B:B)</f>
        <v>5280</v>
      </c>
      <c r="AI92" t="str">
        <f>_xlfn.XLOOKUP(AH92, Hoja4!A:A, Hoja4!B:B)</f>
        <v>E35101100</v>
      </c>
      <c r="AJ92" t="b">
        <f t="shared" si="15"/>
        <v>1</v>
      </c>
    </row>
    <row r="93" spans="1:36" ht="15.5" customHeight="1" x14ac:dyDescent="0.35">
      <c r="A93">
        <f t="shared" ca="1" si="10"/>
        <v>6199</v>
      </c>
      <c r="B93" s="6" t="s">
        <v>344</v>
      </c>
      <c r="C93" s="7">
        <v>38547</v>
      </c>
      <c r="D93" s="6" t="s">
        <v>121</v>
      </c>
      <c r="E93" s="6" t="s">
        <v>83</v>
      </c>
      <c r="F93" s="6" t="s">
        <v>31</v>
      </c>
      <c r="G93" s="6" t="s">
        <v>32</v>
      </c>
      <c r="H93" s="6">
        <v>95821077</v>
      </c>
      <c r="I93" s="6" t="s">
        <v>87</v>
      </c>
      <c r="J93" s="6" t="str">
        <f>IF(E93="KTG","KTG",(VLOOKUP(I93,'[1]list of outsource'!B:H,2,0)))</f>
        <v>UPM</v>
      </c>
      <c r="K93" s="6" t="s">
        <v>88</v>
      </c>
      <c r="L93" s="6"/>
      <c r="M93" s="6" t="s">
        <v>345</v>
      </c>
      <c r="N93" s="6" t="s">
        <v>346</v>
      </c>
      <c r="O93" s="6"/>
      <c r="P93" s="6"/>
      <c r="Q93" s="8"/>
      <c r="R93" s="6"/>
      <c r="S93" s="6"/>
      <c r="T93" s="6"/>
      <c r="U93" s="6">
        <v>2</v>
      </c>
      <c r="V93" s="6"/>
      <c r="W93" s="6" t="s">
        <v>37</v>
      </c>
      <c r="X93" s="7">
        <v>44746</v>
      </c>
      <c r="Y93" s="7"/>
      <c r="AC93"/>
      <c r="AE93" t="str">
        <f t="shared" si="11"/>
        <v>P000076</v>
      </c>
      <c r="AF93" t="str">
        <f>_xlfn.XLOOKUP(AE93, Hoja2!A:A, Hoja2!A:A)</f>
        <v>P000076</v>
      </c>
      <c r="AG93" t="str">
        <f t="shared" si="14"/>
        <v>PP00019-0001</v>
      </c>
      <c r="AH93">
        <f>_xlfn.XLOOKUP(AG93, Hoja3!A:A, Hoja3!B:B)</f>
        <v>114</v>
      </c>
      <c r="AI93">
        <f>_xlfn.XLOOKUP(AH93, Hoja4!A:A, Hoja4!B:B)</f>
        <v>95821077</v>
      </c>
      <c r="AJ93" t="b">
        <f t="shared" si="15"/>
        <v>1</v>
      </c>
    </row>
    <row r="94" spans="1:36" ht="15.5" hidden="1" customHeight="1" x14ac:dyDescent="0.35">
      <c r="A94">
        <f t="shared" ca="1" si="10"/>
        <v>6259</v>
      </c>
      <c r="B94" s="55" t="s">
        <v>347</v>
      </c>
      <c r="C94" s="7">
        <v>38547</v>
      </c>
      <c r="D94" s="6" t="s">
        <v>121</v>
      </c>
      <c r="E94" s="6" t="s">
        <v>147</v>
      </c>
      <c r="F94" s="6" t="s">
        <v>52</v>
      </c>
      <c r="G94" s="6" t="s">
        <v>126</v>
      </c>
      <c r="H94" s="55" t="s">
        <v>348</v>
      </c>
      <c r="I94" s="6" t="s">
        <v>150</v>
      </c>
      <c r="J94" s="6" t="e">
        <f>IF(E94="KTG","KTG",(VLOOKUP(I94,'[1]list of outsource'!B:H,2,0)))</f>
        <v>#N/A</v>
      </c>
      <c r="K94" s="6" t="s">
        <v>151</v>
      </c>
      <c r="L94" s="6"/>
      <c r="M94" s="6" t="s">
        <v>149</v>
      </c>
      <c r="N94" s="6" t="s">
        <v>150</v>
      </c>
      <c r="O94" s="6"/>
      <c r="P94" s="6"/>
      <c r="Q94" s="8"/>
      <c r="R94" s="6"/>
      <c r="S94" s="6"/>
      <c r="T94" s="6"/>
      <c r="U94" s="6">
        <v>2</v>
      </c>
      <c r="V94" s="6"/>
      <c r="W94" s="6" t="s">
        <v>37</v>
      </c>
      <c r="X94" s="7">
        <v>44806</v>
      </c>
      <c r="Y94" s="7"/>
      <c r="AC94"/>
      <c r="AE94" t="str">
        <f t="shared" si="11"/>
        <v>ET008-50</v>
      </c>
      <c r="AF94" t="str">
        <f>_xlfn.XLOOKUP(AE94, Hoja2!A:A, Hoja2!A:A)</f>
        <v>ET008-50</v>
      </c>
      <c r="AG94" t="str">
        <f t="shared" si="14"/>
        <v>PP00023-0001</v>
      </c>
      <c r="AH94" t="e">
        <f>_xlfn.XLOOKUP(AG94, Hoja3!A:A, Hoja3!B:B)</f>
        <v>#N/A</v>
      </c>
    </row>
    <row r="95" spans="1:36" ht="15.5" customHeight="1" x14ac:dyDescent="0.35">
      <c r="A95">
        <f t="shared" ca="1" si="10"/>
        <v>5928</v>
      </c>
      <c r="B95" s="6" t="s">
        <v>349</v>
      </c>
      <c r="C95" s="7">
        <v>38546</v>
      </c>
      <c r="D95" s="6" t="s">
        <v>100</v>
      </c>
      <c r="E95" s="6" t="s">
        <v>83</v>
      </c>
      <c r="F95" s="6" t="s">
        <v>101</v>
      </c>
      <c r="G95" s="6" t="s">
        <v>32</v>
      </c>
      <c r="H95" s="6">
        <v>2851121</v>
      </c>
      <c r="I95" s="6" t="s">
        <v>158</v>
      </c>
      <c r="J95" s="6" t="str">
        <f>IF(E95="KTG","KTG",(VLOOKUP(I95,'[1]list of outsource'!B:H,2,0)))</f>
        <v>UPM</v>
      </c>
      <c r="K95" s="6" t="s">
        <v>159</v>
      </c>
      <c r="L95" s="6"/>
      <c r="M95" s="6" t="s">
        <v>350</v>
      </c>
      <c r="N95" s="6" t="s">
        <v>351</v>
      </c>
      <c r="O95" s="6"/>
      <c r="P95" s="6"/>
      <c r="Q95" s="8"/>
      <c r="R95" s="6"/>
      <c r="S95" s="6"/>
      <c r="T95" s="6"/>
      <c r="U95" s="6">
        <v>2</v>
      </c>
      <c r="V95" s="6"/>
      <c r="W95" s="6" t="s">
        <v>37</v>
      </c>
      <c r="X95" s="7">
        <v>44474</v>
      </c>
      <c r="Y95" s="7">
        <v>44475</v>
      </c>
      <c r="AC95"/>
      <c r="AE95" t="str">
        <f t="shared" si="11"/>
        <v>P000102</v>
      </c>
      <c r="AF95" t="str">
        <f>_xlfn.XLOOKUP(AE95, Hoja2!A:A, Hoja2!A:A)</f>
        <v>P000102</v>
      </c>
      <c r="AG95" t="str">
        <f t="shared" si="14"/>
        <v>PP00008-01</v>
      </c>
      <c r="AH95">
        <f>_xlfn.XLOOKUP(AG95, Hoja3!A:A, Hoja3!B:B)</f>
        <v>5554</v>
      </c>
      <c r="AI95">
        <f>_xlfn.XLOOKUP(AH95, Hoja4!A:A, Hoja4!B:B)</f>
        <v>2851121</v>
      </c>
      <c r="AJ95" t="b">
        <f t="shared" ref="AJ95:AJ97" si="16">H95=AI95</f>
        <v>1</v>
      </c>
    </row>
    <row r="96" spans="1:36" ht="15.5" customHeight="1" x14ac:dyDescent="0.35">
      <c r="A96">
        <f t="shared" ca="1" si="10"/>
        <v>5928</v>
      </c>
      <c r="B96" s="6" t="s">
        <v>352</v>
      </c>
      <c r="C96" s="7">
        <v>38546</v>
      </c>
      <c r="D96" s="6" t="s">
        <v>100</v>
      </c>
      <c r="E96" s="6" t="s">
        <v>83</v>
      </c>
      <c r="F96" s="6" t="s">
        <v>101</v>
      </c>
      <c r="G96" s="6" t="s">
        <v>32</v>
      </c>
      <c r="H96" s="6">
        <v>2851122</v>
      </c>
      <c r="I96" s="6" t="s">
        <v>158</v>
      </c>
      <c r="J96" s="6" t="str">
        <f>IF(E96="KTG","KTG",(VLOOKUP(I96,'[1]list of outsource'!B:H,2,0)))</f>
        <v>UPM</v>
      </c>
      <c r="K96" s="6" t="s">
        <v>159</v>
      </c>
      <c r="L96" s="6"/>
      <c r="M96" s="6" t="s">
        <v>353</v>
      </c>
      <c r="N96" s="6" t="s">
        <v>354</v>
      </c>
      <c r="O96" s="6"/>
      <c r="P96" s="6"/>
      <c r="Q96" s="8"/>
      <c r="R96" s="6"/>
      <c r="S96" s="6"/>
      <c r="T96" s="6"/>
      <c r="U96" s="6">
        <v>2</v>
      </c>
      <c r="V96" s="6"/>
      <c r="W96" s="6" t="s">
        <v>37</v>
      </c>
      <c r="X96" s="7">
        <v>44474</v>
      </c>
      <c r="Y96" s="7">
        <v>44475</v>
      </c>
      <c r="AC96"/>
      <c r="AE96" t="str">
        <f t="shared" si="11"/>
        <v>P000103</v>
      </c>
      <c r="AF96" t="str">
        <f>_xlfn.XLOOKUP(AE96, Hoja2!A:A, Hoja2!A:A)</f>
        <v>P000103</v>
      </c>
      <c r="AG96" t="str">
        <f t="shared" si="14"/>
        <v>PP00008-02</v>
      </c>
      <c r="AH96">
        <f>_xlfn.XLOOKUP(AG96, Hoja3!A:A, Hoja3!B:B)</f>
        <v>5556</v>
      </c>
      <c r="AI96">
        <f>_xlfn.XLOOKUP(AH96, Hoja4!A:A, Hoja4!B:B)</f>
        <v>2851122</v>
      </c>
      <c r="AJ96" t="b">
        <f t="shared" si="16"/>
        <v>1</v>
      </c>
    </row>
    <row r="97" spans="1:36" ht="15.5" customHeight="1" x14ac:dyDescent="0.35">
      <c r="A97">
        <f t="shared" ca="1" si="10"/>
        <v>5983</v>
      </c>
      <c r="B97" s="6" t="s">
        <v>355</v>
      </c>
      <c r="C97" s="7">
        <v>38546</v>
      </c>
      <c r="D97" s="6" t="s">
        <v>121</v>
      </c>
      <c r="E97" s="6" t="s">
        <v>83</v>
      </c>
      <c r="F97" s="6" t="s">
        <v>356</v>
      </c>
      <c r="G97" s="6" t="s">
        <v>32</v>
      </c>
      <c r="H97" s="6" t="s">
        <v>357</v>
      </c>
      <c r="I97" s="6" t="s">
        <v>158</v>
      </c>
      <c r="J97" s="6" t="str">
        <f>IF(E97="KTG","KTG",(VLOOKUP(I97,'[1]list of outsource'!B:H,2,0)))</f>
        <v>UPM</v>
      </c>
      <c r="K97" s="6" t="s">
        <v>159</v>
      </c>
      <c r="L97" s="6"/>
      <c r="M97" s="6" t="s">
        <v>358</v>
      </c>
      <c r="N97" s="6" t="s">
        <v>359</v>
      </c>
      <c r="O97" s="6"/>
      <c r="P97" s="6"/>
      <c r="Q97" s="8"/>
      <c r="R97" s="6"/>
      <c r="S97" s="6"/>
      <c r="T97" s="6"/>
      <c r="U97" s="6">
        <v>2</v>
      </c>
      <c r="V97" s="6"/>
      <c r="W97" s="6" t="s">
        <v>37</v>
      </c>
      <c r="X97" s="7">
        <v>44529</v>
      </c>
      <c r="Y97" s="7"/>
      <c r="AC97"/>
      <c r="AE97" t="str">
        <f t="shared" si="11"/>
        <v>P000109</v>
      </c>
      <c r="AF97" t="str">
        <f>_xlfn.XLOOKUP(AE97, Hoja2!A:A, Hoja2!A:A)</f>
        <v>P000109</v>
      </c>
      <c r="AG97" t="str">
        <f t="shared" si="14"/>
        <v>PP00012-01</v>
      </c>
      <c r="AH97">
        <f>_xlfn.XLOOKUP(AG97, Hoja3!A:A, Hoja3!B:B)</f>
        <v>4045</v>
      </c>
      <c r="AI97" t="str">
        <f>_xlfn.XLOOKUP(AH97, Hoja4!A:A, Hoja4!B:B)</f>
        <v>GAT125</v>
      </c>
      <c r="AJ97" t="b">
        <f t="shared" si="16"/>
        <v>1</v>
      </c>
    </row>
    <row r="98" spans="1:36" ht="15.5" hidden="1" customHeight="1" x14ac:dyDescent="0.35">
      <c r="A98">
        <f t="shared" ca="1" si="10"/>
        <v>5983</v>
      </c>
      <c r="B98" s="55" t="s">
        <v>360</v>
      </c>
      <c r="C98" s="7">
        <v>38546</v>
      </c>
      <c r="D98" s="6" t="s">
        <v>121</v>
      </c>
      <c r="E98" s="6" t="s">
        <v>83</v>
      </c>
      <c r="F98" s="6" t="s">
        <v>356</v>
      </c>
      <c r="G98" s="6" t="s">
        <v>32</v>
      </c>
      <c r="H98" s="6" t="s">
        <v>361</v>
      </c>
      <c r="I98" s="6" t="s">
        <v>158</v>
      </c>
      <c r="J98" s="6" t="str">
        <f>IF(E98="KTG","KTG",(VLOOKUP(I98,'[1]list of outsource'!B:H,2,0)))</f>
        <v>UPM</v>
      </c>
      <c r="K98" s="6" t="s">
        <v>159</v>
      </c>
      <c r="L98" s="6"/>
      <c r="M98" s="55" t="s">
        <v>362</v>
      </c>
      <c r="N98" s="6" t="s">
        <v>363</v>
      </c>
      <c r="O98" s="6"/>
      <c r="P98" s="6"/>
      <c r="Q98" s="8"/>
      <c r="R98" s="6"/>
      <c r="S98" s="6"/>
      <c r="T98" s="6"/>
      <c r="U98" s="6">
        <v>2</v>
      </c>
      <c r="V98" s="6"/>
      <c r="W98" s="6" t="s">
        <v>37</v>
      </c>
      <c r="X98" s="7">
        <v>44529</v>
      </c>
      <c r="Y98" s="7"/>
      <c r="AC98"/>
      <c r="AE98" t="str">
        <f t="shared" si="11"/>
        <v>P000116</v>
      </c>
      <c r="AF98" t="e">
        <f>_xlfn.XLOOKUP(AE98, Hoja2!A:A, Hoja2!A:A)</f>
        <v>#N/A</v>
      </c>
    </row>
    <row r="99" spans="1:36" ht="15.5" customHeight="1" x14ac:dyDescent="0.35">
      <c r="A99">
        <f t="shared" ca="1" si="10"/>
        <v>5983</v>
      </c>
      <c r="B99" s="6" t="s">
        <v>364</v>
      </c>
      <c r="C99" s="7">
        <v>38546</v>
      </c>
      <c r="D99" s="6" t="s">
        <v>121</v>
      </c>
      <c r="E99" s="6" t="s">
        <v>83</v>
      </c>
      <c r="F99" s="6" t="s">
        <v>356</v>
      </c>
      <c r="G99" s="6" t="s">
        <v>32</v>
      </c>
      <c r="H99" s="6" t="s">
        <v>365</v>
      </c>
      <c r="I99" s="6" t="s">
        <v>158</v>
      </c>
      <c r="J99" s="6" t="str">
        <f>IF(E99="KTG","KTG",(VLOOKUP(I99,'[1]list of outsource'!B:H,2,0)))</f>
        <v>UPM</v>
      </c>
      <c r="K99" s="6" t="s">
        <v>159</v>
      </c>
      <c r="L99" s="6"/>
      <c r="M99" s="6" t="s">
        <v>366</v>
      </c>
      <c r="N99" s="6" t="s">
        <v>367</v>
      </c>
      <c r="O99" s="6"/>
      <c r="P99" s="6"/>
      <c r="Q99" s="8"/>
      <c r="R99" s="6"/>
      <c r="S99" s="6"/>
      <c r="T99" s="6"/>
      <c r="U99" s="6">
        <v>2</v>
      </c>
      <c r="V99" s="6"/>
      <c r="W99" s="6" t="s">
        <v>37</v>
      </c>
      <c r="X99" s="7">
        <v>44529</v>
      </c>
      <c r="Y99" s="7"/>
      <c r="AC99"/>
      <c r="AE99" t="str">
        <f t="shared" si="11"/>
        <v>P000117</v>
      </c>
      <c r="AF99" t="str">
        <f>_xlfn.XLOOKUP(AE99, Hoja2!A:A, Hoja2!A:A)</f>
        <v>P000117</v>
      </c>
      <c r="AG99" t="str">
        <f t="shared" ref="AG99:AG119" si="17">LEFT(B99, FIND(" ", B99 &amp; " ") - 1)</f>
        <v>PP00012-03</v>
      </c>
      <c r="AH99">
        <f>_xlfn.XLOOKUP(AG99, Hoja3!A:A, Hoja3!B:B)</f>
        <v>4046</v>
      </c>
      <c r="AI99" t="str">
        <f>_xlfn.XLOOKUP(AH99, Hoja4!A:A, Hoja4!B:B)</f>
        <v>GAT023</v>
      </c>
      <c r="AJ99" t="b">
        <f t="shared" ref="AJ99:AJ119" si="18">H99=AI99</f>
        <v>1</v>
      </c>
    </row>
    <row r="100" spans="1:36" ht="15.5" customHeight="1" x14ac:dyDescent="0.35">
      <c r="A100">
        <f t="shared" ca="1" si="10"/>
        <v>5928</v>
      </c>
      <c r="B100" s="6" t="s">
        <v>349</v>
      </c>
      <c r="C100" s="7">
        <v>38546</v>
      </c>
      <c r="D100" s="6" t="s">
        <v>100</v>
      </c>
      <c r="E100" s="6" t="s">
        <v>83</v>
      </c>
      <c r="F100" s="6" t="s">
        <v>101</v>
      </c>
      <c r="G100" s="6" t="s">
        <v>32</v>
      </c>
      <c r="H100" s="6">
        <v>2851121</v>
      </c>
      <c r="I100" s="6" t="s">
        <v>158</v>
      </c>
      <c r="J100" s="6" t="str">
        <f>IF(E100="KTG","KTG",(VLOOKUP(I100,'[1]list of outsource'!B:H,2,0)))</f>
        <v>UPM</v>
      </c>
      <c r="K100" s="6" t="s">
        <v>159</v>
      </c>
      <c r="L100" s="6"/>
      <c r="M100" s="6" t="s">
        <v>350</v>
      </c>
      <c r="N100" s="6" t="s">
        <v>351</v>
      </c>
      <c r="O100" s="6"/>
      <c r="P100" s="6"/>
      <c r="Q100" s="8"/>
      <c r="R100" s="6"/>
      <c r="S100" s="6"/>
      <c r="T100" s="6"/>
      <c r="U100" s="6">
        <v>2</v>
      </c>
      <c r="V100" s="6"/>
      <c r="W100" s="6" t="s">
        <v>37</v>
      </c>
      <c r="X100" s="7">
        <v>44474</v>
      </c>
      <c r="Y100" s="7">
        <v>44475</v>
      </c>
      <c r="AC100"/>
      <c r="AE100" t="str">
        <f t="shared" si="11"/>
        <v>P000102</v>
      </c>
      <c r="AF100" t="str">
        <f>_xlfn.XLOOKUP(AE100, Hoja2!A:A, Hoja2!A:A)</f>
        <v>P000102</v>
      </c>
      <c r="AG100" t="str">
        <f t="shared" si="17"/>
        <v>PP00008-01</v>
      </c>
      <c r="AH100">
        <f>_xlfn.XLOOKUP(AG100, Hoja3!A:A, Hoja3!B:B)</f>
        <v>5554</v>
      </c>
      <c r="AI100">
        <f>_xlfn.XLOOKUP(AH100, Hoja4!A:A, Hoja4!B:B)</f>
        <v>2851121</v>
      </c>
      <c r="AJ100" t="b">
        <f t="shared" si="18"/>
        <v>1</v>
      </c>
    </row>
    <row r="101" spans="1:36" ht="15.5" customHeight="1" x14ac:dyDescent="0.35">
      <c r="A101">
        <f t="shared" ca="1" si="10"/>
        <v>6350</v>
      </c>
      <c r="B101" s="6" t="s">
        <v>368</v>
      </c>
      <c r="C101" s="7">
        <v>38547</v>
      </c>
      <c r="D101" s="6" t="s">
        <v>121</v>
      </c>
      <c r="E101" s="6" t="s">
        <v>83</v>
      </c>
      <c r="F101" s="6" t="s">
        <v>84</v>
      </c>
      <c r="G101" s="6" t="s">
        <v>156</v>
      </c>
      <c r="H101" s="6" t="s">
        <v>369</v>
      </c>
      <c r="I101" s="6" t="s">
        <v>340</v>
      </c>
      <c r="J101" s="6" t="str">
        <f>IF(E101="KTG","KTG",(VLOOKUP(I101,'[1]list of outsource'!B:H,2,0)))</f>
        <v>UPM</v>
      </c>
      <c r="K101" s="6" t="s">
        <v>341</v>
      </c>
      <c r="L101" s="6"/>
      <c r="M101" s="6" t="s">
        <v>370</v>
      </c>
      <c r="N101" s="6" t="s">
        <v>371</v>
      </c>
      <c r="O101" s="6"/>
      <c r="P101" s="6"/>
      <c r="Q101" s="8"/>
      <c r="R101" s="6"/>
      <c r="S101" s="6"/>
      <c r="T101" s="6"/>
      <c r="U101" s="6">
        <v>2</v>
      </c>
      <c r="V101" s="6"/>
      <c r="W101" s="6" t="s">
        <v>37</v>
      </c>
      <c r="X101" s="7">
        <v>44897</v>
      </c>
      <c r="Y101" s="7"/>
      <c r="AC101"/>
      <c r="AE101" t="str">
        <f t="shared" si="11"/>
        <v>P000149</v>
      </c>
      <c r="AF101" t="str">
        <f>_xlfn.XLOOKUP(AE101, Hoja2!A:A, Hoja2!A:A)</f>
        <v>P000149</v>
      </c>
      <c r="AG101" t="str">
        <f t="shared" si="17"/>
        <v>PP00018-39</v>
      </c>
      <c r="AH101">
        <f>_xlfn.XLOOKUP(AG101, Hoja3!A:A, Hoja3!B:B)</f>
        <v>5281</v>
      </c>
      <c r="AI101" t="str">
        <f>_xlfn.XLOOKUP(AH101, Hoja4!A:A, Hoja4!B:B)</f>
        <v>E35101200</v>
      </c>
      <c r="AJ101" t="b">
        <f t="shared" si="18"/>
        <v>1</v>
      </c>
    </row>
    <row r="102" spans="1:36" ht="15.5" customHeight="1" x14ac:dyDescent="0.35">
      <c r="A102">
        <f t="shared" ca="1" si="10"/>
        <v>6173</v>
      </c>
      <c r="B102" s="6" t="s">
        <v>372</v>
      </c>
      <c r="C102" s="7">
        <v>38547</v>
      </c>
      <c r="D102" s="6" t="s">
        <v>138</v>
      </c>
      <c r="E102" s="6" t="s">
        <v>83</v>
      </c>
      <c r="F102" s="6" t="s">
        <v>84</v>
      </c>
      <c r="G102" s="6" t="s">
        <v>156</v>
      </c>
      <c r="H102" s="6" t="s">
        <v>373</v>
      </c>
      <c r="I102" s="6" t="s">
        <v>95</v>
      </c>
      <c r="J102" s="6" t="str">
        <f>IF(E102="KTG","KTG",(VLOOKUP(I102,'[1]list of outsource'!B:H,2,0)))</f>
        <v>Woer</v>
      </c>
      <c r="K102" s="6" t="s">
        <v>96</v>
      </c>
      <c r="L102" s="6"/>
      <c r="M102" s="6" t="s">
        <v>374</v>
      </c>
      <c r="N102" s="6" t="s">
        <v>375</v>
      </c>
      <c r="O102" s="6"/>
      <c r="P102" s="6"/>
      <c r="Q102" s="8"/>
      <c r="R102" s="6"/>
      <c r="S102" s="6"/>
      <c r="T102" s="6"/>
      <c r="U102" s="6">
        <v>2</v>
      </c>
      <c r="V102" s="6"/>
      <c r="W102" s="6" t="s">
        <v>37</v>
      </c>
      <c r="X102" s="7">
        <v>44720</v>
      </c>
      <c r="Y102" s="7">
        <v>44722</v>
      </c>
      <c r="AC102"/>
      <c r="AE102" t="str">
        <f t="shared" si="11"/>
        <v>P000179</v>
      </c>
      <c r="AF102" t="str">
        <f>_xlfn.XLOOKUP(AE102, Hoja2!A:A, Hoja2!A:A)</f>
        <v>P000179</v>
      </c>
      <c r="AG102" t="str">
        <f t="shared" si="17"/>
        <v>PP00018-4</v>
      </c>
      <c r="AH102">
        <f>_xlfn.XLOOKUP(AG102, Hoja3!A:A, Hoja3!B:B)</f>
        <v>5282</v>
      </c>
      <c r="AI102" t="str">
        <f>_xlfn.XLOOKUP(AH102, Hoja4!A:A, Hoja4!B:B)</f>
        <v>E35563000</v>
      </c>
      <c r="AJ102" t="b">
        <f t="shared" si="18"/>
        <v>1</v>
      </c>
    </row>
    <row r="103" spans="1:36" ht="15.5" customHeight="1" x14ac:dyDescent="0.35">
      <c r="A103">
        <f t="shared" ca="1" si="10"/>
        <v>5928</v>
      </c>
      <c r="B103" s="6" t="s">
        <v>352</v>
      </c>
      <c r="C103" s="7">
        <v>38546</v>
      </c>
      <c r="D103" s="6" t="s">
        <v>100</v>
      </c>
      <c r="E103" s="6" t="s">
        <v>83</v>
      </c>
      <c r="F103" s="6" t="s">
        <v>101</v>
      </c>
      <c r="G103" s="6" t="s">
        <v>32</v>
      </c>
      <c r="H103" s="6">
        <v>2851122</v>
      </c>
      <c r="I103" s="6" t="s">
        <v>158</v>
      </c>
      <c r="J103" s="6" t="str">
        <f>IF(E103="KTG","KTG",(VLOOKUP(I103,'[1]list of outsource'!B:H,2,0)))</f>
        <v>UPM</v>
      </c>
      <c r="K103" s="6" t="s">
        <v>159</v>
      </c>
      <c r="L103" s="6"/>
      <c r="M103" s="6" t="s">
        <v>353</v>
      </c>
      <c r="N103" s="6" t="s">
        <v>354</v>
      </c>
      <c r="O103" s="6"/>
      <c r="P103" s="6"/>
      <c r="Q103" s="8"/>
      <c r="R103" s="6"/>
      <c r="S103" s="6"/>
      <c r="T103" s="6"/>
      <c r="U103" s="6">
        <v>2</v>
      </c>
      <c r="V103" s="6"/>
      <c r="W103" s="6" t="s">
        <v>37</v>
      </c>
      <c r="X103" s="7">
        <v>44474</v>
      </c>
      <c r="Y103" s="7">
        <v>44475</v>
      </c>
      <c r="AC103"/>
      <c r="AE103" t="str">
        <f t="shared" si="11"/>
        <v>P000103</v>
      </c>
      <c r="AF103" t="str">
        <f>_xlfn.XLOOKUP(AE103, Hoja2!A:A, Hoja2!A:A)</f>
        <v>P000103</v>
      </c>
      <c r="AG103" t="str">
        <f t="shared" si="17"/>
        <v>PP00008-02</v>
      </c>
      <c r="AH103">
        <f>_xlfn.XLOOKUP(AG103, Hoja3!A:A, Hoja3!B:B)</f>
        <v>5556</v>
      </c>
      <c r="AI103">
        <f>_xlfn.XLOOKUP(AH103, Hoja4!A:A, Hoja4!B:B)</f>
        <v>2851122</v>
      </c>
      <c r="AJ103" t="b">
        <f t="shared" si="18"/>
        <v>1</v>
      </c>
    </row>
    <row r="104" spans="1:36" ht="15.5" customHeight="1" x14ac:dyDescent="0.35">
      <c r="A104">
        <f t="shared" ca="1" si="10"/>
        <v>6343</v>
      </c>
      <c r="B104" s="6" t="s">
        <v>376</v>
      </c>
      <c r="C104" s="7">
        <v>38547</v>
      </c>
      <c r="D104" s="6" t="s">
        <v>138</v>
      </c>
      <c r="E104" s="6" t="s">
        <v>83</v>
      </c>
      <c r="F104" s="6" t="s">
        <v>84</v>
      </c>
      <c r="G104" s="6" t="s">
        <v>156</v>
      </c>
      <c r="H104" s="6" t="s">
        <v>377</v>
      </c>
      <c r="I104" s="6" t="s">
        <v>218</v>
      </c>
      <c r="J104" s="6" t="str">
        <f>IF(E104="KTG","KTG",(VLOOKUP(I104,'[1]list of outsource'!B:H,2,0)))</f>
        <v>UPM</v>
      </c>
      <c r="K104" s="6" t="s">
        <v>219</v>
      </c>
      <c r="L104" s="6"/>
      <c r="M104" s="6" t="s">
        <v>378</v>
      </c>
      <c r="N104" s="6" t="s">
        <v>379</v>
      </c>
      <c r="O104" s="6"/>
      <c r="P104" s="6"/>
      <c r="Q104" s="8"/>
      <c r="R104" s="6"/>
      <c r="S104" s="6"/>
      <c r="T104" s="6"/>
      <c r="U104" s="6">
        <v>2</v>
      </c>
      <c r="V104" s="6"/>
      <c r="W104" s="6" t="s">
        <v>37</v>
      </c>
      <c r="X104" s="7">
        <v>44890</v>
      </c>
      <c r="Y104" s="7">
        <v>44890</v>
      </c>
      <c r="AC104"/>
      <c r="AE104" t="str">
        <f t="shared" si="11"/>
        <v>P000128</v>
      </c>
      <c r="AF104" t="str">
        <f>_xlfn.XLOOKUP(AE104, Hoja2!A:A, Hoja2!A:A)</f>
        <v>P000128</v>
      </c>
      <c r="AG104" t="str">
        <f t="shared" si="17"/>
        <v>PP00018-40</v>
      </c>
      <c r="AH104">
        <f>_xlfn.XLOOKUP(AG104, Hoja3!A:A, Hoja3!B:B)</f>
        <v>5283</v>
      </c>
      <c r="AI104" t="str">
        <f>_xlfn.XLOOKUP(AH104, Hoja4!A:A, Hoja4!B:B)</f>
        <v>E34750200</v>
      </c>
      <c r="AJ104" t="b">
        <f t="shared" si="18"/>
        <v>1</v>
      </c>
    </row>
    <row r="105" spans="1:36" ht="15.5" customHeight="1" x14ac:dyDescent="0.35">
      <c r="A105">
        <f t="shared" ca="1" si="10"/>
        <v>6343</v>
      </c>
      <c r="B105" s="6" t="s">
        <v>380</v>
      </c>
      <c r="C105" s="7">
        <v>38547</v>
      </c>
      <c r="D105" s="6" t="s">
        <v>138</v>
      </c>
      <c r="E105" s="6" t="s">
        <v>83</v>
      </c>
      <c r="F105" s="6" t="s">
        <v>84</v>
      </c>
      <c r="G105" s="6" t="s">
        <v>156</v>
      </c>
      <c r="H105" s="6" t="s">
        <v>381</v>
      </c>
      <c r="I105" s="6" t="s">
        <v>218</v>
      </c>
      <c r="J105" s="6" t="str">
        <f>IF(E105="KTG","KTG",(VLOOKUP(I105,'[1]list of outsource'!B:H,2,0)))</f>
        <v>UPM</v>
      </c>
      <c r="K105" s="6" t="s">
        <v>219</v>
      </c>
      <c r="L105" s="6"/>
      <c r="M105" s="6" t="s">
        <v>382</v>
      </c>
      <c r="N105" s="6" t="s">
        <v>383</v>
      </c>
      <c r="O105" s="6"/>
      <c r="P105" s="6"/>
      <c r="Q105" s="8"/>
      <c r="R105" s="6"/>
      <c r="S105" s="6"/>
      <c r="T105" s="6"/>
      <c r="U105" s="6">
        <v>2</v>
      </c>
      <c r="V105" s="6"/>
      <c r="W105" s="6" t="s">
        <v>37</v>
      </c>
      <c r="X105" s="7">
        <v>44890</v>
      </c>
      <c r="Y105" s="7">
        <v>44893</v>
      </c>
      <c r="AC105"/>
      <c r="AE105" t="str">
        <f t="shared" si="11"/>
        <v>P000132</v>
      </c>
      <c r="AF105" t="str">
        <f>_xlfn.XLOOKUP(AE105, Hoja2!A:A, Hoja2!A:A)</f>
        <v>P000132</v>
      </c>
      <c r="AG105" t="str">
        <f t="shared" si="17"/>
        <v>PP00018-41</v>
      </c>
      <c r="AH105">
        <f>_xlfn.XLOOKUP(AG105, Hoja3!A:A, Hoja3!B:B)</f>
        <v>5284</v>
      </c>
      <c r="AI105" t="str">
        <f>_xlfn.XLOOKUP(AH105, Hoja4!A:A, Hoja4!B:B)</f>
        <v>E34749800</v>
      </c>
      <c r="AJ105" t="b">
        <f t="shared" si="18"/>
        <v>1</v>
      </c>
    </row>
    <row r="106" spans="1:36" ht="15.5" customHeight="1" x14ac:dyDescent="0.35">
      <c r="A106">
        <f t="shared" ca="1" si="10"/>
        <v>6343</v>
      </c>
      <c r="B106" s="6" t="s">
        <v>384</v>
      </c>
      <c r="C106" s="7">
        <v>38547</v>
      </c>
      <c r="D106" s="6" t="s">
        <v>138</v>
      </c>
      <c r="E106" s="6" t="s">
        <v>83</v>
      </c>
      <c r="F106" s="6" t="s">
        <v>84</v>
      </c>
      <c r="G106" s="6" t="s">
        <v>156</v>
      </c>
      <c r="H106" s="6" t="s">
        <v>385</v>
      </c>
      <c r="I106" s="6" t="s">
        <v>218</v>
      </c>
      <c r="J106" s="6" t="str">
        <f>IF(E106="KTG","KTG",(VLOOKUP(I106,'[1]list of outsource'!B:H,2,0)))</f>
        <v>UPM</v>
      </c>
      <c r="K106" s="6" t="s">
        <v>219</v>
      </c>
      <c r="L106" s="6"/>
      <c r="M106" s="6" t="s">
        <v>386</v>
      </c>
      <c r="N106" s="6" t="s">
        <v>387</v>
      </c>
      <c r="O106" s="6"/>
      <c r="P106" s="6"/>
      <c r="Q106" s="8"/>
      <c r="R106" s="6"/>
      <c r="S106" s="6"/>
      <c r="T106" s="6"/>
      <c r="U106" s="6">
        <v>2</v>
      </c>
      <c r="V106" s="6"/>
      <c r="W106" s="6" t="s">
        <v>37</v>
      </c>
      <c r="X106" s="7">
        <v>44890</v>
      </c>
      <c r="Y106" s="7">
        <v>44893</v>
      </c>
      <c r="AC106"/>
      <c r="AE106" t="str">
        <f t="shared" si="11"/>
        <v>P000134</v>
      </c>
      <c r="AF106" t="str">
        <f>_xlfn.XLOOKUP(AE106, Hoja2!A:A, Hoja2!A:A)</f>
        <v>P000134</v>
      </c>
      <c r="AG106" t="str">
        <f t="shared" si="17"/>
        <v>PP00018-42</v>
      </c>
      <c r="AH106">
        <f>_xlfn.XLOOKUP(AG106, Hoja3!A:A, Hoja3!B:B)</f>
        <v>5285</v>
      </c>
      <c r="AI106" t="str">
        <f>_xlfn.XLOOKUP(AH106, Hoja4!A:A, Hoja4!B:B)</f>
        <v>E35053200</v>
      </c>
      <c r="AJ106" t="b">
        <f t="shared" si="18"/>
        <v>1</v>
      </c>
    </row>
    <row r="107" spans="1:36" ht="15.5" customHeight="1" x14ac:dyDescent="0.35">
      <c r="A107">
        <f t="shared" ca="1" si="10"/>
        <v>6344</v>
      </c>
      <c r="B107" s="6" t="s">
        <v>388</v>
      </c>
      <c r="C107" s="7">
        <v>38546</v>
      </c>
      <c r="D107" s="6" t="s">
        <v>138</v>
      </c>
      <c r="E107" s="6" t="s">
        <v>83</v>
      </c>
      <c r="F107" s="6" t="s">
        <v>84</v>
      </c>
      <c r="G107" s="6" t="s">
        <v>156</v>
      </c>
      <c r="H107" s="6" t="s">
        <v>389</v>
      </c>
      <c r="I107" s="6" t="s">
        <v>158</v>
      </c>
      <c r="J107" s="6" t="str">
        <f>IF(E107="KTG","KTG",(VLOOKUP(I107,'[1]list of outsource'!B:H,2,0)))</f>
        <v>UPM</v>
      </c>
      <c r="K107" s="6" t="s">
        <v>159</v>
      </c>
      <c r="L107" s="6"/>
      <c r="M107" s="6" t="s">
        <v>390</v>
      </c>
      <c r="N107" s="6" t="s">
        <v>391</v>
      </c>
      <c r="O107" s="6"/>
      <c r="P107" s="6"/>
      <c r="Q107" s="8"/>
      <c r="R107" s="6"/>
      <c r="S107" s="6"/>
      <c r="T107" s="6"/>
      <c r="U107" s="6">
        <v>2</v>
      </c>
      <c r="V107" s="6"/>
      <c r="W107" s="6" t="s">
        <v>37</v>
      </c>
      <c r="X107" s="7">
        <v>44890</v>
      </c>
      <c r="Y107" s="7">
        <v>44893</v>
      </c>
      <c r="AC107"/>
      <c r="AE107" t="str">
        <f t="shared" si="11"/>
        <v>P000123</v>
      </c>
      <c r="AF107" t="str">
        <f>_xlfn.XLOOKUP(AE107, Hoja2!A:A, Hoja2!A:A)</f>
        <v>P000123</v>
      </c>
      <c r="AG107" t="str">
        <f t="shared" si="17"/>
        <v>PP00018-43</v>
      </c>
      <c r="AH107">
        <f>_xlfn.XLOOKUP(AG107, Hoja3!A:A, Hoja3!B:B)</f>
        <v>5286</v>
      </c>
      <c r="AI107" t="str">
        <f>_xlfn.XLOOKUP(AH107, Hoja4!A:A, Hoja4!B:B)</f>
        <v>E34285100</v>
      </c>
      <c r="AJ107" t="b">
        <f t="shared" si="18"/>
        <v>1</v>
      </c>
    </row>
    <row r="108" spans="1:36" ht="15.5" customHeight="1" x14ac:dyDescent="0.35">
      <c r="A108">
        <f t="shared" ca="1" si="10"/>
        <v>6344</v>
      </c>
      <c r="B108" s="6" t="s">
        <v>392</v>
      </c>
      <c r="C108" s="7">
        <v>38546</v>
      </c>
      <c r="D108" s="6" t="s">
        <v>138</v>
      </c>
      <c r="E108" s="6" t="s">
        <v>83</v>
      </c>
      <c r="F108" s="6" t="s">
        <v>84</v>
      </c>
      <c r="G108" s="6" t="s">
        <v>156</v>
      </c>
      <c r="H108" s="6" t="s">
        <v>393</v>
      </c>
      <c r="I108" s="6" t="s">
        <v>158</v>
      </c>
      <c r="J108" s="6" t="str">
        <f>IF(E108="KTG","KTG",(VLOOKUP(I108,'[1]list of outsource'!B:H,2,0)))</f>
        <v>UPM</v>
      </c>
      <c r="K108" s="6" t="s">
        <v>159</v>
      </c>
      <c r="L108" s="6"/>
      <c r="M108" s="6" t="s">
        <v>394</v>
      </c>
      <c r="N108" s="6" t="s">
        <v>395</v>
      </c>
      <c r="O108" s="6"/>
      <c r="P108" s="6"/>
      <c r="Q108" s="8"/>
      <c r="R108" s="6"/>
      <c r="S108" s="6"/>
      <c r="T108" s="6"/>
      <c r="U108" s="6">
        <v>2</v>
      </c>
      <c r="V108" s="6"/>
      <c r="W108" s="6" t="s">
        <v>37</v>
      </c>
      <c r="X108" s="7">
        <v>44890</v>
      </c>
      <c r="Y108" s="7">
        <v>44893</v>
      </c>
      <c r="AC108"/>
      <c r="AE108" t="str">
        <f t="shared" si="11"/>
        <v>P000136</v>
      </c>
      <c r="AF108" t="str">
        <f>_xlfn.XLOOKUP(AE108, Hoja2!A:A, Hoja2!A:A)</f>
        <v>P000136</v>
      </c>
      <c r="AG108" t="str">
        <f t="shared" si="17"/>
        <v>PP00018-44</v>
      </c>
      <c r="AH108">
        <f>_xlfn.XLOOKUP(AG108, Hoja3!A:A, Hoja3!B:B)</f>
        <v>5287</v>
      </c>
      <c r="AI108" t="str">
        <f>_xlfn.XLOOKUP(AH108, Hoja4!A:A, Hoja4!B:B)</f>
        <v>E34515200</v>
      </c>
      <c r="AJ108" t="b">
        <f t="shared" si="18"/>
        <v>1</v>
      </c>
    </row>
    <row r="109" spans="1:36" ht="15.5" customHeight="1" x14ac:dyDescent="0.35">
      <c r="A109">
        <f t="shared" ca="1" si="10"/>
        <v>6344</v>
      </c>
      <c r="B109" s="6" t="s">
        <v>396</v>
      </c>
      <c r="C109" s="7">
        <v>38546</v>
      </c>
      <c r="D109" s="6" t="s">
        <v>138</v>
      </c>
      <c r="E109" s="6" t="s">
        <v>83</v>
      </c>
      <c r="F109" s="6" t="s">
        <v>84</v>
      </c>
      <c r="G109" s="6" t="s">
        <v>156</v>
      </c>
      <c r="H109" s="6" t="s">
        <v>397</v>
      </c>
      <c r="I109" s="6" t="s">
        <v>158</v>
      </c>
      <c r="J109" s="6" t="str">
        <f>IF(E109="KTG","KTG",(VLOOKUP(I109,'[1]list of outsource'!B:H,2,0)))</f>
        <v>UPM</v>
      </c>
      <c r="K109" s="6" t="s">
        <v>159</v>
      </c>
      <c r="L109" s="6"/>
      <c r="M109" s="6" t="s">
        <v>398</v>
      </c>
      <c r="N109" s="6" t="s">
        <v>399</v>
      </c>
      <c r="O109" s="6"/>
      <c r="P109" s="6"/>
      <c r="Q109" s="8"/>
      <c r="R109" s="6"/>
      <c r="S109" s="6"/>
      <c r="T109" s="6"/>
      <c r="U109" s="6">
        <v>2</v>
      </c>
      <c r="V109" s="6"/>
      <c r="W109" s="6" t="s">
        <v>37</v>
      </c>
      <c r="X109" s="7">
        <v>44890</v>
      </c>
      <c r="Y109" s="7">
        <v>44893</v>
      </c>
      <c r="AC109"/>
      <c r="AE109" t="str">
        <f t="shared" si="11"/>
        <v>P000145</v>
      </c>
      <c r="AF109" t="str">
        <f>_xlfn.XLOOKUP(AE109, Hoja2!A:A, Hoja2!A:A)</f>
        <v>P000145</v>
      </c>
      <c r="AG109" t="str">
        <f t="shared" si="17"/>
        <v>PP00018-45</v>
      </c>
      <c r="AH109">
        <f>_xlfn.XLOOKUP(AG109, Hoja3!A:A, Hoja3!B:B)</f>
        <v>5288</v>
      </c>
      <c r="AI109" t="str">
        <f>_xlfn.XLOOKUP(AH109, Hoja4!A:A, Hoja4!B:B)</f>
        <v>E34991600</v>
      </c>
      <c r="AJ109" t="b">
        <f t="shared" si="18"/>
        <v>1</v>
      </c>
    </row>
    <row r="110" spans="1:36" ht="15.5" customHeight="1" x14ac:dyDescent="0.35">
      <c r="A110">
        <f t="shared" ca="1" si="10"/>
        <v>6368</v>
      </c>
      <c r="B110" s="6" t="s">
        <v>400</v>
      </c>
      <c r="C110" s="7">
        <v>38547</v>
      </c>
      <c r="D110" s="6" t="s">
        <v>138</v>
      </c>
      <c r="E110" s="6" t="s">
        <v>139</v>
      </c>
      <c r="F110" s="6" t="s">
        <v>84</v>
      </c>
      <c r="G110" s="6" t="s">
        <v>156</v>
      </c>
      <c r="H110" s="6" t="s">
        <v>401</v>
      </c>
      <c r="I110" s="6" t="s">
        <v>402</v>
      </c>
      <c r="J110" s="6" t="str">
        <f>IF(E110="KTG","KTG",(VLOOKUP(I110,'[1]list of outsource'!B:H,2,0)))</f>
        <v>ETC</v>
      </c>
      <c r="K110" s="6" t="s">
        <v>403</v>
      </c>
      <c r="L110" s="6"/>
      <c r="M110" s="6" t="s">
        <v>404</v>
      </c>
      <c r="N110" s="6" t="s">
        <v>405</v>
      </c>
      <c r="O110" s="6"/>
      <c r="P110" s="6"/>
      <c r="Q110" s="8"/>
      <c r="R110" s="6"/>
      <c r="S110" s="6"/>
      <c r="T110" s="6"/>
      <c r="U110" s="6">
        <v>2</v>
      </c>
      <c r="V110" s="6"/>
      <c r="W110" s="6" t="s">
        <v>37</v>
      </c>
      <c r="X110" s="7">
        <v>44915</v>
      </c>
      <c r="Y110" s="7">
        <v>44915</v>
      </c>
      <c r="AC110"/>
      <c r="AE110" t="str">
        <f t="shared" si="11"/>
        <v>P000296</v>
      </c>
      <c r="AF110" t="str">
        <f>_xlfn.XLOOKUP(AE110, Hoja2!A:A, Hoja2!A:A)</f>
        <v>P000296</v>
      </c>
      <c r="AG110" t="str">
        <f t="shared" si="17"/>
        <v>PP00018-46</v>
      </c>
      <c r="AH110">
        <f>_xlfn.XLOOKUP(AG110, Hoja3!A:A, Hoja3!B:B)</f>
        <v>5289</v>
      </c>
      <c r="AI110" t="str">
        <f>_xlfn.XLOOKUP(AH110, Hoja4!A:A, Hoja4!B:B)</f>
        <v>E39029300</v>
      </c>
      <c r="AJ110" t="b">
        <f t="shared" si="18"/>
        <v>1</v>
      </c>
    </row>
    <row r="111" spans="1:36" ht="15.5" customHeight="1" x14ac:dyDescent="0.35">
      <c r="A111">
        <f t="shared" ca="1" si="10"/>
        <v>6369</v>
      </c>
      <c r="B111" s="6" t="s">
        <v>406</v>
      </c>
      <c r="C111" s="7">
        <v>38546</v>
      </c>
      <c r="D111" s="6" t="s">
        <v>138</v>
      </c>
      <c r="E111" s="6" t="s">
        <v>83</v>
      </c>
      <c r="F111" s="6" t="s">
        <v>84</v>
      </c>
      <c r="G111" s="6" t="s">
        <v>156</v>
      </c>
      <c r="H111" s="6" t="s">
        <v>407</v>
      </c>
      <c r="I111" s="6" t="s">
        <v>158</v>
      </c>
      <c r="J111" s="6" t="str">
        <f>IF(E111="KTG","KTG",(VLOOKUP(I111,'[1]list of outsource'!B:H,2,0)))</f>
        <v>UPM</v>
      </c>
      <c r="K111" s="6" t="s">
        <v>159</v>
      </c>
      <c r="L111" s="6"/>
      <c r="M111" s="6" t="s">
        <v>408</v>
      </c>
      <c r="N111" s="6" t="s">
        <v>409</v>
      </c>
      <c r="O111" s="6"/>
      <c r="P111" s="6"/>
      <c r="Q111" s="8"/>
      <c r="R111" s="6"/>
      <c r="S111" s="6"/>
      <c r="T111" s="6"/>
      <c r="U111" s="6">
        <v>2</v>
      </c>
      <c r="V111" s="6"/>
      <c r="W111" s="6" t="s">
        <v>37</v>
      </c>
      <c r="X111" s="7">
        <v>44915</v>
      </c>
      <c r="Y111" s="7">
        <v>44915</v>
      </c>
      <c r="AC111"/>
      <c r="AE111" t="str">
        <f t="shared" si="11"/>
        <v>P000177</v>
      </c>
      <c r="AF111" t="str">
        <f>_xlfn.XLOOKUP(AE111, Hoja2!A:A, Hoja2!A:A)</f>
        <v>P000177</v>
      </c>
      <c r="AG111" t="str">
        <f t="shared" si="17"/>
        <v>PP00018-47</v>
      </c>
      <c r="AH111">
        <f>_xlfn.XLOOKUP(AG111, Hoja3!A:A, Hoja3!B:B)</f>
        <v>5290</v>
      </c>
      <c r="AI111" t="str">
        <f>_xlfn.XLOOKUP(AH111, Hoja4!A:A, Hoja4!B:B)</f>
        <v>E39043100</v>
      </c>
      <c r="AJ111" t="b">
        <f t="shared" si="18"/>
        <v>1</v>
      </c>
    </row>
    <row r="112" spans="1:36" ht="15.5" customHeight="1" x14ac:dyDescent="0.35">
      <c r="A112">
        <f t="shared" ca="1" si="10"/>
        <v>6173</v>
      </c>
      <c r="B112" s="6" t="s">
        <v>410</v>
      </c>
      <c r="C112" s="7">
        <v>38547</v>
      </c>
      <c r="D112" s="6" t="s">
        <v>138</v>
      </c>
      <c r="E112" s="6" t="s">
        <v>83</v>
      </c>
      <c r="F112" s="6" t="s">
        <v>84</v>
      </c>
      <c r="G112" s="6" t="s">
        <v>156</v>
      </c>
      <c r="H112" s="6" t="s">
        <v>411</v>
      </c>
      <c r="I112" s="6" t="s">
        <v>95</v>
      </c>
      <c r="J112" s="6" t="str">
        <f>IF(E112="KTG","KTG",(VLOOKUP(I112,'[1]list of outsource'!B:H,2,0)))</f>
        <v>Woer</v>
      </c>
      <c r="K112" s="6" t="s">
        <v>96</v>
      </c>
      <c r="L112" s="6"/>
      <c r="M112" s="6" t="s">
        <v>412</v>
      </c>
      <c r="N112" s="6" t="s">
        <v>413</v>
      </c>
      <c r="O112" s="6"/>
      <c r="P112" s="6"/>
      <c r="Q112" s="8"/>
      <c r="R112" s="6"/>
      <c r="S112" s="6"/>
      <c r="T112" s="6"/>
      <c r="U112" s="6">
        <v>2</v>
      </c>
      <c r="V112" s="6"/>
      <c r="W112" s="6" t="s">
        <v>37</v>
      </c>
      <c r="X112" s="7">
        <v>44720</v>
      </c>
      <c r="Y112" s="7">
        <v>44722</v>
      </c>
      <c r="AC112"/>
      <c r="AE112" t="str">
        <f t="shared" si="11"/>
        <v>P000180</v>
      </c>
      <c r="AF112" t="str">
        <f>_xlfn.XLOOKUP(AE112, Hoja2!A:A, Hoja2!A:A)</f>
        <v>P000180</v>
      </c>
      <c r="AG112" t="str">
        <f t="shared" si="17"/>
        <v>PP00018-5</v>
      </c>
      <c r="AH112">
        <f>_xlfn.XLOOKUP(AG112, Hoja3!A:A, Hoja3!B:B)</f>
        <v>5291</v>
      </c>
      <c r="AI112" t="str">
        <f>_xlfn.XLOOKUP(AH112, Hoja4!A:A, Hoja4!B:B)</f>
        <v>E35563100</v>
      </c>
      <c r="AJ112" t="b">
        <f t="shared" si="18"/>
        <v>1</v>
      </c>
    </row>
    <row r="113" spans="1:36" ht="15.5" customHeight="1" x14ac:dyDescent="0.35">
      <c r="A113">
        <f t="shared" ca="1" si="10"/>
        <v>6179</v>
      </c>
      <c r="B113" s="6" t="s">
        <v>414</v>
      </c>
      <c r="C113" s="7">
        <v>38547</v>
      </c>
      <c r="D113" s="6" t="s">
        <v>138</v>
      </c>
      <c r="E113" s="6" t="s">
        <v>139</v>
      </c>
      <c r="F113" s="6" t="s">
        <v>84</v>
      </c>
      <c r="G113" s="6" t="s">
        <v>156</v>
      </c>
      <c r="H113" s="6" t="s">
        <v>415</v>
      </c>
      <c r="I113" s="6" t="s">
        <v>208</v>
      </c>
      <c r="J113" s="6" t="str">
        <f>IF(E113="KTG","KTG",(VLOOKUP(I113,'[1]list of outsource'!B:H,2,0)))</f>
        <v>ETC</v>
      </c>
      <c r="K113" s="6" t="s">
        <v>209</v>
      </c>
      <c r="L113" s="6"/>
      <c r="M113" s="6" t="s">
        <v>416</v>
      </c>
      <c r="N113" s="6" t="s">
        <v>417</v>
      </c>
      <c r="O113" s="6"/>
      <c r="P113" s="6"/>
      <c r="Q113" s="8"/>
      <c r="R113" s="6"/>
      <c r="S113" s="6"/>
      <c r="T113" s="6"/>
      <c r="U113" s="6">
        <v>2</v>
      </c>
      <c r="V113" s="6"/>
      <c r="W113" s="6" t="s">
        <v>37</v>
      </c>
      <c r="X113" s="7">
        <v>44726</v>
      </c>
      <c r="Y113" s="7">
        <v>44733</v>
      </c>
      <c r="AC113"/>
      <c r="AE113" t="str">
        <f t="shared" si="11"/>
        <v>P000163</v>
      </c>
      <c r="AF113" t="str">
        <f>_xlfn.XLOOKUP(AE113, Hoja2!A:A, Hoja2!A:A)</f>
        <v>P000163</v>
      </c>
      <c r="AG113" t="str">
        <f t="shared" si="17"/>
        <v>PP00018-6</v>
      </c>
      <c r="AH113">
        <f>_xlfn.XLOOKUP(AG113, Hoja3!A:A, Hoja3!B:B)</f>
        <v>5292</v>
      </c>
      <c r="AI113" t="str">
        <f>_xlfn.XLOOKUP(AH113, Hoja4!A:A, Hoja4!B:B)</f>
        <v>E35100200</v>
      </c>
      <c r="AJ113" t="b">
        <f t="shared" si="18"/>
        <v>1</v>
      </c>
    </row>
    <row r="114" spans="1:36" ht="15.5" customHeight="1" x14ac:dyDescent="0.35">
      <c r="A114">
        <f t="shared" ca="1" si="10"/>
        <v>6199</v>
      </c>
      <c r="B114" s="6" t="s">
        <v>418</v>
      </c>
      <c r="C114" s="7">
        <v>38547</v>
      </c>
      <c r="D114" s="6" t="s">
        <v>138</v>
      </c>
      <c r="E114" s="6" t="s">
        <v>139</v>
      </c>
      <c r="F114" s="6" t="s">
        <v>84</v>
      </c>
      <c r="G114" s="6" t="s">
        <v>156</v>
      </c>
      <c r="H114" s="6" t="s">
        <v>419</v>
      </c>
      <c r="I114" s="6" t="s">
        <v>208</v>
      </c>
      <c r="J114" s="6" t="str">
        <f>IF(E114="KTG","KTG",(VLOOKUP(I114,'[1]list of outsource'!B:H,2,0)))</f>
        <v>ETC</v>
      </c>
      <c r="K114" s="6" t="s">
        <v>209</v>
      </c>
      <c r="L114" s="6"/>
      <c r="M114" s="6" t="s">
        <v>420</v>
      </c>
      <c r="N114" s="6" t="s">
        <v>421</v>
      </c>
      <c r="O114" s="6"/>
      <c r="P114" s="6"/>
      <c r="Q114" s="8"/>
      <c r="R114" s="6"/>
      <c r="S114" s="6"/>
      <c r="T114" s="6"/>
      <c r="U114" s="6">
        <v>2</v>
      </c>
      <c r="V114" s="6"/>
      <c r="W114" s="6" t="s">
        <v>37</v>
      </c>
      <c r="X114" s="7">
        <v>44746</v>
      </c>
      <c r="Y114" s="7">
        <v>44747</v>
      </c>
      <c r="AC114"/>
      <c r="AE114" t="str">
        <f t="shared" si="11"/>
        <v>P000165</v>
      </c>
      <c r="AF114" t="str">
        <f>_xlfn.XLOOKUP(AE114, Hoja2!A:A, Hoja2!A:A)</f>
        <v>P000165</v>
      </c>
      <c r="AG114" t="str">
        <f t="shared" si="17"/>
        <v>PP00018-7</v>
      </c>
      <c r="AH114">
        <f>_xlfn.XLOOKUP(AG114, Hoja3!A:A, Hoja3!B:B)</f>
        <v>5293</v>
      </c>
      <c r="AI114" t="str">
        <f>_xlfn.XLOOKUP(AH114, Hoja4!A:A, Hoja4!B:B)</f>
        <v>E35100400</v>
      </c>
      <c r="AJ114" t="b">
        <f t="shared" si="18"/>
        <v>1</v>
      </c>
    </row>
    <row r="115" spans="1:36" ht="15.5" customHeight="1" x14ac:dyDescent="0.35">
      <c r="A115">
        <f t="shared" ca="1" si="10"/>
        <v>6199</v>
      </c>
      <c r="B115" s="6" t="s">
        <v>422</v>
      </c>
      <c r="C115" s="7">
        <v>38547</v>
      </c>
      <c r="D115" s="6" t="s">
        <v>138</v>
      </c>
      <c r="E115" s="6" t="s">
        <v>139</v>
      </c>
      <c r="F115" s="6" t="s">
        <v>84</v>
      </c>
      <c r="G115" s="6" t="s">
        <v>156</v>
      </c>
      <c r="H115" s="6" t="s">
        <v>423</v>
      </c>
      <c r="I115" s="6" t="s">
        <v>208</v>
      </c>
      <c r="J115" s="6" t="str">
        <f>IF(E115="KTG","KTG",(VLOOKUP(I115,'[1]list of outsource'!B:H,2,0)))</f>
        <v>ETC</v>
      </c>
      <c r="K115" s="6" t="s">
        <v>209</v>
      </c>
      <c r="L115" s="6"/>
      <c r="M115" s="6" t="s">
        <v>424</v>
      </c>
      <c r="N115" s="6" t="s">
        <v>425</v>
      </c>
      <c r="O115" s="6"/>
      <c r="P115" s="6"/>
      <c r="Q115" s="8"/>
      <c r="R115" s="6"/>
      <c r="S115" s="6"/>
      <c r="T115" s="6"/>
      <c r="U115" s="6">
        <v>2</v>
      </c>
      <c r="V115" s="6"/>
      <c r="W115" s="6" t="s">
        <v>37</v>
      </c>
      <c r="X115" s="7">
        <v>44746</v>
      </c>
      <c r="Y115" s="7">
        <v>44747</v>
      </c>
      <c r="AC115"/>
      <c r="AE115" t="str">
        <f t="shared" si="11"/>
        <v>P000166</v>
      </c>
      <c r="AF115" t="str">
        <f>_xlfn.XLOOKUP(AE115, Hoja2!A:A, Hoja2!A:A)</f>
        <v>P000166</v>
      </c>
      <c r="AG115" t="str">
        <f t="shared" si="17"/>
        <v>PP00018-8</v>
      </c>
      <c r="AH115">
        <f>_xlfn.XLOOKUP(AG115, Hoja3!A:A, Hoja3!B:B)</f>
        <v>5294</v>
      </c>
      <c r="AI115" t="str">
        <f>_xlfn.XLOOKUP(AH115, Hoja4!A:A, Hoja4!B:B)</f>
        <v>E35100800</v>
      </c>
      <c r="AJ115" t="b">
        <f t="shared" si="18"/>
        <v>1</v>
      </c>
    </row>
    <row r="116" spans="1:36" ht="15.5" customHeight="1" x14ac:dyDescent="0.35">
      <c r="A116">
        <f t="shared" ca="1" si="10"/>
        <v>6250</v>
      </c>
      <c r="B116" s="6" t="s">
        <v>426</v>
      </c>
      <c r="C116" s="7">
        <v>38546</v>
      </c>
      <c r="D116" s="6" t="s">
        <v>138</v>
      </c>
      <c r="E116" s="6" t="s">
        <v>83</v>
      </c>
      <c r="F116" s="6" t="s">
        <v>101</v>
      </c>
      <c r="G116" s="6" t="s">
        <v>299</v>
      </c>
      <c r="H116" s="6" t="s">
        <v>427</v>
      </c>
      <c r="I116" s="6" t="s">
        <v>428</v>
      </c>
      <c r="J116" s="6" t="str">
        <f>IF(E116="KTG","KTG",(VLOOKUP(I116,'[1]list of outsource'!B:H,2,0)))</f>
        <v>UPM</v>
      </c>
      <c r="K116" s="6" t="s">
        <v>429</v>
      </c>
      <c r="L116" s="6"/>
      <c r="M116" s="6" t="s">
        <v>430</v>
      </c>
      <c r="N116" s="6" t="s">
        <v>431</v>
      </c>
      <c r="O116" s="6"/>
      <c r="P116" s="6"/>
      <c r="Q116" s="8"/>
      <c r="R116" s="6"/>
      <c r="S116" s="6"/>
      <c r="T116" s="6"/>
      <c r="U116" s="6">
        <v>2</v>
      </c>
      <c r="V116" s="6"/>
      <c r="W116" s="6" t="s">
        <v>37</v>
      </c>
      <c r="X116" s="7">
        <v>44796</v>
      </c>
      <c r="Y116" s="7">
        <v>44804</v>
      </c>
      <c r="AC116"/>
      <c r="AE116" t="str">
        <f t="shared" si="11"/>
        <v>P100366</v>
      </c>
      <c r="AF116" t="str">
        <f>_xlfn.XLOOKUP(AE116, Hoja2!A:A, Hoja2!A:A)</f>
        <v>P100366</v>
      </c>
      <c r="AG116" t="str">
        <f t="shared" si="17"/>
        <v>PP00020-7</v>
      </c>
      <c r="AH116">
        <f>_xlfn.XLOOKUP(AG116, Hoja3!A:A, Hoja3!B:B)</f>
        <v>5565</v>
      </c>
      <c r="AI116" t="str">
        <f>_xlfn.XLOOKUP(AH116, Hoja4!A:A, Hoja4!B:B)</f>
        <v>GP089281</v>
      </c>
      <c r="AJ116" t="b">
        <f t="shared" si="18"/>
        <v>1</v>
      </c>
    </row>
    <row r="117" spans="1:36" ht="15.5" customHeight="1" x14ac:dyDescent="0.35">
      <c r="A117">
        <f t="shared" ca="1" si="10"/>
        <v>6250</v>
      </c>
      <c r="B117" s="6" t="s">
        <v>432</v>
      </c>
      <c r="C117" s="7">
        <v>38546</v>
      </c>
      <c r="D117" s="6" t="s">
        <v>138</v>
      </c>
      <c r="E117" s="6" t="s">
        <v>83</v>
      </c>
      <c r="F117" s="6" t="s">
        <v>101</v>
      </c>
      <c r="G117" s="6" t="s">
        <v>299</v>
      </c>
      <c r="H117" s="6" t="s">
        <v>433</v>
      </c>
      <c r="I117" s="6" t="s">
        <v>158</v>
      </c>
      <c r="J117" s="6" t="str">
        <f>IF(E117="KTG","KTG",(VLOOKUP(I117,'[1]list of outsource'!B:H,2,0)))</f>
        <v>UPM</v>
      </c>
      <c r="K117" s="6" t="s">
        <v>159</v>
      </c>
      <c r="L117" s="6"/>
      <c r="M117" s="6" t="s">
        <v>164</v>
      </c>
      <c r="N117" s="6" t="s">
        <v>434</v>
      </c>
      <c r="O117" s="6"/>
      <c r="P117" s="6"/>
      <c r="Q117" s="8"/>
      <c r="R117" s="6"/>
      <c r="S117" s="6"/>
      <c r="T117" s="6"/>
      <c r="U117" s="6">
        <v>2</v>
      </c>
      <c r="V117" s="6"/>
      <c r="W117" s="6" t="s">
        <v>37</v>
      </c>
      <c r="X117" s="7">
        <v>44796</v>
      </c>
      <c r="Y117" s="7">
        <v>44804</v>
      </c>
      <c r="AC117"/>
      <c r="AE117" t="str">
        <f t="shared" si="11"/>
        <v>P000106</v>
      </c>
      <c r="AF117" t="str">
        <f>_xlfn.XLOOKUP(AE117, Hoja2!A:A, Hoja2!A:A)</f>
        <v>P000106</v>
      </c>
      <c r="AG117" t="str">
        <f t="shared" si="17"/>
        <v>PP00020-8</v>
      </c>
      <c r="AH117">
        <f>_xlfn.XLOOKUP(AG117, Hoja3!A:A, Hoja3!B:B)</f>
        <v>5566</v>
      </c>
      <c r="AI117" t="str">
        <f>_xlfn.XLOOKUP(AH117, Hoja4!A:A, Hoja4!B:B)</f>
        <v>GP089412</v>
      </c>
      <c r="AJ117" t="b">
        <f t="shared" si="18"/>
        <v>1</v>
      </c>
    </row>
    <row r="118" spans="1:36" ht="15.5" customHeight="1" x14ac:dyDescent="0.35">
      <c r="A118">
        <f t="shared" ca="1" si="10"/>
        <v>6222</v>
      </c>
      <c r="B118" s="6" t="s">
        <v>435</v>
      </c>
      <c r="C118" s="7">
        <v>38546</v>
      </c>
      <c r="D118" s="6" t="s">
        <v>138</v>
      </c>
      <c r="E118" s="6" t="s">
        <v>83</v>
      </c>
      <c r="F118" s="6" t="s">
        <v>356</v>
      </c>
      <c r="G118" s="6" t="s">
        <v>32</v>
      </c>
      <c r="H118" s="6" t="s">
        <v>357</v>
      </c>
      <c r="I118" s="6" t="s">
        <v>158</v>
      </c>
      <c r="J118" s="6" t="str">
        <f>IF(E118="KTG","KTG",(VLOOKUP(I118,'[1]list of outsource'!B:H,2,0)))</f>
        <v>UPM</v>
      </c>
      <c r="K118" s="6" t="s">
        <v>159</v>
      </c>
      <c r="L118" s="6"/>
      <c r="M118" s="6" t="s">
        <v>358</v>
      </c>
      <c r="N118" s="6" t="s">
        <v>359</v>
      </c>
      <c r="O118" s="6"/>
      <c r="P118" s="6"/>
      <c r="Q118" s="8"/>
      <c r="R118" s="6"/>
      <c r="S118" s="6"/>
      <c r="T118" s="6"/>
      <c r="U118" s="6">
        <v>2</v>
      </c>
      <c r="V118" s="6"/>
      <c r="W118" s="6" t="s">
        <v>154</v>
      </c>
      <c r="X118" s="7">
        <v>44768</v>
      </c>
      <c r="Y118" s="7">
        <v>44771</v>
      </c>
      <c r="AC118"/>
      <c r="AE118" t="str">
        <f t="shared" si="11"/>
        <v>P000109</v>
      </c>
      <c r="AF118" t="str">
        <f>_xlfn.XLOOKUP(AE118, Hoja2!A:A, Hoja2!A:A)</f>
        <v>P000109</v>
      </c>
      <c r="AG118" t="str">
        <f t="shared" si="17"/>
        <v>PP00022-1</v>
      </c>
      <c r="AH118">
        <f>_xlfn.XLOOKUP(AG118, Hoja3!A:A, Hoja3!B:B)</f>
        <v>4045</v>
      </c>
      <c r="AI118" t="str">
        <f>_xlfn.XLOOKUP(AH118, Hoja4!A:A, Hoja4!B:B)</f>
        <v>GAT125</v>
      </c>
      <c r="AJ118" t="b">
        <f t="shared" si="18"/>
        <v>1</v>
      </c>
    </row>
    <row r="119" spans="1:36" ht="15.5" customHeight="1" x14ac:dyDescent="0.35">
      <c r="A119">
        <f t="shared" ca="1" si="10"/>
        <v>5983</v>
      </c>
      <c r="B119" s="6" t="s">
        <v>355</v>
      </c>
      <c r="C119" s="7">
        <v>38546</v>
      </c>
      <c r="D119" s="6" t="s">
        <v>121</v>
      </c>
      <c r="E119" s="6" t="s">
        <v>83</v>
      </c>
      <c r="F119" s="6" t="s">
        <v>356</v>
      </c>
      <c r="G119" s="6" t="s">
        <v>32</v>
      </c>
      <c r="H119" s="6" t="s">
        <v>357</v>
      </c>
      <c r="I119" s="6" t="s">
        <v>158</v>
      </c>
      <c r="J119" s="6" t="str">
        <f>IF(E119="KTG","KTG",(VLOOKUP(I119,'[1]list of outsource'!B:H,2,0)))</f>
        <v>UPM</v>
      </c>
      <c r="K119" s="6" t="s">
        <v>159</v>
      </c>
      <c r="L119" s="6"/>
      <c r="M119" s="6" t="s">
        <v>358</v>
      </c>
      <c r="N119" s="6" t="s">
        <v>359</v>
      </c>
      <c r="O119" s="6"/>
      <c r="P119" s="6"/>
      <c r="Q119" s="8"/>
      <c r="R119" s="6"/>
      <c r="S119" s="6"/>
      <c r="T119" s="6"/>
      <c r="U119" s="6">
        <v>2</v>
      </c>
      <c r="V119" s="6"/>
      <c r="W119" s="6" t="s">
        <v>37</v>
      </c>
      <c r="X119" s="7">
        <v>44529</v>
      </c>
      <c r="Y119" s="7"/>
      <c r="AC119"/>
      <c r="AE119" t="str">
        <f t="shared" si="11"/>
        <v>P000109</v>
      </c>
      <c r="AF119" t="str">
        <f>_xlfn.XLOOKUP(AE119, Hoja2!A:A, Hoja2!A:A)</f>
        <v>P000109</v>
      </c>
      <c r="AG119" t="str">
        <f t="shared" si="17"/>
        <v>PP00012-01</v>
      </c>
      <c r="AH119">
        <f>_xlfn.XLOOKUP(AG119, Hoja3!A:A, Hoja3!B:B)</f>
        <v>4045</v>
      </c>
      <c r="AI119" t="str">
        <f>_xlfn.XLOOKUP(AH119, Hoja4!A:A, Hoja4!B:B)</f>
        <v>GAT125</v>
      </c>
      <c r="AJ119" t="b">
        <f t="shared" si="18"/>
        <v>1</v>
      </c>
    </row>
    <row r="120" spans="1:36" ht="15.5" hidden="1" customHeight="1" x14ac:dyDescent="0.35">
      <c r="A120">
        <f t="shared" ca="1" si="10"/>
        <v>5983</v>
      </c>
      <c r="B120" s="55" t="s">
        <v>360</v>
      </c>
      <c r="C120" s="7">
        <v>38546</v>
      </c>
      <c r="D120" s="6" t="s">
        <v>121</v>
      </c>
      <c r="E120" s="6" t="s">
        <v>83</v>
      </c>
      <c r="F120" s="6" t="s">
        <v>356</v>
      </c>
      <c r="G120" s="6" t="s">
        <v>32</v>
      </c>
      <c r="H120" s="6" t="s">
        <v>361</v>
      </c>
      <c r="I120" s="6" t="s">
        <v>158</v>
      </c>
      <c r="J120" s="6" t="str">
        <f>IF(E120="KTG","KTG",(VLOOKUP(I120,'[1]list of outsource'!B:H,2,0)))</f>
        <v>UPM</v>
      </c>
      <c r="K120" s="6" t="s">
        <v>159</v>
      </c>
      <c r="L120" s="6"/>
      <c r="M120" s="55" t="s">
        <v>362</v>
      </c>
      <c r="N120" s="6" t="s">
        <v>363</v>
      </c>
      <c r="O120" s="6"/>
      <c r="P120" s="6"/>
      <c r="Q120" s="8"/>
      <c r="R120" s="6"/>
      <c r="S120" s="6"/>
      <c r="T120" s="6"/>
      <c r="U120" s="6">
        <v>2</v>
      </c>
      <c r="V120" s="6"/>
      <c r="W120" s="6" t="s">
        <v>37</v>
      </c>
      <c r="X120" s="7">
        <v>44529</v>
      </c>
      <c r="Y120" s="7"/>
      <c r="AC120"/>
      <c r="AE120" t="str">
        <f t="shared" si="11"/>
        <v>P000116</v>
      </c>
      <c r="AF120" t="e">
        <f>_xlfn.XLOOKUP(AE120, Hoja2!A:A, Hoja2!A:A)</f>
        <v>#N/A</v>
      </c>
    </row>
    <row r="121" spans="1:36" ht="15.5" customHeight="1" x14ac:dyDescent="0.35">
      <c r="A121">
        <f t="shared" ca="1" si="10"/>
        <v>5983</v>
      </c>
      <c r="B121" s="6" t="s">
        <v>364</v>
      </c>
      <c r="C121" s="7">
        <v>38546</v>
      </c>
      <c r="D121" s="6" t="s">
        <v>121</v>
      </c>
      <c r="E121" s="6" t="s">
        <v>83</v>
      </c>
      <c r="F121" s="6" t="s">
        <v>356</v>
      </c>
      <c r="G121" s="6" t="s">
        <v>32</v>
      </c>
      <c r="H121" s="6" t="s">
        <v>365</v>
      </c>
      <c r="I121" s="6" t="s">
        <v>158</v>
      </c>
      <c r="J121" s="6" t="str">
        <f>IF(E121="KTG","KTG",(VLOOKUP(I121,'[1]list of outsource'!B:H,2,0)))</f>
        <v>UPM</v>
      </c>
      <c r="K121" s="6" t="s">
        <v>159</v>
      </c>
      <c r="L121" s="6"/>
      <c r="M121" s="6" t="s">
        <v>366</v>
      </c>
      <c r="N121" s="6" t="s">
        <v>367</v>
      </c>
      <c r="O121" s="6"/>
      <c r="P121" s="6"/>
      <c r="Q121" s="8"/>
      <c r="R121" s="6"/>
      <c r="S121" s="6"/>
      <c r="T121" s="6"/>
      <c r="U121" s="6">
        <v>2</v>
      </c>
      <c r="V121" s="6"/>
      <c r="W121" s="6" t="s">
        <v>37</v>
      </c>
      <c r="X121" s="7">
        <v>44529</v>
      </c>
      <c r="Y121" s="7"/>
      <c r="AC121"/>
      <c r="AE121" t="str">
        <f t="shared" si="11"/>
        <v>P000117</v>
      </c>
      <c r="AF121" t="str">
        <f>_xlfn.XLOOKUP(AE121, Hoja2!A:A, Hoja2!A:A)</f>
        <v>P000117</v>
      </c>
      <c r="AG121" t="str">
        <f t="shared" ref="AG121:AG131" si="19">LEFT(B121, FIND(" ", B121 &amp; " ") - 1)</f>
        <v>PP00012-03</v>
      </c>
      <c r="AH121">
        <f>_xlfn.XLOOKUP(AG121, Hoja3!A:A, Hoja3!B:B)</f>
        <v>4046</v>
      </c>
      <c r="AI121" t="str">
        <f>_xlfn.XLOOKUP(AH121, Hoja4!A:A, Hoja4!B:B)</f>
        <v>GAT023</v>
      </c>
      <c r="AJ121" t="b">
        <f t="shared" ref="AJ121:AJ127" si="20">H121=AI121</f>
        <v>1</v>
      </c>
    </row>
    <row r="122" spans="1:36" ht="15.5" customHeight="1" x14ac:dyDescent="0.35">
      <c r="A122">
        <f t="shared" ca="1" si="10"/>
        <v>6179</v>
      </c>
      <c r="B122" s="6" t="s">
        <v>436</v>
      </c>
      <c r="C122" s="7">
        <v>38546</v>
      </c>
      <c r="D122" s="6" t="s">
        <v>138</v>
      </c>
      <c r="E122" s="6" t="s">
        <v>83</v>
      </c>
      <c r="F122" s="6" t="s">
        <v>84</v>
      </c>
      <c r="G122" s="6" t="s">
        <v>156</v>
      </c>
      <c r="H122" s="6" t="s">
        <v>437</v>
      </c>
      <c r="I122" s="6" t="s">
        <v>158</v>
      </c>
      <c r="J122" s="6" t="str">
        <f>IF(E122="KTG","KTG",(VLOOKUP(I122,'[1]list of outsource'!B:H,2,0)))</f>
        <v>UPM</v>
      </c>
      <c r="K122" s="6" t="s">
        <v>159</v>
      </c>
      <c r="L122" s="6"/>
      <c r="M122" s="6" t="s">
        <v>438</v>
      </c>
      <c r="N122" s="6" t="s">
        <v>439</v>
      </c>
      <c r="O122" s="6"/>
      <c r="P122" s="6"/>
      <c r="Q122" s="8"/>
      <c r="R122" s="6"/>
      <c r="S122" s="6"/>
      <c r="T122" s="6"/>
      <c r="U122" s="6">
        <v>2</v>
      </c>
      <c r="V122" s="6"/>
      <c r="W122" s="6" t="s">
        <v>37</v>
      </c>
      <c r="X122" s="7">
        <v>44725</v>
      </c>
      <c r="Y122" s="7">
        <v>44748</v>
      </c>
      <c r="AC122"/>
      <c r="AE122" t="str">
        <f t="shared" si="11"/>
        <v>P000052</v>
      </c>
      <c r="AF122" t="str">
        <f>_xlfn.XLOOKUP(AE122, Hoja2!A:A, Hoja2!A:A)</f>
        <v>P000052</v>
      </c>
      <c r="AG122" t="str">
        <f t="shared" si="19"/>
        <v>PP00018-9</v>
      </c>
      <c r="AH122">
        <f>_xlfn.XLOOKUP(AG122, Hoja3!A:A, Hoja3!B:B)</f>
        <v>5295</v>
      </c>
      <c r="AI122" t="str">
        <f>_xlfn.XLOOKUP(AH122, Hoja4!A:A, Hoja4!B:B)</f>
        <v>E33300400</v>
      </c>
      <c r="AJ122" t="b">
        <f t="shared" si="20"/>
        <v>1</v>
      </c>
    </row>
    <row r="123" spans="1:36" ht="15.5" customHeight="1" x14ac:dyDescent="0.35">
      <c r="A123">
        <f t="shared" ca="1" si="10"/>
        <v>139</v>
      </c>
      <c r="B123" s="6" t="s">
        <v>440</v>
      </c>
      <c r="C123" s="7">
        <v>44756</v>
      </c>
      <c r="D123" s="6" t="s">
        <v>138</v>
      </c>
      <c r="E123" s="6" t="s">
        <v>83</v>
      </c>
      <c r="F123" s="6" t="s">
        <v>441</v>
      </c>
      <c r="G123" s="6" t="s">
        <v>32</v>
      </c>
      <c r="H123" s="6" t="s">
        <v>442</v>
      </c>
      <c r="I123" s="6" t="s">
        <v>95</v>
      </c>
      <c r="J123" s="6" t="str">
        <f>IF(E123="KTG","KTG",(VLOOKUP(I123,'[1]list of outsource'!B:H,2,0)))</f>
        <v>Woer</v>
      </c>
      <c r="K123" s="6" t="s">
        <v>88</v>
      </c>
      <c r="L123" s="6"/>
      <c r="M123" s="6" t="s">
        <v>443</v>
      </c>
      <c r="N123" s="6" t="s">
        <v>444</v>
      </c>
      <c r="O123" s="6"/>
      <c r="P123" s="6"/>
      <c r="Q123" s="8"/>
      <c r="R123" s="6"/>
      <c r="S123" s="6"/>
      <c r="T123" s="6"/>
      <c r="U123" s="6">
        <v>2</v>
      </c>
      <c r="V123" s="6"/>
      <c r="W123" s="6" t="s">
        <v>37</v>
      </c>
      <c r="X123" s="7">
        <v>44895</v>
      </c>
      <c r="Y123" s="7">
        <v>44907</v>
      </c>
      <c r="AC123"/>
      <c r="AE123" t="str">
        <f t="shared" si="11"/>
        <v>P000110</v>
      </c>
      <c r="AF123" t="str">
        <f>_xlfn.XLOOKUP(AE123, Hoja2!A:A, Hoja2!A:A)</f>
        <v>P000110</v>
      </c>
      <c r="AG123" t="str">
        <f t="shared" si="19"/>
        <v>PP00025-1</v>
      </c>
      <c r="AH123">
        <f>_xlfn.XLOOKUP(AG123, Hoja3!A:A, Hoja3!B:B)</f>
        <v>75</v>
      </c>
      <c r="AI123" t="str">
        <f>_xlfn.XLOOKUP(AH123, Hoja4!A:A, Hoja4!B:B)</f>
        <v>ZRM-982381-20</v>
      </c>
      <c r="AJ123" t="b">
        <f t="shared" si="20"/>
        <v>1</v>
      </c>
    </row>
    <row r="124" spans="1:36" ht="15.5" customHeight="1" x14ac:dyDescent="0.35">
      <c r="A124">
        <f t="shared" ca="1" si="10"/>
        <v>139</v>
      </c>
      <c r="B124" s="6" t="s">
        <v>445</v>
      </c>
      <c r="C124" s="7">
        <v>44756</v>
      </c>
      <c r="D124" s="6" t="s">
        <v>138</v>
      </c>
      <c r="E124" s="6" t="s">
        <v>83</v>
      </c>
      <c r="F124" s="6" t="s">
        <v>441</v>
      </c>
      <c r="G124" s="6" t="s">
        <v>32</v>
      </c>
      <c r="H124" s="6" t="s">
        <v>446</v>
      </c>
      <c r="I124" s="6" t="s">
        <v>447</v>
      </c>
      <c r="J124" s="6" t="str">
        <f>IF(E124="KTG","KTG",(VLOOKUP(I124,'[1]list of outsource'!B:H,2,0)))</f>
        <v>UPM</v>
      </c>
      <c r="K124" s="6" t="s">
        <v>448</v>
      </c>
      <c r="L124" s="6"/>
      <c r="M124" s="6" t="s">
        <v>449</v>
      </c>
      <c r="N124" s="6" t="s">
        <v>450</v>
      </c>
      <c r="O124" s="6"/>
      <c r="P124" s="6"/>
      <c r="Q124" s="8"/>
      <c r="R124" s="6"/>
      <c r="S124" s="6"/>
      <c r="T124" s="6"/>
      <c r="U124" s="6">
        <v>2</v>
      </c>
      <c r="V124" s="6"/>
      <c r="W124" s="6" t="s">
        <v>37</v>
      </c>
      <c r="X124" s="7">
        <v>44895</v>
      </c>
      <c r="Y124" s="7">
        <v>44907</v>
      </c>
      <c r="AC124"/>
      <c r="AE124" t="str">
        <f t="shared" si="11"/>
        <v>P000105</v>
      </c>
      <c r="AF124" t="str">
        <f>_xlfn.XLOOKUP(AE124, Hoja2!A:A, Hoja2!A:A)</f>
        <v>P000105</v>
      </c>
      <c r="AG124" t="str">
        <f t="shared" si="19"/>
        <v>PP00025-2</v>
      </c>
      <c r="AH124">
        <f>_xlfn.XLOOKUP(AG124, Hoja3!A:A, Hoja3!B:B)</f>
        <v>73</v>
      </c>
      <c r="AI124" t="str">
        <f>_xlfn.XLOOKUP(AH124, Hoja4!A:A, Hoja4!B:B)</f>
        <v>ZRM-982367-17</v>
      </c>
      <c r="AJ124" t="b">
        <f t="shared" si="20"/>
        <v>1</v>
      </c>
    </row>
    <row r="125" spans="1:36" ht="15.5" customHeight="1" x14ac:dyDescent="0.35">
      <c r="A125">
        <f t="shared" ca="1" si="10"/>
        <v>0</v>
      </c>
      <c r="B125" s="17" t="s">
        <v>451</v>
      </c>
      <c r="C125" s="7">
        <v>44763</v>
      </c>
      <c r="D125" s="17" t="s">
        <v>452</v>
      </c>
      <c r="E125" s="6" t="s">
        <v>83</v>
      </c>
      <c r="F125" s="6" t="s">
        <v>101</v>
      </c>
      <c r="G125" s="17" t="s">
        <v>299</v>
      </c>
      <c r="H125" s="6" t="s">
        <v>305</v>
      </c>
      <c r="I125" s="6" t="s">
        <v>218</v>
      </c>
      <c r="J125" s="6" t="str">
        <f>IF(E125="KTG","KTG",(VLOOKUP(I125,'[1]list of outsource'!B:H,2,0)))</f>
        <v>UPM</v>
      </c>
      <c r="K125" s="6" t="s">
        <v>219</v>
      </c>
      <c r="L125" s="6"/>
      <c r="M125" s="6" t="s">
        <v>306</v>
      </c>
      <c r="N125" s="6" t="s">
        <v>307</v>
      </c>
      <c r="O125" s="6" t="s">
        <v>453</v>
      </c>
      <c r="P125" s="6"/>
      <c r="Q125" s="8"/>
      <c r="R125" s="6"/>
      <c r="S125" s="6"/>
      <c r="T125" s="6"/>
      <c r="U125" s="6"/>
      <c r="V125" s="6"/>
      <c r="W125" s="17" t="s">
        <v>454</v>
      </c>
      <c r="X125" s="7">
        <v>44763</v>
      </c>
      <c r="Y125" s="7"/>
      <c r="AB125" t="e">
        <v>#N/A</v>
      </c>
      <c r="AC125"/>
      <c r="AE125" t="str">
        <f t="shared" si="11"/>
        <v>P000032</v>
      </c>
      <c r="AF125" t="str">
        <f>_xlfn.XLOOKUP(AE125, Hoja2!A:A, Hoja2!A:A)</f>
        <v>P000032</v>
      </c>
      <c r="AG125" t="str">
        <f t="shared" si="19"/>
        <v>PP00027-10</v>
      </c>
      <c r="AH125">
        <f>_xlfn.XLOOKUP(AG125, Hoja3!A:A, Hoja3!B:B)</f>
        <v>4574</v>
      </c>
      <c r="AI125" t="str">
        <f>_xlfn.XLOOKUP(AH125, Hoja4!A:A, Hoja4!B:B)</f>
        <v>GP089792</v>
      </c>
      <c r="AJ125" t="b">
        <f t="shared" si="20"/>
        <v>1</v>
      </c>
    </row>
    <row r="126" spans="1:36" ht="15.5" customHeight="1" x14ac:dyDescent="0.35">
      <c r="A126">
        <f t="shared" ca="1" si="10"/>
        <v>0</v>
      </c>
      <c r="B126" s="17" t="s">
        <v>455</v>
      </c>
      <c r="C126" s="7">
        <v>44763</v>
      </c>
      <c r="D126" s="6" t="s">
        <v>452</v>
      </c>
      <c r="E126" s="6" t="s">
        <v>83</v>
      </c>
      <c r="F126" s="6" t="s">
        <v>101</v>
      </c>
      <c r="G126" s="17" t="s">
        <v>299</v>
      </c>
      <c r="H126" s="6" t="s">
        <v>309</v>
      </c>
      <c r="I126" s="6" t="s">
        <v>218</v>
      </c>
      <c r="J126" s="6" t="str">
        <f>IF(E126="KTG","KTG",(VLOOKUP(I126,'[1]list of outsource'!B:H,2,0)))</f>
        <v>UPM</v>
      </c>
      <c r="K126" s="6" t="s">
        <v>219</v>
      </c>
      <c r="L126" s="6"/>
      <c r="M126" s="6" t="s">
        <v>310</v>
      </c>
      <c r="N126" s="6" t="s">
        <v>311</v>
      </c>
      <c r="O126" s="19" t="s">
        <v>456</v>
      </c>
      <c r="P126" s="6"/>
      <c r="Q126" s="8"/>
      <c r="R126" s="19"/>
      <c r="S126" s="19"/>
      <c r="T126" s="19"/>
      <c r="U126" s="6"/>
      <c r="V126" s="6"/>
      <c r="W126" s="17" t="s">
        <v>454</v>
      </c>
      <c r="X126" s="7">
        <v>44763</v>
      </c>
      <c r="Y126" s="7"/>
      <c r="AB126" t="e">
        <v>#N/A</v>
      </c>
      <c r="AC126"/>
      <c r="AE126" t="str">
        <f t="shared" si="11"/>
        <v>P000033</v>
      </c>
      <c r="AF126" t="str">
        <f>_xlfn.XLOOKUP(AE126, Hoja2!A:A, Hoja2!A:A)</f>
        <v>P000033</v>
      </c>
      <c r="AG126" t="str">
        <f t="shared" si="19"/>
        <v>PP00027-11</v>
      </c>
      <c r="AH126">
        <f>_xlfn.XLOOKUP(AG126, Hoja3!A:A, Hoja3!B:B)</f>
        <v>4575</v>
      </c>
      <c r="AI126" t="str">
        <f>_xlfn.XLOOKUP(AH126, Hoja4!A:A, Hoja4!B:B)</f>
        <v>GP089790</v>
      </c>
      <c r="AJ126" t="b">
        <f t="shared" si="20"/>
        <v>1</v>
      </c>
    </row>
    <row r="127" spans="1:36" ht="15.5" customHeight="1" x14ac:dyDescent="0.35">
      <c r="A127">
        <f t="shared" ca="1" si="10"/>
        <v>0</v>
      </c>
      <c r="B127" s="17" t="s">
        <v>457</v>
      </c>
      <c r="C127" s="7">
        <v>44776</v>
      </c>
      <c r="D127" s="17" t="s">
        <v>452</v>
      </c>
      <c r="E127" s="17" t="s">
        <v>83</v>
      </c>
      <c r="F127" s="17" t="s">
        <v>101</v>
      </c>
      <c r="G127" s="17" t="s">
        <v>299</v>
      </c>
      <c r="H127" s="6" t="s">
        <v>300</v>
      </c>
      <c r="I127" s="6" t="s">
        <v>133</v>
      </c>
      <c r="J127" s="6" t="str">
        <f>IF(E127="KTG","KTG",(VLOOKUP(I127,'[1]list of outsource'!B:H,2,0)))</f>
        <v>UPM</v>
      </c>
      <c r="K127" s="17" t="s">
        <v>301</v>
      </c>
      <c r="L127" s="17"/>
      <c r="M127" s="6" t="s">
        <v>302</v>
      </c>
      <c r="N127" s="6" t="s">
        <v>303</v>
      </c>
      <c r="O127" s="6">
        <v>1146793758</v>
      </c>
      <c r="P127" s="17"/>
      <c r="Q127" s="8"/>
      <c r="R127" s="6"/>
      <c r="S127" s="6"/>
      <c r="T127" s="6"/>
      <c r="U127" s="17"/>
      <c r="V127" s="17"/>
      <c r="W127" s="17" t="s">
        <v>454</v>
      </c>
      <c r="X127" s="7">
        <v>44776</v>
      </c>
      <c r="Y127" s="20"/>
      <c r="AB127">
        <v>0</v>
      </c>
      <c r="AC127" t="e">
        <v>#N/A</v>
      </c>
      <c r="AE127" t="str">
        <f t="shared" si="11"/>
        <v>P000026</v>
      </c>
      <c r="AF127" t="str">
        <f>_xlfn.XLOOKUP(AE127, Hoja2!A:A, Hoja2!A:A)</f>
        <v>P000026</v>
      </c>
      <c r="AG127" t="str">
        <f t="shared" si="19"/>
        <v>PP00027-04</v>
      </c>
      <c r="AH127">
        <f>_xlfn.XLOOKUP(AG127, Hoja3!A:A, Hoja3!B:B)</f>
        <v>4570</v>
      </c>
      <c r="AI127" t="str">
        <f>_xlfn.XLOOKUP(AH127, Hoja4!A:A, Hoja4!B:B)</f>
        <v>GP088846</v>
      </c>
      <c r="AJ127" t="b">
        <f t="shared" si="20"/>
        <v>1</v>
      </c>
    </row>
    <row r="128" spans="1:36" ht="15.5" hidden="1" customHeight="1" x14ac:dyDescent="0.35">
      <c r="A128">
        <f t="shared" ca="1" si="10"/>
        <v>0</v>
      </c>
      <c r="B128" s="55" t="s">
        <v>347</v>
      </c>
      <c r="C128" s="13">
        <v>44806</v>
      </c>
      <c r="D128" s="14" t="s">
        <v>121</v>
      </c>
      <c r="E128" s="14" t="s">
        <v>147</v>
      </c>
      <c r="F128" s="14" t="s">
        <v>52</v>
      </c>
      <c r="G128" s="14" t="s">
        <v>126</v>
      </c>
      <c r="H128" s="55" t="s">
        <v>458</v>
      </c>
      <c r="I128" s="14" t="s">
        <v>459</v>
      </c>
      <c r="J128" s="14" t="e">
        <f>IF(E128="KTG","KTG",(VLOOKUP(I128,'[1]list of outsource'!B:H,2,0)))</f>
        <v>#N/A</v>
      </c>
      <c r="K128" s="14" t="s">
        <v>151</v>
      </c>
      <c r="L128" s="14"/>
      <c r="M128" s="14" t="s">
        <v>149</v>
      </c>
      <c r="N128" s="14" t="s">
        <v>460</v>
      </c>
      <c r="O128" s="21" t="s">
        <v>461</v>
      </c>
      <c r="P128" s="14"/>
      <c r="Q128" s="22"/>
      <c r="R128" s="21"/>
      <c r="S128" s="21"/>
      <c r="T128" s="21"/>
      <c r="U128" s="14">
        <v>2</v>
      </c>
      <c r="V128" s="14"/>
      <c r="W128" s="14" t="s">
        <v>37</v>
      </c>
      <c r="X128" s="13">
        <v>44806</v>
      </c>
      <c r="Y128" s="23"/>
      <c r="AB128" t="e">
        <v>#N/A</v>
      </c>
      <c r="AC128" t="e">
        <v>#N/A</v>
      </c>
      <c r="AE128" t="str">
        <f t="shared" si="11"/>
        <v>ET008-50</v>
      </c>
      <c r="AF128" t="str">
        <f>_xlfn.XLOOKUP(AE128, Hoja2!A:A, Hoja2!A:A)</f>
        <v>ET008-50</v>
      </c>
      <c r="AG128" t="str">
        <f t="shared" si="19"/>
        <v>PP00023-0001</v>
      </c>
      <c r="AH128" t="e">
        <f>_xlfn.XLOOKUP(AG128, Hoja3!A:A, Hoja3!B:B)</f>
        <v>#N/A</v>
      </c>
    </row>
    <row r="129" spans="1:36" ht="15.5" customHeight="1" x14ac:dyDescent="0.35">
      <c r="A129">
        <f t="shared" ca="1" si="10"/>
        <v>245</v>
      </c>
      <c r="B129" s="6" t="s">
        <v>462</v>
      </c>
      <c r="C129" s="7">
        <v>44817</v>
      </c>
      <c r="D129" s="6" t="s">
        <v>121</v>
      </c>
      <c r="E129" s="6" t="s">
        <v>83</v>
      </c>
      <c r="F129" s="6" t="s">
        <v>140</v>
      </c>
      <c r="G129" s="6" t="s">
        <v>32</v>
      </c>
      <c r="H129" s="6" t="s">
        <v>463</v>
      </c>
      <c r="I129" s="6" t="s">
        <v>158</v>
      </c>
      <c r="J129" s="6" t="str">
        <f>IF(E129="KTG","KTG",(VLOOKUP(I129,'[1]list of outsource'!B:H,2,0)))</f>
        <v>UPM</v>
      </c>
      <c r="K129" s="6" t="s">
        <v>159</v>
      </c>
      <c r="L129" s="6"/>
      <c r="M129" s="6" t="s">
        <v>224</v>
      </c>
      <c r="N129" s="6" t="s">
        <v>464</v>
      </c>
      <c r="O129" s="6">
        <v>1220870158</v>
      </c>
      <c r="P129" s="6"/>
      <c r="Q129" s="8"/>
      <c r="R129" s="6"/>
      <c r="S129" s="6"/>
      <c r="T129" s="6"/>
      <c r="U129" s="6">
        <v>2</v>
      </c>
      <c r="V129" s="6"/>
      <c r="W129" s="6" t="s">
        <v>37</v>
      </c>
      <c r="X129" s="7">
        <v>45062</v>
      </c>
      <c r="Y129" s="7"/>
      <c r="AC129" t="s">
        <v>4209</v>
      </c>
      <c r="AE129" t="str">
        <f t="shared" si="11"/>
        <v>P000127</v>
      </c>
      <c r="AF129" t="str">
        <f>_xlfn.XLOOKUP(AE129, Hoja2!A:A, Hoja2!A:A)</f>
        <v>P000127</v>
      </c>
      <c r="AG129" t="str">
        <f t="shared" si="19"/>
        <v>PP00036-04</v>
      </c>
      <c r="AH129">
        <f>_xlfn.XLOOKUP(AG129, Hoja3!A:A, Hoja3!B:B)</f>
        <v>5177</v>
      </c>
      <c r="AI129" t="str">
        <f>_xlfn.XLOOKUP(AH129, Hoja4!A:A, Hoja4!B:B)</f>
        <v>HSTP2438</v>
      </c>
      <c r="AJ129" t="b">
        <f t="shared" ref="AJ129:AJ131" si="21">H129=AI129</f>
        <v>1</v>
      </c>
    </row>
    <row r="130" spans="1:36" ht="15.5" customHeight="1" x14ac:dyDescent="0.35">
      <c r="A130">
        <f t="shared" ref="A130:A193" ca="1" si="22">IF(X130="",(TODAY()-C130),(X130-C130))</f>
        <v>219</v>
      </c>
      <c r="B130" s="6" t="s">
        <v>465</v>
      </c>
      <c r="C130" s="7">
        <v>44825</v>
      </c>
      <c r="D130" s="6" t="s">
        <v>121</v>
      </c>
      <c r="E130" s="6" t="s">
        <v>83</v>
      </c>
      <c r="F130" s="6" t="s">
        <v>140</v>
      </c>
      <c r="G130" s="6" t="s">
        <v>32</v>
      </c>
      <c r="H130" s="6" t="s">
        <v>466</v>
      </c>
      <c r="I130" s="6" t="s">
        <v>158</v>
      </c>
      <c r="J130" s="6" t="str">
        <f>IF(E130="KTG","KTG",(VLOOKUP(I130,'[1]list of outsource'!B:H,2,0)))</f>
        <v>UPM</v>
      </c>
      <c r="K130" s="6" t="s">
        <v>159</v>
      </c>
      <c r="L130" s="6"/>
      <c r="M130" s="6" t="s">
        <v>467</v>
      </c>
      <c r="N130" s="6" t="s">
        <v>468</v>
      </c>
      <c r="O130" s="6">
        <v>1216298197</v>
      </c>
      <c r="P130" s="6"/>
      <c r="Q130" s="8"/>
      <c r="R130" s="6"/>
      <c r="S130" s="6"/>
      <c r="T130" s="6"/>
      <c r="U130" s="6">
        <v>2</v>
      </c>
      <c r="V130" s="6"/>
      <c r="W130" s="6" t="s">
        <v>37</v>
      </c>
      <c r="X130" s="7">
        <v>45044</v>
      </c>
      <c r="Y130" s="7"/>
      <c r="AC130" t="e">
        <v>#N/A</v>
      </c>
      <c r="AE130" t="str">
        <f t="shared" si="11"/>
        <v>P000231</v>
      </c>
      <c r="AF130" t="str">
        <f>_xlfn.XLOOKUP(AE130, Hoja2!A:A, Hoja2!A:A)</f>
        <v>P000231</v>
      </c>
      <c r="AG130" t="str">
        <f t="shared" si="19"/>
        <v>PP00036-05</v>
      </c>
      <c r="AH130">
        <f>_xlfn.XLOOKUP(AG130, Hoja3!A:A, Hoja3!B:B)</f>
        <v>5178</v>
      </c>
      <c r="AI130" t="str">
        <f>_xlfn.XLOOKUP(AH130, Hoja4!A:A, Hoja4!B:B)</f>
        <v>HSTP2437</v>
      </c>
      <c r="AJ130" t="b">
        <f t="shared" si="21"/>
        <v>1</v>
      </c>
    </row>
    <row r="131" spans="1:36" ht="15.5" customHeight="1" x14ac:dyDescent="0.35">
      <c r="A131">
        <f t="shared" ca="1" si="22"/>
        <v>102</v>
      </c>
      <c r="B131" s="6" t="s">
        <v>469</v>
      </c>
      <c r="C131" s="7">
        <v>44879</v>
      </c>
      <c r="D131" s="6" t="s">
        <v>121</v>
      </c>
      <c r="E131" s="6" t="s">
        <v>139</v>
      </c>
      <c r="F131" s="6" t="s">
        <v>148</v>
      </c>
      <c r="G131" s="6" t="s">
        <v>32</v>
      </c>
      <c r="H131" s="6" t="s">
        <v>470</v>
      </c>
      <c r="I131" s="6" t="s">
        <v>402</v>
      </c>
      <c r="J131" s="6" t="str">
        <f>IF(E131="KTG","KTG",(VLOOKUP(I131,'[1]list of outsource'!B:H,2,0)))</f>
        <v>ETC</v>
      </c>
      <c r="K131" s="6" t="s">
        <v>403</v>
      </c>
      <c r="L131" s="6"/>
      <c r="M131" s="6" t="s">
        <v>471</v>
      </c>
      <c r="N131" s="6" t="s">
        <v>472</v>
      </c>
      <c r="O131" s="6">
        <v>1198485921</v>
      </c>
      <c r="P131" s="6"/>
      <c r="Q131" s="8"/>
      <c r="R131" s="6"/>
      <c r="S131" s="6"/>
      <c r="T131" s="6"/>
      <c r="U131" s="6">
        <v>2</v>
      </c>
      <c r="V131" s="6"/>
      <c r="W131" s="6" t="s">
        <v>37</v>
      </c>
      <c r="X131" s="7">
        <v>44981</v>
      </c>
      <c r="Y131" s="7"/>
      <c r="AC131"/>
      <c r="AE131" t="str">
        <f t="shared" ref="AE131:AE194" si="23">LEFT(M131, FIND(" ", M131 &amp; " ") - 1)</f>
        <v>P000252</v>
      </c>
      <c r="AF131" t="str">
        <f>_xlfn.XLOOKUP(AE131, Hoja2!A:A, Hoja2!A:A)</f>
        <v>P000252</v>
      </c>
      <c r="AG131" t="str">
        <f t="shared" si="19"/>
        <v>PP00029-01</v>
      </c>
      <c r="AH131">
        <f>_xlfn.XLOOKUP(AG131, Hoja3!A:A, Hoja3!B:B)</f>
        <v>5123</v>
      </c>
      <c r="AI131" t="str">
        <f>_xlfn.XLOOKUP(AH131, Hoja4!A:A, Hoja4!B:B)</f>
        <v>ET25-18.3/4.5-BLK-40mm</v>
      </c>
      <c r="AJ131" t="b">
        <f t="shared" si="21"/>
        <v>1</v>
      </c>
    </row>
    <row r="132" spans="1:36" ht="15.5" hidden="1" customHeight="1" x14ac:dyDescent="0.35">
      <c r="A132">
        <f t="shared" ca="1" si="22"/>
        <v>102</v>
      </c>
      <c r="B132" s="55" t="s">
        <v>473</v>
      </c>
      <c r="C132" s="7">
        <v>44879</v>
      </c>
      <c r="D132" s="6" t="s">
        <v>121</v>
      </c>
      <c r="E132" s="6" t="s">
        <v>139</v>
      </c>
      <c r="F132" s="6" t="s">
        <v>148</v>
      </c>
      <c r="G132" s="6" t="s">
        <v>32</v>
      </c>
      <c r="H132" s="6" t="s">
        <v>474</v>
      </c>
      <c r="I132" s="6" t="s">
        <v>402</v>
      </c>
      <c r="J132" s="6" t="str">
        <f>IF(E132="KTG","KTG",(VLOOKUP(I132,'[1]list of outsource'!B:H,2,0)))</f>
        <v>ETC</v>
      </c>
      <c r="K132" s="6" t="s">
        <v>403</v>
      </c>
      <c r="L132" s="6"/>
      <c r="M132" s="55" t="s">
        <v>475</v>
      </c>
      <c r="N132" s="6" t="s">
        <v>476</v>
      </c>
      <c r="O132" s="6">
        <v>1198497434</v>
      </c>
      <c r="P132" s="6"/>
      <c r="Q132" s="8"/>
      <c r="R132" s="6"/>
      <c r="S132" s="6"/>
      <c r="T132" s="6"/>
      <c r="U132" s="6">
        <v>2</v>
      </c>
      <c r="V132" s="6"/>
      <c r="W132" s="6" t="s">
        <v>37</v>
      </c>
      <c r="X132" s="7">
        <v>44981</v>
      </c>
      <c r="Y132" s="7"/>
      <c r="AC132"/>
      <c r="AE132" t="str">
        <f t="shared" si="23"/>
        <v>P000477</v>
      </c>
      <c r="AF132" t="e">
        <f>_xlfn.XLOOKUP(AE132, Hoja2!A:A, Hoja2!A:A)</f>
        <v>#N/A</v>
      </c>
    </row>
    <row r="133" spans="1:36" ht="15.5" customHeight="1" x14ac:dyDescent="0.35">
      <c r="A133">
        <f t="shared" ca="1" si="22"/>
        <v>102</v>
      </c>
      <c r="B133" s="6" t="s">
        <v>477</v>
      </c>
      <c r="C133" s="7">
        <v>44879</v>
      </c>
      <c r="D133" s="6" t="s">
        <v>121</v>
      </c>
      <c r="E133" s="6" t="s">
        <v>139</v>
      </c>
      <c r="F133" s="6" t="s">
        <v>148</v>
      </c>
      <c r="G133" s="6" t="s">
        <v>32</v>
      </c>
      <c r="H133" s="6" t="s">
        <v>4621</v>
      </c>
      <c r="I133" s="6" t="s">
        <v>402</v>
      </c>
      <c r="J133" s="6" t="str">
        <f>IF(E133="KTG","KTG",(VLOOKUP(I133,'[1]list of outsource'!B:H,2,0)))</f>
        <v>ETC</v>
      </c>
      <c r="K133" s="6" t="s">
        <v>403</v>
      </c>
      <c r="L133" s="6"/>
      <c r="M133" s="6" t="s">
        <v>479</v>
      </c>
      <c r="N133" s="6" t="s">
        <v>478</v>
      </c>
      <c r="O133" s="6">
        <v>1199854155</v>
      </c>
      <c r="P133" s="6"/>
      <c r="Q133" s="8"/>
      <c r="R133" s="6"/>
      <c r="S133" s="6"/>
      <c r="T133" s="6"/>
      <c r="U133" s="6">
        <v>2</v>
      </c>
      <c r="V133" s="6"/>
      <c r="W133" s="6" t="s">
        <v>37</v>
      </c>
      <c r="X133" s="7">
        <v>44981</v>
      </c>
      <c r="Y133" s="7"/>
      <c r="AC133"/>
      <c r="AE133" t="str">
        <f t="shared" si="23"/>
        <v>P000254</v>
      </c>
      <c r="AF133" t="str">
        <f>_xlfn.XLOOKUP(AE133, Hoja2!A:A, Hoja2!A:A)</f>
        <v>P000254</v>
      </c>
      <c r="AG133" t="str">
        <f t="shared" ref="AG133:AG134" si="24">LEFT(B133, FIND(" ", B133 &amp; " ") - 1)</f>
        <v>PP00029-03</v>
      </c>
      <c r="AH133">
        <f>_xlfn.XLOOKUP(AG133, Hoja3!A:A, Hoja3!B:B)</f>
        <v>5124</v>
      </c>
      <c r="AI133" t="str">
        <f>_xlfn.XLOOKUP(AH133, Hoja4!A:A, Hoja4!B:B)</f>
        <v>ET25-18.3/4.5-BLK-65mm</v>
      </c>
      <c r="AJ133" t="b">
        <f t="shared" ref="AJ133:AJ134" si="25">H133=AI133</f>
        <v>1</v>
      </c>
    </row>
    <row r="134" spans="1:36" ht="15.5" customHeight="1" x14ac:dyDescent="0.35">
      <c r="A134">
        <f t="shared" ca="1" si="22"/>
        <v>102</v>
      </c>
      <c r="B134" s="6" t="s">
        <v>480</v>
      </c>
      <c r="C134" s="7">
        <v>44879</v>
      </c>
      <c r="D134" s="6" t="s">
        <v>121</v>
      </c>
      <c r="E134" s="6" t="s">
        <v>139</v>
      </c>
      <c r="F134" s="6" t="s">
        <v>148</v>
      </c>
      <c r="G134" s="6" t="s">
        <v>32</v>
      </c>
      <c r="H134" s="6" t="s">
        <v>4622</v>
      </c>
      <c r="I134" s="6" t="s">
        <v>402</v>
      </c>
      <c r="J134" s="6" t="str">
        <f>IF(E134="KTG","KTG",(VLOOKUP(I134,'[1]list of outsource'!B:H,2,0)))</f>
        <v>ETC</v>
      </c>
      <c r="K134" s="6" t="s">
        <v>403</v>
      </c>
      <c r="L134" s="6"/>
      <c r="M134" s="6" t="s">
        <v>482</v>
      </c>
      <c r="N134" s="6" t="s">
        <v>481</v>
      </c>
      <c r="O134" s="6">
        <v>1199292910</v>
      </c>
      <c r="P134" s="6"/>
      <c r="Q134" s="8"/>
      <c r="R134" s="6"/>
      <c r="S134" s="6"/>
      <c r="T134" s="6"/>
      <c r="U134" s="6">
        <v>2</v>
      </c>
      <c r="V134" s="6"/>
      <c r="W134" s="6" t="s">
        <v>37</v>
      </c>
      <c r="X134" s="7">
        <v>44981</v>
      </c>
      <c r="Y134" s="7"/>
      <c r="AC134"/>
      <c r="AE134" t="str">
        <f t="shared" si="23"/>
        <v>P000253</v>
      </c>
      <c r="AF134" t="str">
        <f>_xlfn.XLOOKUP(AE134, Hoja2!A:A, Hoja2!A:A)</f>
        <v>P000253</v>
      </c>
      <c r="AG134" t="str">
        <f t="shared" si="24"/>
        <v>PP00029-04</v>
      </c>
      <c r="AH134">
        <f>_xlfn.XLOOKUP(AG134, Hoja3!A:A, Hoja3!B:B)</f>
        <v>5125</v>
      </c>
      <c r="AI134" t="str">
        <f>_xlfn.XLOOKUP(AH134, Hoja4!A:A, Hoja4!B:B)</f>
        <v>ET25-18.3/4.5-BLK-50mm</v>
      </c>
      <c r="AJ134" t="b">
        <f t="shared" si="25"/>
        <v>1</v>
      </c>
    </row>
    <row r="135" spans="1:36" ht="15.5" hidden="1" customHeight="1" x14ac:dyDescent="0.35">
      <c r="A135">
        <f t="shared" ca="1" si="22"/>
        <v>102</v>
      </c>
      <c r="B135" s="55" t="s">
        <v>483</v>
      </c>
      <c r="C135" s="7">
        <v>44879</v>
      </c>
      <c r="D135" s="6" t="s">
        <v>121</v>
      </c>
      <c r="E135" s="6" t="s">
        <v>139</v>
      </c>
      <c r="F135" s="6" t="s">
        <v>148</v>
      </c>
      <c r="G135" s="6" t="s">
        <v>32</v>
      </c>
      <c r="H135" s="6" t="s">
        <v>484</v>
      </c>
      <c r="I135" s="6" t="s">
        <v>402</v>
      </c>
      <c r="J135" s="6" t="str">
        <f>IF(E135="KTG","KTG",(VLOOKUP(I135,'[1]list of outsource'!B:H,2,0)))</f>
        <v>ETC</v>
      </c>
      <c r="K135" s="6" t="s">
        <v>403</v>
      </c>
      <c r="L135" s="6"/>
      <c r="M135" s="55" t="s">
        <v>485</v>
      </c>
      <c r="N135" s="6" t="s">
        <v>484</v>
      </c>
      <c r="O135" s="6">
        <v>1199293620</v>
      </c>
      <c r="P135" s="6"/>
      <c r="Q135" s="8"/>
      <c r="R135" s="6"/>
      <c r="S135" s="6"/>
      <c r="T135" s="6"/>
      <c r="U135" s="6">
        <v>2</v>
      </c>
      <c r="V135" s="6"/>
      <c r="W135" s="6" t="s">
        <v>37</v>
      </c>
      <c r="X135" s="7">
        <v>44981</v>
      </c>
      <c r="Y135" s="7"/>
      <c r="AC135"/>
      <c r="AE135" t="str">
        <f t="shared" si="23"/>
        <v>P000196</v>
      </c>
      <c r="AF135" t="e">
        <f>_xlfn.XLOOKUP(AE135, Hoja2!A:A, Hoja2!A:A)</f>
        <v>#N/A</v>
      </c>
    </row>
    <row r="136" spans="1:36" ht="15.5" customHeight="1" x14ac:dyDescent="0.35">
      <c r="A136">
        <f t="shared" ca="1" si="22"/>
        <v>102</v>
      </c>
      <c r="B136" s="6" t="s">
        <v>486</v>
      </c>
      <c r="C136" s="7">
        <v>44879</v>
      </c>
      <c r="D136" s="6" t="s">
        <v>121</v>
      </c>
      <c r="E136" s="6" t="s">
        <v>139</v>
      </c>
      <c r="F136" s="6" t="s">
        <v>148</v>
      </c>
      <c r="G136" s="6" t="s">
        <v>32</v>
      </c>
      <c r="H136" s="6" t="s">
        <v>1604</v>
      </c>
      <c r="I136" s="6" t="s">
        <v>402</v>
      </c>
      <c r="J136" s="6" t="str">
        <f>IF(E136="KTG","KTG",(VLOOKUP(I136,'[1]list of outsource'!B:H,2,0)))</f>
        <v>ETC</v>
      </c>
      <c r="K136" s="6" t="s">
        <v>403</v>
      </c>
      <c r="L136" s="6"/>
      <c r="M136" s="6" t="s">
        <v>488</v>
      </c>
      <c r="N136" s="6" t="s">
        <v>487</v>
      </c>
      <c r="O136" s="6">
        <v>1196335819</v>
      </c>
      <c r="P136" s="6"/>
      <c r="Q136" s="8"/>
      <c r="R136" s="6"/>
      <c r="S136" s="6"/>
      <c r="T136" s="6"/>
      <c r="U136" s="6">
        <v>2</v>
      </c>
      <c r="V136" s="6"/>
      <c r="W136" s="6" t="s">
        <v>37</v>
      </c>
      <c r="X136" s="7">
        <v>44981</v>
      </c>
      <c r="Y136" s="7"/>
      <c r="AC136"/>
      <c r="AE136" t="str">
        <f t="shared" si="23"/>
        <v>P000277</v>
      </c>
      <c r="AF136" t="str">
        <f>_xlfn.XLOOKUP(AE136, Hoja2!A:A, Hoja2!A:A)</f>
        <v>P000277</v>
      </c>
      <c r="AG136" t="str">
        <f t="shared" ref="AG136:AG140" si="26">LEFT(B136, FIND(" ", B136 &amp; " ") - 1)</f>
        <v>PP00029-06</v>
      </c>
      <c r="AH136">
        <f>_xlfn.XLOOKUP(AG136, Hoja3!A:A, Hoja3!B:B)</f>
        <v>5126</v>
      </c>
      <c r="AI136" t="str">
        <f>_xlfn.XLOOKUP(AH136, Hoja4!A:A, Hoja4!B:B)</f>
        <v>ET25-24.0/6.0-BLK-60mm</v>
      </c>
      <c r="AJ136" t="b">
        <f t="shared" ref="AJ136:AJ140" si="27">H136=AI136</f>
        <v>1</v>
      </c>
    </row>
    <row r="137" spans="1:36" ht="15.5" customHeight="1" x14ac:dyDescent="0.35">
      <c r="A137">
        <f t="shared" ca="1" si="22"/>
        <v>102</v>
      </c>
      <c r="B137" s="6" t="s">
        <v>489</v>
      </c>
      <c r="C137" s="7">
        <v>44879</v>
      </c>
      <c r="D137" s="6" t="s">
        <v>121</v>
      </c>
      <c r="E137" s="6" t="s">
        <v>139</v>
      </c>
      <c r="F137" s="6" t="s">
        <v>148</v>
      </c>
      <c r="G137" s="6" t="s">
        <v>32</v>
      </c>
      <c r="H137" s="6" t="s">
        <v>4623</v>
      </c>
      <c r="I137" s="6" t="s">
        <v>402</v>
      </c>
      <c r="J137" s="6" t="str">
        <f>IF(E137="KTG","KTG",(VLOOKUP(I137,'[1]list of outsource'!B:H,2,0)))</f>
        <v>ETC</v>
      </c>
      <c r="K137" s="6" t="s">
        <v>403</v>
      </c>
      <c r="L137" s="6"/>
      <c r="M137" s="6" t="s">
        <v>491</v>
      </c>
      <c r="N137" s="6" t="s">
        <v>490</v>
      </c>
      <c r="O137" s="6">
        <v>1199295023</v>
      </c>
      <c r="P137" s="6"/>
      <c r="Q137" s="8"/>
      <c r="R137" s="6"/>
      <c r="S137" s="6"/>
      <c r="T137" s="6"/>
      <c r="U137" s="6">
        <v>2</v>
      </c>
      <c r="V137" s="6"/>
      <c r="W137" s="6" t="s">
        <v>37</v>
      </c>
      <c r="X137" s="7">
        <v>44981</v>
      </c>
      <c r="Y137" s="7"/>
      <c r="AC137"/>
      <c r="AE137" t="str">
        <f t="shared" si="23"/>
        <v>P000293</v>
      </c>
      <c r="AF137" t="str">
        <f>_xlfn.XLOOKUP(AE137, Hoja2!A:A, Hoja2!A:A)</f>
        <v>P000293</v>
      </c>
      <c r="AG137" t="str">
        <f t="shared" si="26"/>
        <v>PP00029-07</v>
      </c>
      <c r="AH137">
        <f>_xlfn.XLOOKUP(AG137, Hoja3!A:A, Hoja3!B:B)</f>
        <v>5127</v>
      </c>
      <c r="AI137" t="str">
        <f>_xlfn.XLOOKUP(AH137, Hoja4!A:A, Hoja4!B:B)</f>
        <v>ET25-7.4/1.7-BLK-50mm</v>
      </c>
      <c r="AJ137" t="b">
        <f t="shared" si="27"/>
        <v>1</v>
      </c>
    </row>
    <row r="138" spans="1:36" ht="15.5" customHeight="1" x14ac:dyDescent="0.35">
      <c r="A138">
        <f t="shared" ca="1" si="22"/>
        <v>102</v>
      </c>
      <c r="B138" s="6" t="s">
        <v>492</v>
      </c>
      <c r="C138" s="7">
        <v>44879</v>
      </c>
      <c r="D138" s="6" t="s">
        <v>121</v>
      </c>
      <c r="E138" s="6" t="s">
        <v>139</v>
      </c>
      <c r="F138" s="6" t="s">
        <v>148</v>
      </c>
      <c r="G138" s="6" t="s">
        <v>32</v>
      </c>
      <c r="H138" s="6" t="s">
        <v>2085</v>
      </c>
      <c r="I138" s="6" t="s">
        <v>494</v>
      </c>
      <c r="J138" s="6" t="str">
        <f>IF(E138="KTG","KTG",(VLOOKUP(I138,'[1]list of outsource'!B:H,2,0)))</f>
        <v>ETC</v>
      </c>
      <c r="K138" s="6" t="s">
        <v>495</v>
      </c>
      <c r="L138" s="6"/>
      <c r="M138" s="6" t="s">
        <v>496</v>
      </c>
      <c r="N138" s="6" t="s">
        <v>493</v>
      </c>
      <c r="O138" s="6">
        <v>1199871420</v>
      </c>
      <c r="P138" s="6"/>
      <c r="Q138" s="8"/>
      <c r="R138" s="6"/>
      <c r="S138" s="6"/>
      <c r="T138" s="6"/>
      <c r="U138" s="6">
        <v>2</v>
      </c>
      <c r="V138" s="6"/>
      <c r="W138" s="6" t="s">
        <v>37</v>
      </c>
      <c r="X138" s="7">
        <v>44981</v>
      </c>
      <c r="Y138" s="7"/>
      <c r="AC138"/>
      <c r="AE138" t="str">
        <f t="shared" si="23"/>
        <v>P000235</v>
      </c>
      <c r="AF138" t="str">
        <f>_xlfn.XLOOKUP(AE138, Hoja2!A:A, Hoja2!A:A)</f>
        <v>P000235</v>
      </c>
      <c r="AG138" t="str">
        <f t="shared" si="26"/>
        <v>PP00029-08</v>
      </c>
      <c r="AH138">
        <f>_xlfn.XLOOKUP(AG138, Hoja3!A:A, Hoja3!B:B)</f>
        <v>5128</v>
      </c>
      <c r="AI138" t="str">
        <f>_xlfn.XLOOKUP(AH138, Hoja4!A:A, Hoja4!B:B)</f>
        <v>ET87-17.8/4.4-BLK-50mm</v>
      </c>
      <c r="AJ138" t="b">
        <f t="shared" si="27"/>
        <v>1</v>
      </c>
    </row>
    <row r="139" spans="1:36" ht="15.5" customHeight="1" x14ac:dyDescent="0.35">
      <c r="A139">
        <f t="shared" ca="1" si="22"/>
        <v>102</v>
      </c>
      <c r="B139" s="6" t="s">
        <v>497</v>
      </c>
      <c r="C139" s="7">
        <v>44879</v>
      </c>
      <c r="D139" s="6" t="s">
        <v>121</v>
      </c>
      <c r="E139" s="6" t="s">
        <v>139</v>
      </c>
      <c r="F139" s="6" t="s">
        <v>148</v>
      </c>
      <c r="G139" s="6" t="s">
        <v>32</v>
      </c>
      <c r="H139" s="6" t="s">
        <v>4624</v>
      </c>
      <c r="I139" s="6" t="s">
        <v>402</v>
      </c>
      <c r="J139" s="6" t="str">
        <f>IF(E139="KTG","KTG",(VLOOKUP(I139,'[1]list of outsource'!B:H,2,0)))</f>
        <v>ETC</v>
      </c>
      <c r="K139" s="6" t="s">
        <v>403</v>
      </c>
      <c r="L139" s="6"/>
      <c r="M139" s="6" t="s">
        <v>498</v>
      </c>
      <c r="N139" s="6" t="s">
        <v>499</v>
      </c>
      <c r="O139" s="6">
        <v>1196335595</v>
      </c>
      <c r="P139" s="6"/>
      <c r="Q139" s="8"/>
      <c r="R139" s="6"/>
      <c r="S139" s="6"/>
      <c r="T139" s="6"/>
      <c r="U139" s="6">
        <v>2</v>
      </c>
      <c r="V139" s="6"/>
      <c r="W139" s="6" t="s">
        <v>37</v>
      </c>
      <c r="X139" s="7">
        <v>44981</v>
      </c>
      <c r="Y139" s="7"/>
      <c r="AC139"/>
      <c r="AE139" t="str">
        <f t="shared" si="23"/>
        <v>P000204</v>
      </c>
      <c r="AF139" t="str">
        <f>_xlfn.XLOOKUP(AE139, Hoja2!A:A, Hoja2!A:A)</f>
        <v>P000204</v>
      </c>
      <c r="AG139" t="str">
        <f t="shared" si="26"/>
        <v>PP00029-09</v>
      </c>
      <c r="AH139">
        <f>_xlfn.XLOOKUP(AG139, Hoja3!A:A, Hoja3!B:B)</f>
        <v>5129</v>
      </c>
      <c r="AI139" t="str">
        <f>_xlfn.XLOOKUP(AH139, Hoja4!A:A, Hoja4!B:B)</f>
        <v>ET25-5.7/1.3-BLK-50mm</v>
      </c>
      <c r="AJ139" t="b">
        <f t="shared" si="27"/>
        <v>1</v>
      </c>
    </row>
    <row r="140" spans="1:36" ht="15.5" customHeight="1" x14ac:dyDescent="0.35">
      <c r="A140">
        <f t="shared" ca="1" si="22"/>
        <v>102</v>
      </c>
      <c r="B140" s="6" t="s">
        <v>500</v>
      </c>
      <c r="C140" s="7">
        <v>44879</v>
      </c>
      <c r="D140" s="6" t="s">
        <v>121</v>
      </c>
      <c r="E140" s="6" t="s">
        <v>139</v>
      </c>
      <c r="F140" s="6" t="s">
        <v>148</v>
      </c>
      <c r="G140" s="6" t="s">
        <v>32</v>
      </c>
      <c r="H140" s="6" t="s">
        <v>4625</v>
      </c>
      <c r="I140" s="6" t="s">
        <v>494</v>
      </c>
      <c r="J140" s="6" t="str">
        <f>IF(E140="KTG","KTG",(VLOOKUP(I140,'[1]list of outsource'!B:H,2,0)))</f>
        <v>ETC</v>
      </c>
      <c r="K140" s="6" t="s">
        <v>495</v>
      </c>
      <c r="L140" s="6"/>
      <c r="M140" s="6" t="s">
        <v>502</v>
      </c>
      <c r="N140" s="6" t="s">
        <v>501</v>
      </c>
      <c r="O140" s="6">
        <v>1199874872</v>
      </c>
      <c r="P140" s="6"/>
      <c r="Q140" s="8"/>
      <c r="R140" s="6"/>
      <c r="S140" s="6"/>
      <c r="T140" s="6"/>
      <c r="U140" s="6">
        <v>2</v>
      </c>
      <c r="V140" s="6"/>
      <c r="W140" s="6" t="s">
        <v>37</v>
      </c>
      <c r="X140" s="7">
        <v>44981</v>
      </c>
      <c r="Y140" s="7"/>
      <c r="AC140"/>
      <c r="AE140" t="str">
        <f t="shared" si="23"/>
        <v>P000382</v>
      </c>
      <c r="AF140" t="str">
        <f>_xlfn.XLOOKUP(AE140, Hoja2!A:A, Hoja2!A:A)</f>
        <v>P000382</v>
      </c>
      <c r="AG140" t="str">
        <f t="shared" si="26"/>
        <v>PP00029-10</v>
      </c>
      <c r="AH140">
        <f>_xlfn.XLOOKUP(AG140, Hoja3!A:A, Hoja3!B:B)</f>
        <v>5130</v>
      </c>
      <c r="AI140" t="str">
        <f>_xlfn.XLOOKUP(AH140, Hoja4!A:A, Hoja4!B:B)</f>
        <v>ET87-17.8/4.4-BLK-40mm</v>
      </c>
      <c r="AJ140" t="b">
        <f t="shared" si="27"/>
        <v>1</v>
      </c>
    </row>
    <row r="141" spans="1:36" ht="15.5" hidden="1" customHeight="1" x14ac:dyDescent="0.35">
      <c r="A141">
        <f t="shared" ca="1" si="22"/>
        <v>102</v>
      </c>
      <c r="B141" s="55" t="s">
        <v>503</v>
      </c>
      <c r="C141" s="7">
        <v>44879</v>
      </c>
      <c r="D141" s="6" t="s">
        <v>121</v>
      </c>
      <c r="E141" s="6" t="s">
        <v>139</v>
      </c>
      <c r="F141" s="6" t="s">
        <v>148</v>
      </c>
      <c r="G141" s="6" t="s">
        <v>32</v>
      </c>
      <c r="H141" s="6" t="s">
        <v>504</v>
      </c>
      <c r="I141" s="6" t="s">
        <v>402</v>
      </c>
      <c r="J141" s="6" t="str">
        <f>IF(E141="KTG","KTG",(VLOOKUP(I141,'[1]list of outsource'!B:H,2,0)))</f>
        <v>ETC</v>
      </c>
      <c r="K141" s="6" t="s">
        <v>403</v>
      </c>
      <c r="L141" s="6"/>
      <c r="M141" s="55" t="s">
        <v>505</v>
      </c>
      <c r="N141" s="6" t="s">
        <v>504</v>
      </c>
      <c r="O141" s="6">
        <v>1199875322</v>
      </c>
      <c r="P141" s="6"/>
      <c r="Q141" s="8"/>
      <c r="R141" s="6"/>
      <c r="S141" s="6"/>
      <c r="T141" s="6"/>
      <c r="U141" s="6">
        <v>2</v>
      </c>
      <c r="V141" s="6"/>
      <c r="W141" s="6" t="s">
        <v>37</v>
      </c>
      <c r="X141" s="7">
        <v>44981</v>
      </c>
      <c r="Y141" s="7"/>
      <c r="AC141"/>
      <c r="AE141" t="str">
        <f t="shared" si="23"/>
        <v>P000476</v>
      </c>
      <c r="AF141" t="e">
        <f>_xlfn.XLOOKUP(AE141, Hoja2!A:A, Hoja2!A:A)</f>
        <v>#N/A</v>
      </c>
    </row>
    <row r="142" spans="1:36" ht="15.5" customHeight="1" x14ac:dyDescent="0.35">
      <c r="A142">
        <f t="shared" ca="1" si="22"/>
        <v>57</v>
      </c>
      <c r="B142" s="6" t="s">
        <v>506</v>
      </c>
      <c r="C142" s="7">
        <v>44886</v>
      </c>
      <c r="D142" s="6" t="s">
        <v>507</v>
      </c>
      <c r="E142" s="6" t="s">
        <v>139</v>
      </c>
      <c r="F142" s="6" t="s">
        <v>508</v>
      </c>
      <c r="G142" s="6" t="s">
        <v>32</v>
      </c>
      <c r="H142" s="6">
        <v>69321134</v>
      </c>
      <c r="I142" s="6" t="s">
        <v>402</v>
      </c>
      <c r="J142" s="6" t="str">
        <f>IF(E142="KTG","KTG",(VLOOKUP(I142,'[1]list of outsource'!B:H,2,0)))</f>
        <v>ETC</v>
      </c>
      <c r="K142" s="6" t="s">
        <v>403</v>
      </c>
      <c r="L142" s="6"/>
      <c r="M142" s="6" t="s">
        <v>509</v>
      </c>
      <c r="N142" s="6" t="s">
        <v>510</v>
      </c>
      <c r="O142" s="6" t="s">
        <v>511</v>
      </c>
      <c r="P142" s="6"/>
      <c r="Q142" s="8"/>
      <c r="R142" s="6"/>
      <c r="S142" s="6"/>
      <c r="T142" s="6"/>
      <c r="U142" s="6">
        <v>2</v>
      </c>
      <c r="V142" s="6"/>
      <c r="W142" s="6" t="s">
        <v>37</v>
      </c>
      <c r="X142" s="7">
        <v>44943</v>
      </c>
      <c r="Y142" s="7">
        <v>44984</v>
      </c>
      <c r="AC142"/>
      <c r="AE142" t="str">
        <f t="shared" si="23"/>
        <v>P000217</v>
      </c>
      <c r="AF142" t="str">
        <f>_xlfn.XLOOKUP(AE142, Hoja2!A:A, Hoja2!A:A)</f>
        <v>P000217</v>
      </c>
      <c r="AG142" t="str">
        <f t="shared" ref="AG142:AG149" si="28">LEFT(B142, FIND(" ", B142 &amp; " ") - 1)</f>
        <v>PP00026-01</v>
      </c>
      <c r="AH142">
        <f>_xlfn.XLOOKUP(AG142, Hoja3!A:A, Hoja3!B:B)</f>
        <v>5594</v>
      </c>
      <c r="AI142">
        <f>_xlfn.XLOOKUP(AH142, Hoja4!A:A, Hoja4!B:B)</f>
        <v>69321134</v>
      </c>
      <c r="AJ142" t="b">
        <f t="shared" ref="AJ142:AJ149" si="29">H142=AI142</f>
        <v>1</v>
      </c>
    </row>
    <row r="143" spans="1:36" ht="15.5" customHeight="1" x14ac:dyDescent="0.35">
      <c r="A143">
        <f t="shared" ca="1" si="22"/>
        <v>57</v>
      </c>
      <c r="B143" s="6" t="s">
        <v>512</v>
      </c>
      <c r="C143" s="7">
        <v>44886</v>
      </c>
      <c r="D143" s="6" t="s">
        <v>507</v>
      </c>
      <c r="E143" s="6" t="s">
        <v>139</v>
      </c>
      <c r="F143" s="6" t="s">
        <v>508</v>
      </c>
      <c r="G143" s="6" t="s">
        <v>32</v>
      </c>
      <c r="H143" s="6">
        <v>69321135</v>
      </c>
      <c r="I143" s="6" t="s">
        <v>402</v>
      </c>
      <c r="J143" s="6" t="str">
        <f>IF(E143="KTG","KTG",(VLOOKUP(I143,'[1]list of outsource'!B:H,2,0)))</f>
        <v>ETC</v>
      </c>
      <c r="K143" s="6" t="s">
        <v>403</v>
      </c>
      <c r="L143" s="6"/>
      <c r="M143" s="6" t="s">
        <v>513</v>
      </c>
      <c r="N143" s="6" t="s">
        <v>514</v>
      </c>
      <c r="O143" s="6">
        <v>1188884584</v>
      </c>
      <c r="P143" s="6"/>
      <c r="Q143" s="8"/>
      <c r="R143" s="6"/>
      <c r="S143" s="6"/>
      <c r="T143" s="6"/>
      <c r="U143" s="6">
        <v>2</v>
      </c>
      <c r="V143" s="6"/>
      <c r="W143" s="6" t="s">
        <v>37</v>
      </c>
      <c r="X143" s="7">
        <v>44943</v>
      </c>
      <c r="Y143" s="7">
        <v>44984</v>
      </c>
      <c r="AC143"/>
      <c r="AE143" t="str">
        <f t="shared" si="23"/>
        <v>P000270</v>
      </c>
      <c r="AF143" t="str">
        <f>_xlfn.XLOOKUP(AE143, Hoja2!A:A, Hoja2!A:A)</f>
        <v>P000270</v>
      </c>
      <c r="AG143" t="str">
        <f t="shared" si="28"/>
        <v>PP00026-02</v>
      </c>
      <c r="AH143">
        <f>_xlfn.XLOOKUP(AG143, Hoja3!A:A, Hoja3!B:B)</f>
        <v>5597</v>
      </c>
      <c r="AI143">
        <f>_xlfn.XLOOKUP(AH143, Hoja4!A:A, Hoja4!B:B)</f>
        <v>69321135</v>
      </c>
      <c r="AJ143" t="b">
        <f t="shared" si="29"/>
        <v>1</v>
      </c>
    </row>
    <row r="144" spans="1:36" ht="15.5" customHeight="1" x14ac:dyDescent="0.35">
      <c r="A144">
        <f t="shared" ca="1" si="22"/>
        <v>57</v>
      </c>
      <c r="B144" s="6" t="s">
        <v>515</v>
      </c>
      <c r="C144" s="7">
        <v>44886</v>
      </c>
      <c r="D144" s="6" t="s">
        <v>507</v>
      </c>
      <c r="E144" s="6" t="s">
        <v>139</v>
      </c>
      <c r="F144" s="6" t="s">
        <v>508</v>
      </c>
      <c r="G144" s="6" t="s">
        <v>32</v>
      </c>
      <c r="H144" s="6">
        <v>69321136</v>
      </c>
      <c r="I144" s="6" t="s">
        <v>402</v>
      </c>
      <c r="J144" s="6" t="str">
        <f>IF(E144="KTG","KTG",(VLOOKUP(I144,'[1]list of outsource'!B:H,2,0)))</f>
        <v>ETC</v>
      </c>
      <c r="K144" s="6" t="s">
        <v>403</v>
      </c>
      <c r="L144" s="6"/>
      <c r="M144" s="6" t="s">
        <v>516</v>
      </c>
      <c r="N144" s="6" t="s">
        <v>517</v>
      </c>
      <c r="O144" s="6" t="s">
        <v>518</v>
      </c>
      <c r="P144" s="6"/>
      <c r="Q144" s="8"/>
      <c r="R144" s="6"/>
      <c r="S144" s="6"/>
      <c r="T144" s="6"/>
      <c r="U144" s="6">
        <v>2</v>
      </c>
      <c r="V144" s="6"/>
      <c r="W144" s="6" t="s">
        <v>37</v>
      </c>
      <c r="X144" s="7">
        <v>44943</v>
      </c>
      <c r="Y144" s="7">
        <v>44984</v>
      </c>
      <c r="AC144"/>
      <c r="AE144" t="str">
        <f t="shared" si="23"/>
        <v>P000274</v>
      </c>
      <c r="AF144" t="str">
        <f>_xlfn.XLOOKUP(AE144, Hoja2!A:A, Hoja2!A:A)</f>
        <v>P000274</v>
      </c>
      <c r="AG144" t="str">
        <f t="shared" si="28"/>
        <v>PP00026-03</v>
      </c>
      <c r="AH144">
        <f>_xlfn.XLOOKUP(AG144, Hoja3!A:A, Hoja3!B:B)</f>
        <v>5600</v>
      </c>
      <c r="AI144">
        <f>_xlfn.XLOOKUP(AH144, Hoja4!A:A, Hoja4!B:B)</f>
        <v>69321136</v>
      </c>
      <c r="AJ144" t="b">
        <f t="shared" si="29"/>
        <v>1</v>
      </c>
    </row>
    <row r="145" spans="1:36" ht="15.5" customHeight="1" x14ac:dyDescent="0.35">
      <c r="A145">
        <f t="shared" ca="1" si="22"/>
        <v>57</v>
      </c>
      <c r="B145" s="6" t="s">
        <v>519</v>
      </c>
      <c r="C145" s="7">
        <v>44886</v>
      </c>
      <c r="D145" s="6" t="s">
        <v>507</v>
      </c>
      <c r="E145" s="6" t="s">
        <v>139</v>
      </c>
      <c r="F145" s="6" t="s">
        <v>508</v>
      </c>
      <c r="G145" s="6" t="s">
        <v>32</v>
      </c>
      <c r="H145" s="6">
        <v>69321137</v>
      </c>
      <c r="I145" s="6" t="s">
        <v>402</v>
      </c>
      <c r="J145" s="6" t="str">
        <f>IF(E145="KTG","KTG",(VLOOKUP(I145,'[1]list of outsource'!B:H,2,0)))</f>
        <v>ETC</v>
      </c>
      <c r="K145" s="6" t="s">
        <v>403</v>
      </c>
      <c r="L145" s="6"/>
      <c r="M145" s="6" t="s">
        <v>520</v>
      </c>
      <c r="N145" s="6" t="s">
        <v>521</v>
      </c>
      <c r="O145" s="6">
        <v>1189263052</v>
      </c>
      <c r="P145" s="6"/>
      <c r="Q145" s="8"/>
      <c r="R145" s="6"/>
      <c r="S145" s="6"/>
      <c r="T145" s="6"/>
      <c r="U145" s="6">
        <v>2</v>
      </c>
      <c r="V145" s="6"/>
      <c r="W145" s="6" t="s">
        <v>37</v>
      </c>
      <c r="X145" s="7">
        <v>44943</v>
      </c>
      <c r="Y145" s="7">
        <v>44984</v>
      </c>
      <c r="AC145"/>
      <c r="AE145" t="str">
        <f t="shared" si="23"/>
        <v>P000276</v>
      </c>
      <c r="AF145" t="str">
        <f>_xlfn.XLOOKUP(AE145, Hoja2!A:A, Hoja2!A:A)</f>
        <v>P000276</v>
      </c>
      <c r="AG145" t="str">
        <f t="shared" si="28"/>
        <v>PP00026-04</v>
      </c>
      <c r="AH145">
        <f>_xlfn.XLOOKUP(AG145, Hoja3!A:A, Hoja3!B:B)</f>
        <v>5603</v>
      </c>
      <c r="AI145">
        <f>_xlfn.XLOOKUP(AH145, Hoja4!A:A, Hoja4!B:B)</f>
        <v>69321137</v>
      </c>
      <c r="AJ145" t="b">
        <f t="shared" si="29"/>
        <v>1</v>
      </c>
    </row>
    <row r="146" spans="1:36" ht="15.5" customHeight="1" x14ac:dyDescent="0.35">
      <c r="A146">
        <f t="shared" ca="1" si="22"/>
        <v>57</v>
      </c>
      <c r="B146" s="6" t="s">
        <v>522</v>
      </c>
      <c r="C146" s="7">
        <v>44886</v>
      </c>
      <c r="D146" s="6" t="s">
        <v>507</v>
      </c>
      <c r="E146" s="6" t="s">
        <v>139</v>
      </c>
      <c r="F146" s="6" t="s">
        <v>508</v>
      </c>
      <c r="G146" s="6" t="s">
        <v>32</v>
      </c>
      <c r="H146" s="6">
        <v>69321288</v>
      </c>
      <c r="I146" s="6" t="s">
        <v>402</v>
      </c>
      <c r="J146" s="6" t="str">
        <f>IF(E146="KTG","KTG",(VLOOKUP(I146,'[1]list of outsource'!B:H,2,0)))</f>
        <v>ETC</v>
      </c>
      <c r="K146" s="6" t="s">
        <v>403</v>
      </c>
      <c r="L146" s="6"/>
      <c r="M146" s="6" t="s">
        <v>523</v>
      </c>
      <c r="N146" s="6" t="s">
        <v>524</v>
      </c>
      <c r="O146" s="6">
        <v>1189263411</v>
      </c>
      <c r="P146" s="6"/>
      <c r="Q146" s="8"/>
      <c r="R146" s="6"/>
      <c r="S146" s="6"/>
      <c r="T146" s="6"/>
      <c r="U146" s="6">
        <v>2</v>
      </c>
      <c r="V146" s="6"/>
      <c r="W146" s="6" t="s">
        <v>37</v>
      </c>
      <c r="X146" s="7">
        <v>44943</v>
      </c>
      <c r="Y146" s="7">
        <v>44984</v>
      </c>
      <c r="AC146"/>
      <c r="AE146" t="str">
        <f t="shared" si="23"/>
        <v>P000308</v>
      </c>
      <c r="AF146" t="str">
        <f>_xlfn.XLOOKUP(AE146, Hoja2!A:A, Hoja2!A:A)</f>
        <v>P000308</v>
      </c>
      <c r="AG146" t="str">
        <f t="shared" si="28"/>
        <v>PP00026-05</v>
      </c>
      <c r="AH146">
        <f>_xlfn.XLOOKUP(AG146, Hoja3!A:A, Hoja3!B:B)</f>
        <v>5605</v>
      </c>
      <c r="AI146">
        <f>_xlfn.XLOOKUP(AH146, Hoja4!A:A, Hoja4!B:B)</f>
        <v>69321288</v>
      </c>
      <c r="AJ146" t="b">
        <f t="shared" si="29"/>
        <v>1</v>
      </c>
    </row>
    <row r="147" spans="1:36" ht="15.5" customHeight="1" x14ac:dyDescent="0.35">
      <c r="A147">
        <f t="shared" ca="1" si="22"/>
        <v>60</v>
      </c>
      <c r="B147" s="6" t="s">
        <v>525</v>
      </c>
      <c r="C147" s="7">
        <v>44886</v>
      </c>
      <c r="D147" s="6" t="s">
        <v>507</v>
      </c>
      <c r="E147" s="6" t="s">
        <v>139</v>
      </c>
      <c r="F147" s="6" t="s">
        <v>508</v>
      </c>
      <c r="G147" s="6" t="s">
        <v>32</v>
      </c>
      <c r="H147" s="6">
        <v>69321289</v>
      </c>
      <c r="I147" s="6" t="s">
        <v>402</v>
      </c>
      <c r="J147" s="6" t="str">
        <f>IF(E147="KTG","KTG",(VLOOKUP(I147,'[1]list of outsource'!B:H,2,0)))</f>
        <v>ETC</v>
      </c>
      <c r="K147" s="6" t="s">
        <v>403</v>
      </c>
      <c r="L147" s="6"/>
      <c r="M147" s="6" t="s">
        <v>526</v>
      </c>
      <c r="N147" s="6" t="s">
        <v>527</v>
      </c>
      <c r="O147" s="6">
        <v>1189992264</v>
      </c>
      <c r="P147" s="6"/>
      <c r="Q147" s="8"/>
      <c r="R147" s="6"/>
      <c r="S147" s="6"/>
      <c r="T147" s="6"/>
      <c r="U147" s="6">
        <v>2</v>
      </c>
      <c r="V147" s="6"/>
      <c r="W147" s="6" t="s">
        <v>37</v>
      </c>
      <c r="X147" s="7">
        <v>44946</v>
      </c>
      <c r="Y147" s="7">
        <v>44984</v>
      </c>
      <c r="AC147"/>
      <c r="AE147" t="str">
        <f t="shared" si="23"/>
        <v>P000311</v>
      </c>
      <c r="AF147" t="str">
        <f>_xlfn.XLOOKUP(AE147, Hoja2!A:A, Hoja2!A:A)</f>
        <v>P000311</v>
      </c>
      <c r="AG147" t="str">
        <f t="shared" si="28"/>
        <v>PP00026-06</v>
      </c>
      <c r="AH147">
        <f>_xlfn.XLOOKUP(AG147, Hoja3!A:A, Hoja3!B:B)</f>
        <v>5607</v>
      </c>
      <c r="AI147">
        <f>_xlfn.XLOOKUP(AH147, Hoja4!A:A, Hoja4!B:B)</f>
        <v>69321289</v>
      </c>
      <c r="AJ147" t="b">
        <f t="shared" si="29"/>
        <v>1</v>
      </c>
    </row>
    <row r="148" spans="1:36" ht="15.5" customHeight="1" x14ac:dyDescent="0.35">
      <c r="A148">
        <f t="shared" ca="1" si="22"/>
        <v>87</v>
      </c>
      <c r="B148" s="6" t="s">
        <v>528</v>
      </c>
      <c r="C148" s="7">
        <v>44886</v>
      </c>
      <c r="D148" s="6" t="s">
        <v>507</v>
      </c>
      <c r="E148" s="6" t="s">
        <v>139</v>
      </c>
      <c r="F148" s="6" t="s">
        <v>508</v>
      </c>
      <c r="G148" s="6" t="s">
        <v>32</v>
      </c>
      <c r="H148" s="6">
        <v>69321130</v>
      </c>
      <c r="I148" s="6" t="s">
        <v>529</v>
      </c>
      <c r="J148" s="6" t="str">
        <f>IF(E148="KTG","KTG",(VLOOKUP(I148,'[1]list of outsource'!B:H,2,0)))</f>
        <v>ETC</v>
      </c>
      <c r="K148" s="6" t="s">
        <v>530</v>
      </c>
      <c r="L148" s="6"/>
      <c r="M148" s="6" t="s">
        <v>531</v>
      </c>
      <c r="N148" s="6" t="s">
        <v>532</v>
      </c>
      <c r="O148" s="6">
        <v>1197575741</v>
      </c>
      <c r="P148" s="6"/>
      <c r="Q148" s="8"/>
      <c r="R148" s="6"/>
      <c r="S148" s="6"/>
      <c r="T148" s="6"/>
      <c r="U148" s="6">
        <v>2</v>
      </c>
      <c r="V148" s="6"/>
      <c r="W148" s="6" t="s">
        <v>37</v>
      </c>
      <c r="X148" s="7">
        <v>44973</v>
      </c>
      <c r="Y148" s="7">
        <v>44984</v>
      </c>
      <c r="AC148"/>
      <c r="AE148" t="str">
        <f t="shared" si="23"/>
        <v>P000263</v>
      </c>
      <c r="AF148" t="str">
        <f>_xlfn.XLOOKUP(AE148, Hoja2!A:A, Hoja2!A:A)</f>
        <v>P000263</v>
      </c>
      <c r="AG148" t="str">
        <f t="shared" si="28"/>
        <v>PP00026-07</v>
      </c>
      <c r="AH148">
        <f>_xlfn.XLOOKUP(AG148, Hoja3!A:A, Hoja3!B:B)</f>
        <v>5609</v>
      </c>
      <c r="AI148">
        <f>_xlfn.XLOOKUP(AH148, Hoja4!A:A, Hoja4!B:B)</f>
        <v>69321130</v>
      </c>
      <c r="AJ148" t="b">
        <f t="shared" si="29"/>
        <v>1</v>
      </c>
    </row>
    <row r="149" spans="1:36" ht="15.5" customHeight="1" x14ac:dyDescent="0.35">
      <c r="A149">
        <f t="shared" ca="1" si="22"/>
        <v>0</v>
      </c>
      <c r="B149" s="6" t="s">
        <v>328</v>
      </c>
      <c r="C149" s="7">
        <v>44896</v>
      </c>
      <c r="D149" s="6" t="s">
        <v>138</v>
      </c>
      <c r="E149" s="6" t="s">
        <v>83</v>
      </c>
      <c r="F149" s="6" t="s">
        <v>329</v>
      </c>
      <c r="G149" s="6" t="s">
        <v>299</v>
      </c>
      <c r="H149" s="6" t="s">
        <v>330</v>
      </c>
      <c r="I149" s="6" t="s">
        <v>87</v>
      </c>
      <c r="J149" s="6" t="str">
        <f>IF(E149="KTG","KTG",(VLOOKUP(I149,'[1]list of outsource'!B:H,2,0)))</f>
        <v>UPM</v>
      </c>
      <c r="K149" s="6" t="s">
        <v>88</v>
      </c>
      <c r="L149" s="6"/>
      <c r="M149" s="6" t="s">
        <v>331</v>
      </c>
      <c r="N149" s="6" t="s">
        <v>332</v>
      </c>
      <c r="O149" s="6"/>
      <c r="P149" s="6"/>
      <c r="Q149" s="8"/>
      <c r="R149" s="6"/>
      <c r="S149" s="6"/>
      <c r="T149" s="6"/>
      <c r="U149" s="6">
        <v>2</v>
      </c>
      <c r="V149" s="6"/>
      <c r="W149" s="6" t="s">
        <v>37</v>
      </c>
      <c r="X149" s="7">
        <v>44896</v>
      </c>
      <c r="Y149" s="7">
        <v>44915</v>
      </c>
      <c r="AB149" t="e">
        <v>#N/A</v>
      </c>
      <c r="AC149"/>
      <c r="AE149" t="str">
        <f t="shared" si="23"/>
        <v>P000198</v>
      </c>
      <c r="AF149" t="str">
        <f>_xlfn.XLOOKUP(AE149, Hoja2!A:A, Hoja2!A:A)</f>
        <v>P000198</v>
      </c>
      <c r="AG149" t="str">
        <f t="shared" si="28"/>
        <v>PP00024-01</v>
      </c>
      <c r="AH149">
        <f>_xlfn.XLOOKUP(AG149, Hoja3!A:A, Hoja3!B:B)</f>
        <v>4498</v>
      </c>
      <c r="AI149" t="str">
        <f>_xlfn.XLOOKUP(AH149, Hoja4!A:A, Hoja4!B:B)</f>
        <v>E36091300</v>
      </c>
      <c r="AJ149" t="b">
        <f t="shared" si="29"/>
        <v>1</v>
      </c>
    </row>
    <row r="150" spans="1:36" ht="15.5" hidden="1" customHeight="1" x14ac:dyDescent="0.35">
      <c r="A150">
        <f t="shared" ca="1" si="22"/>
        <v>85</v>
      </c>
      <c r="B150" s="55" t="s">
        <v>533</v>
      </c>
      <c r="C150" s="7">
        <v>44902</v>
      </c>
      <c r="D150" s="6" t="s">
        <v>507</v>
      </c>
      <c r="E150" s="6" t="s">
        <v>139</v>
      </c>
      <c r="F150" s="6" t="s">
        <v>125</v>
      </c>
      <c r="G150" s="6" t="s">
        <v>126</v>
      </c>
      <c r="H150" s="6" t="s">
        <v>534</v>
      </c>
      <c r="I150" s="6" t="s">
        <v>535</v>
      </c>
      <c r="J150" s="6" t="str">
        <f>IF(E150="KTG","KTG",(VLOOKUP(I150,'[1]list of outsource'!B:H,2,0)))</f>
        <v>ETC</v>
      </c>
      <c r="K150" s="6" t="s">
        <v>536</v>
      </c>
      <c r="L150" s="6"/>
      <c r="M150" s="55" t="s">
        <v>537</v>
      </c>
      <c r="N150" s="6" t="s">
        <v>538</v>
      </c>
      <c r="O150" s="6" t="s">
        <v>539</v>
      </c>
      <c r="P150" s="6"/>
      <c r="Q150" s="8"/>
      <c r="R150" s="6"/>
      <c r="S150" s="6"/>
      <c r="T150" s="6"/>
      <c r="U150" s="6">
        <v>2</v>
      </c>
      <c r="V150" s="6"/>
      <c r="W150" s="6" t="s">
        <v>37</v>
      </c>
      <c r="X150" s="7">
        <v>44987</v>
      </c>
      <c r="Y150" s="7">
        <v>44995</v>
      </c>
      <c r="AC150"/>
      <c r="AE150" t="str">
        <f t="shared" si="23"/>
        <v>P000321</v>
      </c>
      <c r="AF150" t="e">
        <f>_xlfn.XLOOKUP(AE150, Hoja2!A:A, Hoja2!A:A)</f>
        <v>#N/A</v>
      </c>
    </row>
    <row r="151" spans="1:36" ht="15.5" customHeight="1" x14ac:dyDescent="0.35">
      <c r="A151">
        <f t="shared" ca="1" si="22"/>
        <v>14</v>
      </c>
      <c r="B151" s="6" t="s">
        <v>540</v>
      </c>
      <c r="C151" s="7">
        <v>44930</v>
      </c>
      <c r="D151" s="6" t="s">
        <v>507</v>
      </c>
      <c r="E151" s="6" t="s">
        <v>83</v>
      </c>
      <c r="F151" s="6" t="s">
        <v>101</v>
      </c>
      <c r="G151" s="6" t="s">
        <v>299</v>
      </c>
      <c r="H151" s="6" t="s">
        <v>541</v>
      </c>
      <c r="I151" s="6" t="s">
        <v>133</v>
      </c>
      <c r="J151" s="6" t="str">
        <f>IF(E151="KTG","KTG",(VLOOKUP(I151,'[1]list of outsource'!B:H,2,0)))</f>
        <v>UPM</v>
      </c>
      <c r="K151" s="6" t="s">
        <v>301</v>
      </c>
      <c r="L151" s="6"/>
      <c r="M151" s="6" t="s">
        <v>542</v>
      </c>
      <c r="N151" s="6" t="s">
        <v>543</v>
      </c>
      <c r="O151" s="6">
        <v>1188123916</v>
      </c>
      <c r="P151" s="6"/>
      <c r="Q151" s="8"/>
      <c r="R151" s="6"/>
      <c r="S151" s="6"/>
      <c r="T151" s="6"/>
      <c r="U151" s="6">
        <v>2</v>
      </c>
      <c r="V151" s="6"/>
      <c r="W151" s="6" t="s">
        <v>37</v>
      </c>
      <c r="X151" s="7">
        <v>44944</v>
      </c>
      <c r="Y151" s="7"/>
      <c r="AB151" t="e">
        <v>#N/A</v>
      </c>
      <c r="AC151" t="e">
        <v>#N/A</v>
      </c>
      <c r="AE151" t="str">
        <f t="shared" si="23"/>
        <v>P100354</v>
      </c>
      <c r="AF151" t="str">
        <f>_xlfn.XLOOKUP(AE151, Hoja2!A:A, Hoja2!A:A)</f>
        <v>P100354</v>
      </c>
      <c r="AG151" t="str">
        <f t="shared" ref="AG151:AG153" si="30">LEFT(B151, FIND(" ", B151 &amp; " ") - 1)</f>
        <v>PP00027-02</v>
      </c>
      <c r="AH151">
        <f>_xlfn.XLOOKUP(AG151, Hoja3!A:A, Hoja3!B:B)</f>
        <v>4583</v>
      </c>
      <c r="AI151" t="str">
        <f>_xlfn.XLOOKUP(AH151, Hoja4!A:A, Hoja4!B:B)</f>
        <v>GP090357</v>
      </c>
      <c r="AJ151" t="b">
        <f t="shared" ref="AJ151:AJ153" si="31">H151=AI151</f>
        <v>1</v>
      </c>
    </row>
    <row r="152" spans="1:36" ht="15.5" customHeight="1" x14ac:dyDescent="0.35">
      <c r="A152">
        <f t="shared" ca="1" si="22"/>
        <v>12</v>
      </c>
      <c r="B152" s="6" t="s">
        <v>544</v>
      </c>
      <c r="C152" s="7">
        <v>44932</v>
      </c>
      <c r="D152" s="6" t="s">
        <v>507</v>
      </c>
      <c r="E152" s="6" t="s">
        <v>83</v>
      </c>
      <c r="F152" s="6" t="s">
        <v>101</v>
      </c>
      <c r="G152" s="6" t="s">
        <v>299</v>
      </c>
      <c r="H152" s="6" t="s">
        <v>545</v>
      </c>
      <c r="I152" s="6" t="s">
        <v>133</v>
      </c>
      <c r="J152" s="6" t="str">
        <f>IF(E152="KTG","KTG",(VLOOKUP(I152,'[1]list of outsource'!B:H,2,0)))</f>
        <v>UPM</v>
      </c>
      <c r="K152" s="6" t="s">
        <v>301</v>
      </c>
      <c r="L152" s="6"/>
      <c r="M152" s="6" t="s">
        <v>546</v>
      </c>
      <c r="N152" s="6" t="s">
        <v>547</v>
      </c>
      <c r="O152" s="6">
        <v>1189496022</v>
      </c>
      <c r="P152" s="6"/>
      <c r="Q152" s="8"/>
      <c r="R152" s="6"/>
      <c r="S152" s="6"/>
      <c r="T152" s="6"/>
      <c r="U152" s="6">
        <v>2</v>
      </c>
      <c r="V152" s="6"/>
      <c r="W152" s="6" t="s">
        <v>37</v>
      </c>
      <c r="X152" s="7">
        <v>44944</v>
      </c>
      <c r="Y152" s="7">
        <v>44945</v>
      </c>
      <c r="AB152" t="e">
        <v>#N/A</v>
      </c>
      <c r="AC152"/>
      <c r="AE152" t="str">
        <f t="shared" si="23"/>
        <v>P100356</v>
      </c>
      <c r="AF152" t="str">
        <f>_xlfn.XLOOKUP(AE152, Hoja2!A:A, Hoja2!A:A)</f>
        <v>P100356</v>
      </c>
      <c r="AG152" t="str">
        <f t="shared" si="30"/>
        <v>PP00027-08</v>
      </c>
      <c r="AH152">
        <f>_xlfn.XLOOKUP(AG152, Hoja3!A:A, Hoja3!B:B)</f>
        <v>4585</v>
      </c>
      <c r="AI152" t="str">
        <f>_xlfn.XLOOKUP(AH152, Hoja4!A:A, Hoja4!B:B)</f>
        <v>GP092655</v>
      </c>
      <c r="AJ152" t="b">
        <f t="shared" si="31"/>
        <v>1</v>
      </c>
    </row>
    <row r="153" spans="1:36" ht="15.5" customHeight="1" x14ac:dyDescent="0.35">
      <c r="A153">
        <f t="shared" ca="1" si="22"/>
        <v>6</v>
      </c>
      <c r="B153" s="6" t="s">
        <v>548</v>
      </c>
      <c r="C153" s="7">
        <v>44938</v>
      </c>
      <c r="D153" s="6" t="s">
        <v>507</v>
      </c>
      <c r="E153" s="6" t="s">
        <v>83</v>
      </c>
      <c r="F153" s="6" t="s">
        <v>101</v>
      </c>
      <c r="G153" s="6" t="s">
        <v>299</v>
      </c>
      <c r="H153" s="6" t="s">
        <v>549</v>
      </c>
      <c r="I153" s="6" t="s">
        <v>133</v>
      </c>
      <c r="J153" s="6" t="str">
        <f>IF(E153="KTG","KTG",(VLOOKUP(I153,'[1]list of outsource'!B:H,2,0)))</f>
        <v>UPM</v>
      </c>
      <c r="K153" s="6" t="s">
        <v>301</v>
      </c>
      <c r="L153" s="6"/>
      <c r="M153" s="6" t="s">
        <v>550</v>
      </c>
      <c r="N153" s="6" t="s">
        <v>551</v>
      </c>
      <c r="O153" s="6">
        <v>1189510842</v>
      </c>
      <c r="P153" s="6"/>
      <c r="Q153" s="8"/>
      <c r="R153" s="6"/>
      <c r="S153" s="6"/>
      <c r="T153" s="6"/>
      <c r="U153" s="6">
        <v>2</v>
      </c>
      <c r="V153" s="6"/>
      <c r="W153" s="6" t="s">
        <v>37</v>
      </c>
      <c r="X153" s="7">
        <v>44944</v>
      </c>
      <c r="Y153" s="7">
        <v>44945</v>
      </c>
      <c r="AB153" t="e">
        <v>#N/A</v>
      </c>
      <c r="AC153" t="e">
        <v>#N/A</v>
      </c>
      <c r="AE153" t="str">
        <f t="shared" si="23"/>
        <v>P100357</v>
      </c>
      <c r="AF153" t="str">
        <f>_xlfn.XLOOKUP(AE153, Hoja2!A:A, Hoja2!A:A)</f>
        <v>P100357</v>
      </c>
      <c r="AG153" t="str">
        <f t="shared" si="30"/>
        <v>PP00027-15</v>
      </c>
      <c r="AH153">
        <f>_xlfn.XLOOKUP(AG153, Hoja3!A:A, Hoja3!B:B)</f>
        <v>4586</v>
      </c>
      <c r="AI153" t="str">
        <f>_xlfn.XLOOKUP(AH153, Hoja4!A:A, Hoja4!B:B)</f>
        <v>GP092563</v>
      </c>
      <c r="AJ153" t="b">
        <f t="shared" si="31"/>
        <v>1</v>
      </c>
    </row>
    <row r="154" spans="1:36" ht="15.5" hidden="1" customHeight="1" x14ac:dyDescent="0.35">
      <c r="A154">
        <f t="shared" ca="1" si="22"/>
        <v>0</v>
      </c>
      <c r="B154" s="55" t="s">
        <v>552</v>
      </c>
      <c r="C154" s="7">
        <v>44939</v>
      </c>
      <c r="D154" s="6" t="s">
        <v>507</v>
      </c>
      <c r="E154" s="6" t="s">
        <v>83</v>
      </c>
      <c r="F154" s="6" t="s">
        <v>329</v>
      </c>
      <c r="G154" s="6" t="s">
        <v>299</v>
      </c>
      <c r="H154" s="6" t="s">
        <v>553</v>
      </c>
      <c r="I154" s="6" t="s">
        <v>176</v>
      </c>
      <c r="J154" s="6" t="str">
        <f>IF(E154="KTG","KTG",(VLOOKUP(I154,'[1]list of outsource'!B:H,2,0)))</f>
        <v>UPM</v>
      </c>
      <c r="K154" s="6" t="s">
        <v>177</v>
      </c>
      <c r="L154" s="6"/>
      <c r="M154" s="55" t="s">
        <v>554</v>
      </c>
      <c r="N154" s="6" t="s">
        <v>555</v>
      </c>
      <c r="O154" s="6"/>
      <c r="P154" s="6"/>
      <c r="Q154" s="8"/>
      <c r="R154" s="6"/>
      <c r="S154" s="6"/>
      <c r="T154" s="6"/>
      <c r="U154" s="6">
        <v>2</v>
      </c>
      <c r="V154" s="6"/>
      <c r="W154" s="6" t="s">
        <v>37</v>
      </c>
      <c r="X154" s="7">
        <v>44939</v>
      </c>
      <c r="Y154" s="7">
        <v>44943</v>
      </c>
      <c r="AB154" t="e">
        <v>#N/A</v>
      </c>
      <c r="AC154" t="e">
        <v>#N/A</v>
      </c>
      <c r="AE154" t="str">
        <f t="shared" si="23"/>
        <v>P000260</v>
      </c>
      <c r="AF154" t="e">
        <f>_xlfn.XLOOKUP(AE154, Hoja2!A:A, Hoja2!A:A)</f>
        <v>#N/A</v>
      </c>
    </row>
    <row r="155" spans="1:36" ht="15.5" hidden="1" customHeight="1" x14ac:dyDescent="0.35">
      <c r="A155">
        <f t="shared" ca="1" si="22"/>
        <v>0</v>
      </c>
      <c r="B155" s="55" t="s">
        <v>556</v>
      </c>
      <c r="C155" s="7">
        <v>44939</v>
      </c>
      <c r="D155" s="6" t="s">
        <v>507</v>
      </c>
      <c r="E155" s="6" t="s">
        <v>139</v>
      </c>
      <c r="F155" s="6" t="s">
        <v>329</v>
      </c>
      <c r="G155" s="6" t="s">
        <v>299</v>
      </c>
      <c r="H155" s="6" t="s">
        <v>557</v>
      </c>
      <c r="I155" s="6" t="s">
        <v>402</v>
      </c>
      <c r="J155" s="6" t="str">
        <f>IF(E155="KTG","KTG",(VLOOKUP(I155,'[1]list of outsource'!B:H,2,0)))</f>
        <v>ETC</v>
      </c>
      <c r="K155" s="6" t="s">
        <v>403</v>
      </c>
      <c r="L155" s="6"/>
      <c r="M155" s="55" t="s">
        <v>558</v>
      </c>
      <c r="N155" s="6" t="s">
        <v>559</v>
      </c>
      <c r="O155" s="6"/>
      <c r="P155" s="6"/>
      <c r="Q155" s="8"/>
      <c r="R155" s="6"/>
      <c r="S155" s="6"/>
      <c r="T155" s="6"/>
      <c r="U155" s="6">
        <v>2</v>
      </c>
      <c r="V155" s="6"/>
      <c r="W155" s="6" t="s">
        <v>37</v>
      </c>
      <c r="X155" s="7">
        <v>44939</v>
      </c>
      <c r="Y155" s="7">
        <v>44951</v>
      </c>
      <c r="AB155" t="e">
        <v>#N/A</v>
      </c>
      <c r="AC155" t="e">
        <v>#N/A</v>
      </c>
      <c r="AE155" t="str">
        <f t="shared" si="23"/>
        <v>P000318</v>
      </c>
      <c r="AF155" t="e">
        <f>_xlfn.XLOOKUP(AE155, Hoja2!A:A, Hoja2!A:A)</f>
        <v>#N/A</v>
      </c>
    </row>
    <row r="156" spans="1:36" ht="15.5" customHeight="1" x14ac:dyDescent="0.35">
      <c r="A156">
        <f t="shared" ca="1" si="22"/>
        <v>0</v>
      </c>
      <c r="B156" s="17" t="s">
        <v>560</v>
      </c>
      <c r="C156" s="7">
        <v>44944</v>
      </c>
      <c r="D156" s="6" t="s">
        <v>452</v>
      </c>
      <c r="E156" s="6" t="s">
        <v>83</v>
      </c>
      <c r="F156" s="6" t="s">
        <v>101</v>
      </c>
      <c r="G156" s="17" t="s">
        <v>299</v>
      </c>
      <c r="H156" s="6" t="s">
        <v>561</v>
      </c>
      <c r="I156" s="6" t="s">
        <v>95</v>
      </c>
      <c r="J156" s="6" t="str">
        <f>IF(E156="KTG","KTG",(VLOOKUP(I156,'[1]list of outsource'!B:H,2,0)))</f>
        <v>Woer</v>
      </c>
      <c r="K156" s="6" t="s">
        <v>96</v>
      </c>
      <c r="L156" s="6"/>
      <c r="M156" s="6" t="s">
        <v>128</v>
      </c>
      <c r="N156" s="6" t="s">
        <v>562</v>
      </c>
      <c r="O156" s="6">
        <v>1189552960</v>
      </c>
      <c r="P156" s="6"/>
      <c r="Q156" s="8"/>
      <c r="R156" s="6"/>
      <c r="S156" s="6"/>
      <c r="T156" s="6"/>
      <c r="U156" s="6"/>
      <c r="V156" s="6"/>
      <c r="W156" s="17" t="s">
        <v>454</v>
      </c>
      <c r="X156" s="7">
        <v>44944</v>
      </c>
      <c r="Y156" s="7"/>
      <c r="AB156" t="e">
        <v>#N/A</v>
      </c>
      <c r="AC156" t="e">
        <v>#N/A</v>
      </c>
      <c r="AE156" t="str">
        <f t="shared" si="23"/>
        <v>P000030</v>
      </c>
      <c r="AF156" t="str">
        <f>_xlfn.XLOOKUP(AE156, Hoja2!A:A, Hoja2!A:A)</f>
        <v>P000030</v>
      </c>
      <c r="AG156" t="str">
        <f t="shared" ref="AG156:AG176" si="32">LEFT(B156, FIND(" ", B156 &amp; " ") - 1)</f>
        <v>PP00027-13</v>
      </c>
      <c r="AH156">
        <f>_xlfn.XLOOKUP(AG156, Hoja3!A:A, Hoja3!B:B)</f>
        <v>5576</v>
      </c>
      <c r="AI156" t="str">
        <f>_xlfn.XLOOKUP(AH156, Hoja4!A:A, Hoja4!B:B)</f>
        <v>GP089283</v>
      </c>
      <c r="AJ156" t="b">
        <f t="shared" ref="AJ156:AJ176" si="33">H156=AI156</f>
        <v>1</v>
      </c>
    </row>
    <row r="157" spans="1:36" ht="15.5" customHeight="1" x14ac:dyDescent="0.35">
      <c r="A157">
        <f t="shared" ca="1" si="22"/>
        <v>23</v>
      </c>
      <c r="B157" s="6" t="s">
        <v>563</v>
      </c>
      <c r="C157" s="7">
        <v>45942</v>
      </c>
      <c r="D157" s="6" t="s">
        <v>564</v>
      </c>
      <c r="E157" s="6" t="s">
        <v>83</v>
      </c>
      <c r="F157" s="6" t="s">
        <v>84</v>
      </c>
      <c r="G157" s="6" t="s">
        <v>156</v>
      </c>
      <c r="H157" s="6" t="s">
        <v>565</v>
      </c>
      <c r="I157" s="6" t="s">
        <v>218</v>
      </c>
      <c r="J157" s="6" t="str">
        <f>IF(E157="KTG","KTG",(VLOOKUP(I157,'[1]list of outsource'!B:H,2,0)))</f>
        <v>UPM</v>
      </c>
      <c r="K157" s="6" t="s">
        <v>219</v>
      </c>
      <c r="L157" s="6">
        <v>13</v>
      </c>
      <c r="M157" s="6" t="s">
        <v>566</v>
      </c>
      <c r="N157" s="6" t="s">
        <v>567</v>
      </c>
      <c r="O157" s="6" t="s">
        <v>568</v>
      </c>
      <c r="P157" s="6"/>
      <c r="Q157" s="8"/>
      <c r="R157" s="6"/>
      <c r="S157" s="6"/>
      <c r="T157" s="6"/>
      <c r="U157" s="6">
        <v>1</v>
      </c>
      <c r="V157" s="6" t="s">
        <v>569</v>
      </c>
      <c r="W157" s="6" t="s">
        <v>154</v>
      </c>
      <c r="X157" s="7">
        <v>45965</v>
      </c>
      <c r="Y157" s="7">
        <v>45965</v>
      </c>
      <c r="AC157" t="e">
        <v>#N/A</v>
      </c>
      <c r="AE157" t="str">
        <f t="shared" si="23"/>
        <v>P000133</v>
      </c>
      <c r="AF157" t="str">
        <f>_xlfn.XLOOKUP(AE157, Hoja2!A:A, Hoja2!A:A)</f>
        <v>P000133</v>
      </c>
      <c r="AG157" t="str">
        <f t="shared" si="32"/>
        <v>PP00028-0001</v>
      </c>
      <c r="AH157">
        <f>_xlfn.XLOOKUP(AG157, Hoja3!A:A, Hoja3!B:B)</f>
        <v>48</v>
      </c>
      <c r="AI157" t="str">
        <f>_xlfn.XLOOKUP(AH157, Hoja4!A:A, Hoja4!B:B)</f>
        <v>E34749700</v>
      </c>
      <c r="AJ157" t="b">
        <f t="shared" si="33"/>
        <v>1</v>
      </c>
    </row>
    <row r="158" spans="1:36" ht="15.5" customHeight="1" x14ac:dyDescent="0.35">
      <c r="A158">
        <f t="shared" ca="1" si="22"/>
        <v>3</v>
      </c>
      <c r="B158" s="12" t="s">
        <v>570</v>
      </c>
      <c r="C158" s="13">
        <v>45968</v>
      </c>
      <c r="D158" s="14" t="s">
        <v>121</v>
      </c>
      <c r="E158" s="14" t="s">
        <v>139</v>
      </c>
      <c r="F158" s="14" t="s">
        <v>84</v>
      </c>
      <c r="G158" s="14" t="s">
        <v>156</v>
      </c>
      <c r="H158" s="14" t="s">
        <v>571</v>
      </c>
      <c r="I158" s="14" t="s">
        <v>402</v>
      </c>
      <c r="J158" s="14" t="str">
        <f>IF(E158="KTG","KTG",(VLOOKUP(I158,'[1]list of outsource'!B:H,2,0)))</f>
        <v>ETC</v>
      </c>
      <c r="K158" s="14" t="s">
        <v>403</v>
      </c>
      <c r="L158" s="14">
        <v>76</v>
      </c>
      <c r="M158" s="14" t="s">
        <v>488</v>
      </c>
      <c r="N158" s="14" t="s">
        <v>572</v>
      </c>
      <c r="O158" s="14" t="s">
        <v>573</v>
      </c>
      <c r="P158" s="14" t="s">
        <v>574</v>
      </c>
      <c r="Q158" s="15" t="s">
        <v>575</v>
      </c>
      <c r="R158" s="14"/>
      <c r="S158" s="16"/>
      <c r="T158" s="14"/>
      <c r="U158" s="14">
        <v>1</v>
      </c>
      <c r="V158" s="14" t="s">
        <v>569</v>
      </c>
      <c r="W158" s="14" t="s">
        <v>576</v>
      </c>
      <c r="X158" s="13">
        <v>45971</v>
      </c>
      <c r="Y158" s="13"/>
      <c r="AC158" t="e">
        <v>#N/A</v>
      </c>
      <c r="AE158" t="str">
        <f t="shared" si="23"/>
        <v>P000277</v>
      </c>
      <c r="AF158" t="str">
        <f>_xlfn.XLOOKUP(AE158, Hoja2!A:A, Hoja2!A:A)</f>
        <v>P000277</v>
      </c>
      <c r="AG158" t="str">
        <f t="shared" si="32"/>
        <v>PP00028-0003</v>
      </c>
      <c r="AH158">
        <f>_xlfn.XLOOKUP(AG158, Hoja3!A:A, Hoja3!B:B)</f>
        <v>5297</v>
      </c>
      <c r="AI158" t="str">
        <f>_xlfn.XLOOKUP(AH158, Hoja4!A:A, Hoja4!B:B)</f>
        <v>E39044200</v>
      </c>
      <c r="AJ158" t="b">
        <f t="shared" si="33"/>
        <v>1</v>
      </c>
    </row>
    <row r="159" spans="1:36" ht="15.5" customHeight="1" x14ac:dyDescent="0.35">
      <c r="A159">
        <f t="shared" ca="1" si="22"/>
        <v>36</v>
      </c>
      <c r="B159" s="6" t="s">
        <v>577</v>
      </c>
      <c r="C159" s="7">
        <v>44957</v>
      </c>
      <c r="D159" s="6" t="s">
        <v>121</v>
      </c>
      <c r="E159" s="6" t="s">
        <v>139</v>
      </c>
      <c r="F159" s="6" t="s">
        <v>84</v>
      </c>
      <c r="G159" s="6" t="s">
        <v>578</v>
      </c>
      <c r="H159" s="6" t="s">
        <v>415</v>
      </c>
      <c r="I159" s="6" t="s">
        <v>208</v>
      </c>
      <c r="J159" s="6" t="str">
        <f>IF(E159="KTG","KTG",(VLOOKUP(I159,'[1]list of outsource'!B:H,2,0)))</f>
        <v>ETC</v>
      </c>
      <c r="K159" s="6" t="s">
        <v>209</v>
      </c>
      <c r="L159" s="6"/>
      <c r="M159" s="6" t="s">
        <v>416</v>
      </c>
      <c r="N159" s="6" t="s">
        <v>579</v>
      </c>
      <c r="O159" s="6">
        <v>1200695361</v>
      </c>
      <c r="P159" s="6"/>
      <c r="Q159" s="8"/>
      <c r="R159" s="6"/>
      <c r="S159" s="6"/>
      <c r="T159" s="6"/>
      <c r="U159" s="6">
        <v>3</v>
      </c>
      <c r="V159" s="6"/>
      <c r="W159" s="6" t="s">
        <v>37</v>
      </c>
      <c r="X159" s="7">
        <v>44993</v>
      </c>
      <c r="Y159" s="7"/>
      <c r="AC159"/>
      <c r="AE159" t="str">
        <f t="shared" si="23"/>
        <v>P000163</v>
      </c>
      <c r="AF159" t="str">
        <f>_xlfn.XLOOKUP(AE159, Hoja2!A:A, Hoja2!A:A)</f>
        <v>P000163</v>
      </c>
      <c r="AG159" t="str">
        <f t="shared" si="32"/>
        <v>PP00032-01</v>
      </c>
      <c r="AH159">
        <f>_xlfn.XLOOKUP(AG159, Hoja3!A:A, Hoja3!B:B)</f>
        <v>5422</v>
      </c>
      <c r="AI159" t="str">
        <f>_xlfn.XLOOKUP(AH159, Hoja4!A:A, Hoja4!B:B)</f>
        <v>E35100200</v>
      </c>
      <c r="AJ159" t="b">
        <f t="shared" si="33"/>
        <v>1</v>
      </c>
    </row>
    <row r="160" spans="1:36" ht="15.5" customHeight="1" x14ac:dyDescent="0.35">
      <c r="A160">
        <f t="shared" ca="1" si="22"/>
        <v>36</v>
      </c>
      <c r="B160" s="6" t="s">
        <v>580</v>
      </c>
      <c r="C160" s="7">
        <v>44957</v>
      </c>
      <c r="D160" s="6" t="s">
        <v>507</v>
      </c>
      <c r="E160" s="6" t="s">
        <v>139</v>
      </c>
      <c r="F160" s="6" t="s">
        <v>84</v>
      </c>
      <c r="G160" s="6" t="s">
        <v>578</v>
      </c>
      <c r="H160" s="6" t="s">
        <v>291</v>
      </c>
      <c r="I160" s="6" t="s">
        <v>208</v>
      </c>
      <c r="J160" s="6" t="str">
        <f>IF(E160="KTG","KTG",(VLOOKUP(I160,'[1]list of outsource'!B:H,2,0)))</f>
        <v>ETC</v>
      </c>
      <c r="K160" s="6" t="s">
        <v>209</v>
      </c>
      <c r="L160" s="6"/>
      <c r="M160" s="6" t="s">
        <v>292</v>
      </c>
      <c r="N160" s="6" t="s">
        <v>581</v>
      </c>
      <c r="O160" s="6">
        <v>1172779204</v>
      </c>
      <c r="P160" s="6"/>
      <c r="Q160" s="8"/>
      <c r="R160" s="6"/>
      <c r="S160" s="6"/>
      <c r="T160" s="6"/>
      <c r="U160" s="6">
        <v>3</v>
      </c>
      <c r="V160" s="6"/>
      <c r="W160" s="6" t="s">
        <v>37</v>
      </c>
      <c r="X160" s="7">
        <v>44993</v>
      </c>
      <c r="Y160" s="7">
        <v>45209</v>
      </c>
      <c r="AC160"/>
      <c r="AE160" t="str">
        <f t="shared" si="23"/>
        <v>P000158</v>
      </c>
      <c r="AF160" t="str">
        <f>_xlfn.XLOOKUP(AE160, Hoja2!A:A, Hoja2!A:A)</f>
        <v>P000158</v>
      </c>
      <c r="AG160" t="str">
        <f t="shared" si="32"/>
        <v>PP00032-02</v>
      </c>
      <c r="AH160">
        <f>_xlfn.XLOOKUP(AG160, Hoja3!A:A, Hoja3!B:B)</f>
        <v>5423</v>
      </c>
      <c r="AI160" t="str">
        <f>_xlfn.XLOOKUP(AH160, Hoja4!A:A, Hoja4!B:B)</f>
        <v>E35099600</v>
      </c>
      <c r="AJ160" t="b">
        <f t="shared" si="33"/>
        <v>1</v>
      </c>
    </row>
    <row r="161" spans="1:36" ht="15.5" customHeight="1" x14ac:dyDescent="0.35">
      <c r="A161">
        <f t="shared" ca="1" si="22"/>
        <v>36</v>
      </c>
      <c r="B161" s="6" t="s">
        <v>582</v>
      </c>
      <c r="C161" s="7">
        <v>44957</v>
      </c>
      <c r="D161" s="6" t="s">
        <v>121</v>
      </c>
      <c r="E161" s="6" t="s">
        <v>139</v>
      </c>
      <c r="F161" s="6" t="s">
        <v>84</v>
      </c>
      <c r="G161" s="6" t="s">
        <v>578</v>
      </c>
      <c r="H161" s="6" t="s">
        <v>231</v>
      </c>
      <c r="I161" s="6" t="s">
        <v>208</v>
      </c>
      <c r="J161" s="6" t="str">
        <f>IF(E161="KTG","KTG",(VLOOKUP(I161,'[1]list of outsource'!B:H,2,0)))</f>
        <v>ETC</v>
      </c>
      <c r="K161" s="6" t="s">
        <v>209</v>
      </c>
      <c r="L161" s="6"/>
      <c r="M161" s="6" t="s">
        <v>232</v>
      </c>
      <c r="N161" s="6" t="s">
        <v>583</v>
      </c>
      <c r="O161" s="6">
        <v>1201049996</v>
      </c>
      <c r="P161" s="6"/>
      <c r="Q161" s="8"/>
      <c r="R161" s="6"/>
      <c r="S161" s="6"/>
      <c r="T161" s="6"/>
      <c r="U161" s="6">
        <v>3</v>
      </c>
      <c r="V161" s="6"/>
      <c r="W161" s="6" t="s">
        <v>37</v>
      </c>
      <c r="X161" s="7">
        <v>44993</v>
      </c>
      <c r="Y161" s="7"/>
      <c r="AC161"/>
      <c r="AE161" t="str">
        <f t="shared" si="23"/>
        <v>P000161</v>
      </c>
      <c r="AF161" t="str">
        <f>_xlfn.XLOOKUP(AE161, Hoja2!A:A, Hoja2!A:A)</f>
        <v>P000161</v>
      </c>
      <c r="AG161" t="str">
        <f t="shared" si="32"/>
        <v>PP00032-03</v>
      </c>
      <c r="AH161">
        <f>_xlfn.XLOOKUP(AG161, Hoja3!A:A, Hoja3!B:B)</f>
        <v>5424</v>
      </c>
      <c r="AI161" t="str">
        <f>_xlfn.XLOOKUP(AH161, Hoja4!A:A, Hoja4!B:B)</f>
        <v>E35099900</v>
      </c>
      <c r="AJ161" t="b">
        <f t="shared" si="33"/>
        <v>1</v>
      </c>
    </row>
    <row r="162" spans="1:36" ht="15.5" customHeight="1" x14ac:dyDescent="0.35">
      <c r="A162">
        <f t="shared" ca="1" si="22"/>
        <v>36</v>
      </c>
      <c r="B162" s="6" t="s">
        <v>584</v>
      </c>
      <c r="C162" s="7">
        <v>44957</v>
      </c>
      <c r="D162" s="6" t="s">
        <v>121</v>
      </c>
      <c r="E162" s="6" t="s">
        <v>139</v>
      </c>
      <c r="F162" s="6" t="s">
        <v>84</v>
      </c>
      <c r="G162" s="6" t="s">
        <v>578</v>
      </c>
      <c r="H162" s="6" t="s">
        <v>585</v>
      </c>
      <c r="I162" s="6" t="s">
        <v>208</v>
      </c>
      <c r="J162" s="6" t="str">
        <f>IF(E162="KTG","KTG",(VLOOKUP(I162,'[1]list of outsource'!B:H,2,0)))</f>
        <v>ETC</v>
      </c>
      <c r="K162" s="6" t="s">
        <v>209</v>
      </c>
      <c r="L162" s="6"/>
      <c r="M162" s="6" t="s">
        <v>586</v>
      </c>
      <c r="N162" s="6" t="s">
        <v>587</v>
      </c>
      <c r="O162" s="6">
        <v>1201403652</v>
      </c>
      <c r="P162" s="6"/>
      <c r="Q162" s="8"/>
      <c r="R162" s="6"/>
      <c r="S162" s="6"/>
      <c r="T162" s="6"/>
      <c r="U162" s="6">
        <v>3</v>
      </c>
      <c r="V162" s="6"/>
      <c r="W162" s="6" t="s">
        <v>37</v>
      </c>
      <c r="X162" s="7">
        <v>44993</v>
      </c>
      <c r="Y162" s="7"/>
      <c r="AC162"/>
      <c r="AE162" t="str">
        <f t="shared" si="23"/>
        <v>P000183</v>
      </c>
      <c r="AF162" t="str">
        <f>_xlfn.XLOOKUP(AE162, Hoja2!A:A, Hoja2!A:A)</f>
        <v>P000183</v>
      </c>
      <c r="AG162" t="str">
        <f t="shared" si="32"/>
        <v>PP00032-04</v>
      </c>
      <c r="AH162">
        <f>_xlfn.XLOOKUP(AG162, Hoja3!A:A, Hoja3!B:B)</f>
        <v>5425</v>
      </c>
      <c r="AI162" t="str">
        <f>_xlfn.XLOOKUP(AH162, Hoja4!A:A, Hoja4!B:B)</f>
        <v>E39013200</v>
      </c>
      <c r="AJ162" t="b">
        <f t="shared" si="33"/>
        <v>1</v>
      </c>
    </row>
    <row r="163" spans="1:36" ht="15.5" customHeight="1" x14ac:dyDescent="0.35">
      <c r="A163">
        <f t="shared" ca="1" si="22"/>
        <v>36</v>
      </c>
      <c r="B163" s="6" t="s">
        <v>588</v>
      </c>
      <c r="C163" s="7">
        <v>44957</v>
      </c>
      <c r="D163" s="6" t="s">
        <v>121</v>
      </c>
      <c r="E163" s="6" t="s">
        <v>139</v>
      </c>
      <c r="F163" s="6" t="s">
        <v>84</v>
      </c>
      <c r="G163" s="6" t="s">
        <v>578</v>
      </c>
      <c r="H163" s="6" t="s">
        <v>295</v>
      </c>
      <c r="I163" s="6" t="s">
        <v>208</v>
      </c>
      <c r="J163" s="6" t="str">
        <f>IF(E163="KTG","KTG",(VLOOKUP(I163,'[1]list of outsource'!B:H,2,0)))</f>
        <v>ETC</v>
      </c>
      <c r="K163" s="6" t="s">
        <v>209</v>
      </c>
      <c r="L163" s="6"/>
      <c r="M163" s="6" t="s">
        <v>296</v>
      </c>
      <c r="N163" s="6" t="s">
        <v>589</v>
      </c>
      <c r="O163" s="6">
        <v>1201408694</v>
      </c>
      <c r="P163" s="6"/>
      <c r="Q163" s="8"/>
      <c r="R163" s="6"/>
      <c r="S163" s="6"/>
      <c r="T163" s="6"/>
      <c r="U163" s="6">
        <v>3</v>
      </c>
      <c r="V163" s="6"/>
      <c r="W163" s="6" t="s">
        <v>37</v>
      </c>
      <c r="X163" s="7">
        <v>44993</v>
      </c>
      <c r="Y163" s="7"/>
      <c r="AC163"/>
      <c r="AE163" t="str">
        <f t="shared" si="23"/>
        <v>P000159</v>
      </c>
      <c r="AF163" t="str">
        <f>_xlfn.XLOOKUP(AE163, Hoja2!A:A, Hoja2!A:A)</f>
        <v>P000159</v>
      </c>
      <c r="AG163" t="str">
        <f t="shared" si="32"/>
        <v>PP00032-05</v>
      </c>
      <c r="AH163">
        <f>_xlfn.XLOOKUP(AG163, Hoja3!A:A, Hoja3!B:B)</f>
        <v>5427</v>
      </c>
      <c r="AI163" t="str">
        <f>_xlfn.XLOOKUP(AH163, Hoja4!A:A, Hoja4!B:B)</f>
        <v>E35099700</v>
      </c>
      <c r="AJ163" t="b">
        <f t="shared" si="33"/>
        <v>1</v>
      </c>
    </row>
    <row r="164" spans="1:36" ht="15.5" customHeight="1" x14ac:dyDescent="0.35">
      <c r="A164">
        <f t="shared" ca="1" si="22"/>
        <v>36</v>
      </c>
      <c r="B164" s="6" t="s">
        <v>590</v>
      </c>
      <c r="C164" s="7">
        <v>44957</v>
      </c>
      <c r="D164" s="6" t="s">
        <v>121</v>
      </c>
      <c r="E164" s="6" t="s">
        <v>139</v>
      </c>
      <c r="F164" s="6" t="s">
        <v>84</v>
      </c>
      <c r="G164" s="6" t="s">
        <v>578</v>
      </c>
      <c r="H164" s="6" t="s">
        <v>287</v>
      </c>
      <c r="I164" s="6" t="s">
        <v>208</v>
      </c>
      <c r="J164" s="6" t="str">
        <f>IF(E164="KTG","KTG",(VLOOKUP(I164,'[1]list of outsource'!B:H,2,0)))</f>
        <v>ETC</v>
      </c>
      <c r="K164" s="6" t="s">
        <v>209</v>
      </c>
      <c r="L164" s="6"/>
      <c r="M164" s="6" t="s">
        <v>288</v>
      </c>
      <c r="N164" s="6" t="s">
        <v>591</v>
      </c>
      <c r="O164" s="6">
        <v>1201415221</v>
      </c>
      <c r="P164" s="6"/>
      <c r="Q164" s="8"/>
      <c r="R164" s="6"/>
      <c r="S164" s="6"/>
      <c r="T164" s="6"/>
      <c r="U164" s="6">
        <v>3</v>
      </c>
      <c r="V164" s="6"/>
      <c r="W164" s="6" t="s">
        <v>37</v>
      </c>
      <c r="X164" s="7">
        <v>44993</v>
      </c>
      <c r="Y164" s="7"/>
      <c r="AC164"/>
      <c r="AE164" t="str">
        <f t="shared" si="23"/>
        <v>P000162</v>
      </c>
      <c r="AF164" t="str">
        <f>_xlfn.XLOOKUP(AE164, Hoja2!A:A, Hoja2!A:A)</f>
        <v>P000162</v>
      </c>
      <c r="AG164" t="str">
        <f t="shared" si="32"/>
        <v>PP00032-06</v>
      </c>
      <c r="AH164">
        <f>_xlfn.XLOOKUP(AG164, Hoja3!A:A, Hoja3!B:B)</f>
        <v>5428</v>
      </c>
      <c r="AI164" t="str">
        <f>_xlfn.XLOOKUP(AH164, Hoja4!A:A, Hoja4!B:B)</f>
        <v>E35100000</v>
      </c>
      <c r="AJ164" t="b">
        <f t="shared" si="33"/>
        <v>1</v>
      </c>
    </row>
    <row r="165" spans="1:36" ht="15.5" customHeight="1" x14ac:dyDescent="0.35">
      <c r="A165">
        <f t="shared" ca="1" si="22"/>
        <v>1052</v>
      </c>
      <c r="B165" s="6" t="s">
        <v>592</v>
      </c>
      <c r="C165" s="7">
        <v>44957</v>
      </c>
      <c r="D165" s="6" t="s">
        <v>593</v>
      </c>
      <c r="E165" s="6" t="s">
        <v>139</v>
      </c>
      <c r="F165" s="6" t="s">
        <v>84</v>
      </c>
      <c r="G165" s="6" t="s">
        <v>578</v>
      </c>
      <c r="H165" s="6" t="s">
        <v>594</v>
      </c>
      <c r="I165" s="6" t="s">
        <v>402</v>
      </c>
      <c r="J165" s="6" t="str">
        <f>IF(E165="KTG","KTG",(VLOOKUP(I165,'[1]list of outsource'!B:H,2,0)))</f>
        <v>ETC</v>
      </c>
      <c r="K165" s="6" t="s">
        <v>403</v>
      </c>
      <c r="L165" s="6"/>
      <c r="M165" s="6" t="s">
        <v>595</v>
      </c>
      <c r="N165" s="6" t="s">
        <v>596</v>
      </c>
      <c r="O165" s="6">
        <v>1201418073</v>
      </c>
      <c r="P165" s="6"/>
      <c r="Q165" s="8"/>
      <c r="R165" s="6"/>
      <c r="S165" s="6"/>
      <c r="T165" s="6"/>
      <c r="U165" s="6">
        <v>2</v>
      </c>
      <c r="V165" s="6"/>
      <c r="W165" s="6" t="s">
        <v>37</v>
      </c>
      <c r="X165" s="7"/>
      <c r="Y165" s="7"/>
      <c r="AC165"/>
      <c r="AE165" t="str">
        <f t="shared" si="23"/>
        <v>P000269</v>
      </c>
      <c r="AF165" t="str">
        <f>_xlfn.XLOOKUP(AE165, Hoja2!A:A, Hoja2!A:A)</f>
        <v>P000269</v>
      </c>
      <c r="AG165" t="str">
        <f t="shared" si="32"/>
        <v>PP00032-07</v>
      </c>
      <c r="AH165">
        <f>_xlfn.XLOOKUP(AG165, Hoja3!A:A, Hoja3!B:B)</f>
        <v>5429</v>
      </c>
      <c r="AI165" t="str">
        <f>_xlfn.XLOOKUP(AH165, Hoja4!A:A, Hoja4!B:B)</f>
        <v>E38846500</v>
      </c>
      <c r="AJ165" t="b">
        <f t="shared" si="33"/>
        <v>1</v>
      </c>
    </row>
    <row r="166" spans="1:36" ht="15.5" customHeight="1" x14ac:dyDescent="0.35">
      <c r="A166">
        <f t="shared" ca="1" si="22"/>
        <v>36</v>
      </c>
      <c r="B166" s="6" t="s">
        <v>597</v>
      </c>
      <c r="C166" s="7">
        <v>44957</v>
      </c>
      <c r="D166" s="6" t="s">
        <v>121</v>
      </c>
      <c r="E166" s="6" t="s">
        <v>139</v>
      </c>
      <c r="F166" s="6" t="s">
        <v>84</v>
      </c>
      <c r="G166" s="6" t="s">
        <v>578</v>
      </c>
      <c r="H166" s="6" t="s">
        <v>598</v>
      </c>
      <c r="I166" s="6" t="s">
        <v>402</v>
      </c>
      <c r="J166" s="6" t="str">
        <f>IF(E166="KTG","KTG",(VLOOKUP(I166,'[1]list of outsource'!B:H,2,0)))</f>
        <v>ETC</v>
      </c>
      <c r="K166" s="6" t="s">
        <v>403</v>
      </c>
      <c r="L166" s="6"/>
      <c r="M166" s="6" t="s">
        <v>471</v>
      </c>
      <c r="N166" s="6" t="s">
        <v>599</v>
      </c>
      <c r="O166" s="6">
        <v>1201419866</v>
      </c>
      <c r="P166" s="6"/>
      <c r="Q166" s="8"/>
      <c r="R166" s="6"/>
      <c r="S166" s="6"/>
      <c r="T166" s="6"/>
      <c r="U166" s="6">
        <v>2</v>
      </c>
      <c r="V166" s="6"/>
      <c r="W166" s="6" t="s">
        <v>37</v>
      </c>
      <c r="X166" s="7">
        <v>44993</v>
      </c>
      <c r="Y166" s="7"/>
      <c r="AC166"/>
      <c r="AE166" t="str">
        <f t="shared" si="23"/>
        <v>P000252</v>
      </c>
      <c r="AF166" t="str">
        <f>_xlfn.XLOOKUP(AE166, Hoja2!A:A, Hoja2!A:A)</f>
        <v>P000252</v>
      </c>
      <c r="AG166" t="str">
        <f t="shared" si="32"/>
        <v>PP00032-08</v>
      </c>
      <c r="AH166">
        <f>_xlfn.XLOOKUP(AG166, Hoja3!A:A, Hoja3!B:B)</f>
        <v>5431</v>
      </c>
      <c r="AI166" t="str">
        <f>_xlfn.XLOOKUP(AH166, Hoja4!A:A, Hoja4!B:B)</f>
        <v>E39013000</v>
      </c>
      <c r="AJ166" t="b">
        <f t="shared" si="33"/>
        <v>1</v>
      </c>
    </row>
    <row r="167" spans="1:36" ht="15.5" customHeight="1" x14ac:dyDescent="0.35">
      <c r="A167">
        <f t="shared" ca="1" si="22"/>
        <v>36</v>
      </c>
      <c r="B167" s="6" t="s">
        <v>600</v>
      </c>
      <c r="C167" s="7">
        <v>44957</v>
      </c>
      <c r="D167" s="6" t="s">
        <v>121</v>
      </c>
      <c r="E167" s="6" t="s">
        <v>139</v>
      </c>
      <c r="F167" s="6" t="s">
        <v>84</v>
      </c>
      <c r="G167" s="6" t="s">
        <v>578</v>
      </c>
      <c r="H167" s="6" t="s">
        <v>601</v>
      </c>
      <c r="I167" s="6" t="s">
        <v>208</v>
      </c>
      <c r="J167" s="6" t="str">
        <f>IF(E167="KTG","KTG",(VLOOKUP(I167,'[1]list of outsource'!B:H,2,0)))</f>
        <v>ETC</v>
      </c>
      <c r="K167" s="6" t="s">
        <v>209</v>
      </c>
      <c r="L167" s="6"/>
      <c r="M167" s="6" t="s">
        <v>602</v>
      </c>
      <c r="N167" s="6" t="s">
        <v>603</v>
      </c>
      <c r="O167" s="6">
        <v>1201420648</v>
      </c>
      <c r="P167" s="6"/>
      <c r="Q167" s="8"/>
      <c r="R167" s="6"/>
      <c r="S167" s="6"/>
      <c r="T167" s="6"/>
      <c r="U167" s="6">
        <v>2</v>
      </c>
      <c r="V167" s="6"/>
      <c r="W167" s="6" t="s">
        <v>37</v>
      </c>
      <c r="X167" s="7">
        <v>44993</v>
      </c>
      <c r="Y167" s="7"/>
      <c r="AC167"/>
      <c r="AE167" t="str">
        <f t="shared" si="23"/>
        <v>P000157</v>
      </c>
      <c r="AF167" t="str">
        <f>_xlfn.XLOOKUP(AE167, Hoja2!A:A, Hoja2!A:A)</f>
        <v>P000157</v>
      </c>
      <c r="AG167" t="str">
        <f t="shared" si="32"/>
        <v>PP00032-09</v>
      </c>
      <c r="AH167">
        <f>_xlfn.XLOOKUP(AG167, Hoja3!A:A, Hoja3!B:B)</f>
        <v>5433</v>
      </c>
      <c r="AI167" t="str">
        <f>_xlfn.XLOOKUP(AH167, Hoja4!A:A, Hoja4!B:B)</f>
        <v>E35099400</v>
      </c>
      <c r="AJ167" t="b">
        <f t="shared" si="33"/>
        <v>1</v>
      </c>
    </row>
    <row r="168" spans="1:36" ht="15.5" customHeight="1" x14ac:dyDescent="0.35">
      <c r="A168">
        <f t="shared" ca="1" si="22"/>
        <v>36</v>
      </c>
      <c r="B168" s="6" t="s">
        <v>604</v>
      </c>
      <c r="C168" s="7">
        <v>44957</v>
      </c>
      <c r="D168" s="6" t="s">
        <v>121</v>
      </c>
      <c r="E168" s="6" t="s">
        <v>139</v>
      </c>
      <c r="F168" s="6" t="s">
        <v>84</v>
      </c>
      <c r="G168" s="6" t="s">
        <v>578</v>
      </c>
      <c r="H168" s="6" t="s">
        <v>605</v>
      </c>
      <c r="I168" s="6" t="s">
        <v>402</v>
      </c>
      <c r="J168" s="6" t="str">
        <f>IF(E168="KTG","KTG",(VLOOKUP(I168,'[1]list of outsource'!B:H,2,0)))</f>
        <v>ETC</v>
      </c>
      <c r="K168" s="6" t="s">
        <v>403</v>
      </c>
      <c r="L168" s="6"/>
      <c r="M168" s="6" t="s">
        <v>606</v>
      </c>
      <c r="N168" s="6" t="s">
        <v>607</v>
      </c>
      <c r="O168" s="6">
        <v>1201422476</v>
      </c>
      <c r="P168" s="6"/>
      <c r="Q168" s="8"/>
      <c r="R168" s="6"/>
      <c r="S168" s="6"/>
      <c r="T168" s="6"/>
      <c r="U168" s="6">
        <v>3</v>
      </c>
      <c r="V168" s="6"/>
      <c r="W168" s="6" t="s">
        <v>37</v>
      </c>
      <c r="X168" s="7">
        <v>44993</v>
      </c>
      <c r="Y168" s="7"/>
      <c r="AC168"/>
      <c r="AE168" t="str">
        <f t="shared" si="23"/>
        <v>P000306</v>
      </c>
      <c r="AF168" t="str">
        <f>_xlfn.XLOOKUP(AE168, Hoja2!A:A, Hoja2!A:A)</f>
        <v>P000306</v>
      </c>
      <c r="AG168" t="str">
        <f t="shared" si="32"/>
        <v>PP00032-10</v>
      </c>
      <c r="AH168">
        <f>_xlfn.XLOOKUP(AG168, Hoja3!A:A, Hoja3!B:B)</f>
        <v>5434</v>
      </c>
      <c r="AI168" t="str">
        <f>_xlfn.XLOOKUP(AH168, Hoja4!A:A, Hoja4!B:B)</f>
        <v>E39259600</v>
      </c>
      <c r="AJ168" t="b">
        <f t="shared" si="33"/>
        <v>1</v>
      </c>
    </row>
    <row r="169" spans="1:36" ht="15.5" customHeight="1" x14ac:dyDescent="0.35">
      <c r="A169">
        <f t="shared" ca="1" si="22"/>
        <v>36</v>
      </c>
      <c r="B169" s="6" t="s">
        <v>608</v>
      </c>
      <c r="C169" s="7">
        <v>44957</v>
      </c>
      <c r="D169" s="6" t="s">
        <v>121</v>
      </c>
      <c r="E169" s="6" t="s">
        <v>139</v>
      </c>
      <c r="F169" s="6" t="s">
        <v>84</v>
      </c>
      <c r="G169" s="6" t="s">
        <v>578</v>
      </c>
      <c r="H169" s="6" t="s">
        <v>609</v>
      </c>
      <c r="I169" s="6" t="s">
        <v>402</v>
      </c>
      <c r="J169" s="6" t="str">
        <f>IF(E169="KTG","KTG",(VLOOKUP(I169,'[1]list of outsource'!B:H,2,0)))</f>
        <v>ETC</v>
      </c>
      <c r="K169" s="6" t="s">
        <v>403</v>
      </c>
      <c r="L169" s="6">
        <v>29</v>
      </c>
      <c r="M169" s="6" t="s">
        <v>610</v>
      </c>
      <c r="N169" s="6" t="s">
        <v>611</v>
      </c>
      <c r="O169" s="6">
        <v>1201792533</v>
      </c>
      <c r="P169" s="6"/>
      <c r="Q169" s="8"/>
      <c r="R169" s="6"/>
      <c r="S169" s="6"/>
      <c r="T169" s="6"/>
      <c r="U169" s="6">
        <v>3</v>
      </c>
      <c r="V169" s="6"/>
      <c r="W169" s="6" t="s">
        <v>37</v>
      </c>
      <c r="X169" s="7">
        <v>44993</v>
      </c>
      <c r="Y169" s="7"/>
      <c r="AC169"/>
      <c r="AE169" t="str">
        <f t="shared" si="23"/>
        <v>P000250</v>
      </c>
      <c r="AF169" t="str">
        <f>_xlfn.XLOOKUP(AE169, Hoja2!A:A, Hoja2!A:A)</f>
        <v>P000250</v>
      </c>
      <c r="AG169" t="str">
        <f t="shared" si="32"/>
        <v>PP00032-11</v>
      </c>
      <c r="AH169">
        <f>_xlfn.XLOOKUP(AG169, Hoja3!A:A, Hoja3!B:B)</f>
        <v>5436</v>
      </c>
      <c r="AI169" t="str">
        <f>_xlfn.XLOOKUP(AH169, Hoja4!A:A, Hoja4!B:B)</f>
        <v>E38846200</v>
      </c>
      <c r="AJ169" t="b">
        <f t="shared" si="33"/>
        <v>1</v>
      </c>
    </row>
    <row r="170" spans="1:36" ht="15.5" customHeight="1" x14ac:dyDescent="0.35">
      <c r="A170">
        <f t="shared" ca="1" si="22"/>
        <v>36</v>
      </c>
      <c r="B170" s="6" t="s">
        <v>612</v>
      </c>
      <c r="C170" s="7">
        <v>44957</v>
      </c>
      <c r="D170" s="6" t="s">
        <v>121</v>
      </c>
      <c r="E170" s="6" t="s">
        <v>83</v>
      </c>
      <c r="F170" s="6" t="s">
        <v>84</v>
      </c>
      <c r="G170" s="6" t="s">
        <v>578</v>
      </c>
      <c r="H170" s="6" t="s">
        <v>613</v>
      </c>
      <c r="I170" s="6" t="s">
        <v>95</v>
      </c>
      <c r="J170" s="6" t="str">
        <f>IF(E170="KTG","KTG",(VLOOKUP(I170,'[1]list of outsource'!B:H,2,0)))</f>
        <v>Woer</v>
      </c>
      <c r="K170" s="6" t="s">
        <v>96</v>
      </c>
      <c r="L170" s="6"/>
      <c r="M170" s="6" t="s">
        <v>614</v>
      </c>
      <c r="N170" s="6" t="s">
        <v>615</v>
      </c>
      <c r="O170" s="6">
        <v>1201795555</v>
      </c>
      <c r="P170" s="6"/>
      <c r="Q170" s="8"/>
      <c r="R170" s="6"/>
      <c r="S170" s="6"/>
      <c r="T170" s="6"/>
      <c r="U170" s="6">
        <v>3</v>
      </c>
      <c r="V170" s="6"/>
      <c r="W170" s="6" t="s">
        <v>37</v>
      </c>
      <c r="X170" s="7">
        <v>44993</v>
      </c>
      <c r="Y170" s="7"/>
      <c r="AC170"/>
      <c r="AE170" t="str">
        <f t="shared" si="23"/>
        <v>P000181</v>
      </c>
      <c r="AF170" t="str">
        <f>_xlfn.XLOOKUP(AE170, Hoja2!A:A, Hoja2!A:A)</f>
        <v>P000181</v>
      </c>
      <c r="AG170" t="str">
        <f t="shared" si="32"/>
        <v>PP00032-12</v>
      </c>
      <c r="AH170">
        <f>_xlfn.XLOOKUP(AG170, Hoja3!A:A, Hoja3!B:B)</f>
        <v>5438</v>
      </c>
      <c r="AI170" t="str">
        <f>_xlfn.XLOOKUP(AH170, Hoja4!A:A, Hoja4!B:B)</f>
        <v>E35563200</v>
      </c>
      <c r="AJ170" t="b">
        <f t="shared" si="33"/>
        <v>1</v>
      </c>
    </row>
    <row r="171" spans="1:36" ht="15.5" customHeight="1" x14ac:dyDescent="0.35">
      <c r="A171">
        <f t="shared" ca="1" si="22"/>
        <v>36</v>
      </c>
      <c r="B171" s="6" t="s">
        <v>616</v>
      </c>
      <c r="C171" s="7">
        <v>44957</v>
      </c>
      <c r="D171" s="6" t="s">
        <v>121</v>
      </c>
      <c r="E171" s="6" t="s">
        <v>139</v>
      </c>
      <c r="F171" s="6" t="s">
        <v>84</v>
      </c>
      <c r="G171" s="6" t="s">
        <v>578</v>
      </c>
      <c r="H171" s="6" t="s">
        <v>617</v>
      </c>
      <c r="I171" s="6" t="s">
        <v>494</v>
      </c>
      <c r="J171" s="6" t="str">
        <f>IF(E171="KTG","KTG",(VLOOKUP(I171,'[1]list of outsource'!B:H,2,0)))</f>
        <v>ETC</v>
      </c>
      <c r="K171" s="6" t="s">
        <v>495</v>
      </c>
      <c r="L171" s="6"/>
      <c r="M171" s="6" t="s">
        <v>618</v>
      </c>
      <c r="N171" s="6" t="s">
        <v>619</v>
      </c>
      <c r="O171" s="6">
        <v>1201805481</v>
      </c>
      <c r="P171" s="6"/>
      <c r="Q171" s="8"/>
      <c r="R171" s="6"/>
      <c r="S171" s="6"/>
      <c r="T171" s="6"/>
      <c r="U171" s="6">
        <v>3</v>
      </c>
      <c r="V171" s="6"/>
      <c r="W171" s="6" t="s">
        <v>37</v>
      </c>
      <c r="X171" s="7">
        <v>44993</v>
      </c>
      <c r="Y171" s="7"/>
      <c r="AC171"/>
      <c r="AE171" t="str">
        <f t="shared" si="23"/>
        <v>P000314</v>
      </c>
      <c r="AF171" t="str">
        <f>_xlfn.XLOOKUP(AE171, Hoja2!A:A, Hoja2!A:A)</f>
        <v>P000314</v>
      </c>
      <c r="AG171" t="str">
        <f t="shared" si="32"/>
        <v>PP00032-13</v>
      </c>
      <c r="AH171">
        <f>_xlfn.XLOOKUP(AG171, Hoja3!A:A, Hoja3!B:B)</f>
        <v>5439</v>
      </c>
      <c r="AI171" t="str">
        <f>_xlfn.XLOOKUP(AH171, Hoja4!A:A, Hoja4!B:B)</f>
        <v>E39245900</v>
      </c>
      <c r="AJ171" t="b">
        <f t="shared" si="33"/>
        <v>1</v>
      </c>
    </row>
    <row r="172" spans="1:36" ht="15.5" customHeight="1" x14ac:dyDescent="0.35">
      <c r="A172">
        <f t="shared" ca="1" si="22"/>
        <v>36</v>
      </c>
      <c r="B172" s="6" t="s">
        <v>620</v>
      </c>
      <c r="C172" s="7">
        <v>44957</v>
      </c>
      <c r="D172" s="6" t="s">
        <v>121</v>
      </c>
      <c r="E172" s="6" t="s">
        <v>139</v>
      </c>
      <c r="F172" s="6" t="s">
        <v>84</v>
      </c>
      <c r="G172" s="6" t="s">
        <v>578</v>
      </c>
      <c r="H172" s="6" t="s">
        <v>621</v>
      </c>
      <c r="I172" s="6" t="s">
        <v>494</v>
      </c>
      <c r="J172" s="6" t="str">
        <f>IF(E172="KTG","KTG",(VLOOKUP(I172,'[1]list of outsource'!B:H,2,0)))</f>
        <v>ETC</v>
      </c>
      <c r="K172" s="6" t="s">
        <v>495</v>
      </c>
      <c r="L172" s="6"/>
      <c r="M172" s="6" t="s">
        <v>622</v>
      </c>
      <c r="N172" s="6" t="s">
        <v>623</v>
      </c>
      <c r="O172" s="6">
        <v>1202120858</v>
      </c>
      <c r="P172" s="6"/>
      <c r="Q172" s="8"/>
      <c r="R172" s="6"/>
      <c r="S172" s="6"/>
      <c r="T172" s="6"/>
      <c r="U172" s="6">
        <v>3</v>
      </c>
      <c r="V172" s="6"/>
      <c r="W172" s="6" t="s">
        <v>37</v>
      </c>
      <c r="X172" s="7">
        <v>44993</v>
      </c>
      <c r="Y172" s="7"/>
      <c r="AC172"/>
      <c r="AE172" t="str">
        <f t="shared" si="23"/>
        <v>P000316</v>
      </c>
      <c r="AF172" t="str">
        <f>_xlfn.XLOOKUP(AE172, Hoja2!A:A, Hoja2!A:A)</f>
        <v>P000316</v>
      </c>
      <c r="AG172" t="str">
        <f t="shared" si="32"/>
        <v>PP00032-14</v>
      </c>
      <c r="AH172">
        <f>_xlfn.XLOOKUP(AG172, Hoja3!A:A, Hoja3!B:B)</f>
        <v>5440</v>
      </c>
      <c r="AI172" t="str">
        <f>_xlfn.XLOOKUP(AH172, Hoja4!A:A, Hoja4!B:B)</f>
        <v>E39259400</v>
      </c>
      <c r="AJ172" t="b">
        <f t="shared" si="33"/>
        <v>1</v>
      </c>
    </row>
    <row r="173" spans="1:36" ht="15.5" customHeight="1" x14ac:dyDescent="0.35">
      <c r="A173">
        <f t="shared" ca="1" si="22"/>
        <v>36</v>
      </c>
      <c r="B173" s="6" t="s">
        <v>624</v>
      </c>
      <c r="C173" s="7">
        <v>44957</v>
      </c>
      <c r="D173" s="6" t="s">
        <v>121</v>
      </c>
      <c r="E173" s="6" t="s">
        <v>139</v>
      </c>
      <c r="F173" s="6" t="s">
        <v>84</v>
      </c>
      <c r="G173" s="6" t="s">
        <v>578</v>
      </c>
      <c r="H173" s="6" t="s">
        <v>625</v>
      </c>
      <c r="I173" s="6" t="s">
        <v>494</v>
      </c>
      <c r="J173" s="6" t="str">
        <f>IF(E173="KTG","KTG",(VLOOKUP(I173,'[1]list of outsource'!B:H,2,0)))</f>
        <v>ETC</v>
      </c>
      <c r="K173" s="6" t="s">
        <v>495</v>
      </c>
      <c r="L173" s="6"/>
      <c r="M173" s="6" t="s">
        <v>496</v>
      </c>
      <c r="N173" s="6" t="s">
        <v>626</v>
      </c>
      <c r="O173" s="6">
        <v>1202139545</v>
      </c>
      <c r="P173" s="6"/>
      <c r="Q173" s="8"/>
      <c r="R173" s="6"/>
      <c r="S173" s="6"/>
      <c r="T173" s="6"/>
      <c r="U173" s="6">
        <v>3</v>
      </c>
      <c r="V173" s="6"/>
      <c r="W173" s="6" t="s">
        <v>37</v>
      </c>
      <c r="X173" s="7">
        <v>44993</v>
      </c>
      <c r="Y173" s="7"/>
      <c r="AC173"/>
      <c r="AE173" t="str">
        <f t="shared" si="23"/>
        <v>P000235</v>
      </c>
      <c r="AF173" t="str">
        <f>_xlfn.XLOOKUP(AE173, Hoja2!A:A, Hoja2!A:A)</f>
        <v>P000235</v>
      </c>
      <c r="AG173" t="str">
        <f t="shared" si="32"/>
        <v>PP00032-15</v>
      </c>
      <c r="AH173">
        <f>_xlfn.XLOOKUP(AG173, Hoja3!A:A, Hoja3!B:B)</f>
        <v>5441</v>
      </c>
      <c r="AI173" t="str">
        <f>_xlfn.XLOOKUP(AH173, Hoja4!A:A, Hoja4!B:B)</f>
        <v>E39045200</v>
      </c>
      <c r="AJ173" t="b">
        <f t="shared" si="33"/>
        <v>1</v>
      </c>
    </row>
    <row r="174" spans="1:36" ht="15.5" customHeight="1" x14ac:dyDescent="0.35">
      <c r="A174">
        <f t="shared" ca="1" si="22"/>
        <v>1052</v>
      </c>
      <c r="B174" s="6" t="s">
        <v>627</v>
      </c>
      <c r="C174" s="7">
        <v>44957</v>
      </c>
      <c r="D174" s="6" t="s">
        <v>593</v>
      </c>
      <c r="E174" s="6" t="s">
        <v>83</v>
      </c>
      <c r="F174" s="6" t="s">
        <v>84</v>
      </c>
      <c r="G174" s="6" t="s">
        <v>578</v>
      </c>
      <c r="H174" s="6" t="s">
        <v>167</v>
      </c>
      <c r="I174" s="6" t="s">
        <v>158</v>
      </c>
      <c r="J174" s="6" t="str">
        <f>IF(E174="KTG","KTG",(VLOOKUP(I174,'[1]list of outsource'!B:H,2,0)))</f>
        <v>UPM</v>
      </c>
      <c r="K174" s="6" t="s">
        <v>159</v>
      </c>
      <c r="L174" s="6"/>
      <c r="M174" s="6" t="s">
        <v>168</v>
      </c>
      <c r="N174" s="6" t="s">
        <v>628</v>
      </c>
      <c r="O174" s="6">
        <v>1202433545</v>
      </c>
      <c r="P174" s="6"/>
      <c r="Q174" s="8"/>
      <c r="R174" s="6"/>
      <c r="S174" s="6"/>
      <c r="T174" s="6"/>
      <c r="U174" s="6">
        <v>2</v>
      </c>
      <c r="V174" s="6"/>
      <c r="W174" s="6" t="s">
        <v>37</v>
      </c>
      <c r="X174" s="7"/>
      <c r="Y174" s="7"/>
      <c r="AC174"/>
      <c r="AE174" t="str">
        <f t="shared" si="23"/>
        <v>P000121</v>
      </c>
      <c r="AF174" t="str">
        <f>_xlfn.XLOOKUP(AE174, Hoja2!A:A, Hoja2!A:A)</f>
        <v>P000121</v>
      </c>
      <c r="AG174" t="str">
        <f t="shared" si="32"/>
        <v>PP00032-16</v>
      </c>
      <c r="AH174">
        <f>_xlfn.XLOOKUP(AG174, Hoja3!A:A, Hoja3!B:B)</f>
        <v>5442</v>
      </c>
      <c r="AI174" t="str">
        <f>_xlfn.XLOOKUP(AH174, Hoja4!A:A, Hoja4!B:B)</f>
        <v>E34284700</v>
      </c>
      <c r="AJ174" t="b">
        <f t="shared" si="33"/>
        <v>1</v>
      </c>
    </row>
    <row r="175" spans="1:36" ht="15.5" customHeight="1" x14ac:dyDescent="0.35">
      <c r="A175">
        <f t="shared" ca="1" si="22"/>
        <v>1052</v>
      </c>
      <c r="B175" s="6" t="s">
        <v>629</v>
      </c>
      <c r="C175" s="7">
        <v>44957</v>
      </c>
      <c r="D175" s="6" t="s">
        <v>593</v>
      </c>
      <c r="E175" s="6" t="s">
        <v>83</v>
      </c>
      <c r="F175" s="6" t="s">
        <v>84</v>
      </c>
      <c r="G175" s="6" t="s">
        <v>578</v>
      </c>
      <c r="H175" s="6" t="s">
        <v>163</v>
      </c>
      <c r="I175" s="6" t="s">
        <v>158</v>
      </c>
      <c r="J175" s="6" t="str">
        <f>IF(E175="KTG","KTG",(VLOOKUP(I175,'[1]list of outsource'!B:H,2,0)))</f>
        <v>UPM</v>
      </c>
      <c r="K175" s="6" t="s">
        <v>159</v>
      </c>
      <c r="L175" s="6"/>
      <c r="M175" s="6" t="s">
        <v>164</v>
      </c>
      <c r="N175" s="6" t="s">
        <v>630</v>
      </c>
      <c r="O175" s="6"/>
      <c r="P175" s="6"/>
      <c r="Q175" s="8"/>
      <c r="R175" s="6"/>
      <c r="S175" s="6"/>
      <c r="T175" s="6"/>
      <c r="U175" s="6">
        <v>2</v>
      </c>
      <c r="V175" s="6"/>
      <c r="W175" s="6" t="s">
        <v>37</v>
      </c>
      <c r="X175" s="7"/>
      <c r="Y175" s="7"/>
      <c r="AC175"/>
      <c r="AE175" t="str">
        <f t="shared" si="23"/>
        <v>P000106</v>
      </c>
      <c r="AF175" t="str">
        <f>_xlfn.XLOOKUP(AE175, Hoja2!A:A, Hoja2!A:A)</f>
        <v>P000106</v>
      </c>
      <c r="AG175" t="str">
        <f t="shared" si="32"/>
        <v>PP00032-17</v>
      </c>
      <c r="AH175">
        <f>_xlfn.XLOOKUP(AG175, Hoja3!A:A, Hoja3!B:B)</f>
        <v>5443</v>
      </c>
      <c r="AI175" t="str">
        <f>_xlfn.XLOOKUP(AH175, Hoja4!A:A, Hoja4!B:B)</f>
        <v>E33301100</v>
      </c>
      <c r="AJ175" t="b">
        <f t="shared" si="33"/>
        <v>1</v>
      </c>
    </row>
    <row r="176" spans="1:36" ht="15.5" customHeight="1" x14ac:dyDescent="0.35">
      <c r="A176">
        <f t="shared" ca="1" si="22"/>
        <v>1052</v>
      </c>
      <c r="B176" s="6" t="s">
        <v>631</v>
      </c>
      <c r="C176" s="7">
        <v>44957</v>
      </c>
      <c r="D176" s="6" t="s">
        <v>593</v>
      </c>
      <c r="E176" s="6" t="s">
        <v>83</v>
      </c>
      <c r="F176" s="6" t="s">
        <v>84</v>
      </c>
      <c r="G176" s="6" t="s">
        <v>578</v>
      </c>
      <c r="H176" s="6" t="s">
        <v>223</v>
      </c>
      <c r="I176" s="6" t="s">
        <v>158</v>
      </c>
      <c r="J176" s="6" t="str">
        <f>IF(E176="KTG","KTG",(VLOOKUP(I176,'[1]list of outsource'!B:H,2,0)))</f>
        <v>UPM</v>
      </c>
      <c r="K176" s="6" t="s">
        <v>159</v>
      </c>
      <c r="L176" s="6"/>
      <c r="M176" s="6" t="s">
        <v>224</v>
      </c>
      <c r="N176" s="6" t="s">
        <v>464</v>
      </c>
      <c r="O176" s="6"/>
      <c r="P176" s="6"/>
      <c r="Q176" s="8"/>
      <c r="R176" s="6"/>
      <c r="S176" s="6"/>
      <c r="T176" s="6"/>
      <c r="U176" s="6">
        <v>2</v>
      </c>
      <c r="V176" s="6"/>
      <c r="W176" s="6" t="s">
        <v>37</v>
      </c>
      <c r="X176" s="7"/>
      <c r="Y176" s="7"/>
      <c r="AC176"/>
      <c r="AE176" t="str">
        <f t="shared" si="23"/>
        <v>P000127</v>
      </c>
      <c r="AF176" t="str">
        <f>_xlfn.XLOOKUP(AE176, Hoja2!A:A, Hoja2!A:A)</f>
        <v>P000127</v>
      </c>
      <c r="AG176" t="str">
        <f t="shared" si="32"/>
        <v>PP00032-18</v>
      </c>
      <c r="AH176">
        <f>_xlfn.XLOOKUP(AG176, Hoja3!A:A, Hoja3!B:B)</f>
        <v>5444</v>
      </c>
      <c r="AI176" t="str">
        <f>_xlfn.XLOOKUP(AH176, Hoja4!A:A, Hoja4!B:B)</f>
        <v>E34427600</v>
      </c>
      <c r="AJ176" t="b">
        <f t="shared" si="33"/>
        <v>1</v>
      </c>
    </row>
    <row r="177" spans="1:36" ht="15.5" hidden="1" customHeight="1" x14ac:dyDescent="0.35">
      <c r="A177">
        <f t="shared" ca="1" si="22"/>
        <v>1052</v>
      </c>
      <c r="B177" s="55" t="s">
        <v>632</v>
      </c>
      <c r="C177" s="7">
        <v>44957</v>
      </c>
      <c r="D177" s="6" t="s">
        <v>593</v>
      </c>
      <c r="E177" s="6" t="s">
        <v>83</v>
      </c>
      <c r="F177" s="6" t="s">
        <v>84</v>
      </c>
      <c r="G177" s="6" t="s">
        <v>578</v>
      </c>
      <c r="H177" s="6" t="s">
        <v>633</v>
      </c>
      <c r="I177" s="6" t="s">
        <v>428</v>
      </c>
      <c r="J177" s="6" t="str">
        <f>IF(E177="KTG","KTG",(VLOOKUP(I177,'[1]list of outsource'!B:H,2,0)))</f>
        <v>UPM</v>
      </c>
      <c r="K177" s="6" t="s">
        <v>429</v>
      </c>
      <c r="L177" s="6"/>
      <c r="M177" s="55" t="s">
        <v>634</v>
      </c>
      <c r="N177" s="6" t="s">
        <v>635</v>
      </c>
      <c r="O177" s="6"/>
      <c r="P177" s="6"/>
      <c r="Q177" s="8"/>
      <c r="R177" s="6"/>
      <c r="S177" s="6"/>
      <c r="T177" s="6"/>
      <c r="U177" s="6">
        <v>2</v>
      </c>
      <c r="V177" s="6"/>
      <c r="W177" s="6" t="s">
        <v>37</v>
      </c>
      <c r="X177" s="7"/>
      <c r="Y177" s="7"/>
      <c r="AC177"/>
      <c r="AE177" t="str">
        <f t="shared" si="23"/>
        <v>P000155</v>
      </c>
      <c r="AF177" t="e">
        <f>_xlfn.XLOOKUP(AE177, Hoja2!A:A, Hoja2!A:A)</f>
        <v>#N/A</v>
      </c>
    </row>
    <row r="178" spans="1:36" ht="15.5" customHeight="1" x14ac:dyDescent="0.35">
      <c r="A178">
        <f t="shared" ca="1" si="22"/>
        <v>1052</v>
      </c>
      <c r="B178" s="6" t="s">
        <v>636</v>
      </c>
      <c r="C178" s="7">
        <v>44957</v>
      </c>
      <c r="D178" s="6" t="s">
        <v>593</v>
      </c>
      <c r="E178" s="6" t="s">
        <v>83</v>
      </c>
      <c r="F178" s="6" t="s">
        <v>84</v>
      </c>
      <c r="G178" s="6" t="s">
        <v>578</v>
      </c>
      <c r="H178" s="6" t="s">
        <v>437</v>
      </c>
      <c r="I178" s="6" t="s">
        <v>158</v>
      </c>
      <c r="J178" s="6" t="str">
        <f>IF(E178="KTG","KTG",(VLOOKUP(I178,'[1]list of outsource'!B:H,2,0)))</f>
        <v>UPM</v>
      </c>
      <c r="K178" s="6" t="s">
        <v>159</v>
      </c>
      <c r="L178" s="6"/>
      <c r="M178" s="6" t="s">
        <v>438</v>
      </c>
      <c r="N178" s="6" t="s">
        <v>637</v>
      </c>
      <c r="O178" s="6"/>
      <c r="P178" s="6"/>
      <c r="Q178" s="8"/>
      <c r="R178" s="6"/>
      <c r="S178" s="6"/>
      <c r="T178" s="6"/>
      <c r="U178" s="6">
        <v>2</v>
      </c>
      <c r="V178" s="6"/>
      <c r="W178" s="6" t="s">
        <v>37</v>
      </c>
      <c r="X178" s="7"/>
      <c r="Y178" s="7"/>
      <c r="AC178"/>
      <c r="AE178" t="str">
        <f t="shared" si="23"/>
        <v>P000052</v>
      </c>
      <c r="AF178" t="str">
        <f>_xlfn.XLOOKUP(AE178, Hoja2!A:A, Hoja2!A:A)</f>
        <v>P000052</v>
      </c>
      <c r="AG178" t="str">
        <f>LEFT(B178, FIND(" ", B178 &amp; " ") - 1)</f>
        <v>PP00032-20</v>
      </c>
      <c r="AH178">
        <f>_xlfn.XLOOKUP(AG178, Hoja3!A:A, Hoja3!B:B)</f>
        <v>5445</v>
      </c>
      <c r="AI178" t="str">
        <f>_xlfn.XLOOKUP(AH178, Hoja4!A:A, Hoja4!B:B)</f>
        <v>E33300400</v>
      </c>
      <c r="AJ178" t="b">
        <f>H178=AI178</f>
        <v>1</v>
      </c>
    </row>
    <row r="179" spans="1:36" ht="15.5" hidden="1" customHeight="1" x14ac:dyDescent="0.35">
      <c r="A179">
        <f t="shared" ca="1" si="22"/>
        <v>1052</v>
      </c>
      <c r="B179" s="55" t="s">
        <v>638</v>
      </c>
      <c r="C179" s="7">
        <v>44957</v>
      </c>
      <c r="D179" s="6" t="s">
        <v>593</v>
      </c>
      <c r="E179" s="6" t="s">
        <v>83</v>
      </c>
      <c r="F179" s="6" t="s">
        <v>84</v>
      </c>
      <c r="G179" s="6" t="s">
        <v>578</v>
      </c>
      <c r="H179" s="6" t="s">
        <v>553</v>
      </c>
      <c r="I179" s="6" t="s">
        <v>176</v>
      </c>
      <c r="J179" s="6" t="str">
        <f>IF(E179="KTG","KTG",(VLOOKUP(I179,'[1]list of outsource'!B:H,2,0)))</f>
        <v>UPM</v>
      </c>
      <c r="K179" s="6" t="s">
        <v>177</v>
      </c>
      <c r="L179" s="6"/>
      <c r="M179" s="55" t="s">
        <v>554</v>
      </c>
      <c r="N179" s="6" t="s">
        <v>639</v>
      </c>
      <c r="O179" s="6"/>
      <c r="P179" s="6"/>
      <c r="Q179" s="8"/>
      <c r="R179" s="6"/>
      <c r="S179" s="6"/>
      <c r="T179" s="6"/>
      <c r="U179" s="6">
        <v>2</v>
      </c>
      <c r="V179" s="6"/>
      <c r="W179" s="6" t="s">
        <v>37</v>
      </c>
      <c r="X179" s="7"/>
      <c r="Y179" s="7"/>
      <c r="AC179"/>
      <c r="AE179" t="str">
        <f t="shared" si="23"/>
        <v>P000260</v>
      </c>
      <c r="AF179" t="e">
        <f>_xlfn.XLOOKUP(AE179, Hoja2!A:A, Hoja2!A:A)</f>
        <v>#N/A</v>
      </c>
    </row>
    <row r="180" spans="1:36" ht="15.5" customHeight="1" x14ac:dyDescent="0.35">
      <c r="A180">
        <f t="shared" ca="1" si="22"/>
        <v>30</v>
      </c>
      <c r="B180" s="6" t="s">
        <v>640</v>
      </c>
      <c r="C180" s="7">
        <v>44958</v>
      </c>
      <c r="D180" s="6" t="s">
        <v>507</v>
      </c>
      <c r="E180" s="6" t="s">
        <v>83</v>
      </c>
      <c r="F180" s="6" t="s">
        <v>641</v>
      </c>
      <c r="G180" s="6"/>
      <c r="H180" s="6" t="s">
        <v>642</v>
      </c>
      <c r="I180" s="6" t="s">
        <v>133</v>
      </c>
      <c r="J180" s="6" t="str">
        <f>IF(E180="KTG","KTG",(VLOOKUP(I180,'[1]list of outsource'!B:H,2,0)))</f>
        <v>UPM</v>
      </c>
      <c r="K180" s="6" t="s">
        <v>301</v>
      </c>
      <c r="L180" s="6"/>
      <c r="M180" s="6" t="s">
        <v>643</v>
      </c>
      <c r="N180" s="6" t="s">
        <v>644</v>
      </c>
      <c r="O180" s="6">
        <v>1201810614</v>
      </c>
      <c r="P180" s="6"/>
      <c r="Q180" s="8"/>
      <c r="R180" s="6"/>
      <c r="S180" s="6"/>
      <c r="T180" s="6"/>
      <c r="U180" s="6">
        <v>2</v>
      </c>
      <c r="V180" s="6"/>
      <c r="W180" s="6" t="s">
        <v>37</v>
      </c>
      <c r="X180" s="7">
        <v>44988</v>
      </c>
      <c r="Y180" s="7">
        <v>45093</v>
      </c>
      <c r="AB180" t="e">
        <v>#N/A</v>
      </c>
      <c r="AC180"/>
      <c r="AE180" t="str">
        <f t="shared" si="23"/>
        <v>P000345</v>
      </c>
      <c r="AF180" t="str">
        <f>_xlfn.XLOOKUP(AE180, Hoja2!A:A, Hoja2!A:A)</f>
        <v>P000345</v>
      </c>
      <c r="AG180" t="str">
        <f t="shared" ref="AG180:AG187" si="34">LEFT(B180, FIND(" ", B180 &amp; " ") - 1)</f>
        <v>PP00031-01</v>
      </c>
      <c r="AH180">
        <f>_xlfn.XLOOKUP(AG180, Hoja3!A:A, Hoja3!B:B)</f>
        <v>5164</v>
      </c>
      <c r="AI180" t="str">
        <f>_xlfn.XLOOKUP(AH180, Hoja4!A:A, Hoja4!B:B)</f>
        <v>V60116827</v>
      </c>
      <c r="AJ180" t="b">
        <f t="shared" ref="AJ180:AJ187" si="35">H180=AI180</f>
        <v>1</v>
      </c>
    </row>
    <row r="181" spans="1:36" ht="15.5" customHeight="1" x14ac:dyDescent="0.35">
      <c r="A181">
        <f t="shared" ca="1" si="22"/>
        <v>27</v>
      </c>
      <c r="B181" s="6" t="s">
        <v>645</v>
      </c>
      <c r="C181" s="7">
        <v>44958</v>
      </c>
      <c r="D181" s="6" t="s">
        <v>121</v>
      </c>
      <c r="E181" s="6" t="s">
        <v>83</v>
      </c>
      <c r="F181" s="6" t="s">
        <v>646</v>
      </c>
      <c r="G181" s="6" t="s">
        <v>647</v>
      </c>
      <c r="H181" s="6">
        <v>711977</v>
      </c>
      <c r="I181" s="6" t="s">
        <v>95</v>
      </c>
      <c r="J181" s="6" t="str">
        <f>IF(E181="KTG","KTG",(VLOOKUP(I181,'[1]list of outsource'!B:H,2,0)))</f>
        <v>Woer</v>
      </c>
      <c r="K181" s="6" t="s">
        <v>96</v>
      </c>
      <c r="L181" s="6"/>
      <c r="M181" s="6" t="s">
        <v>648</v>
      </c>
      <c r="N181" s="6" t="s">
        <v>649</v>
      </c>
      <c r="O181" s="6">
        <v>1200668698</v>
      </c>
      <c r="P181" s="6"/>
      <c r="Q181" s="8"/>
      <c r="R181" s="6"/>
      <c r="S181" s="6"/>
      <c r="T181" s="6"/>
      <c r="U181" s="6">
        <v>2</v>
      </c>
      <c r="V181" s="6"/>
      <c r="W181" s="6" t="s">
        <v>37</v>
      </c>
      <c r="X181" s="7">
        <v>44985</v>
      </c>
      <c r="Y181" s="7"/>
      <c r="AB181" t="e">
        <v>#N/A</v>
      </c>
      <c r="AC181"/>
      <c r="AE181" t="str">
        <f t="shared" si="23"/>
        <v>P000328</v>
      </c>
      <c r="AF181" t="str">
        <f>_xlfn.XLOOKUP(AE181, Hoja2!A:A, Hoja2!A:A)</f>
        <v>P000328</v>
      </c>
      <c r="AG181" t="str">
        <f t="shared" si="34"/>
        <v>PP00030-01</v>
      </c>
      <c r="AH181">
        <f>_xlfn.XLOOKUP(AG181, Hoja3!A:A, Hoja3!B:B)</f>
        <v>5226</v>
      </c>
      <c r="AI181">
        <f>_xlfn.XLOOKUP(AH181, Hoja4!A:A, Hoja4!B:B)</f>
        <v>711977</v>
      </c>
      <c r="AJ181" t="b">
        <f t="shared" si="35"/>
        <v>1</v>
      </c>
    </row>
    <row r="182" spans="1:36" ht="15.5" customHeight="1" x14ac:dyDescent="0.35">
      <c r="A182">
        <f t="shared" ca="1" si="22"/>
        <v>65</v>
      </c>
      <c r="B182" s="6" t="s">
        <v>650</v>
      </c>
      <c r="C182" s="7">
        <v>44964</v>
      </c>
      <c r="D182" s="6" t="s">
        <v>507</v>
      </c>
      <c r="E182" s="6" t="s">
        <v>147</v>
      </c>
      <c r="F182" s="6" t="s">
        <v>651</v>
      </c>
      <c r="G182" s="6"/>
      <c r="H182" s="6" t="s">
        <v>652</v>
      </c>
      <c r="I182" s="6" t="s">
        <v>459</v>
      </c>
      <c r="J182" s="6" t="e">
        <f>IF(E182="KTG","KTG",(VLOOKUP(I182,'[1]list of outsource'!B:H,2,0)))</f>
        <v>#N/A</v>
      </c>
      <c r="K182" s="6" t="s">
        <v>653</v>
      </c>
      <c r="L182" s="6"/>
      <c r="M182" s="6" t="s">
        <v>459</v>
      </c>
      <c r="N182" s="6" t="s">
        <v>460</v>
      </c>
      <c r="O182" s="6">
        <v>1212289387</v>
      </c>
      <c r="P182" s="6"/>
      <c r="Q182" s="8"/>
      <c r="R182" s="6"/>
      <c r="S182" s="6"/>
      <c r="T182" s="6"/>
      <c r="U182" s="6">
        <v>2</v>
      </c>
      <c r="V182" s="6"/>
      <c r="W182" s="6" t="s">
        <v>37</v>
      </c>
      <c r="X182" s="7">
        <v>45029</v>
      </c>
      <c r="Y182" s="7">
        <v>45076</v>
      </c>
      <c r="AC182" t="e">
        <v>#N/A</v>
      </c>
      <c r="AE182" t="str">
        <f t="shared" si="23"/>
        <v>ET008-500</v>
      </c>
      <c r="AF182" t="str">
        <f>_xlfn.XLOOKUP(AE182, Hoja2!A:A, Hoja2!A:A)</f>
        <v>ET008-500</v>
      </c>
      <c r="AG182" t="str">
        <f t="shared" si="34"/>
        <v>PP00033-01</v>
      </c>
      <c r="AH182">
        <f>_xlfn.XLOOKUP(AG182, Hoja3!A:A, Hoja3!B:B)</f>
        <v>137</v>
      </c>
      <c r="AI182" t="str">
        <f>_xlfn.XLOOKUP(AH182, Hoja4!A:A, Hoja4!B:B)</f>
        <v>122G0-003086-01</v>
      </c>
      <c r="AJ182" t="b">
        <f t="shared" si="35"/>
        <v>1</v>
      </c>
    </row>
    <row r="183" spans="1:36" ht="15.5" customHeight="1" x14ac:dyDescent="0.35">
      <c r="A183">
        <f t="shared" ca="1" si="22"/>
        <v>23</v>
      </c>
      <c r="B183" s="6" t="s">
        <v>654</v>
      </c>
      <c r="C183" s="7">
        <v>44964</v>
      </c>
      <c r="D183" s="6" t="s">
        <v>507</v>
      </c>
      <c r="E183" s="6" t="s">
        <v>139</v>
      </c>
      <c r="F183" s="6" t="s">
        <v>508</v>
      </c>
      <c r="G183" s="6" t="s">
        <v>32</v>
      </c>
      <c r="H183" s="6">
        <v>69321129</v>
      </c>
      <c r="I183" s="6" t="s">
        <v>529</v>
      </c>
      <c r="J183" s="6" t="str">
        <f>IF(E183="KTG","KTG",(VLOOKUP(I183,'[1]list of outsource'!B:H,2,0)))</f>
        <v>ETC</v>
      </c>
      <c r="K183" s="6" t="s">
        <v>530</v>
      </c>
      <c r="L183" s="6"/>
      <c r="M183" s="6" t="s">
        <v>655</v>
      </c>
      <c r="N183" s="6" t="s">
        <v>656</v>
      </c>
      <c r="O183" s="6">
        <v>1201094179</v>
      </c>
      <c r="P183" s="6"/>
      <c r="Q183" s="8"/>
      <c r="R183" s="6"/>
      <c r="S183" s="6"/>
      <c r="T183" s="6"/>
      <c r="U183" s="6">
        <v>2</v>
      </c>
      <c r="V183" s="6"/>
      <c r="W183" s="6" t="s">
        <v>37</v>
      </c>
      <c r="X183" s="7">
        <v>44987</v>
      </c>
      <c r="Y183" s="7">
        <v>45021</v>
      </c>
      <c r="AC183" t="e">
        <v>#N/A</v>
      </c>
      <c r="AE183" t="str">
        <f t="shared" si="23"/>
        <v>P000262</v>
      </c>
      <c r="AF183" t="str">
        <f>_xlfn.XLOOKUP(AE183, Hoja2!A:A, Hoja2!A:A)</f>
        <v>P000262</v>
      </c>
      <c r="AG183" t="str">
        <f t="shared" si="34"/>
        <v>PP00026-09</v>
      </c>
      <c r="AH183">
        <f>_xlfn.XLOOKUP(AG183, Hoja3!A:A, Hoja3!B:B)</f>
        <v>5611</v>
      </c>
      <c r="AI183">
        <f>_xlfn.XLOOKUP(AH183, Hoja4!A:A, Hoja4!B:B)</f>
        <v>69321129</v>
      </c>
      <c r="AJ183" t="b">
        <f t="shared" si="35"/>
        <v>1</v>
      </c>
    </row>
    <row r="184" spans="1:36" ht="15.5" customHeight="1" x14ac:dyDescent="0.35">
      <c r="A184">
        <f t="shared" ca="1" si="22"/>
        <v>16</v>
      </c>
      <c r="B184" s="12" t="s">
        <v>657</v>
      </c>
      <c r="C184" s="13">
        <v>45965</v>
      </c>
      <c r="D184" s="14" t="s">
        <v>121</v>
      </c>
      <c r="E184" s="14" t="s">
        <v>30</v>
      </c>
      <c r="F184" s="14" t="s">
        <v>658</v>
      </c>
      <c r="G184" s="14" t="s">
        <v>32</v>
      </c>
      <c r="H184" s="14">
        <v>12186167</v>
      </c>
      <c r="I184" s="14"/>
      <c r="J184" s="14" t="str">
        <f>IF(E184="KTG","KTG",(VLOOKUP(I184,'[1]list of outsource'!B:H,2,0)))</f>
        <v>KTG</v>
      </c>
      <c r="K184" s="14"/>
      <c r="L184" s="14"/>
      <c r="M184" s="14" t="s">
        <v>659</v>
      </c>
      <c r="N184" s="14" t="s">
        <v>660</v>
      </c>
      <c r="O184" s="14"/>
      <c r="P184" s="14"/>
      <c r="Q184" s="15">
        <v>45974</v>
      </c>
      <c r="R184" s="14"/>
      <c r="S184" s="16"/>
      <c r="T184" s="14"/>
      <c r="U184" s="14">
        <v>4</v>
      </c>
      <c r="V184" s="14" t="s">
        <v>569</v>
      </c>
      <c r="W184" s="14" t="s">
        <v>576</v>
      </c>
      <c r="X184" s="13">
        <v>45981</v>
      </c>
      <c r="Y184" s="13"/>
      <c r="AC184"/>
      <c r="AE184" t="str">
        <f t="shared" si="23"/>
        <v>E47405</v>
      </c>
      <c r="AF184" t="str">
        <f>_xlfn.XLOOKUP(AE184, Hoja2!A:A, Hoja2!A:A)</f>
        <v>E47405</v>
      </c>
      <c r="AG184" t="str">
        <f t="shared" si="34"/>
        <v>PP00034-0033</v>
      </c>
      <c r="AH184">
        <f>_xlfn.XLOOKUP(AG184, Hoja3!A:A, Hoja3!B:B)</f>
        <v>4748</v>
      </c>
      <c r="AI184">
        <f>_xlfn.XLOOKUP(AH184, Hoja4!A:A, Hoja4!B:B)</f>
        <v>12186167</v>
      </c>
      <c r="AJ184" t="b">
        <f t="shared" si="35"/>
        <v>1</v>
      </c>
    </row>
    <row r="185" spans="1:36" ht="15.5" customHeight="1" x14ac:dyDescent="0.35">
      <c r="A185">
        <f t="shared" ca="1" si="22"/>
        <v>19</v>
      </c>
      <c r="B185" s="12" t="s">
        <v>661</v>
      </c>
      <c r="C185" s="13">
        <v>45947</v>
      </c>
      <c r="D185" s="14" t="s">
        <v>121</v>
      </c>
      <c r="E185" s="14" t="s">
        <v>139</v>
      </c>
      <c r="F185" s="14" t="s">
        <v>658</v>
      </c>
      <c r="G185" s="14" t="s">
        <v>32</v>
      </c>
      <c r="H185" s="14">
        <v>35738195</v>
      </c>
      <c r="I185" s="14" t="s">
        <v>208</v>
      </c>
      <c r="J185" s="14" t="str">
        <f>IF(E185="KTG","KTG",(VLOOKUP(I185,'[1]list of outsource'!B:H,2,0)))</f>
        <v>ETC</v>
      </c>
      <c r="K185" s="14" t="s">
        <v>209</v>
      </c>
      <c r="L185" s="14">
        <v>24</v>
      </c>
      <c r="M185" s="14" t="s">
        <v>662</v>
      </c>
      <c r="N185" s="14" t="s">
        <v>663</v>
      </c>
      <c r="O185" s="14" t="s">
        <v>664</v>
      </c>
      <c r="P185" s="14"/>
      <c r="Q185" s="15">
        <v>45963</v>
      </c>
      <c r="R185" s="14"/>
      <c r="S185" s="16"/>
      <c r="T185" s="14"/>
      <c r="U185" s="14">
        <v>3</v>
      </c>
      <c r="V185" s="14" t="s">
        <v>665</v>
      </c>
      <c r="W185" s="14" t="s">
        <v>37</v>
      </c>
      <c r="X185" s="13">
        <v>45966</v>
      </c>
      <c r="Y185" s="13"/>
      <c r="AC185"/>
      <c r="AE185" t="str">
        <f t="shared" si="23"/>
        <v>P000363</v>
      </c>
      <c r="AF185" t="str">
        <f>_xlfn.XLOOKUP(AE185, Hoja2!A:A, Hoja2!A:A)</f>
        <v>P000363</v>
      </c>
      <c r="AG185" t="str">
        <f t="shared" si="34"/>
        <v>PP00034-0049</v>
      </c>
      <c r="AH185">
        <f>_xlfn.XLOOKUP(AG185, Hoja3!A:A, Hoja3!B:B)</f>
        <v>4784</v>
      </c>
      <c r="AI185">
        <f>_xlfn.XLOOKUP(AH185, Hoja4!A:A, Hoja4!B:B)</f>
        <v>35738195</v>
      </c>
      <c r="AJ185" t="b">
        <f t="shared" si="35"/>
        <v>1</v>
      </c>
    </row>
    <row r="186" spans="1:36" ht="15.5" customHeight="1" x14ac:dyDescent="0.35">
      <c r="A186">
        <f t="shared" ca="1" si="22"/>
        <v>50</v>
      </c>
      <c r="B186" s="6" t="s">
        <v>666</v>
      </c>
      <c r="C186" s="7">
        <v>44978</v>
      </c>
      <c r="D186" s="6" t="s">
        <v>507</v>
      </c>
      <c r="E186" s="6" t="s">
        <v>83</v>
      </c>
      <c r="F186" s="6" t="s">
        <v>140</v>
      </c>
      <c r="G186" s="6" t="s">
        <v>32</v>
      </c>
      <c r="H186" s="6" t="s">
        <v>667</v>
      </c>
      <c r="I186" s="6" t="s">
        <v>95</v>
      </c>
      <c r="J186" s="6" t="str">
        <f>IF(E186="KTG","KTG",(VLOOKUP(I186,'[1]list of outsource'!B:H,2,0)))</f>
        <v>Woer</v>
      </c>
      <c r="K186" s="6" t="s">
        <v>96</v>
      </c>
      <c r="L186" s="6"/>
      <c r="M186" s="6" t="s">
        <v>668</v>
      </c>
      <c r="N186" s="6" t="s">
        <v>669</v>
      </c>
      <c r="O186" s="6">
        <v>1212251748</v>
      </c>
      <c r="P186" s="6"/>
      <c r="Q186" s="8"/>
      <c r="R186" s="6"/>
      <c r="S186" s="6"/>
      <c r="T186" s="6"/>
      <c r="U186" s="6">
        <v>2</v>
      </c>
      <c r="V186" s="6"/>
      <c r="W186" s="6" t="s">
        <v>37</v>
      </c>
      <c r="X186" s="7">
        <v>45028</v>
      </c>
      <c r="Y186" s="7">
        <v>45061</v>
      </c>
      <c r="AC186"/>
      <c r="AE186" t="str">
        <f t="shared" si="23"/>
        <v>P000493</v>
      </c>
      <c r="AF186" t="str">
        <f>_xlfn.XLOOKUP(AE186, Hoja2!A:A, Hoja2!A:A)</f>
        <v>P000493</v>
      </c>
      <c r="AG186" t="str">
        <f t="shared" si="34"/>
        <v>PP00036-01</v>
      </c>
      <c r="AH186">
        <f>_xlfn.XLOOKUP(AG186, Hoja3!A:A, Hoja3!B:B)</f>
        <v>5174</v>
      </c>
      <c r="AI186" t="str">
        <f>_xlfn.XLOOKUP(AH186, Hoja4!A:A, Hoja4!B:B)</f>
        <v>HSTP2476</v>
      </c>
      <c r="AJ186" t="b">
        <f t="shared" si="35"/>
        <v>1</v>
      </c>
    </row>
    <row r="187" spans="1:36" ht="15.5" customHeight="1" x14ac:dyDescent="0.35">
      <c r="A187">
        <f t="shared" ca="1" si="22"/>
        <v>21</v>
      </c>
      <c r="B187" s="6" t="s">
        <v>670</v>
      </c>
      <c r="C187" s="7">
        <v>44979</v>
      </c>
      <c r="D187" s="6" t="s">
        <v>507</v>
      </c>
      <c r="E187" s="6" t="s">
        <v>83</v>
      </c>
      <c r="F187" s="6" t="s">
        <v>101</v>
      </c>
      <c r="G187" s="6" t="s">
        <v>299</v>
      </c>
      <c r="H187" s="6" t="s">
        <v>671</v>
      </c>
      <c r="I187" s="6" t="s">
        <v>158</v>
      </c>
      <c r="J187" s="6" t="str">
        <f>IF(E187="KTG","KTG",(VLOOKUP(I187,'[1]list of outsource'!B:H,2,0)))</f>
        <v>UPM</v>
      </c>
      <c r="K187" s="6" t="s">
        <v>159</v>
      </c>
      <c r="L187" s="6"/>
      <c r="M187" s="6" t="s">
        <v>168</v>
      </c>
      <c r="N187" s="6" t="s">
        <v>628</v>
      </c>
      <c r="O187" s="6">
        <v>1201422457</v>
      </c>
      <c r="P187" s="6"/>
      <c r="Q187" s="8"/>
      <c r="R187" s="6"/>
      <c r="S187" s="6"/>
      <c r="T187" s="6"/>
      <c r="U187" s="6">
        <v>2</v>
      </c>
      <c r="V187" s="6"/>
      <c r="W187" s="6" t="s">
        <v>37</v>
      </c>
      <c r="X187" s="7">
        <v>45000</v>
      </c>
      <c r="Y187" s="7">
        <v>45013</v>
      </c>
      <c r="AB187" t="e">
        <v>#N/A</v>
      </c>
      <c r="AC187"/>
      <c r="AE187" t="str">
        <f t="shared" si="23"/>
        <v>P000121</v>
      </c>
      <c r="AF187" t="str">
        <f>_xlfn.XLOOKUP(AE187, Hoja2!A:A, Hoja2!A:A)</f>
        <v>P000121</v>
      </c>
      <c r="AG187" t="str">
        <f t="shared" si="34"/>
        <v>PP00027-0016</v>
      </c>
      <c r="AH187">
        <f>_xlfn.XLOOKUP(AG187, Hoja3!A:A, Hoja3!B:B)</f>
        <v>4577</v>
      </c>
      <c r="AI187" t="str">
        <f>_xlfn.XLOOKUP(AH187, Hoja4!A:A, Hoja4!B:B)</f>
        <v>GP089416</v>
      </c>
      <c r="AJ187" t="b">
        <f t="shared" si="35"/>
        <v>1</v>
      </c>
    </row>
    <row r="188" spans="1:36" ht="15.5" hidden="1" customHeight="1" x14ac:dyDescent="0.35">
      <c r="A188">
        <f t="shared" ca="1" si="22"/>
        <v>45</v>
      </c>
      <c r="B188" s="55" t="s">
        <v>672</v>
      </c>
      <c r="C188" s="7">
        <v>44992</v>
      </c>
      <c r="D188" s="6" t="s">
        <v>121</v>
      </c>
      <c r="E188" s="6" t="s">
        <v>83</v>
      </c>
      <c r="F188" s="6" t="s">
        <v>84</v>
      </c>
      <c r="G188" s="6" t="s">
        <v>578</v>
      </c>
      <c r="H188" s="6" t="s">
        <v>673</v>
      </c>
      <c r="I188" s="6" t="s">
        <v>95</v>
      </c>
      <c r="J188" s="6" t="str">
        <f>IF(E188="KTG","KTG",(VLOOKUP(I188,'[1]list of outsource'!B:H,2,0)))</f>
        <v>Woer</v>
      </c>
      <c r="K188" s="6" t="s">
        <v>96</v>
      </c>
      <c r="L188" s="6"/>
      <c r="M188" s="55" t="s">
        <v>674</v>
      </c>
      <c r="N188" s="6" t="s">
        <v>675</v>
      </c>
      <c r="O188" s="6">
        <v>1213326486</v>
      </c>
      <c r="P188" s="6"/>
      <c r="Q188" s="8"/>
      <c r="R188" s="6"/>
      <c r="S188" s="6"/>
      <c r="T188" s="6"/>
      <c r="U188" s="6">
        <v>3</v>
      </c>
      <c r="V188" s="6"/>
      <c r="W188" s="6" t="s">
        <v>37</v>
      </c>
      <c r="X188" s="7">
        <v>45037</v>
      </c>
      <c r="Y188" s="7"/>
      <c r="AC188"/>
      <c r="AE188" t="str">
        <f t="shared" si="23"/>
        <v>P000334</v>
      </c>
      <c r="AF188" t="e">
        <f>_xlfn.XLOOKUP(AE188, Hoja2!A:A, Hoja2!A:A)</f>
        <v>#N/A</v>
      </c>
    </row>
    <row r="189" spans="1:36" ht="15.5" hidden="1" customHeight="1" x14ac:dyDescent="0.35">
      <c r="A189">
        <f t="shared" ca="1" si="22"/>
        <v>45</v>
      </c>
      <c r="B189" s="55" t="s">
        <v>676</v>
      </c>
      <c r="C189" s="7">
        <v>44992</v>
      </c>
      <c r="D189" s="6" t="s">
        <v>121</v>
      </c>
      <c r="E189" s="6" t="s">
        <v>83</v>
      </c>
      <c r="F189" s="6" t="s">
        <v>84</v>
      </c>
      <c r="G189" s="6" t="s">
        <v>578</v>
      </c>
      <c r="H189" s="6" t="s">
        <v>677</v>
      </c>
      <c r="I189" s="6" t="s">
        <v>95</v>
      </c>
      <c r="J189" s="6" t="str">
        <f>IF(E189="KTG","KTG",(VLOOKUP(I189,'[1]list of outsource'!B:H,2,0)))</f>
        <v>Woer</v>
      </c>
      <c r="K189" s="6" t="s">
        <v>96</v>
      </c>
      <c r="L189" s="6"/>
      <c r="M189" s="55" t="s">
        <v>678</v>
      </c>
      <c r="N189" s="6" t="s">
        <v>679</v>
      </c>
      <c r="O189" s="6">
        <v>1213335305</v>
      </c>
      <c r="P189" s="6"/>
      <c r="Q189" s="8"/>
      <c r="R189" s="6"/>
      <c r="S189" s="6"/>
      <c r="T189" s="6"/>
      <c r="U189" s="6">
        <v>3</v>
      </c>
      <c r="V189" s="6"/>
      <c r="W189" s="6" t="s">
        <v>37</v>
      </c>
      <c r="X189" s="7">
        <v>45037</v>
      </c>
      <c r="Y189" s="7"/>
      <c r="AC189" t="e">
        <v>#N/A</v>
      </c>
      <c r="AE189" t="str">
        <f t="shared" si="23"/>
        <v>P000333</v>
      </c>
      <c r="AF189" t="e">
        <f>_xlfn.XLOOKUP(AE189, Hoja2!A:A, Hoja2!A:A)</f>
        <v>#N/A</v>
      </c>
    </row>
    <row r="190" spans="1:36" ht="15.5" hidden="1" customHeight="1" x14ac:dyDescent="0.35">
      <c r="A190">
        <f t="shared" ca="1" si="22"/>
        <v>45</v>
      </c>
      <c r="B190" s="55" t="s">
        <v>680</v>
      </c>
      <c r="C190" s="7">
        <v>44992</v>
      </c>
      <c r="D190" s="6" t="s">
        <v>121</v>
      </c>
      <c r="E190" s="6" t="s">
        <v>83</v>
      </c>
      <c r="F190" s="6" t="s">
        <v>84</v>
      </c>
      <c r="G190" s="6" t="s">
        <v>578</v>
      </c>
      <c r="H190" s="6" t="s">
        <v>681</v>
      </c>
      <c r="I190" s="6" t="s">
        <v>95</v>
      </c>
      <c r="J190" s="6" t="str">
        <f>IF(E190="KTG","KTG",(VLOOKUP(I190,'[1]list of outsource'!B:H,2,0)))</f>
        <v>Woer</v>
      </c>
      <c r="K190" s="6" t="s">
        <v>96</v>
      </c>
      <c r="L190" s="6"/>
      <c r="M190" s="55" t="s">
        <v>682</v>
      </c>
      <c r="N190" s="6" t="s">
        <v>683</v>
      </c>
      <c r="O190" s="6">
        <v>1213338798</v>
      </c>
      <c r="P190" s="6"/>
      <c r="Q190" s="8"/>
      <c r="R190" s="6"/>
      <c r="S190" s="6"/>
      <c r="T190" s="6"/>
      <c r="U190" s="6">
        <v>3</v>
      </c>
      <c r="V190" s="6"/>
      <c r="W190" s="6" t="s">
        <v>37</v>
      </c>
      <c r="X190" s="7">
        <v>45037</v>
      </c>
      <c r="Y190" s="7"/>
      <c r="AC190"/>
      <c r="AE190" t="str">
        <f t="shared" si="23"/>
        <v>P000332</v>
      </c>
      <c r="AF190" t="e">
        <f>_xlfn.XLOOKUP(AE190, Hoja2!A:A, Hoja2!A:A)</f>
        <v>#N/A</v>
      </c>
    </row>
    <row r="191" spans="1:36" ht="15.5" hidden="1" customHeight="1" x14ac:dyDescent="0.35">
      <c r="A191">
        <f t="shared" ca="1" si="22"/>
        <v>45</v>
      </c>
      <c r="B191" s="55" t="s">
        <v>684</v>
      </c>
      <c r="C191" s="7">
        <v>44992</v>
      </c>
      <c r="D191" s="6" t="s">
        <v>121</v>
      </c>
      <c r="E191" s="6" t="s">
        <v>83</v>
      </c>
      <c r="F191" s="6" t="s">
        <v>84</v>
      </c>
      <c r="G191" s="6" t="s">
        <v>578</v>
      </c>
      <c r="H191" s="6" t="s">
        <v>685</v>
      </c>
      <c r="I191" s="6" t="s">
        <v>95</v>
      </c>
      <c r="J191" s="6" t="str">
        <f>IF(E191="KTG","KTG",(VLOOKUP(I191,'[1]list of outsource'!B:H,2,0)))</f>
        <v>Woer</v>
      </c>
      <c r="K191" s="6" t="s">
        <v>96</v>
      </c>
      <c r="L191" s="6"/>
      <c r="M191" s="55" t="s">
        <v>686</v>
      </c>
      <c r="N191" s="6" t="s">
        <v>687</v>
      </c>
      <c r="O191" s="6">
        <v>1213657930</v>
      </c>
      <c r="P191" s="6"/>
      <c r="Q191" s="8"/>
      <c r="R191" s="6"/>
      <c r="S191" s="6"/>
      <c r="T191" s="6"/>
      <c r="U191" s="6">
        <v>3</v>
      </c>
      <c r="V191" s="6"/>
      <c r="W191" s="6" t="s">
        <v>37</v>
      </c>
      <c r="X191" s="7">
        <v>45037</v>
      </c>
      <c r="Y191" s="7"/>
      <c r="AC191"/>
      <c r="AE191" t="str">
        <f t="shared" si="23"/>
        <v>P000392</v>
      </c>
      <c r="AF191" t="e">
        <f>_xlfn.XLOOKUP(AE191, Hoja2!A:A, Hoja2!A:A)</f>
        <v>#N/A</v>
      </c>
    </row>
    <row r="192" spans="1:36" ht="15.5" customHeight="1" x14ac:dyDescent="0.35">
      <c r="A192">
        <f t="shared" ca="1" si="22"/>
        <v>45</v>
      </c>
      <c r="B192" s="6" t="s">
        <v>688</v>
      </c>
      <c r="C192" s="7">
        <v>44992</v>
      </c>
      <c r="D192" s="6" t="s">
        <v>121</v>
      </c>
      <c r="E192" s="6" t="s">
        <v>139</v>
      </c>
      <c r="F192" s="6" t="s">
        <v>84</v>
      </c>
      <c r="G192" s="6" t="s">
        <v>578</v>
      </c>
      <c r="H192" s="6" t="s">
        <v>689</v>
      </c>
      <c r="I192" s="6" t="s">
        <v>402</v>
      </c>
      <c r="J192" s="6" t="str">
        <f>IF(E192="KTG","KTG",(VLOOKUP(I192,'[1]list of outsource'!B:H,2,0)))</f>
        <v>ETC</v>
      </c>
      <c r="K192" s="6" t="s">
        <v>403</v>
      </c>
      <c r="L192" s="6"/>
      <c r="M192" s="6" t="s">
        <v>690</v>
      </c>
      <c r="N192" s="6" t="s">
        <v>691</v>
      </c>
      <c r="O192" s="6">
        <v>1213677083</v>
      </c>
      <c r="P192" s="6"/>
      <c r="Q192" s="8"/>
      <c r="R192" s="6"/>
      <c r="S192" s="6"/>
      <c r="T192" s="6"/>
      <c r="U192" s="6">
        <v>3</v>
      </c>
      <c r="V192" s="6"/>
      <c r="W192" s="6" t="s">
        <v>37</v>
      </c>
      <c r="X192" s="7">
        <v>45037</v>
      </c>
      <c r="Y192" s="7"/>
      <c r="AC192"/>
      <c r="AE192" t="str">
        <f t="shared" si="23"/>
        <v>P000213</v>
      </c>
      <c r="AF192" t="str">
        <f>_xlfn.XLOOKUP(AE192, Hoja2!A:A, Hoja2!A:A)</f>
        <v>P000213</v>
      </c>
      <c r="AG192" t="str">
        <f>LEFT(B192, FIND(" ", B192 &amp; " ") - 1)</f>
        <v>PP00032-26</v>
      </c>
      <c r="AH192">
        <f>_xlfn.XLOOKUP(AG192, Hoja3!A:A, Hoja3!B:B)</f>
        <v>5446</v>
      </c>
      <c r="AI192" t="str">
        <f>_xlfn.XLOOKUP(AH192, Hoja4!A:A, Hoja4!B:B)</f>
        <v>E36449500</v>
      </c>
      <c r="AJ192" t="b">
        <f>H192=AI192</f>
        <v>1</v>
      </c>
    </row>
    <row r="193" spans="1:36" ht="15.5" hidden="1" customHeight="1" x14ac:dyDescent="0.35">
      <c r="A193">
        <f t="shared" ca="1" si="22"/>
        <v>45</v>
      </c>
      <c r="B193" s="55" t="s">
        <v>692</v>
      </c>
      <c r="C193" s="7">
        <v>44992</v>
      </c>
      <c r="D193" s="6" t="s">
        <v>121</v>
      </c>
      <c r="E193" s="6" t="s">
        <v>83</v>
      </c>
      <c r="F193" s="6" t="s">
        <v>84</v>
      </c>
      <c r="G193" s="6" t="s">
        <v>578</v>
      </c>
      <c r="H193" s="6" t="s">
        <v>693</v>
      </c>
      <c r="I193" s="6" t="s">
        <v>95</v>
      </c>
      <c r="J193" s="6" t="str">
        <f>IF(E193="KTG","KTG",(VLOOKUP(I193,'[1]list of outsource'!B:H,2,0)))</f>
        <v>Woer</v>
      </c>
      <c r="K193" s="6" t="s">
        <v>96</v>
      </c>
      <c r="L193" s="6"/>
      <c r="M193" s="55" t="s">
        <v>694</v>
      </c>
      <c r="N193" s="6" t="s">
        <v>695</v>
      </c>
      <c r="O193" s="6">
        <v>1213680579</v>
      </c>
      <c r="P193" s="6"/>
      <c r="Q193" s="8"/>
      <c r="R193" s="6"/>
      <c r="S193" s="6"/>
      <c r="T193" s="6"/>
      <c r="U193" s="6">
        <v>3</v>
      </c>
      <c r="V193" s="6"/>
      <c r="W193" s="6" t="s">
        <v>37</v>
      </c>
      <c r="X193" s="7">
        <v>45037</v>
      </c>
      <c r="Y193" s="7"/>
      <c r="AC193"/>
      <c r="AE193" t="str">
        <f t="shared" si="23"/>
        <v>P000279</v>
      </c>
      <c r="AF193" t="e">
        <f>_xlfn.XLOOKUP(AE193, Hoja2!A:A, Hoja2!A:A)</f>
        <v>#N/A</v>
      </c>
    </row>
    <row r="194" spans="1:36" ht="15.5" customHeight="1" x14ac:dyDescent="0.35">
      <c r="A194">
        <f t="shared" ref="A194:A257" ca="1" si="36">IF(X194="",(TODAY()-C194),(X194-C194))</f>
        <v>45</v>
      </c>
      <c r="B194" s="6" t="s">
        <v>696</v>
      </c>
      <c r="C194" s="7">
        <v>44992</v>
      </c>
      <c r="D194" s="6" t="s">
        <v>121</v>
      </c>
      <c r="E194" s="6" t="s">
        <v>139</v>
      </c>
      <c r="F194" s="6" t="s">
        <v>84</v>
      </c>
      <c r="G194" s="6" t="s">
        <v>578</v>
      </c>
      <c r="H194" s="6" t="s">
        <v>697</v>
      </c>
      <c r="I194" s="6" t="s">
        <v>402</v>
      </c>
      <c r="J194" s="6" t="str">
        <f>IF(E194="KTG","KTG",(VLOOKUP(I194,'[1]list of outsource'!B:H,2,0)))</f>
        <v>ETC</v>
      </c>
      <c r="K194" s="6" t="s">
        <v>403</v>
      </c>
      <c r="L194" s="6"/>
      <c r="M194" s="6" t="s">
        <v>491</v>
      </c>
      <c r="N194" s="6" t="s">
        <v>698</v>
      </c>
      <c r="O194" s="6">
        <v>1210982220</v>
      </c>
      <c r="P194" s="6"/>
      <c r="Q194" s="8"/>
      <c r="R194" s="6"/>
      <c r="S194" s="6"/>
      <c r="T194" s="6"/>
      <c r="U194" s="6">
        <v>3</v>
      </c>
      <c r="V194" s="6"/>
      <c r="W194" s="6" t="s">
        <v>37</v>
      </c>
      <c r="X194" s="7">
        <v>45037</v>
      </c>
      <c r="Y194" s="7"/>
      <c r="AC194"/>
      <c r="AE194" t="str">
        <f t="shared" si="23"/>
        <v>P000293</v>
      </c>
      <c r="AF194" t="str">
        <f>_xlfn.XLOOKUP(AE194, Hoja2!A:A, Hoja2!A:A)</f>
        <v>P000293</v>
      </c>
      <c r="AG194" t="str">
        <f t="shared" ref="AG194:AG217" si="37">LEFT(B194, FIND(" ", B194 &amp; " ") - 1)</f>
        <v>PP00032-28</v>
      </c>
      <c r="AH194">
        <f>_xlfn.XLOOKUP(AG194, Hoja3!A:A, Hoja3!B:B)</f>
        <v>5448</v>
      </c>
      <c r="AI194" t="str">
        <f>_xlfn.XLOOKUP(AH194, Hoja4!A:A, Hoja4!B:B)</f>
        <v>E38926000</v>
      </c>
      <c r="AJ194" t="b">
        <f t="shared" ref="AJ194:AJ217" si="38">H194=AI194</f>
        <v>1</v>
      </c>
    </row>
    <row r="195" spans="1:36" ht="15.5" customHeight="1" x14ac:dyDescent="0.35">
      <c r="A195">
        <f t="shared" ca="1" si="36"/>
        <v>45</v>
      </c>
      <c r="B195" s="6" t="s">
        <v>699</v>
      </c>
      <c r="C195" s="7">
        <v>44992</v>
      </c>
      <c r="D195" s="6" t="s">
        <v>121</v>
      </c>
      <c r="E195" s="6" t="s">
        <v>139</v>
      </c>
      <c r="F195" s="6" t="s">
        <v>84</v>
      </c>
      <c r="G195" s="6" t="s">
        <v>578</v>
      </c>
      <c r="H195" s="6" t="s">
        <v>700</v>
      </c>
      <c r="I195" s="6" t="s">
        <v>402</v>
      </c>
      <c r="J195" s="6" t="str">
        <f>IF(E195="KTG","KTG",(VLOOKUP(I195,'[1]list of outsource'!B:H,2,0)))</f>
        <v>ETC</v>
      </c>
      <c r="K195" s="6" t="s">
        <v>403</v>
      </c>
      <c r="L195" s="6"/>
      <c r="M195" s="6" t="s">
        <v>498</v>
      </c>
      <c r="N195" s="6" t="s">
        <v>701</v>
      </c>
      <c r="O195" s="6">
        <v>1194209127</v>
      </c>
      <c r="P195" s="6"/>
      <c r="Q195" s="8"/>
      <c r="R195" s="6"/>
      <c r="S195" s="6"/>
      <c r="T195" s="6"/>
      <c r="U195" s="6">
        <v>3</v>
      </c>
      <c r="V195" s="6"/>
      <c r="W195" s="6" t="s">
        <v>37</v>
      </c>
      <c r="X195" s="7">
        <v>45037</v>
      </c>
      <c r="Y195" s="7"/>
      <c r="AC195"/>
      <c r="AE195" t="str">
        <f t="shared" ref="AE195:AE258" si="39">LEFT(M195, FIND(" ", M195 &amp; " ") - 1)</f>
        <v>P000204</v>
      </c>
      <c r="AF195" t="str">
        <f>_xlfn.XLOOKUP(AE195, Hoja2!A:A, Hoja2!A:A)</f>
        <v>P000204</v>
      </c>
      <c r="AG195" t="str">
        <f t="shared" si="37"/>
        <v>PP00032-29</v>
      </c>
      <c r="AH195">
        <f>_xlfn.XLOOKUP(AG195, Hoja3!A:A, Hoja3!B:B)</f>
        <v>5450</v>
      </c>
      <c r="AI195" t="str">
        <f>_xlfn.XLOOKUP(AH195, Hoja4!A:A, Hoja4!B:B)</f>
        <v>E36449000</v>
      </c>
      <c r="AJ195" t="b">
        <f t="shared" si="38"/>
        <v>1</v>
      </c>
    </row>
    <row r="196" spans="1:36" ht="15.5" customHeight="1" x14ac:dyDescent="0.35">
      <c r="A196">
        <f t="shared" ca="1" si="36"/>
        <v>45</v>
      </c>
      <c r="B196" s="6" t="s">
        <v>702</v>
      </c>
      <c r="C196" s="7">
        <v>44992</v>
      </c>
      <c r="D196" s="6" t="s">
        <v>121</v>
      </c>
      <c r="E196" s="6" t="s">
        <v>139</v>
      </c>
      <c r="F196" s="6" t="s">
        <v>84</v>
      </c>
      <c r="G196" s="6" t="s">
        <v>578</v>
      </c>
      <c r="H196" s="6" t="s">
        <v>703</v>
      </c>
      <c r="I196" s="6" t="s">
        <v>402</v>
      </c>
      <c r="J196" s="6" t="str">
        <f>IF(E196="KTG","KTG",(VLOOKUP(I196,'[1]list of outsource'!B:H,2,0)))</f>
        <v>ETC</v>
      </c>
      <c r="K196" s="6" t="s">
        <v>403</v>
      </c>
      <c r="L196" s="6"/>
      <c r="M196" s="6" t="s">
        <v>704</v>
      </c>
      <c r="N196" s="6" t="s">
        <v>705</v>
      </c>
      <c r="O196" s="6">
        <v>1214709577</v>
      </c>
      <c r="P196" s="6"/>
      <c r="Q196" s="8"/>
      <c r="R196" s="6"/>
      <c r="S196" s="6"/>
      <c r="T196" s="6"/>
      <c r="U196" s="6">
        <v>3</v>
      </c>
      <c r="V196" s="6"/>
      <c r="W196" s="6" t="s">
        <v>37</v>
      </c>
      <c r="X196" s="7">
        <v>45037</v>
      </c>
      <c r="Y196" s="7"/>
      <c r="AC196"/>
      <c r="AE196" t="str">
        <f t="shared" si="39"/>
        <v>P000289</v>
      </c>
      <c r="AF196" t="str">
        <f>_xlfn.XLOOKUP(AE196, Hoja2!A:A, Hoja2!A:A)</f>
        <v>P000289</v>
      </c>
      <c r="AG196" t="str">
        <f t="shared" si="37"/>
        <v>PP00032-30</v>
      </c>
      <c r="AH196">
        <f>_xlfn.XLOOKUP(AG196, Hoja3!A:A, Hoja3!B:B)</f>
        <v>5452</v>
      </c>
      <c r="AI196" t="str">
        <f>_xlfn.XLOOKUP(AH196, Hoja4!A:A, Hoja4!B:B)</f>
        <v>E38925800</v>
      </c>
      <c r="AJ196" t="b">
        <f t="shared" si="38"/>
        <v>1</v>
      </c>
    </row>
    <row r="197" spans="1:36" ht="15.5" customHeight="1" x14ac:dyDescent="0.35">
      <c r="A197">
        <f t="shared" ca="1" si="36"/>
        <v>45</v>
      </c>
      <c r="B197" s="6" t="s">
        <v>706</v>
      </c>
      <c r="C197" s="7">
        <v>44992</v>
      </c>
      <c r="D197" s="6" t="s">
        <v>121</v>
      </c>
      <c r="E197" s="6" t="s">
        <v>139</v>
      </c>
      <c r="F197" s="6" t="s">
        <v>84</v>
      </c>
      <c r="G197" s="6" t="s">
        <v>578</v>
      </c>
      <c r="H197" s="6" t="s">
        <v>707</v>
      </c>
      <c r="I197" s="6" t="s">
        <v>402</v>
      </c>
      <c r="J197" s="6" t="str">
        <f>IF(E197="KTG","KTG",(VLOOKUP(I197,'[1]list of outsource'!B:H,2,0)))</f>
        <v>ETC</v>
      </c>
      <c r="K197" s="6" t="s">
        <v>403</v>
      </c>
      <c r="L197" s="6"/>
      <c r="M197" s="6" t="s">
        <v>708</v>
      </c>
      <c r="N197" s="6" t="s">
        <v>709</v>
      </c>
      <c r="O197" s="6">
        <v>1214745059</v>
      </c>
      <c r="P197" s="6"/>
      <c r="Q197" s="8"/>
      <c r="R197" s="6"/>
      <c r="S197" s="6"/>
      <c r="T197" s="6"/>
      <c r="U197" s="6">
        <v>3</v>
      </c>
      <c r="V197" s="6"/>
      <c r="W197" s="6" t="s">
        <v>37</v>
      </c>
      <c r="X197" s="7">
        <v>45037</v>
      </c>
      <c r="Y197" s="7"/>
      <c r="AC197"/>
      <c r="AE197" t="str">
        <f t="shared" si="39"/>
        <v>P000287</v>
      </c>
      <c r="AF197" t="str">
        <f>_xlfn.XLOOKUP(AE197, Hoja2!A:A, Hoja2!A:A)</f>
        <v>P000287</v>
      </c>
      <c r="AG197" t="str">
        <f t="shared" si="37"/>
        <v>PP00032-31</v>
      </c>
      <c r="AH197">
        <f>_xlfn.XLOOKUP(AG197, Hoja3!A:A, Hoja3!B:B)</f>
        <v>5454</v>
      </c>
      <c r="AI197" t="str">
        <f>_xlfn.XLOOKUP(AH197, Hoja4!A:A, Hoja4!B:B)</f>
        <v>E38925500</v>
      </c>
      <c r="AJ197" t="b">
        <f t="shared" si="38"/>
        <v>1</v>
      </c>
    </row>
    <row r="198" spans="1:36" ht="15.5" customHeight="1" x14ac:dyDescent="0.35">
      <c r="A198">
        <f t="shared" ca="1" si="36"/>
        <v>45</v>
      </c>
      <c r="B198" s="6" t="s">
        <v>710</v>
      </c>
      <c r="C198" s="7">
        <v>44992</v>
      </c>
      <c r="D198" s="6" t="s">
        <v>121</v>
      </c>
      <c r="E198" s="6" t="s">
        <v>139</v>
      </c>
      <c r="F198" s="6" t="s">
        <v>84</v>
      </c>
      <c r="G198" s="6" t="s">
        <v>578</v>
      </c>
      <c r="H198" s="6" t="s">
        <v>711</v>
      </c>
      <c r="I198" s="6" t="s">
        <v>529</v>
      </c>
      <c r="J198" s="6" t="str">
        <f>IF(E198="KTG","KTG",(VLOOKUP(I198,'[1]list of outsource'!B:H,2,0)))</f>
        <v>ETC</v>
      </c>
      <c r="K198" s="6" t="s">
        <v>530</v>
      </c>
      <c r="L198" s="6"/>
      <c r="M198" s="6" t="s">
        <v>712</v>
      </c>
      <c r="N198" s="6" t="s">
        <v>713</v>
      </c>
      <c r="O198" s="6">
        <v>1214811503</v>
      </c>
      <c r="P198" s="6"/>
      <c r="Q198" s="8"/>
      <c r="R198" s="6"/>
      <c r="S198" s="6"/>
      <c r="T198" s="6"/>
      <c r="U198" s="6">
        <v>3</v>
      </c>
      <c r="V198" s="6"/>
      <c r="W198" s="6" t="s">
        <v>37</v>
      </c>
      <c r="X198" s="7">
        <v>45037</v>
      </c>
      <c r="Y198" s="7"/>
      <c r="AC198"/>
      <c r="AE198" t="str">
        <f t="shared" si="39"/>
        <v>P000386</v>
      </c>
      <c r="AF198" t="str">
        <f>_xlfn.XLOOKUP(AE198, Hoja2!A:A, Hoja2!A:A)</f>
        <v>P000386</v>
      </c>
      <c r="AG198" t="str">
        <f t="shared" si="37"/>
        <v>PP00032-32</v>
      </c>
      <c r="AH198">
        <f>_xlfn.XLOOKUP(AG198, Hoja3!A:A, Hoja3!B:B)</f>
        <v>5456</v>
      </c>
      <c r="AI198" t="str">
        <f>_xlfn.XLOOKUP(AH198, Hoja4!A:A, Hoja4!B:B)</f>
        <v>E40089100</v>
      </c>
      <c r="AJ198" t="b">
        <f t="shared" si="38"/>
        <v>1</v>
      </c>
    </row>
    <row r="199" spans="1:36" ht="15.5" customHeight="1" x14ac:dyDescent="0.35">
      <c r="A199">
        <f t="shared" ca="1" si="36"/>
        <v>34</v>
      </c>
      <c r="B199" s="6" t="s">
        <v>714</v>
      </c>
      <c r="C199" s="7">
        <v>44995</v>
      </c>
      <c r="D199" s="6" t="s">
        <v>507</v>
      </c>
      <c r="E199" s="6" t="s">
        <v>139</v>
      </c>
      <c r="F199" s="6" t="s">
        <v>148</v>
      </c>
      <c r="G199" s="6" t="s">
        <v>32</v>
      </c>
      <c r="H199" s="6" t="s">
        <v>715</v>
      </c>
      <c r="I199" s="6" t="s">
        <v>402</v>
      </c>
      <c r="J199" s="6" t="str">
        <f>IF(E199="KTG","KTG",(VLOOKUP(I199,'[1]list of outsource'!B:H,2,0)))</f>
        <v>ETC</v>
      </c>
      <c r="K199" s="6" t="s">
        <v>403</v>
      </c>
      <c r="L199" s="6"/>
      <c r="M199" s="6" t="s">
        <v>716</v>
      </c>
      <c r="N199" s="6" t="s">
        <v>715</v>
      </c>
      <c r="O199" s="6">
        <v>1212621816</v>
      </c>
      <c r="P199" s="6"/>
      <c r="Q199" s="8"/>
      <c r="R199" s="6"/>
      <c r="S199" s="6"/>
      <c r="T199" s="6"/>
      <c r="U199" s="6">
        <v>4</v>
      </c>
      <c r="V199" s="6"/>
      <c r="W199" s="6" t="s">
        <v>37</v>
      </c>
      <c r="X199" s="7">
        <v>45029</v>
      </c>
      <c r="Y199" s="7">
        <v>45034</v>
      </c>
      <c r="AC199"/>
      <c r="AE199" t="str">
        <f t="shared" si="39"/>
        <v>P000325</v>
      </c>
      <c r="AF199" t="str">
        <f>_xlfn.XLOOKUP(AE199, Hoja2!A:A, Hoja2!A:A)</f>
        <v>P000325</v>
      </c>
      <c r="AG199" t="str">
        <f t="shared" si="37"/>
        <v>PP00029-12</v>
      </c>
      <c r="AH199">
        <f>_xlfn.XLOOKUP(AG199, Hoja3!A:A, Hoja3!B:B)</f>
        <v>5131</v>
      </c>
      <c r="AI199" t="str">
        <f>_xlfn.XLOOKUP(AH199, Hoja4!A:A, Hoja4!B:B)</f>
        <v>ET25-18.3/4.5-BLK-145MM</v>
      </c>
      <c r="AJ199" t="b">
        <f t="shared" si="38"/>
        <v>1</v>
      </c>
    </row>
    <row r="200" spans="1:36" ht="15.5" customHeight="1" x14ac:dyDescent="0.35">
      <c r="A200">
        <f t="shared" ca="1" si="36"/>
        <v>34</v>
      </c>
      <c r="B200" s="6" t="s">
        <v>717</v>
      </c>
      <c r="C200" s="7">
        <v>44995</v>
      </c>
      <c r="D200" s="6" t="s">
        <v>507</v>
      </c>
      <c r="E200" s="6" t="s">
        <v>139</v>
      </c>
      <c r="F200" s="6" t="s">
        <v>148</v>
      </c>
      <c r="G200" s="6" t="s">
        <v>32</v>
      </c>
      <c r="H200" s="6" t="s">
        <v>718</v>
      </c>
      <c r="I200" s="6" t="s">
        <v>402</v>
      </c>
      <c r="J200" s="6" t="str">
        <f>IF(E200="KTG","KTG",(VLOOKUP(I200,'[1]list of outsource'!B:H,2,0)))</f>
        <v>ETC</v>
      </c>
      <c r="K200" s="6" t="s">
        <v>403</v>
      </c>
      <c r="L200" s="6"/>
      <c r="M200" s="6" t="s">
        <v>719</v>
      </c>
      <c r="N200" s="6" t="s">
        <v>718</v>
      </c>
      <c r="O200" s="6">
        <v>1212622204</v>
      </c>
      <c r="P200" s="6"/>
      <c r="Q200" s="8"/>
      <c r="R200" s="6"/>
      <c r="S200" s="6"/>
      <c r="T200" s="6"/>
      <c r="U200" s="6">
        <v>4</v>
      </c>
      <c r="V200" s="6"/>
      <c r="W200" s="6" t="s">
        <v>37</v>
      </c>
      <c r="X200" s="7">
        <v>45029</v>
      </c>
      <c r="Y200" s="7">
        <v>45034</v>
      </c>
      <c r="AC200"/>
      <c r="AE200" t="str">
        <f t="shared" si="39"/>
        <v>P000326</v>
      </c>
      <c r="AF200" t="str">
        <f>_xlfn.XLOOKUP(AE200, Hoja2!A:A, Hoja2!A:A)</f>
        <v>P000326</v>
      </c>
      <c r="AG200" t="str">
        <f t="shared" si="37"/>
        <v>PP00029-13</v>
      </c>
      <c r="AH200">
        <f>_xlfn.XLOOKUP(AG200, Hoja3!A:A, Hoja3!B:B)</f>
        <v>5132</v>
      </c>
      <c r="AI200" t="str">
        <f>_xlfn.XLOOKUP(AH200, Hoja4!A:A, Hoja4!B:B)</f>
        <v>ET25-18.3/4.5-BLK-180MM</v>
      </c>
      <c r="AJ200" t="b">
        <f t="shared" si="38"/>
        <v>1</v>
      </c>
    </row>
    <row r="201" spans="1:36" ht="15.5" customHeight="1" x14ac:dyDescent="0.35">
      <c r="A201">
        <f t="shared" ca="1" si="36"/>
        <v>34</v>
      </c>
      <c r="B201" s="6" t="s">
        <v>720</v>
      </c>
      <c r="C201" s="7">
        <v>44995</v>
      </c>
      <c r="D201" s="6" t="s">
        <v>507</v>
      </c>
      <c r="E201" s="6" t="s">
        <v>139</v>
      </c>
      <c r="F201" s="6" t="s">
        <v>148</v>
      </c>
      <c r="G201" s="6" t="s">
        <v>32</v>
      </c>
      <c r="H201" s="6" t="s">
        <v>721</v>
      </c>
      <c r="I201" s="6" t="s">
        <v>402</v>
      </c>
      <c r="J201" s="6" t="str">
        <f>IF(E201="KTG","KTG",(VLOOKUP(I201,'[1]list of outsource'!B:H,2,0)))</f>
        <v>ETC</v>
      </c>
      <c r="K201" s="6" t="s">
        <v>403</v>
      </c>
      <c r="L201" s="6"/>
      <c r="M201" s="6" t="s">
        <v>722</v>
      </c>
      <c r="N201" s="6" t="s">
        <v>721</v>
      </c>
      <c r="O201" s="6">
        <v>1212622233</v>
      </c>
      <c r="P201" s="6"/>
      <c r="Q201" s="8"/>
      <c r="R201" s="6"/>
      <c r="S201" s="6"/>
      <c r="T201" s="6"/>
      <c r="U201" s="6">
        <v>4</v>
      </c>
      <c r="V201" s="6"/>
      <c r="W201" s="6" t="s">
        <v>37</v>
      </c>
      <c r="X201" s="7">
        <v>45029</v>
      </c>
      <c r="Y201" s="7">
        <v>45034</v>
      </c>
      <c r="AC201"/>
      <c r="AE201" t="str">
        <f t="shared" si="39"/>
        <v>P000327</v>
      </c>
      <c r="AF201" t="str">
        <f>_xlfn.XLOOKUP(AE201, Hoja2!A:A, Hoja2!A:A)</f>
        <v>P000327</v>
      </c>
      <c r="AG201" t="str">
        <f t="shared" si="37"/>
        <v>PP00029-14</v>
      </c>
      <c r="AH201">
        <f>_xlfn.XLOOKUP(AG201, Hoja3!A:A, Hoja3!B:B)</f>
        <v>5133</v>
      </c>
      <c r="AI201" t="str">
        <f>_xlfn.XLOOKUP(AH201, Hoja4!A:A, Hoja4!B:B)</f>
        <v>ET25-18.3/4.5-BLK-245MM</v>
      </c>
      <c r="AJ201" t="b">
        <f t="shared" si="38"/>
        <v>1</v>
      </c>
    </row>
    <row r="202" spans="1:36" ht="15.5" customHeight="1" x14ac:dyDescent="0.35">
      <c r="A202">
        <f t="shared" ca="1" si="36"/>
        <v>70</v>
      </c>
      <c r="B202" s="6" t="s">
        <v>723</v>
      </c>
      <c r="C202" s="7">
        <v>44995</v>
      </c>
      <c r="D202" s="6" t="s">
        <v>121</v>
      </c>
      <c r="E202" s="6" t="s">
        <v>83</v>
      </c>
      <c r="F202" s="6" t="s">
        <v>724</v>
      </c>
      <c r="G202" s="6" t="s">
        <v>32</v>
      </c>
      <c r="H202" s="6">
        <v>166938</v>
      </c>
      <c r="I202" s="6" t="s">
        <v>725</v>
      </c>
      <c r="J202" s="6" t="str">
        <f>IF(E202="KTG","KTG",(VLOOKUP(I202,'[1]list of outsource'!B:H,2,0)))</f>
        <v>UPM</v>
      </c>
      <c r="K202" s="6" t="s">
        <v>726</v>
      </c>
      <c r="L202" s="6"/>
      <c r="M202" s="6" t="s">
        <v>727</v>
      </c>
      <c r="N202" s="6" t="s">
        <v>728</v>
      </c>
      <c r="O202" s="6">
        <v>1218993179</v>
      </c>
      <c r="P202" s="6"/>
      <c r="Q202" s="8"/>
      <c r="R202" s="6"/>
      <c r="S202" s="6"/>
      <c r="T202" s="6"/>
      <c r="U202" s="6">
        <v>2</v>
      </c>
      <c r="V202" s="6"/>
      <c r="W202" s="6" t="s">
        <v>37</v>
      </c>
      <c r="X202" s="7">
        <v>45065</v>
      </c>
      <c r="Y202" s="7"/>
      <c r="AC202"/>
      <c r="AE202" t="str">
        <f t="shared" si="39"/>
        <v>P000475</v>
      </c>
      <c r="AF202" t="str">
        <f>_xlfn.XLOOKUP(AE202, Hoja2!A:A, Hoja2!A:A)</f>
        <v>P000475</v>
      </c>
      <c r="AG202" t="str">
        <f t="shared" si="37"/>
        <v>PP00037-01</v>
      </c>
      <c r="AH202">
        <f>_xlfn.XLOOKUP(AG202, Hoja3!A:A, Hoja3!B:B)</f>
        <v>4831</v>
      </c>
      <c r="AI202">
        <f>_xlfn.XLOOKUP(AH202, Hoja4!A:A, Hoja4!B:B)</f>
        <v>166938</v>
      </c>
      <c r="AJ202" t="b">
        <f t="shared" si="38"/>
        <v>1</v>
      </c>
    </row>
    <row r="203" spans="1:36" ht="15.5" customHeight="1" x14ac:dyDescent="0.35">
      <c r="A203">
        <f t="shared" ca="1" si="36"/>
        <v>70</v>
      </c>
      <c r="B203" s="6" t="s">
        <v>729</v>
      </c>
      <c r="C203" s="7">
        <v>44995</v>
      </c>
      <c r="D203" s="6" t="s">
        <v>121</v>
      </c>
      <c r="E203" s="6" t="s">
        <v>139</v>
      </c>
      <c r="F203" s="6" t="s">
        <v>724</v>
      </c>
      <c r="G203" s="6" t="s">
        <v>32</v>
      </c>
      <c r="H203" s="6">
        <v>166939</v>
      </c>
      <c r="I203" s="6" t="s">
        <v>494</v>
      </c>
      <c r="J203" s="6" t="str">
        <f>IF(E203="KTG","KTG",(VLOOKUP(I203,'[1]list of outsource'!B:H,2,0)))</f>
        <v>ETC</v>
      </c>
      <c r="K203" s="6" t="s">
        <v>495</v>
      </c>
      <c r="L203" s="6"/>
      <c r="M203" s="6" t="s">
        <v>730</v>
      </c>
      <c r="N203" s="6" t="s">
        <v>731</v>
      </c>
      <c r="O203" s="6">
        <v>1218993478</v>
      </c>
      <c r="P203" s="6"/>
      <c r="Q203" s="8"/>
      <c r="R203" s="6"/>
      <c r="S203" s="6"/>
      <c r="T203" s="6"/>
      <c r="U203" s="6">
        <v>2</v>
      </c>
      <c r="V203" s="6"/>
      <c r="W203" s="6" t="s">
        <v>37</v>
      </c>
      <c r="X203" s="7">
        <v>45065</v>
      </c>
      <c r="Y203" s="7"/>
      <c r="AC203"/>
      <c r="AE203" t="str">
        <f t="shared" si="39"/>
        <v>P000237</v>
      </c>
      <c r="AF203" t="str">
        <f>_xlfn.XLOOKUP(AE203, Hoja2!A:A, Hoja2!A:A)</f>
        <v>P000237</v>
      </c>
      <c r="AG203" t="str">
        <f t="shared" si="37"/>
        <v>PP00037-02</v>
      </c>
      <c r="AH203">
        <f>_xlfn.XLOOKUP(AG203, Hoja3!A:A, Hoja3!B:B)</f>
        <v>4829</v>
      </c>
      <c r="AI203">
        <f>_xlfn.XLOOKUP(AH203, Hoja4!A:A, Hoja4!B:B)</f>
        <v>166939</v>
      </c>
      <c r="AJ203" t="b">
        <f t="shared" si="38"/>
        <v>1</v>
      </c>
    </row>
    <row r="204" spans="1:36" ht="15.5" customHeight="1" x14ac:dyDescent="0.35">
      <c r="A204">
        <f t="shared" ca="1" si="36"/>
        <v>70</v>
      </c>
      <c r="B204" s="6" t="s">
        <v>732</v>
      </c>
      <c r="C204" s="7">
        <v>44995</v>
      </c>
      <c r="D204" s="6" t="s">
        <v>121</v>
      </c>
      <c r="E204" s="6" t="s">
        <v>139</v>
      </c>
      <c r="F204" s="6" t="s">
        <v>724</v>
      </c>
      <c r="G204" s="6" t="s">
        <v>32</v>
      </c>
      <c r="H204" s="6">
        <v>166940</v>
      </c>
      <c r="I204" s="6" t="s">
        <v>494</v>
      </c>
      <c r="J204" s="6" t="str">
        <f>IF(E204="KTG","KTG",(VLOOKUP(I204,'[1]list of outsource'!B:H,2,0)))</f>
        <v>ETC</v>
      </c>
      <c r="K204" s="6" t="s">
        <v>495</v>
      </c>
      <c r="L204" s="6"/>
      <c r="M204" s="6" t="s">
        <v>622</v>
      </c>
      <c r="N204" s="6" t="s">
        <v>733</v>
      </c>
      <c r="O204" s="6">
        <v>1218993577</v>
      </c>
      <c r="P204" s="6"/>
      <c r="Q204" s="8"/>
      <c r="R204" s="6"/>
      <c r="S204" s="6"/>
      <c r="T204" s="6"/>
      <c r="U204" s="6">
        <v>2</v>
      </c>
      <c r="V204" s="6"/>
      <c r="W204" s="6" t="s">
        <v>37</v>
      </c>
      <c r="X204" s="7">
        <v>45065</v>
      </c>
      <c r="Y204" s="7"/>
      <c r="AC204"/>
      <c r="AE204" t="str">
        <f t="shared" si="39"/>
        <v>P000316</v>
      </c>
      <c r="AF204" t="str">
        <f>_xlfn.XLOOKUP(AE204, Hoja2!A:A, Hoja2!A:A)</f>
        <v>P000316</v>
      </c>
      <c r="AG204" t="str">
        <f t="shared" si="37"/>
        <v>PP00037-03</v>
      </c>
      <c r="AH204">
        <f>_xlfn.XLOOKUP(AG204, Hoja3!A:A, Hoja3!B:B)</f>
        <v>4830</v>
      </c>
      <c r="AI204">
        <f>_xlfn.XLOOKUP(AH204, Hoja4!A:A, Hoja4!B:B)</f>
        <v>166940</v>
      </c>
      <c r="AJ204" t="b">
        <f t="shared" si="38"/>
        <v>1</v>
      </c>
    </row>
    <row r="205" spans="1:36" ht="15.5" customHeight="1" x14ac:dyDescent="0.35">
      <c r="A205">
        <f t="shared" ca="1" si="36"/>
        <v>184</v>
      </c>
      <c r="B205" s="6" t="s">
        <v>734</v>
      </c>
      <c r="C205" s="7">
        <v>44999</v>
      </c>
      <c r="D205" s="6" t="s">
        <v>507</v>
      </c>
      <c r="E205" s="6" t="s">
        <v>83</v>
      </c>
      <c r="F205" s="6" t="s">
        <v>101</v>
      </c>
      <c r="G205" s="6" t="s">
        <v>299</v>
      </c>
      <c r="H205" s="6" t="s">
        <v>735</v>
      </c>
      <c r="I205" s="6" t="s">
        <v>133</v>
      </c>
      <c r="J205" s="6" t="str">
        <f>IF(E205="KTG","KTG",(VLOOKUP(I205,'[1]list of outsource'!B:H,2,0)))</f>
        <v>UPM</v>
      </c>
      <c r="K205" s="6" t="s">
        <v>301</v>
      </c>
      <c r="L205" s="6"/>
      <c r="M205" s="6" t="s">
        <v>736</v>
      </c>
      <c r="N205" s="6" t="s">
        <v>737</v>
      </c>
      <c r="O205" s="6">
        <v>1204989903</v>
      </c>
      <c r="P205" s="6"/>
      <c r="Q205" s="8"/>
      <c r="R205" s="6"/>
      <c r="S205" s="6"/>
      <c r="T205" s="6"/>
      <c r="U205" s="6">
        <v>3</v>
      </c>
      <c r="V205" s="6"/>
      <c r="W205" s="6" t="s">
        <v>37</v>
      </c>
      <c r="X205" s="7">
        <v>45183</v>
      </c>
      <c r="Y205" s="7">
        <v>45187</v>
      </c>
      <c r="AB205" t="e">
        <v>#N/A</v>
      </c>
      <c r="AC205"/>
      <c r="AE205" t="str">
        <f t="shared" si="39"/>
        <v>P100358</v>
      </c>
      <c r="AF205" t="str">
        <f>_xlfn.XLOOKUP(AE205, Hoja2!A:A, Hoja2!A:A)</f>
        <v>P100358</v>
      </c>
      <c r="AG205" t="str">
        <f t="shared" si="37"/>
        <v>PP00027-17</v>
      </c>
      <c r="AH205">
        <f>_xlfn.XLOOKUP(AG205, Hoja3!A:A, Hoja3!B:B)</f>
        <v>4587</v>
      </c>
      <c r="AI205" t="str">
        <f>_xlfn.XLOOKUP(AH205, Hoja4!A:A, Hoja4!B:B)</f>
        <v>GP090356</v>
      </c>
      <c r="AJ205" t="b">
        <f t="shared" si="38"/>
        <v>1</v>
      </c>
    </row>
    <row r="206" spans="1:36" ht="15.5" customHeight="1" x14ac:dyDescent="0.35">
      <c r="A206">
        <f t="shared" ca="1" si="36"/>
        <v>1</v>
      </c>
      <c r="B206" s="12" t="s">
        <v>738</v>
      </c>
      <c r="C206" s="13">
        <v>45980</v>
      </c>
      <c r="D206" s="14" t="s">
        <v>121</v>
      </c>
      <c r="E206" s="14" t="s">
        <v>83</v>
      </c>
      <c r="F206" s="14" t="s">
        <v>739</v>
      </c>
      <c r="G206" s="14" t="s">
        <v>156</v>
      </c>
      <c r="H206" s="14" t="s">
        <v>411</v>
      </c>
      <c r="I206" s="14" t="s">
        <v>95</v>
      </c>
      <c r="J206" s="14" t="str">
        <f>IF(E206="KTG","KTG",(VLOOKUP(I206,'[1]list of outsource'!B:H,2,0)))</f>
        <v>Woer</v>
      </c>
      <c r="K206" s="14" t="s">
        <v>96</v>
      </c>
      <c r="L206" s="14">
        <v>57</v>
      </c>
      <c r="M206" s="14" t="s">
        <v>412</v>
      </c>
      <c r="N206" s="14" t="s">
        <v>740</v>
      </c>
      <c r="O206" s="14" t="s">
        <v>741</v>
      </c>
      <c r="P206" s="14"/>
      <c r="Q206" s="15">
        <v>45436</v>
      </c>
      <c r="R206" s="14"/>
      <c r="S206" s="16"/>
      <c r="T206" s="14"/>
      <c r="U206" s="14">
        <v>1</v>
      </c>
      <c r="V206" s="14" t="s">
        <v>569</v>
      </c>
      <c r="W206" s="14" t="s">
        <v>154</v>
      </c>
      <c r="X206" s="13">
        <v>45981</v>
      </c>
      <c r="Y206" s="13"/>
      <c r="AC206"/>
      <c r="AE206" t="str">
        <f t="shared" si="39"/>
        <v>P000180</v>
      </c>
      <c r="AF206" t="str">
        <f>_xlfn.XLOOKUP(AE206, Hoja2!A:A, Hoja2!A:A)</f>
        <v>P000180</v>
      </c>
      <c r="AG206" t="str">
        <f t="shared" si="37"/>
        <v>PP00028-0012</v>
      </c>
      <c r="AH206">
        <f>_xlfn.XLOOKUP(AG206, Hoja3!A:A, Hoja3!B:B)</f>
        <v>52</v>
      </c>
      <c r="AI206" t="str">
        <f>_xlfn.XLOOKUP(AH206, Hoja4!A:A, Hoja4!B:B)</f>
        <v>E35563100</v>
      </c>
      <c r="AJ206" t="b">
        <f t="shared" si="38"/>
        <v>1</v>
      </c>
    </row>
    <row r="207" spans="1:36" ht="15.5" customHeight="1" x14ac:dyDescent="0.35">
      <c r="A207">
        <f t="shared" ca="1" si="36"/>
        <v>0</v>
      </c>
      <c r="B207" s="6" t="s">
        <v>742</v>
      </c>
      <c r="C207" s="7">
        <v>45000</v>
      </c>
      <c r="D207" s="6" t="s">
        <v>743</v>
      </c>
      <c r="E207" s="6" t="s">
        <v>83</v>
      </c>
      <c r="F207" s="6" t="s">
        <v>646</v>
      </c>
      <c r="G207" s="6" t="s">
        <v>744</v>
      </c>
      <c r="H207" s="6" t="s">
        <v>745</v>
      </c>
      <c r="I207" s="6" t="s">
        <v>95</v>
      </c>
      <c r="J207" s="6" t="str">
        <f>IF(E207="KTG","KTG",(VLOOKUP(I207,'[1]list of outsource'!B:H,2,0)))</f>
        <v>Woer</v>
      </c>
      <c r="K207" s="6" t="s">
        <v>96</v>
      </c>
      <c r="L207" s="6"/>
      <c r="M207" s="6" t="s">
        <v>214</v>
      </c>
      <c r="N207" s="6" t="s">
        <v>746</v>
      </c>
      <c r="O207" s="6">
        <v>1204984701</v>
      </c>
      <c r="P207" s="6"/>
      <c r="Q207" s="8"/>
      <c r="R207" s="6"/>
      <c r="S207" s="6"/>
      <c r="T207" s="6"/>
      <c r="U207" s="6">
        <v>2</v>
      </c>
      <c r="V207" s="6"/>
      <c r="W207" s="6" t="s">
        <v>454</v>
      </c>
      <c r="X207" s="7">
        <v>45000</v>
      </c>
      <c r="Y207" s="7"/>
      <c r="AB207" t="e">
        <v>#N/A</v>
      </c>
      <c r="AC207" t="e">
        <v>#N/A</v>
      </c>
      <c r="AE207" t="str">
        <f t="shared" si="39"/>
        <v>P000167</v>
      </c>
      <c r="AF207" t="str">
        <f>_xlfn.XLOOKUP(AE207, Hoja2!A:A, Hoja2!A:A)</f>
        <v>P000167</v>
      </c>
      <c r="AG207" t="str">
        <f t="shared" si="37"/>
        <v>PP00030-02</v>
      </c>
      <c r="AH207">
        <f>_xlfn.XLOOKUP(AG207, Hoja3!A:A, Hoja3!B:B)</f>
        <v>5227</v>
      </c>
      <c r="AI207" t="str">
        <f>_xlfn.XLOOKUP(AH207, Hoja4!A:A, Hoja4!B:B)</f>
        <v>747--FLX-711977-19.0-0040</v>
      </c>
      <c r="AJ207" t="b">
        <f t="shared" si="38"/>
        <v>1</v>
      </c>
    </row>
    <row r="208" spans="1:36" ht="15.5" customHeight="1" x14ac:dyDescent="0.35">
      <c r="A208">
        <f t="shared" ca="1" si="36"/>
        <v>57</v>
      </c>
      <c r="B208" s="6" t="s">
        <v>747</v>
      </c>
      <c r="C208" s="7">
        <v>45005</v>
      </c>
      <c r="D208" s="6" t="s">
        <v>507</v>
      </c>
      <c r="E208" s="6" t="s">
        <v>83</v>
      </c>
      <c r="F208" s="6" t="s">
        <v>101</v>
      </c>
      <c r="G208" s="6" t="s">
        <v>299</v>
      </c>
      <c r="H208" s="6" t="s">
        <v>748</v>
      </c>
      <c r="I208" s="6" t="s">
        <v>133</v>
      </c>
      <c r="J208" s="6" t="str">
        <f>IF(E208="KTG","KTG",(VLOOKUP(I208,'[1]list of outsource'!B:H,2,0)))</f>
        <v>UPM</v>
      </c>
      <c r="K208" s="6" t="s">
        <v>301</v>
      </c>
      <c r="L208" s="6"/>
      <c r="M208" s="6" t="s">
        <v>749</v>
      </c>
      <c r="N208" s="6" t="s">
        <v>750</v>
      </c>
      <c r="O208" s="6">
        <v>1188110562</v>
      </c>
      <c r="P208" s="6"/>
      <c r="Q208" s="8"/>
      <c r="R208" s="6"/>
      <c r="S208" s="6"/>
      <c r="T208" s="6"/>
      <c r="U208" s="6">
        <v>2</v>
      </c>
      <c r="V208" s="6"/>
      <c r="W208" s="6" t="s">
        <v>37</v>
      </c>
      <c r="X208" s="7">
        <v>45062</v>
      </c>
      <c r="Y208" s="7">
        <v>45079</v>
      </c>
      <c r="AC208"/>
      <c r="AE208" t="str">
        <f t="shared" si="39"/>
        <v>P000200</v>
      </c>
      <c r="AF208" t="str">
        <f>_xlfn.XLOOKUP(AE208, Hoja2!A:A, Hoja2!A:A)</f>
        <v>P000200</v>
      </c>
      <c r="AG208" t="str">
        <f t="shared" si="37"/>
        <v>PP00027-09</v>
      </c>
      <c r="AH208">
        <f>_xlfn.XLOOKUP(AG208, Hoja3!A:A, Hoja3!B:B)</f>
        <v>4578</v>
      </c>
      <c r="AI208" t="str">
        <f>_xlfn.XLOOKUP(AH208, Hoja4!A:A, Hoja4!B:B)</f>
        <v>GP096745</v>
      </c>
      <c r="AJ208" t="b">
        <f t="shared" si="38"/>
        <v>1</v>
      </c>
    </row>
    <row r="209" spans="1:36" ht="15.5" customHeight="1" x14ac:dyDescent="0.35">
      <c r="A209">
        <f t="shared" ca="1" si="36"/>
        <v>1</v>
      </c>
      <c r="B209" s="12" t="s">
        <v>751</v>
      </c>
      <c r="C209" s="13">
        <v>45980</v>
      </c>
      <c r="D209" s="14" t="s">
        <v>121</v>
      </c>
      <c r="E209" s="14" t="s">
        <v>83</v>
      </c>
      <c r="F209" s="14" t="s">
        <v>84</v>
      </c>
      <c r="G209" s="14" t="s">
        <v>156</v>
      </c>
      <c r="H209" s="14" t="s">
        <v>373</v>
      </c>
      <c r="I209" s="14" t="s">
        <v>95</v>
      </c>
      <c r="J209" s="14" t="str">
        <f>IF(E209="KTG","KTG",(VLOOKUP(I209,'[1]list of outsource'!B:H,2,0)))</f>
        <v>Woer</v>
      </c>
      <c r="K209" s="14" t="s">
        <v>96</v>
      </c>
      <c r="L209" s="14">
        <v>57</v>
      </c>
      <c r="M209" s="14" t="s">
        <v>374</v>
      </c>
      <c r="N209" s="14" t="s">
        <v>752</v>
      </c>
      <c r="O209" s="14" t="s">
        <v>753</v>
      </c>
      <c r="P209" s="14"/>
      <c r="Q209" s="15"/>
      <c r="R209" s="14"/>
      <c r="S209" s="16"/>
      <c r="T209" s="14"/>
      <c r="U209" s="14">
        <v>1</v>
      </c>
      <c r="V209" s="14" t="s">
        <v>569</v>
      </c>
      <c r="W209" s="14" t="s">
        <v>576</v>
      </c>
      <c r="X209" s="13">
        <v>45981</v>
      </c>
      <c r="Y209" s="13"/>
      <c r="AC209" t="e">
        <v>#N/A</v>
      </c>
      <c r="AE209" t="str">
        <f t="shared" si="39"/>
        <v>P000179</v>
      </c>
      <c r="AF209" t="str">
        <f>_xlfn.XLOOKUP(AE209, Hoja2!A:A, Hoja2!A:A)</f>
        <v>P000179</v>
      </c>
      <c r="AG209" t="str">
        <f t="shared" si="37"/>
        <v>PP00028-0013</v>
      </c>
      <c r="AH209">
        <f>_xlfn.XLOOKUP(AG209, Hoja3!A:A, Hoja3!B:B)</f>
        <v>5298</v>
      </c>
      <c r="AI209" t="str">
        <f>_xlfn.XLOOKUP(AH209, Hoja4!A:A, Hoja4!B:B)</f>
        <v>E35563000</v>
      </c>
      <c r="AJ209" t="b">
        <f t="shared" si="38"/>
        <v>1</v>
      </c>
    </row>
    <row r="210" spans="1:36" ht="15.5" customHeight="1" x14ac:dyDescent="0.35">
      <c r="A210">
        <f t="shared" ca="1" si="36"/>
        <v>15</v>
      </c>
      <c r="B210" s="6" t="s">
        <v>754</v>
      </c>
      <c r="C210" s="7">
        <v>45012</v>
      </c>
      <c r="D210" s="6" t="s">
        <v>507</v>
      </c>
      <c r="E210" s="6" t="s">
        <v>83</v>
      </c>
      <c r="F210" s="6" t="s">
        <v>101</v>
      </c>
      <c r="G210" s="6" t="s">
        <v>755</v>
      </c>
      <c r="H210" s="6" t="s">
        <v>756</v>
      </c>
      <c r="I210" s="6" t="s">
        <v>133</v>
      </c>
      <c r="J210" s="6" t="str">
        <f>IF(E210="KTG","KTG",(VLOOKUP(I210,'[1]list of outsource'!B:H,2,0)))</f>
        <v>UPM</v>
      </c>
      <c r="K210" s="6" t="s">
        <v>301</v>
      </c>
      <c r="L210" s="6"/>
      <c r="M210" s="6" t="s">
        <v>757</v>
      </c>
      <c r="N210" s="6" t="s">
        <v>758</v>
      </c>
      <c r="O210" s="6">
        <v>1188109083</v>
      </c>
      <c r="P210" s="6"/>
      <c r="Q210" s="8"/>
      <c r="R210" s="6"/>
      <c r="S210" s="6"/>
      <c r="T210" s="6"/>
      <c r="U210" s="6">
        <v>2</v>
      </c>
      <c r="V210" s="6"/>
      <c r="W210" s="6" t="s">
        <v>37</v>
      </c>
      <c r="X210" s="7">
        <v>45027</v>
      </c>
      <c r="Y210" s="7">
        <v>45034</v>
      </c>
      <c r="AC210"/>
      <c r="AE210" t="str">
        <f t="shared" si="39"/>
        <v>P000027</v>
      </c>
      <c r="AF210" t="str">
        <f>_xlfn.XLOOKUP(AE210, Hoja2!A:A, Hoja2!A:A)</f>
        <v>P000027</v>
      </c>
      <c r="AG210" t="str">
        <f t="shared" si="37"/>
        <v>PP00040-01</v>
      </c>
      <c r="AH210">
        <f>_xlfn.XLOOKUP(AG210, Hoja3!A:A, Hoja3!B:B)</f>
        <v>4615</v>
      </c>
      <c r="AI210" t="str">
        <f>_xlfn.XLOOKUP(AH210, Hoja4!A:A, Hoja4!B:B)</f>
        <v>GP088847</v>
      </c>
      <c r="AJ210" t="b">
        <f t="shared" si="38"/>
        <v>1</v>
      </c>
    </row>
    <row r="211" spans="1:36" ht="15.5" customHeight="1" x14ac:dyDescent="0.35">
      <c r="A211">
        <f t="shared" ca="1" si="36"/>
        <v>54</v>
      </c>
      <c r="B211" s="6" t="s">
        <v>759</v>
      </c>
      <c r="C211" s="7">
        <v>45015</v>
      </c>
      <c r="D211" s="6" t="s">
        <v>507</v>
      </c>
      <c r="E211" s="6" t="s">
        <v>83</v>
      </c>
      <c r="F211" s="6" t="s">
        <v>140</v>
      </c>
      <c r="G211" s="6" t="s">
        <v>32</v>
      </c>
      <c r="H211" s="6" t="s">
        <v>760</v>
      </c>
      <c r="I211" s="6" t="s">
        <v>158</v>
      </c>
      <c r="J211" s="6" t="str">
        <f>IF(E211="KTG","KTG",(VLOOKUP(I211,'[1]list of outsource'!B:H,2,0)))</f>
        <v>UPM</v>
      </c>
      <c r="K211" s="6" t="s">
        <v>159</v>
      </c>
      <c r="L211" s="6"/>
      <c r="M211" s="6" t="s">
        <v>761</v>
      </c>
      <c r="N211" s="6" t="s">
        <v>762</v>
      </c>
      <c r="O211" s="6">
        <v>1223074418</v>
      </c>
      <c r="P211" s="6"/>
      <c r="Q211" s="8"/>
      <c r="R211" s="6"/>
      <c r="S211" s="6"/>
      <c r="T211" s="6"/>
      <c r="U211" s="6">
        <v>2</v>
      </c>
      <c r="V211" s="6"/>
      <c r="W211" s="6" t="s">
        <v>37</v>
      </c>
      <c r="X211" s="7">
        <v>45069</v>
      </c>
      <c r="Y211" s="7">
        <v>45147</v>
      </c>
      <c r="AC211"/>
      <c r="AE211" t="str">
        <f t="shared" si="39"/>
        <v>P000304</v>
      </c>
      <c r="AF211" t="str">
        <f>_xlfn.XLOOKUP(AE211, Hoja2!A:A, Hoja2!A:A)</f>
        <v>P000304</v>
      </c>
      <c r="AG211" t="str">
        <f t="shared" si="37"/>
        <v>PP00036-02</v>
      </c>
      <c r="AH211">
        <f>_xlfn.XLOOKUP(AG211, Hoja3!A:A, Hoja3!B:B)</f>
        <v>5175</v>
      </c>
      <c r="AI211" t="str">
        <f>_xlfn.XLOOKUP(AH211, Hoja4!A:A, Hoja4!B:B)</f>
        <v>HSTP2518</v>
      </c>
      <c r="AJ211" t="b">
        <f t="shared" si="38"/>
        <v>1</v>
      </c>
    </row>
    <row r="212" spans="1:36" ht="15.5" customHeight="1" x14ac:dyDescent="0.35">
      <c r="A212">
        <f t="shared" ca="1" si="36"/>
        <v>54</v>
      </c>
      <c r="B212" s="6" t="s">
        <v>763</v>
      </c>
      <c r="C212" s="7">
        <v>45015</v>
      </c>
      <c r="D212" s="6" t="s">
        <v>507</v>
      </c>
      <c r="E212" s="6" t="s">
        <v>83</v>
      </c>
      <c r="F212" s="6" t="s">
        <v>140</v>
      </c>
      <c r="G212" s="6" t="s">
        <v>32</v>
      </c>
      <c r="H212" s="6" t="s">
        <v>764</v>
      </c>
      <c r="I212" s="6" t="s">
        <v>158</v>
      </c>
      <c r="J212" s="6" t="str">
        <f>IF(E212="KTG","KTG",(VLOOKUP(I212,'[1]list of outsource'!B:H,2,0)))</f>
        <v>UPM</v>
      </c>
      <c r="K212" s="6" t="s">
        <v>159</v>
      </c>
      <c r="L212" s="6"/>
      <c r="M212" s="6" t="s">
        <v>765</v>
      </c>
      <c r="N212" s="6" t="s">
        <v>766</v>
      </c>
      <c r="O212" s="6">
        <v>1223136747</v>
      </c>
      <c r="P212" s="6"/>
      <c r="Q212" s="8"/>
      <c r="R212" s="6"/>
      <c r="S212" s="6"/>
      <c r="T212" s="6"/>
      <c r="U212" s="6">
        <v>2</v>
      </c>
      <c r="V212" s="6"/>
      <c r="W212" s="6" t="s">
        <v>37</v>
      </c>
      <c r="X212" s="7">
        <v>45069</v>
      </c>
      <c r="Y212" s="7">
        <v>45147</v>
      </c>
      <c r="AC212"/>
      <c r="AE212" t="str">
        <f t="shared" si="39"/>
        <v>P000569</v>
      </c>
      <c r="AF212" t="str">
        <f>_xlfn.XLOOKUP(AE212, Hoja2!A:A, Hoja2!A:A)</f>
        <v>P000569</v>
      </c>
      <c r="AG212" t="str">
        <f t="shared" si="37"/>
        <v>PP00036-03</v>
      </c>
      <c r="AH212">
        <f>_xlfn.XLOOKUP(AG212, Hoja3!A:A, Hoja3!B:B)</f>
        <v>5176</v>
      </c>
      <c r="AI212" t="str">
        <f>_xlfn.XLOOKUP(AH212, Hoja4!A:A, Hoja4!B:B)</f>
        <v>HSTP2519</v>
      </c>
      <c r="AJ212" t="b">
        <f t="shared" si="38"/>
        <v>1</v>
      </c>
    </row>
    <row r="213" spans="1:36" ht="15.5" customHeight="1" x14ac:dyDescent="0.35">
      <c r="A213">
        <f t="shared" ca="1" si="36"/>
        <v>15</v>
      </c>
      <c r="B213" s="6" t="s">
        <v>767</v>
      </c>
      <c r="C213" s="7">
        <v>45020</v>
      </c>
      <c r="D213" s="6" t="s">
        <v>507</v>
      </c>
      <c r="E213" s="6" t="s">
        <v>139</v>
      </c>
      <c r="F213" s="6" t="s">
        <v>768</v>
      </c>
      <c r="G213" s="6" t="s">
        <v>32</v>
      </c>
      <c r="H213" s="6">
        <v>713516</v>
      </c>
      <c r="I213" s="6" t="s">
        <v>402</v>
      </c>
      <c r="J213" s="6" t="str">
        <f>IF(E213="KTG","KTG",(VLOOKUP(I213,'[1]list of outsource'!B:H,2,0)))</f>
        <v>ETC</v>
      </c>
      <c r="K213" s="6" t="s">
        <v>403</v>
      </c>
      <c r="L213" s="6"/>
      <c r="M213" s="6" t="s">
        <v>769</v>
      </c>
      <c r="N213" s="6" t="s">
        <v>770</v>
      </c>
      <c r="O213" s="6" t="s">
        <v>771</v>
      </c>
      <c r="P213" s="6"/>
      <c r="Q213" s="8"/>
      <c r="R213" s="6"/>
      <c r="S213" s="6"/>
      <c r="T213" s="6"/>
      <c r="U213" s="6">
        <v>2</v>
      </c>
      <c r="V213" s="6"/>
      <c r="W213" s="6" t="s">
        <v>37</v>
      </c>
      <c r="X213" s="7">
        <v>45035</v>
      </c>
      <c r="Y213" s="7">
        <v>45335</v>
      </c>
      <c r="AC213"/>
      <c r="AE213" t="str">
        <f t="shared" si="39"/>
        <v>P000480</v>
      </c>
      <c r="AF213" t="str">
        <f>_xlfn.XLOOKUP(AE213, Hoja2!A:A, Hoja2!A:A)</f>
        <v>P000480</v>
      </c>
      <c r="AG213" t="str">
        <f t="shared" si="37"/>
        <v>PP00038-01</v>
      </c>
      <c r="AH213">
        <f>_xlfn.XLOOKUP(AG213, Hoja3!A:A, Hoja3!B:B)</f>
        <v>4215</v>
      </c>
      <c r="AI213">
        <f>_xlfn.XLOOKUP(AH213, Hoja4!A:A, Hoja4!B:B)</f>
        <v>713516</v>
      </c>
      <c r="AJ213" t="b">
        <f t="shared" si="38"/>
        <v>1</v>
      </c>
    </row>
    <row r="214" spans="1:36" ht="15.5" customHeight="1" x14ac:dyDescent="0.35">
      <c r="A214">
        <f t="shared" ca="1" si="36"/>
        <v>15</v>
      </c>
      <c r="B214" s="6" t="s">
        <v>772</v>
      </c>
      <c r="C214" s="7">
        <v>45020</v>
      </c>
      <c r="D214" s="6" t="s">
        <v>507</v>
      </c>
      <c r="E214" s="6" t="s">
        <v>139</v>
      </c>
      <c r="F214" s="6" t="s">
        <v>768</v>
      </c>
      <c r="G214" s="6" t="s">
        <v>32</v>
      </c>
      <c r="H214" s="6">
        <v>713517</v>
      </c>
      <c r="I214" s="6" t="s">
        <v>402</v>
      </c>
      <c r="J214" s="6" t="str">
        <f>IF(E214="KTG","KTG",(VLOOKUP(I214,'[1]list of outsource'!B:H,2,0)))</f>
        <v>ETC</v>
      </c>
      <c r="K214" s="6" t="s">
        <v>403</v>
      </c>
      <c r="L214" s="6"/>
      <c r="M214" s="6" t="s">
        <v>773</v>
      </c>
      <c r="N214" s="6" t="s">
        <v>774</v>
      </c>
      <c r="O214" s="6" t="s">
        <v>775</v>
      </c>
      <c r="P214" s="6"/>
      <c r="Q214" s="8"/>
      <c r="R214" s="6"/>
      <c r="S214" s="6"/>
      <c r="T214" s="6"/>
      <c r="U214" s="6">
        <v>2</v>
      </c>
      <c r="V214" s="6"/>
      <c r="W214" s="6" t="s">
        <v>37</v>
      </c>
      <c r="X214" s="7">
        <v>45035</v>
      </c>
      <c r="Y214" s="7">
        <v>45335</v>
      </c>
      <c r="AC214"/>
      <c r="AE214" t="str">
        <f t="shared" si="39"/>
        <v>P000481</v>
      </c>
      <c r="AF214" t="str">
        <f>_xlfn.XLOOKUP(AE214, Hoja2!A:A, Hoja2!A:A)</f>
        <v>P000481</v>
      </c>
      <c r="AG214" t="str">
        <f t="shared" si="37"/>
        <v>PP00038-02</v>
      </c>
      <c r="AH214">
        <f>_xlfn.XLOOKUP(AG214, Hoja3!A:A, Hoja3!B:B)</f>
        <v>4216</v>
      </c>
      <c r="AI214">
        <f>_xlfn.XLOOKUP(AH214, Hoja4!A:A, Hoja4!B:B)</f>
        <v>713517</v>
      </c>
      <c r="AJ214" t="b">
        <f t="shared" si="38"/>
        <v>1</v>
      </c>
    </row>
    <row r="215" spans="1:36" ht="15.5" customHeight="1" x14ac:dyDescent="0.35">
      <c r="A215">
        <f t="shared" ca="1" si="36"/>
        <v>15</v>
      </c>
      <c r="B215" s="6" t="s">
        <v>776</v>
      </c>
      <c r="C215" s="7">
        <v>45020</v>
      </c>
      <c r="D215" s="6" t="s">
        <v>507</v>
      </c>
      <c r="E215" s="6" t="s">
        <v>139</v>
      </c>
      <c r="F215" s="6" t="s">
        <v>768</v>
      </c>
      <c r="G215" s="6" t="s">
        <v>32</v>
      </c>
      <c r="H215" s="6">
        <v>713518</v>
      </c>
      <c r="I215" s="6" t="s">
        <v>402</v>
      </c>
      <c r="J215" s="6" t="str">
        <f>IF(E215="KTG","KTG",(VLOOKUP(I215,'[1]list of outsource'!B:H,2,0)))</f>
        <v>ETC</v>
      </c>
      <c r="K215" s="6" t="s">
        <v>403</v>
      </c>
      <c r="L215" s="6"/>
      <c r="M215" s="6" t="s">
        <v>777</v>
      </c>
      <c r="N215" s="6" t="s">
        <v>778</v>
      </c>
      <c r="O215" s="6" t="s">
        <v>779</v>
      </c>
      <c r="P215" s="6"/>
      <c r="Q215" s="8"/>
      <c r="R215" s="6"/>
      <c r="S215" s="6"/>
      <c r="T215" s="6"/>
      <c r="U215" s="6">
        <v>2</v>
      </c>
      <c r="V215" s="6"/>
      <c r="W215" s="6" t="s">
        <v>37</v>
      </c>
      <c r="X215" s="7">
        <v>45035</v>
      </c>
      <c r="Y215" s="7">
        <v>45335</v>
      </c>
      <c r="AC215"/>
      <c r="AE215" t="str">
        <f t="shared" si="39"/>
        <v>P000482</v>
      </c>
      <c r="AF215" t="str">
        <f>_xlfn.XLOOKUP(AE215, Hoja2!A:A, Hoja2!A:A)</f>
        <v>P000482</v>
      </c>
      <c r="AG215" t="str">
        <f t="shared" si="37"/>
        <v>PP00038-03</v>
      </c>
      <c r="AH215">
        <f>_xlfn.XLOOKUP(AG215, Hoja3!A:A, Hoja3!B:B)</f>
        <v>4217</v>
      </c>
      <c r="AI215">
        <f>_xlfn.XLOOKUP(AH215, Hoja4!A:A, Hoja4!B:B)</f>
        <v>713518</v>
      </c>
      <c r="AJ215" t="b">
        <f t="shared" si="38"/>
        <v>1</v>
      </c>
    </row>
    <row r="216" spans="1:36" ht="15.5" customHeight="1" x14ac:dyDescent="0.35">
      <c r="A216">
        <f t="shared" ca="1" si="36"/>
        <v>15</v>
      </c>
      <c r="B216" s="6" t="s">
        <v>780</v>
      </c>
      <c r="C216" s="7">
        <v>45020</v>
      </c>
      <c r="D216" s="6" t="s">
        <v>507</v>
      </c>
      <c r="E216" s="6" t="s">
        <v>139</v>
      </c>
      <c r="F216" s="6" t="s">
        <v>768</v>
      </c>
      <c r="G216" s="6" t="s">
        <v>32</v>
      </c>
      <c r="H216" s="6">
        <v>713519</v>
      </c>
      <c r="I216" s="6" t="s">
        <v>494</v>
      </c>
      <c r="J216" s="6" t="str">
        <f>IF(E216="KTG","KTG",(VLOOKUP(I216,'[1]list of outsource'!B:H,2,0)))</f>
        <v>ETC</v>
      </c>
      <c r="K216" s="6" t="s">
        <v>495</v>
      </c>
      <c r="L216" s="6"/>
      <c r="M216" s="6" t="s">
        <v>781</v>
      </c>
      <c r="N216" s="6" t="s">
        <v>782</v>
      </c>
      <c r="O216" s="6" t="s">
        <v>783</v>
      </c>
      <c r="P216" s="6"/>
      <c r="Q216" s="8"/>
      <c r="R216" s="6"/>
      <c r="S216" s="6"/>
      <c r="T216" s="6"/>
      <c r="U216" s="6">
        <v>2</v>
      </c>
      <c r="V216" s="6"/>
      <c r="W216" s="6" t="s">
        <v>37</v>
      </c>
      <c r="X216" s="7">
        <v>45035</v>
      </c>
      <c r="Y216" s="7">
        <v>45335</v>
      </c>
      <c r="AC216"/>
      <c r="AE216" t="str">
        <f t="shared" si="39"/>
        <v>P000485</v>
      </c>
      <c r="AF216" t="str">
        <f>_xlfn.XLOOKUP(AE216, Hoja2!A:A, Hoja2!A:A)</f>
        <v>P000485</v>
      </c>
      <c r="AG216" t="str">
        <f t="shared" si="37"/>
        <v>PP00038-04</v>
      </c>
      <c r="AH216">
        <f>_xlfn.XLOOKUP(AG216, Hoja3!A:A, Hoja3!B:B)</f>
        <v>4218</v>
      </c>
      <c r="AI216">
        <f>_xlfn.XLOOKUP(AH216, Hoja4!A:A, Hoja4!B:B)</f>
        <v>713519</v>
      </c>
      <c r="AJ216" t="b">
        <f t="shared" si="38"/>
        <v>1</v>
      </c>
    </row>
    <row r="217" spans="1:36" ht="15.5" customHeight="1" x14ac:dyDescent="0.35">
      <c r="A217">
        <f t="shared" ca="1" si="36"/>
        <v>14</v>
      </c>
      <c r="B217" s="6" t="s">
        <v>784</v>
      </c>
      <c r="C217" s="7">
        <v>44973</v>
      </c>
      <c r="D217" s="6" t="s">
        <v>121</v>
      </c>
      <c r="E217" s="6" t="s">
        <v>139</v>
      </c>
      <c r="F217" s="6" t="s">
        <v>658</v>
      </c>
      <c r="G217" s="6" t="s">
        <v>32</v>
      </c>
      <c r="H217" s="6">
        <v>13778222</v>
      </c>
      <c r="I217" s="6" t="s">
        <v>494</v>
      </c>
      <c r="J217" s="6" t="str">
        <f>IF(E217="KTG","KTG",(VLOOKUP(I217,'[1]list of outsource'!B:H,2,0)))</f>
        <v>ETC</v>
      </c>
      <c r="K217" s="6" t="s">
        <v>495</v>
      </c>
      <c r="L217" s="6"/>
      <c r="M217" s="6" t="s">
        <v>785</v>
      </c>
      <c r="N217" s="6" t="s">
        <v>786</v>
      </c>
      <c r="O217" s="6">
        <v>1201048994</v>
      </c>
      <c r="P217" s="6"/>
      <c r="Q217" s="8"/>
      <c r="R217" s="6"/>
      <c r="S217" s="6"/>
      <c r="T217" s="6"/>
      <c r="U217" s="6">
        <v>2</v>
      </c>
      <c r="V217" s="6"/>
      <c r="W217" s="6" t="s">
        <v>37</v>
      </c>
      <c r="X217" s="7">
        <v>44987</v>
      </c>
      <c r="Y217" s="7"/>
      <c r="AC217"/>
      <c r="AE217" t="str">
        <f t="shared" si="39"/>
        <v>P000484</v>
      </c>
      <c r="AF217" t="str">
        <f>_xlfn.XLOOKUP(AE217, Hoja2!A:A, Hoja2!A:A)</f>
        <v>P000484</v>
      </c>
      <c r="AG217" t="str">
        <f t="shared" si="37"/>
        <v>PP00034-01</v>
      </c>
      <c r="AH217">
        <f>_xlfn.XLOOKUP(AG217, Hoja3!A:A, Hoja3!B:B)</f>
        <v>4803</v>
      </c>
      <c r="AI217">
        <f>_xlfn.XLOOKUP(AH217, Hoja4!A:A, Hoja4!B:B)</f>
        <v>13778222</v>
      </c>
      <c r="AJ217" t="b">
        <f t="shared" si="38"/>
        <v>1</v>
      </c>
    </row>
    <row r="218" spans="1:36" ht="15.5" hidden="1" customHeight="1" x14ac:dyDescent="0.35">
      <c r="A218">
        <f t="shared" ca="1" si="36"/>
        <v>0</v>
      </c>
      <c r="B218" s="55" t="s">
        <v>787</v>
      </c>
      <c r="C218" s="7">
        <v>45021</v>
      </c>
      <c r="D218" s="6" t="s">
        <v>788</v>
      </c>
      <c r="E218" s="6" t="s">
        <v>139</v>
      </c>
      <c r="F218" s="6" t="s">
        <v>789</v>
      </c>
      <c r="G218" s="6" t="s">
        <v>790</v>
      </c>
      <c r="H218" s="6" t="s">
        <v>791</v>
      </c>
      <c r="I218" s="6" t="s">
        <v>792</v>
      </c>
      <c r="J218" s="6" t="str">
        <f>IF(E218="KTG","KTG",(VLOOKUP(I218,'[1]list of outsource'!B:H,2,0)))</f>
        <v>Hongjing (Grandview)</v>
      </c>
      <c r="K218" s="6" t="s">
        <v>793</v>
      </c>
      <c r="L218" s="6"/>
      <c r="M218" s="55" t="s">
        <v>794</v>
      </c>
      <c r="N218" s="6" t="s">
        <v>795</v>
      </c>
      <c r="O218" s="6"/>
      <c r="P218" s="6"/>
      <c r="Q218" s="8"/>
      <c r="R218" s="6"/>
      <c r="S218" s="6"/>
      <c r="T218" s="6"/>
      <c r="U218" s="6">
        <v>2</v>
      </c>
      <c r="V218" s="6"/>
      <c r="W218" s="6" t="s">
        <v>37</v>
      </c>
      <c r="X218" s="7">
        <v>45021</v>
      </c>
      <c r="Y218" s="7"/>
      <c r="AB218" t="e">
        <v>#N/A</v>
      </c>
      <c r="AC218"/>
      <c r="AE218" t="str">
        <f t="shared" si="39"/>
        <v>P000393</v>
      </c>
      <c r="AF218" t="e">
        <f>_xlfn.XLOOKUP(AE218, Hoja2!A:A, Hoja2!A:A)</f>
        <v>#N/A</v>
      </c>
    </row>
    <row r="219" spans="1:36" ht="15.5" customHeight="1" x14ac:dyDescent="0.35">
      <c r="A219">
        <f t="shared" ca="1" si="36"/>
        <v>44</v>
      </c>
      <c r="B219" s="6" t="s">
        <v>796</v>
      </c>
      <c r="C219" s="7">
        <v>45027</v>
      </c>
      <c r="D219" s="6" t="s">
        <v>507</v>
      </c>
      <c r="E219" s="6" t="s">
        <v>83</v>
      </c>
      <c r="F219" s="6" t="s">
        <v>101</v>
      </c>
      <c r="G219" s="6" t="s">
        <v>299</v>
      </c>
      <c r="H219" s="6" t="s">
        <v>756</v>
      </c>
      <c r="I219" s="6" t="s">
        <v>133</v>
      </c>
      <c r="J219" s="6" t="str">
        <f>IF(E219="KTG","KTG",(VLOOKUP(I219,'[1]list of outsource'!B:H,2,0)))</f>
        <v>UPM</v>
      </c>
      <c r="K219" s="6" t="s">
        <v>301</v>
      </c>
      <c r="L219" s="6"/>
      <c r="M219" s="6" t="s">
        <v>757</v>
      </c>
      <c r="N219" s="6" t="s">
        <v>797</v>
      </c>
      <c r="O219" s="6">
        <v>1188109083</v>
      </c>
      <c r="P219" s="6"/>
      <c r="Q219" s="8"/>
      <c r="R219" s="6"/>
      <c r="S219" s="6"/>
      <c r="T219" s="6"/>
      <c r="U219" s="6">
        <v>2</v>
      </c>
      <c r="V219" s="6"/>
      <c r="W219" s="6" t="s">
        <v>37</v>
      </c>
      <c r="X219" s="7">
        <v>45071</v>
      </c>
      <c r="Y219" s="7">
        <v>45085</v>
      </c>
      <c r="AC219"/>
      <c r="AE219" t="str">
        <f t="shared" si="39"/>
        <v>P000027</v>
      </c>
      <c r="AF219" t="str">
        <f>_xlfn.XLOOKUP(AE219, Hoja2!A:A, Hoja2!A:A)</f>
        <v>P000027</v>
      </c>
      <c r="AG219" t="str">
        <f t="shared" ref="AG219:AG228" si="40">LEFT(B219, FIND(" ", B219 &amp; " ") - 1)</f>
        <v>PP00027-05</v>
      </c>
      <c r="AH219">
        <f>_xlfn.XLOOKUP(AG219, Hoja3!A:A, Hoja3!B:B)</f>
        <v>4571</v>
      </c>
      <c r="AI219" t="str">
        <f>_xlfn.XLOOKUP(AH219, Hoja4!A:A, Hoja4!B:B)</f>
        <v>GP088847</v>
      </c>
      <c r="AJ219" t="b">
        <f t="shared" ref="AJ219:AJ228" si="41">H219=AI219</f>
        <v>1</v>
      </c>
    </row>
    <row r="220" spans="1:36" ht="15.5" customHeight="1" x14ac:dyDescent="0.35">
      <c r="A220">
        <f t="shared" ca="1" si="36"/>
        <v>44</v>
      </c>
      <c r="B220" s="6" t="s">
        <v>798</v>
      </c>
      <c r="C220" s="7">
        <v>45027</v>
      </c>
      <c r="D220" s="6" t="s">
        <v>507</v>
      </c>
      <c r="E220" s="6" t="s">
        <v>83</v>
      </c>
      <c r="F220" s="6" t="s">
        <v>101</v>
      </c>
      <c r="G220" s="6" t="s">
        <v>299</v>
      </c>
      <c r="H220" s="6" t="s">
        <v>132</v>
      </c>
      <c r="I220" s="6" t="s">
        <v>133</v>
      </c>
      <c r="J220" s="6" t="str">
        <f>IF(E220="KTG","KTG",(VLOOKUP(I220,'[1]list of outsource'!B:H,2,0)))</f>
        <v>UPM</v>
      </c>
      <c r="K220" s="6" t="s">
        <v>301</v>
      </c>
      <c r="L220" s="6"/>
      <c r="M220" s="6" t="s">
        <v>135</v>
      </c>
      <c r="N220" s="6" t="s">
        <v>799</v>
      </c>
      <c r="O220" s="6">
        <v>1189551671</v>
      </c>
      <c r="P220" s="6"/>
      <c r="Q220" s="8"/>
      <c r="R220" s="6"/>
      <c r="S220" s="6"/>
      <c r="T220" s="6"/>
      <c r="U220" s="6">
        <v>2</v>
      </c>
      <c r="V220" s="6"/>
      <c r="W220" s="6" t="s">
        <v>37</v>
      </c>
      <c r="X220" s="7">
        <v>45071</v>
      </c>
      <c r="Y220" s="7">
        <v>45083</v>
      </c>
      <c r="AC220" t="e">
        <v>#N/A</v>
      </c>
      <c r="AE220" t="str">
        <f t="shared" si="39"/>
        <v>P000028</v>
      </c>
      <c r="AF220" t="str">
        <f>_xlfn.XLOOKUP(AE220, Hoja2!A:A, Hoja2!A:A)</f>
        <v>P000028</v>
      </c>
      <c r="AG220" t="str">
        <f t="shared" si="40"/>
        <v>PP00027-06</v>
      </c>
      <c r="AH220">
        <f>_xlfn.XLOOKUP(AG220, Hoja3!A:A, Hoja3!B:B)</f>
        <v>4572</v>
      </c>
      <c r="AI220" t="str">
        <f>_xlfn.XLOOKUP(AH220, Hoja4!A:A, Hoja4!B:B)</f>
        <v>GP085283</v>
      </c>
      <c r="AJ220" t="b">
        <f t="shared" si="41"/>
        <v>1</v>
      </c>
    </row>
    <row r="221" spans="1:36" ht="15.5" customHeight="1" x14ac:dyDescent="0.35">
      <c r="A221">
        <f t="shared" ca="1" si="36"/>
        <v>29</v>
      </c>
      <c r="B221" s="6" t="s">
        <v>800</v>
      </c>
      <c r="C221" s="7">
        <v>45027</v>
      </c>
      <c r="D221" s="6" t="s">
        <v>507</v>
      </c>
      <c r="E221" s="6" t="s">
        <v>83</v>
      </c>
      <c r="F221" s="6" t="s">
        <v>101</v>
      </c>
      <c r="G221" s="6" t="s">
        <v>299</v>
      </c>
      <c r="H221" s="6" t="s">
        <v>801</v>
      </c>
      <c r="I221" s="6" t="s">
        <v>133</v>
      </c>
      <c r="J221" s="6" t="str">
        <f>IF(E221="KTG","KTG",(VLOOKUP(I221,'[1]list of outsource'!B:H,2,0)))</f>
        <v>UPM</v>
      </c>
      <c r="K221" s="6" t="s">
        <v>301</v>
      </c>
      <c r="L221" s="6"/>
      <c r="M221" s="6" t="s">
        <v>802</v>
      </c>
      <c r="N221" s="6" t="s">
        <v>803</v>
      </c>
      <c r="O221" s="6">
        <v>1188108153</v>
      </c>
      <c r="P221" s="6"/>
      <c r="Q221" s="8"/>
      <c r="R221" s="6"/>
      <c r="S221" s="6"/>
      <c r="T221" s="6"/>
      <c r="U221" s="6">
        <v>2</v>
      </c>
      <c r="V221" s="6"/>
      <c r="W221" s="6" t="s">
        <v>37</v>
      </c>
      <c r="X221" s="7">
        <v>45056</v>
      </c>
      <c r="Y221" s="7">
        <v>45085</v>
      </c>
      <c r="AB221" t="s">
        <v>804</v>
      </c>
      <c r="AC221"/>
      <c r="AE221" t="str">
        <f t="shared" si="39"/>
        <v>P000025</v>
      </c>
      <c r="AF221" t="str">
        <f>_xlfn.XLOOKUP(AE221, Hoja2!A:A, Hoja2!A:A)</f>
        <v>P000025</v>
      </c>
      <c r="AG221" t="str">
        <f t="shared" si="40"/>
        <v>PP00027-01</v>
      </c>
      <c r="AH221">
        <f>_xlfn.XLOOKUP(AG221, Hoja3!A:A, Hoja3!B:B)</f>
        <v>4569</v>
      </c>
      <c r="AI221" t="str">
        <f>_xlfn.XLOOKUP(AH221, Hoja4!A:A, Hoja4!B:B)</f>
        <v>GP088845</v>
      </c>
      <c r="AJ221" t="b">
        <f t="shared" si="41"/>
        <v>1</v>
      </c>
    </row>
    <row r="222" spans="1:36" ht="15.5" customHeight="1" x14ac:dyDescent="0.35">
      <c r="A222">
        <f t="shared" ca="1" si="36"/>
        <v>29</v>
      </c>
      <c r="B222" s="6" t="s">
        <v>805</v>
      </c>
      <c r="C222" s="7">
        <v>45027</v>
      </c>
      <c r="D222" s="6" t="s">
        <v>507</v>
      </c>
      <c r="E222" s="6" t="s">
        <v>83</v>
      </c>
      <c r="F222" s="6" t="s">
        <v>101</v>
      </c>
      <c r="G222" s="6" t="s">
        <v>299</v>
      </c>
      <c r="H222" s="6" t="s">
        <v>806</v>
      </c>
      <c r="I222" s="6" t="s">
        <v>133</v>
      </c>
      <c r="J222" s="6" t="str">
        <f>IF(E222="KTG","KTG",(VLOOKUP(I222,'[1]list of outsource'!B:H,2,0)))</f>
        <v>UPM</v>
      </c>
      <c r="K222" s="6" t="s">
        <v>301</v>
      </c>
      <c r="L222" s="6"/>
      <c r="M222" s="6" t="s">
        <v>807</v>
      </c>
      <c r="N222" s="6" t="s">
        <v>808</v>
      </c>
      <c r="O222" s="6">
        <v>1189550557</v>
      </c>
      <c r="P222" s="6"/>
      <c r="Q222" s="8"/>
      <c r="R222" s="6"/>
      <c r="S222" s="6"/>
      <c r="T222" s="6"/>
      <c r="U222" s="6">
        <v>2</v>
      </c>
      <c r="V222" s="6"/>
      <c r="W222" s="6" t="s">
        <v>37</v>
      </c>
      <c r="X222" s="7">
        <v>45056</v>
      </c>
      <c r="Y222" s="7">
        <v>45085</v>
      </c>
      <c r="AB222" t="e">
        <v>#N/A</v>
      </c>
      <c r="AC222"/>
      <c r="AE222" t="str">
        <f t="shared" si="39"/>
        <v>P100355</v>
      </c>
      <c r="AF222" t="str">
        <f>_xlfn.XLOOKUP(AE222, Hoja2!A:A, Hoja2!A:A)</f>
        <v>P100355</v>
      </c>
      <c r="AG222" t="str">
        <f t="shared" si="40"/>
        <v>PP00027-03</v>
      </c>
      <c r="AH222">
        <f>_xlfn.XLOOKUP(AG222, Hoja3!A:A, Hoja3!B:B)</f>
        <v>4584</v>
      </c>
      <c r="AI222" t="str">
        <f>_xlfn.XLOOKUP(AH222, Hoja4!A:A, Hoja4!B:B)</f>
        <v>GP088844</v>
      </c>
      <c r="AJ222" t="b">
        <f t="shared" si="41"/>
        <v>1</v>
      </c>
    </row>
    <row r="223" spans="1:36" ht="15.5" customHeight="1" x14ac:dyDescent="0.35">
      <c r="A223">
        <f t="shared" ca="1" si="36"/>
        <v>34</v>
      </c>
      <c r="B223" s="12" t="s">
        <v>364</v>
      </c>
      <c r="C223" s="13">
        <v>45035</v>
      </c>
      <c r="D223" s="14" t="s">
        <v>121</v>
      </c>
      <c r="E223" s="14" t="s">
        <v>83</v>
      </c>
      <c r="F223" s="14" t="s">
        <v>356</v>
      </c>
      <c r="G223" s="14" t="s">
        <v>32</v>
      </c>
      <c r="H223" s="14" t="s">
        <v>365</v>
      </c>
      <c r="I223" s="14" t="s">
        <v>158</v>
      </c>
      <c r="J223" s="14" t="str">
        <f>IF(E223="KTG","KTG",(VLOOKUP(I223,'[1]list of outsource'!B:H,2,0)))</f>
        <v>UPM</v>
      </c>
      <c r="K223" s="14" t="s">
        <v>159</v>
      </c>
      <c r="L223" s="14"/>
      <c r="M223" s="14" t="s">
        <v>366</v>
      </c>
      <c r="N223" s="14" t="s">
        <v>809</v>
      </c>
      <c r="O223" s="14" t="s">
        <v>810</v>
      </c>
      <c r="P223" s="14"/>
      <c r="Q223" s="15"/>
      <c r="R223" s="14"/>
      <c r="S223" s="16"/>
      <c r="T223" s="14"/>
      <c r="U223" s="14">
        <v>2</v>
      </c>
      <c r="V223" s="14"/>
      <c r="W223" s="14" t="s">
        <v>154</v>
      </c>
      <c r="X223" s="13">
        <v>45069</v>
      </c>
      <c r="Y223" s="13"/>
      <c r="AC223" t="s">
        <v>4209</v>
      </c>
      <c r="AE223" t="str">
        <f t="shared" si="39"/>
        <v>P000117</v>
      </c>
      <c r="AF223" t="str">
        <f>_xlfn.XLOOKUP(AE223, Hoja2!A:A, Hoja2!A:A)</f>
        <v>P000117</v>
      </c>
      <c r="AG223" t="str">
        <f t="shared" si="40"/>
        <v>PP00012-03</v>
      </c>
      <c r="AH223">
        <f>_xlfn.XLOOKUP(AG223, Hoja3!A:A, Hoja3!B:B)</f>
        <v>4046</v>
      </c>
      <c r="AI223" t="str">
        <f>_xlfn.XLOOKUP(AH223, Hoja4!A:A, Hoja4!B:B)</f>
        <v>GAT023</v>
      </c>
      <c r="AJ223" t="b">
        <f t="shared" si="41"/>
        <v>1</v>
      </c>
    </row>
    <row r="224" spans="1:36" ht="15.5" customHeight="1" x14ac:dyDescent="0.35">
      <c r="A224">
        <f t="shared" ca="1" si="36"/>
        <v>1</v>
      </c>
      <c r="B224" s="12" t="s">
        <v>811</v>
      </c>
      <c r="C224" s="13">
        <v>45980</v>
      </c>
      <c r="D224" s="14" t="s">
        <v>121</v>
      </c>
      <c r="E224" s="14" t="s">
        <v>83</v>
      </c>
      <c r="F224" s="14" t="s">
        <v>739</v>
      </c>
      <c r="G224" s="14" t="s">
        <v>156</v>
      </c>
      <c r="H224" s="14" t="s">
        <v>267</v>
      </c>
      <c r="I224" s="14" t="s">
        <v>95</v>
      </c>
      <c r="J224" s="14" t="str">
        <f>IF(E224="KTG","KTG",(VLOOKUP(I224,'[1]list of outsource'!B:H,2,0)))</f>
        <v>Woer</v>
      </c>
      <c r="K224" s="14" t="s">
        <v>96</v>
      </c>
      <c r="L224" s="14">
        <v>57</v>
      </c>
      <c r="M224" s="14" t="s">
        <v>268</v>
      </c>
      <c r="N224" s="14" t="s">
        <v>812</v>
      </c>
      <c r="O224" s="14" t="s">
        <v>813</v>
      </c>
      <c r="P224" s="14"/>
      <c r="Q224" s="15">
        <v>45436</v>
      </c>
      <c r="R224" s="14"/>
      <c r="S224" s="16"/>
      <c r="T224" s="14"/>
      <c r="U224" s="14">
        <v>1</v>
      </c>
      <c r="V224" s="14" t="s">
        <v>569</v>
      </c>
      <c r="W224" s="14" t="s">
        <v>154</v>
      </c>
      <c r="X224" s="13">
        <v>45981</v>
      </c>
      <c r="Y224" s="13"/>
      <c r="AC224" t="e">
        <v>#N/A</v>
      </c>
      <c r="AE224" t="str">
        <f t="shared" si="39"/>
        <v>P000147</v>
      </c>
      <c r="AF224" t="str">
        <f>_xlfn.XLOOKUP(AE224, Hoja2!A:A, Hoja2!A:A)</f>
        <v>P000147</v>
      </c>
      <c r="AG224" t="str">
        <f t="shared" si="40"/>
        <v>PP00028-0014</v>
      </c>
      <c r="AH224">
        <f>_xlfn.XLOOKUP(AG224, Hoja3!A:A, Hoja3!B:B)</f>
        <v>5468</v>
      </c>
      <c r="AI224" t="str">
        <f>_xlfn.XLOOKUP(AH224, Hoja4!A:A, Hoja4!B:B)</f>
        <v>E35100900</v>
      </c>
      <c r="AJ224" t="b">
        <f t="shared" si="41"/>
        <v>1</v>
      </c>
    </row>
    <row r="225" spans="1:36" ht="15.5" customHeight="1" x14ac:dyDescent="0.35">
      <c r="A225">
        <f t="shared" ca="1" si="36"/>
        <v>14</v>
      </c>
      <c r="B225" s="6" t="s">
        <v>814</v>
      </c>
      <c r="C225" s="7">
        <v>45936</v>
      </c>
      <c r="D225" s="6" t="s">
        <v>564</v>
      </c>
      <c r="E225" s="6" t="s">
        <v>139</v>
      </c>
      <c r="F225" s="6" t="s">
        <v>84</v>
      </c>
      <c r="G225" s="6" t="s">
        <v>156</v>
      </c>
      <c r="H225" s="6" t="s">
        <v>815</v>
      </c>
      <c r="I225" s="6" t="s">
        <v>494</v>
      </c>
      <c r="J225" s="6" t="str">
        <f>IF(E225="KTG","KTG",(VLOOKUP(I225,'[1]list of outsource'!B:H,2,0)))</f>
        <v>ETC</v>
      </c>
      <c r="K225" s="6" t="s">
        <v>495</v>
      </c>
      <c r="L225" s="6">
        <v>34</v>
      </c>
      <c r="M225" s="6" t="s">
        <v>816</v>
      </c>
      <c r="N225" s="6" t="s">
        <v>817</v>
      </c>
      <c r="O225" s="6" t="s">
        <v>818</v>
      </c>
      <c r="P225" s="6"/>
      <c r="Q225" s="8"/>
      <c r="R225" s="6"/>
      <c r="S225" s="6"/>
      <c r="T225" s="6"/>
      <c r="U225" s="6">
        <v>1</v>
      </c>
      <c r="V225" s="6" t="s">
        <v>569</v>
      </c>
      <c r="W225" s="6" t="s">
        <v>154</v>
      </c>
      <c r="X225" s="7">
        <v>45950</v>
      </c>
      <c r="Y225" s="7">
        <v>45953</v>
      </c>
      <c r="AC225"/>
      <c r="AE225" t="str">
        <f t="shared" si="39"/>
        <v>P000384</v>
      </c>
      <c r="AF225" t="str">
        <f>_xlfn.XLOOKUP(AE225, Hoja2!A:A, Hoja2!A:A)</f>
        <v>P000384</v>
      </c>
      <c r="AG225" t="str">
        <f t="shared" si="40"/>
        <v>PP00028-0019</v>
      </c>
      <c r="AH225">
        <f>_xlfn.XLOOKUP(AG225, Hoja3!A:A, Hoja3!B:B)</f>
        <v>5299</v>
      </c>
      <c r="AI225" t="str">
        <f>_xlfn.XLOOKUP(AH225, Hoja4!A:A, Hoja4!B:B)</f>
        <v>E40078200</v>
      </c>
      <c r="AJ225" t="b">
        <f t="shared" si="41"/>
        <v>1</v>
      </c>
    </row>
    <row r="226" spans="1:36" ht="15.5" customHeight="1" x14ac:dyDescent="0.35">
      <c r="A226">
        <f t="shared" ca="1" si="36"/>
        <v>30</v>
      </c>
      <c r="B226" s="6" t="s">
        <v>819</v>
      </c>
      <c r="C226" s="7">
        <v>45041</v>
      </c>
      <c r="D226" s="6" t="s">
        <v>507</v>
      </c>
      <c r="E226" s="6" t="s">
        <v>83</v>
      </c>
      <c r="F226" s="6" t="s">
        <v>101</v>
      </c>
      <c r="G226" s="6" t="s">
        <v>299</v>
      </c>
      <c r="H226" s="6" t="s">
        <v>820</v>
      </c>
      <c r="I226" s="6" t="s">
        <v>158</v>
      </c>
      <c r="J226" s="6" t="str">
        <f>IF(E226="KTG","KTG",(VLOOKUP(I226,'[1]list of outsource'!B:H,2,0)))</f>
        <v>UPM</v>
      </c>
      <c r="K226" s="6" t="s">
        <v>159</v>
      </c>
      <c r="L226" s="6"/>
      <c r="M226" s="6" t="s">
        <v>821</v>
      </c>
      <c r="N226" s="6" t="s">
        <v>822</v>
      </c>
      <c r="O226" s="6">
        <v>1189551983</v>
      </c>
      <c r="P226" s="6"/>
      <c r="Q226" s="8"/>
      <c r="R226" s="6"/>
      <c r="S226" s="6"/>
      <c r="T226" s="6"/>
      <c r="U226" s="6">
        <v>2</v>
      </c>
      <c r="V226" s="6"/>
      <c r="W226" s="6" t="s">
        <v>37</v>
      </c>
      <c r="X226" s="7">
        <v>45071</v>
      </c>
      <c r="Y226" s="7">
        <v>45140</v>
      </c>
      <c r="AB226" t="e">
        <v>#N/A</v>
      </c>
      <c r="AC226"/>
      <c r="AE226" t="str">
        <f t="shared" si="39"/>
        <v>P100365</v>
      </c>
      <c r="AF226" t="str">
        <f>_xlfn.XLOOKUP(AE226, Hoja2!A:A, Hoja2!A:A)</f>
        <v>P100365</v>
      </c>
      <c r="AG226" t="str">
        <f t="shared" si="40"/>
        <v>PP00027-12</v>
      </c>
      <c r="AH226">
        <f>_xlfn.XLOOKUP(AG226, Hoja3!A:A, Hoja3!B:B)</f>
        <v>4588</v>
      </c>
      <c r="AI226" t="str">
        <f>_xlfn.XLOOKUP(AH226, Hoja4!A:A, Hoja4!B:B)</f>
        <v>GP090353</v>
      </c>
      <c r="AJ226" t="b">
        <f t="shared" si="41"/>
        <v>1</v>
      </c>
    </row>
    <row r="227" spans="1:36" ht="15.5" customHeight="1" x14ac:dyDescent="0.35">
      <c r="A227">
        <f t="shared" ca="1" si="36"/>
        <v>21</v>
      </c>
      <c r="B227" s="17" t="s">
        <v>823</v>
      </c>
      <c r="C227" s="7">
        <v>45868</v>
      </c>
      <c r="D227" s="6" t="s">
        <v>564</v>
      </c>
      <c r="E227" s="6" t="s">
        <v>139</v>
      </c>
      <c r="F227" s="6" t="s">
        <v>84</v>
      </c>
      <c r="G227" s="6" t="s">
        <v>156</v>
      </c>
      <c r="H227" s="6" t="s">
        <v>415</v>
      </c>
      <c r="I227" s="6" t="s">
        <v>208</v>
      </c>
      <c r="J227" s="6" t="str">
        <f>IF(E227="KTG","KTG",(VLOOKUP(I227,'[1]list of outsource'!B:H,2,0)))</f>
        <v>ETC</v>
      </c>
      <c r="K227" s="6" t="s">
        <v>209</v>
      </c>
      <c r="L227" s="24">
        <v>23</v>
      </c>
      <c r="M227" s="6" t="s">
        <v>416</v>
      </c>
      <c r="N227" s="6" t="s">
        <v>579</v>
      </c>
      <c r="O227" s="6" t="s">
        <v>824</v>
      </c>
      <c r="P227" s="6">
        <v>0</v>
      </c>
      <c r="Q227" s="8">
        <v>0</v>
      </c>
      <c r="R227" s="6">
        <v>0</v>
      </c>
      <c r="S227" s="18">
        <v>0</v>
      </c>
      <c r="T227" s="6">
        <v>0</v>
      </c>
      <c r="U227" s="6">
        <v>1</v>
      </c>
      <c r="V227" s="6" t="s">
        <v>569</v>
      </c>
      <c r="W227" s="6" t="s">
        <v>576</v>
      </c>
      <c r="X227" s="7">
        <v>45889</v>
      </c>
      <c r="Y227" s="7">
        <v>45994</v>
      </c>
      <c r="AC227"/>
      <c r="AE227" t="str">
        <f t="shared" si="39"/>
        <v>P000163</v>
      </c>
      <c r="AF227" t="str">
        <f>_xlfn.XLOOKUP(AE227, Hoja2!A:A, Hoja2!A:A)</f>
        <v>P000163</v>
      </c>
      <c r="AG227" t="str">
        <f t="shared" si="40"/>
        <v>PP00028-0020</v>
      </c>
      <c r="AH227">
        <f>_xlfn.XLOOKUP(AG227, Hoja3!A:A, Hoja3!B:B)</f>
        <v>4016</v>
      </c>
      <c r="AI227" t="str">
        <f>_xlfn.XLOOKUP(AH227, Hoja4!A:A, Hoja4!B:B)</f>
        <v>E35100200</v>
      </c>
      <c r="AJ227" t="b">
        <f t="shared" si="41"/>
        <v>1</v>
      </c>
    </row>
    <row r="228" spans="1:36" ht="15.5" customHeight="1" x14ac:dyDescent="0.35">
      <c r="A228">
        <f t="shared" ca="1" si="36"/>
        <v>42</v>
      </c>
      <c r="B228" s="12" t="s">
        <v>825</v>
      </c>
      <c r="C228" s="13">
        <v>45049</v>
      </c>
      <c r="D228" s="14" t="s">
        <v>121</v>
      </c>
      <c r="E228" s="14" t="s">
        <v>139</v>
      </c>
      <c r="F228" s="14" t="s">
        <v>329</v>
      </c>
      <c r="G228" s="14" t="s">
        <v>299</v>
      </c>
      <c r="H228" s="14" t="s">
        <v>826</v>
      </c>
      <c r="I228" s="14" t="s">
        <v>402</v>
      </c>
      <c r="J228" s="14" t="str">
        <f>IF(E228="KTG","KTG",(VLOOKUP(I228,'[1]list of outsource'!B:H,2,0)))</f>
        <v>ETC</v>
      </c>
      <c r="K228" s="14" t="s">
        <v>403</v>
      </c>
      <c r="L228" s="14"/>
      <c r="M228" s="14" t="s">
        <v>827</v>
      </c>
      <c r="N228" s="14" t="s">
        <v>828</v>
      </c>
      <c r="O228" s="14">
        <v>1230873815</v>
      </c>
      <c r="P228" s="14"/>
      <c r="Q228" s="15"/>
      <c r="R228" s="14"/>
      <c r="S228" s="16"/>
      <c r="T228" s="14"/>
      <c r="U228" s="14">
        <v>2</v>
      </c>
      <c r="V228" s="14"/>
      <c r="W228" s="14" t="s">
        <v>37</v>
      </c>
      <c r="X228" s="13">
        <v>45091</v>
      </c>
      <c r="Y228" s="13"/>
      <c r="AC228" t="e">
        <v>#N/A</v>
      </c>
      <c r="AE228" t="str">
        <f t="shared" si="39"/>
        <v>P000215</v>
      </c>
      <c r="AF228" t="str">
        <f>_xlfn.XLOOKUP(AE228, Hoja2!A:A, Hoja2!A:A)</f>
        <v>P000215</v>
      </c>
      <c r="AG228" t="str">
        <f t="shared" si="40"/>
        <v>PP00024-04</v>
      </c>
      <c r="AH228">
        <f>_xlfn.XLOOKUP(AG228, Hoja3!A:A, Hoja3!B:B)</f>
        <v>5478</v>
      </c>
      <c r="AI228" t="str">
        <f>_xlfn.XLOOKUP(AH228, Hoja4!A:A, Hoja4!B:B)</f>
        <v>E38848500</v>
      </c>
      <c r="AJ228" t="b">
        <f t="shared" si="41"/>
        <v>1</v>
      </c>
    </row>
    <row r="229" spans="1:36" ht="15.5" hidden="1" customHeight="1" x14ac:dyDescent="0.35">
      <c r="A229">
        <f t="shared" ca="1" si="36"/>
        <v>42</v>
      </c>
      <c r="B229" s="56" t="s">
        <v>829</v>
      </c>
      <c r="C229" s="13">
        <v>45049</v>
      </c>
      <c r="D229" s="14" t="s">
        <v>121</v>
      </c>
      <c r="E229" s="14" t="s">
        <v>139</v>
      </c>
      <c r="F229" s="14" t="s">
        <v>329</v>
      </c>
      <c r="G229" s="14" t="s">
        <v>299</v>
      </c>
      <c r="H229" s="14" t="s">
        <v>830</v>
      </c>
      <c r="I229" s="14" t="s">
        <v>402</v>
      </c>
      <c r="J229" s="14" t="str">
        <f>IF(E229="KTG","KTG",(VLOOKUP(I229,'[1]list of outsource'!B:H,2,0)))</f>
        <v>ETC</v>
      </c>
      <c r="K229" s="14" t="s">
        <v>403</v>
      </c>
      <c r="L229" s="14"/>
      <c r="M229" s="55" t="s">
        <v>831</v>
      </c>
      <c r="N229" s="14" t="s">
        <v>832</v>
      </c>
      <c r="O229" s="14">
        <v>1230874098</v>
      </c>
      <c r="P229" s="14"/>
      <c r="Q229" s="15"/>
      <c r="R229" s="14"/>
      <c r="S229" s="16"/>
      <c r="T229" s="14"/>
      <c r="U229" s="14">
        <v>2</v>
      </c>
      <c r="V229" s="14"/>
      <c r="W229" s="14" t="s">
        <v>37</v>
      </c>
      <c r="X229" s="13">
        <v>45091</v>
      </c>
      <c r="Y229" s="13"/>
      <c r="AC229"/>
      <c r="AE229" t="str">
        <f t="shared" si="39"/>
        <v>P000286</v>
      </c>
      <c r="AF229" t="e">
        <f>_xlfn.XLOOKUP(AE229, Hoja2!A:A, Hoja2!A:A)</f>
        <v>#N/A</v>
      </c>
    </row>
    <row r="230" spans="1:36" ht="15.5" hidden="1" customHeight="1" x14ac:dyDescent="0.35">
      <c r="A230">
        <f t="shared" ca="1" si="36"/>
        <v>42</v>
      </c>
      <c r="B230" s="56" t="s">
        <v>833</v>
      </c>
      <c r="C230" s="13">
        <v>45049</v>
      </c>
      <c r="D230" s="14" t="s">
        <v>121</v>
      </c>
      <c r="E230" s="14" t="s">
        <v>139</v>
      </c>
      <c r="F230" s="14" t="s">
        <v>329</v>
      </c>
      <c r="G230" s="14" t="s">
        <v>299</v>
      </c>
      <c r="H230" s="14" t="s">
        <v>834</v>
      </c>
      <c r="I230" s="14" t="s">
        <v>402</v>
      </c>
      <c r="J230" s="14" t="str">
        <f>IF(E230="KTG","KTG",(VLOOKUP(I230,'[1]list of outsource'!B:H,2,0)))</f>
        <v>ETC</v>
      </c>
      <c r="K230" s="14" t="s">
        <v>403</v>
      </c>
      <c r="L230" s="14"/>
      <c r="M230" s="55" t="s">
        <v>835</v>
      </c>
      <c r="N230" s="14" t="s">
        <v>836</v>
      </c>
      <c r="O230" s="14">
        <v>1231236825</v>
      </c>
      <c r="P230" s="14"/>
      <c r="Q230" s="15"/>
      <c r="R230" s="14"/>
      <c r="S230" s="16"/>
      <c r="T230" s="14"/>
      <c r="U230" s="14">
        <v>2</v>
      </c>
      <c r="V230" s="14"/>
      <c r="W230" s="14" t="s">
        <v>37</v>
      </c>
      <c r="X230" s="13">
        <v>45091</v>
      </c>
      <c r="Y230" s="13"/>
      <c r="AC230"/>
      <c r="AE230" t="str">
        <f t="shared" si="39"/>
        <v>P000285</v>
      </c>
      <c r="AF230" t="e">
        <f>_xlfn.XLOOKUP(AE230, Hoja2!A:A, Hoja2!A:A)</f>
        <v>#N/A</v>
      </c>
    </row>
    <row r="231" spans="1:36" ht="15.5" customHeight="1" x14ac:dyDescent="0.35">
      <c r="A231">
        <f t="shared" ca="1" si="36"/>
        <v>42</v>
      </c>
      <c r="B231" s="12" t="s">
        <v>837</v>
      </c>
      <c r="C231" s="13">
        <v>45049</v>
      </c>
      <c r="D231" s="14" t="s">
        <v>121</v>
      </c>
      <c r="E231" s="14" t="s">
        <v>139</v>
      </c>
      <c r="F231" s="14" t="s">
        <v>329</v>
      </c>
      <c r="G231" s="14" t="s">
        <v>299</v>
      </c>
      <c r="H231" s="14" t="s">
        <v>838</v>
      </c>
      <c r="I231" s="14" t="s">
        <v>402</v>
      </c>
      <c r="J231" s="14" t="str">
        <f>IF(E231="KTG","KTG",(VLOOKUP(I231,'[1]list of outsource'!B:H,2,0)))</f>
        <v>ETC</v>
      </c>
      <c r="K231" s="14" t="s">
        <v>403</v>
      </c>
      <c r="L231" s="14"/>
      <c r="M231" s="14" t="s">
        <v>482</v>
      </c>
      <c r="N231" s="14" t="s">
        <v>839</v>
      </c>
      <c r="O231" s="14">
        <v>1231239934</v>
      </c>
      <c r="P231" s="14"/>
      <c r="Q231" s="15"/>
      <c r="R231" s="14"/>
      <c r="S231" s="16"/>
      <c r="T231" s="14"/>
      <c r="U231" s="14">
        <v>2</v>
      </c>
      <c r="V231" s="14"/>
      <c r="W231" s="14" t="s">
        <v>37</v>
      </c>
      <c r="X231" s="13">
        <v>45091</v>
      </c>
      <c r="Y231" s="13"/>
      <c r="AC231"/>
      <c r="AE231" t="str">
        <f t="shared" si="39"/>
        <v>P000253</v>
      </c>
      <c r="AF231" t="str">
        <f>_xlfn.XLOOKUP(AE231, Hoja2!A:A, Hoja2!A:A)</f>
        <v>P000253</v>
      </c>
      <c r="AG231" t="str">
        <f>LEFT(B231, FIND(" ", B231 &amp; " ") - 1)</f>
        <v>PP00024-07</v>
      </c>
      <c r="AH231">
        <f>_xlfn.XLOOKUP(AG231, Hoja3!A:A, Hoja3!B:B)</f>
        <v>5479</v>
      </c>
      <c r="AI231" t="str">
        <f>_xlfn.XLOOKUP(AH231, Hoja4!A:A, Hoja4!B:B)</f>
        <v>E38847600</v>
      </c>
      <c r="AJ231" t="b">
        <f>H231=AI231</f>
        <v>1</v>
      </c>
    </row>
    <row r="232" spans="1:36" ht="15.5" hidden="1" customHeight="1" x14ac:dyDescent="0.35">
      <c r="A232">
        <f t="shared" ca="1" si="36"/>
        <v>42</v>
      </c>
      <c r="B232" s="56" t="s">
        <v>840</v>
      </c>
      <c r="C232" s="13">
        <v>45049</v>
      </c>
      <c r="D232" s="14" t="s">
        <v>121</v>
      </c>
      <c r="E232" s="14" t="s">
        <v>139</v>
      </c>
      <c r="F232" s="14" t="s">
        <v>329</v>
      </c>
      <c r="G232" s="14" t="s">
        <v>299</v>
      </c>
      <c r="H232" s="14" t="s">
        <v>841</v>
      </c>
      <c r="I232" s="14" t="s">
        <v>402</v>
      </c>
      <c r="J232" s="14" t="str">
        <f>IF(E232="KTG","KTG",(VLOOKUP(I232,'[1]list of outsource'!B:H,2,0)))</f>
        <v>ETC</v>
      </c>
      <c r="K232" s="14" t="s">
        <v>403</v>
      </c>
      <c r="L232" s="14"/>
      <c r="M232" s="55" t="s">
        <v>842</v>
      </c>
      <c r="N232" s="14" t="s">
        <v>843</v>
      </c>
      <c r="O232" s="14">
        <v>1231251395</v>
      </c>
      <c r="P232" s="14"/>
      <c r="Q232" s="15"/>
      <c r="R232" s="14"/>
      <c r="S232" s="16"/>
      <c r="T232" s="14"/>
      <c r="U232" s="14">
        <v>2</v>
      </c>
      <c r="V232" s="14"/>
      <c r="W232" s="14" t="s">
        <v>37</v>
      </c>
      <c r="X232" s="13">
        <v>45091</v>
      </c>
      <c r="Y232" s="13"/>
      <c r="AC232"/>
      <c r="AE232" t="str">
        <f t="shared" si="39"/>
        <v>P000266</v>
      </c>
      <c r="AF232" t="e">
        <f>_xlfn.XLOOKUP(AE232, Hoja2!A:A, Hoja2!A:A)</f>
        <v>#N/A</v>
      </c>
    </row>
    <row r="233" spans="1:36" ht="15.5" customHeight="1" x14ac:dyDescent="0.35">
      <c r="A233">
        <f t="shared" ca="1" si="36"/>
        <v>21</v>
      </c>
      <c r="B233" s="12" t="s">
        <v>844</v>
      </c>
      <c r="C233" s="13">
        <v>45049</v>
      </c>
      <c r="D233" s="14" t="s">
        <v>121</v>
      </c>
      <c r="E233" s="14" t="s">
        <v>139</v>
      </c>
      <c r="F233" s="14" t="s">
        <v>329</v>
      </c>
      <c r="G233" s="14" t="s">
        <v>299</v>
      </c>
      <c r="H233" s="14" t="s">
        <v>594</v>
      </c>
      <c r="I233" s="14" t="s">
        <v>402</v>
      </c>
      <c r="J233" s="14" t="str">
        <f>IF(E233="KTG","KTG",(VLOOKUP(I233,'[1]list of outsource'!B:H,2,0)))</f>
        <v>ETC</v>
      </c>
      <c r="K233" s="14" t="s">
        <v>403</v>
      </c>
      <c r="L233" s="14"/>
      <c r="M233" s="14" t="s">
        <v>595</v>
      </c>
      <c r="N233" s="14" t="s">
        <v>596</v>
      </c>
      <c r="O233" s="14">
        <v>1201418073</v>
      </c>
      <c r="P233" s="14"/>
      <c r="Q233" s="15"/>
      <c r="R233" s="14"/>
      <c r="S233" s="16"/>
      <c r="T233" s="14"/>
      <c r="U233" s="14">
        <v>2</v>
      </c>
      <c r="V233" s="14"/>
      <c r="W233" s="14" t="s">
        <v>37</v>
      </c>
      <c r="X233" s="13">
        <v>45070</v>
      </c>
      <c r="Y233" s="13"/>
      <c r="AB233" t="e">
        <v>#N/A</v>
      </c>
      <c r="AC233"/>
      <c r="AE233" t="str">
        <f t="shared" si="39"/>
        <v>P000269</v>
      </c>
      <c r="AF233" t="str">
        <f>_xlfn.XLOOKUP(AE233, Hoja2!A:A, Hoja2!A:A)</f>
        <v>P000269</v>
      </c>
      <c r="AG233" t="str">
        <f t="shared" ref="AG233:AG239" si="42">LEFT(B233, FIND(" ", B233 &amp; " ") - 1)</f>
        <v>PP00024-09</v>
      </c>
      <c r="AH233">
        <f>_xlfn.XLOOKUP(AG233, Hoja3!A:A, Hoja3!B:B)</f>
        <v>5481</v>
      </c>
      <c r="AI233" t="str">
        <f>_xlfn.XLOOKUP(AH233, Hoja4!A:A, Hoja4!B:B)</f>
        <v>E38846500</v>
      </c>
      <c r="AJ233" t="b">
        <f t="shared" ref="AJ233:AJ239" si="43">H233=AI233</f>
        <v>1</v>
      </c>
    </row>
    <row r="234" spans="1:36" ht="15.5" customHeight="1" x14ac:dyDescent="0.35">
      <c r="A234">
        <f t="shared" ca="1" si="36"/>
        <v>20</v>
      </c>
      <c r="B234" s="12" t="s">
        <v>845</v>
      </c>
      <c r="C234" s="13">
        <v>45049</v>
      </c>
      <c r="D234" s="14" t="s">
        <v>121</v>
      </c>
      <c r="E234" s="14" t="s">
        <v>139</v>
      </c>
      <c r="F234" s="14" t="s">
        <v>329</v>
      </c>
      <c r="G234" s="14" t="s">
        <v>299</v>
      </c>
      <c r="H234" s="14" t="s">
        <v>703</v>
      </c>
      <c r="I234" s="14" t="s">
        <v>402</v>
      </c>
      <c r="J234" s="14" t="str">
        <f>IF(E234="KTG","KTG",(VLOOKUP(I234,'[1]list of outsource'!B:H,2,0)))</f>
        <v>ETC</v>
      </c>
      <c r="K234" s="14" t="s">
        <v>403</v>
      </c>
      <c r="L234" s="14"/>
      <c r="M234" s="14" t="s">
        <v>704</v>
      </c>
      <c r="N234" s="14" t="s">
        <v>846</v>
      </c>
      <c r="O234" s="14">
        <v>1214709577</v>
      </c>
      <c r="P234" s="14"/>
      <c r="Q234" s="15"/>
      <c r="R234" s="14"/>
      <c r="S234" s="16"/>
      <c r="T234" s="14"/>
      <c r="U234" s="14">
        <v>2</v>
      </c>
      <c r="V234" s="14"/>
      <c r="W234" s="14" t="s">
        <v>37</v>
      </c>
      <c r="X234" s="13">
        <v>45069</v>
      </c>
      <c r="Y234" s="13"/>
      <c r="AB234" t="e">
        <v>#N/A</v>
      </c>
      <c r="AC234"/>
      <c r="AE234" t="str">
        <f t="shared" si="39"/>
        <v>P000289</v>
      </c>
      <c r="AF234" t="str">
        <f>_xlfn.XLOOKUP(AE234, Hoja2!A:A, Hoja2!A:A)</f>
        <v>P000289</v>
      </c>
      <c r="AG234" t="str">
        <f t="shared" si="42"/>
        <v>PP00024-10</v>
      </c>
      <c r="AH234">
        <f>_xlfn.XLOOKUP(AG234, Hoja3!A:A, Hoja3!B:B)</f>
        <v>5483</v>
      </c>
      <c r="AI234" t="str">
        <f>_xlfn.XLOOKUP(AH234, Hoja4!A:A, Hoja4!B:B)</f>
        <v>E38925800</v>
      </c>
      <c r="AJ234" t="b">
        <f t="shared" si="43"/>
        <v>1</v>
      </c>
    </row>
    <row r="235" spans="1:36" ht="15.5" customHeight="1" x14ac:dyDescent="0.35">
      <c r="A235">
        <f t="shared" ca="1" si="36"/>
        <v>42</v>
      </c>
      <c r="B235" s="12" t="s">
        <v>847</v>
      </c>
      <c r="C235" s="13">
        <v>45049</v>
      </c>
      <c r="D235" s="14" t="s">
        <v>121</v>
      </c>
      <c r="E235" s="14" t="s">
        <v>139</v>
      </c>
      <c r="F235" s="14" t="s">
        <v>329</v>
      </c>
      <c r="G235" s="14" t="s">
        <v>299</v>
      </c>
      <c r="H235" s="14" t="s">
        <v>848</v>
      </c>
      <c r="I235" s="14" t="s">
        <v>849</v>
      </c>
      <c r="J235" s="14" t="str">
        <f>IF(E235="KTG","KTG",(VLOOKUP(I235,'[1]list of outsource'!B:H,2,0)))</f>
        <v>ETC</v>
      </c>
      <c r="K235" s="14" t="s">
        <v>850</v>
      </c>
      <c r="L235" s="14"/>
      <c r="M235" s="14" t="s">
        <v>851</v>
      </c>
      <c r="N235" s="14" t="s">
        <v>852</v>
      </c>
      <c r="O235" s="14">
        <v>1230226930</v>
      </c>
      <c r="P235" s="14"/>
      <c r="Q235" s="15"/>
      <c r="R235" s="14"/>
      <c r="S235" s="16"/>
      <c r="T235" s="14"/>
      <c r="U235" s="14">
        <v>2</v>
      </c>
      <c r="V235" s="14"/>
      <c r="W235" s="14" t="s">
        <v>37</v>
      </c>
      <c r="X235" s="13">
        <v>45091</v>
      </c>
      <c r="Y235" s="13"/>
      <c r="AC235" t="e">
        <v>#N/A</v>
      </c>
      <c r="AE235" t="str">
        <f t="shared" si="39"/>
        <v>P000294</v>
      </c>
      <c r="AF235" t="str">
        <f>_xlfn.XLOOKUP(AE235, Hoja2!A:A, Hoja2!A:A)</f>
        <v>P000294</v>
      </c>
      <c r="AG235" t="str">
        <f t="shared" si="42"/>
        <v>PP00024-11</v>
      </c>
      <c r="AH235">
        <f>_xlfn.XLOOKUP(AG235, Hoja3!A:A, Hoja3!B:B)</f>
        <v>5485</v>
      </c>
      <c r="AI235" t="str">
        <f>_xlfn.XLOOKUP(AH235, Hoja4!A:A, Hoja4!B:B)</f>
        <v>E38923800</v>
      </c>
      <c r="AJ235" t="b">
        <f t="shared" si="43"/>
        <v>1</v>
      </c>
    </row>
    <row r="236" spans="1:36" ht="15.5" customHeight="1" x14ac:dyDescent="0.35">
      <c r="A236">
        <f t="shared" ca="1" si="36"/>
        <v>42</v>
      </c>
      <c r="B236" s="12" t="s">
        <v>853</v>
      </c>
      <c r="C236" s="13">
        <v>45049</v>
      </c>
      <c r="D236" s="14" t="s">
        <v>121</v>
      </c>
      <c r="E236" s="14" t="s">
        <v>139</v>
      </c>
      <c r="F236" s="14" t="s">
        <v>329</v>
      </c>
      <c r="G236" s="14" t="s">
        <v>299</v>
      </c>
      <c r="H236" s="14" t="s">
        <v>854</v>
      </c>
      <c r="I236" s="14" t="s">
        <v>402</v>
      </c>
      <c r="J236" s="14" t="str">
        <f>IF(E236="KTG","KTG",(VLOOKUP(I236,'[1]list of outsource'!B:H,2,0)))</f>
        <v>ETC</v>
      </c>
      <c r="K236" s="14" t="s">
        <v>403</v>
      </c>
      <c r="L236" s="14">
        <v>38</v>
      </c>
      <c r="M236" s="14" t="s">
        <v>855</v>
      </c>
      <c r="N236" s="14" t="s">
        <v>856</v>
      </c>
      <c r="O236" s="14">
        <v>1230815655</v>
      </c>
      <c r="P236" s="14"/>
      <c r="Q236" s="15"/>
      <c r="R236" s="14"/>
      <c r="S236" s="16"/>
      <c r="T236" s="14"/>
      <c r="U236" s="14">
        <v>2</v>
      </c>
      <c r="V236" s="14"/>
      <c r="W236" s="14" t="s">
        <v>37</v>
      </c>
      <c r="X236" s="13">
        <v>45091</v>
      </c>
      <c r="Y236" s="13"/>
      <c r="AC236" t="e">
        <v>#N/A</v>
      </c>
      <c r="AE236" t="str">
        <f t="shared" si="39"/>
        <v>P000251</v>
      </c>
      <c r="AF236" t="str">
        <f>_xlfn.XLOOKUP(AE236, Hoja2!A:A, Hoja2!A:A)</f>
        <v>P000251</v>
      </c>
      <c r="AG236" t="str">
        <f t="shared" si="42"/>
        <v>PP00024-12</v>
      </c>
      <c r="AH236">
        <f>_xlfn.XLOOKUP(AG236, Hoja3!A:A, Hoja3!B:B)</f>
        <v>5487</v>
      </c>
      <c r="AI236" t="str">
        <f>_xlfn.XLOOKUP(AH236, Hoja4!A:A, Hoja4!B:B)</f>
        <v>E38846700</v>
      </c>
      <c r="AJ236" t="b">
        <f t="shared" si="43"/>
        <v>1</v>
      </c>
    </row>
    <row r="237" spans="1:36" ht="15.5" customHeight="1" x14ac:dyDescent="0.35">
      <c r="A237">
        <f t="shared" ca="1" si="36"/>
        <v>20</v>
      </c>
      <c r="B237" s="12" t="s">
        <v>857</v>
      </c>
      <c r="C237" s="13">
        <v>45049</v>
      </c>
      <c r="D237" s="14" t="s">
        <v>121</v>
      </c>
      <c r="E237" s="14" t="s">
        <v>139</v>
      </c>
      <c r="F237" s="14" t="s">
        <v>329</v>
      </c>
      <c r="G237" s="14" t="s">
        <v>299</v>
      </c>
      <c r="H237" s="14" t="s">
        <v>689</v>
      </c>
      <c r="I237" s="14" t="s">
        <v>402</v>
      </c>
      <c r="J237" s="14" t="str">
        <f>IF(E237="KTG","KTG",(VLOOKUP(I237,'[1]list of outsource'!B:H,2,0)))</f>
        <v>ETC</v>
      </c>
      <c r="K237" s="14" t="s">
        <v>403</v>
      </c>
      <c r="L237" s="14"/>
      <c r="M237" s="14" t="s">
        <v>690</v>
      </c>
      <c r="N237" s="14" t="s">
        <v>691</v>
      </c>
      <c r="O237" s="14">
        <v>1213677083</v>
      </c>
      <c r="P237" s="14"/>
      <c r="Q237" s="15"/>
      <c r="R237" s="14"/>
      <c r="S237" s="16"/>
      <c r="T237" s="14"/>
      <c r="U237" s="14">
        <v>2</v>
      </c>
      <c r="V237" s="14"/>
      <c r="W237" s="14" t="s">
        <v>37</v>
      </c>
      <c r="X237" s="13">
        <v>45069</v>
      </c>
      <c r="Y237" s="13"/>
      <c r="AB237" t="e">
        <v>#N/A</v>
      </c>
      <c r="AC237"/>
      <c r="AE237" t="str">
        <f t="shared" si="39"/>
        <v>P000213</v>
      </c>
      <c r="AF237" t="str">
        <f>_xlfn.XLOOKUP(AE237, Hoja2!A:A, Hoja2!A:A)</f>
        <v>P000213</v>
      </c>
      <c r="AG237" t="str">
        <f t="shared" si="42"/>
        <v>PP00024-13</v>
      </c>
      <c r="AH237">
        <f>_xlfn.XLOOKUP(AG237, Hoja3!A:A, Hoja3!B:B)</f>
        <v>5489</v>
      </c>
      <c r="AI237" t="str">
        <f>_xlfn.XLOOKUP(AH237, Hoja4!A:A, Hoja4!B:B)</f>
        <v>E36449500</v>
      </c>
      <c r="AJ237" t="b">
        <f t="shared" si="43"/>
        <v>1</v>
      </c>
    </row>
    <row r="238" spans="1:36" ht="15.5" customHeight="1" x14ac:dyDescent="0.35">
      <c r="A238">
        <f t="shared" ca="1" si="36"/>
        <v>42</v>
      </c>
      <c r="B238" s="12" t="s">
        <v>858</v>
      </c>
      <c r="C238" s="13">
        <v>45049</v>
      </c>
      <c r="D238" s="14" t="s">
        <v>121</v>
      </c>
      <c r="E238" s="14" t="s">
        <v>139</v>
      </c>
      <c r="F238" s="14" t="s">
        <v>329</v>
      </c>
      <c r="G238" s="14" t="s">
        <v>299</v>
      </c>
      <c r="H238" s="14" t="s">
        <v>859</v>
      </c>
      <c r="I238" s="14" t="s">
        <v>402</v>
      </c>
      <c r="J238" s="14" t="str">
        <f>IF(E238="KTG","KTG",(VLOOKUP(I238,'[1]list of outsource'!B:H,2,0)))</f>
        <v>ETC</v>
      </c>
      <c r="K238" s="14" t="s">
        <v>403</v>
      </c>
      <c r="L238" s="14"/>
      <c r="M238" s="14" t="s">
        <v>860</v>
      </c>
      <c r="N238" s="14" t="s">
        <v>861</v>
      </c>
      <c r="O238" s="14">
        <v>1230868873</v>
      </c>
      <c r="P238" s="14"/>
      <c r="Q238" s="15"/>
      <c r="R238" s="14"/>
      <c r="S238" s="16"/>
      <c r="T238" s="14"/>
      <c r="U238" s="14">
        <v>2</v>
      </c>
      <c r="V238" s="14"/>
      <c r="W238" s="14" t="s">
        <v>37</v>
      </c>
      <c r="X238" s="13">
        <v>45091</v>
      </c>
      <c r="Y238" s="13"/>
      <c r="AC238"/>
      <c r="AE238" t="str">
        <f t="shared" si="39"/>
        <v>P000214</v>
      </c>
      <c r="AF238" t="str">
        <f>_xlfn.XLOOKUP(AE238, Hoja2!A:A, Hoja2!A:A)</f>
        <v>P000214</v>
      </c>
      <c r="AG238" t="str">
        <f t="shared" si="42"/>
        <v>PP00024-14</v>
      </c>
      <c r="AH238">
        <f>_xlfn.XLOOKUP(AG238, Hoja3!A:A, Hoja3!B:B)</f>
        <v>5491</v>
      </c>
      <c r="AI238" t="str">
        <f>_xlfn.XLOOKUP(AH238, Hoja4!A:A, Hoja4!B:B)</f>
        <v>E36449200</v>
      </c>
      <c r="AJ238" t="b">
        <f t="shared" si="43"/>
        <v>1</v>
      </c>
    </row>
    <row r="239" spans="1:36" ht="15.5" customHeight="1" x14ac:dyDescent="0.35">
      <c r="A239">
        <f t="shared" ca="1" si="36"/>
        <v>21</v>
      </c>
      <c r="B239" s="12" t="s">
        <v>862</v>
      </c>
      <c r="C239" s="13">
        <v>45049</v>
      </c>
      <c r="D239" s="14" t="s">
        <v>121</v>
      </c>
      <c r="E239" s="14" t="s">
        <v>139</v>
      </c>
      <c r="F239" s="14" t="s">
        <v>329</v>
      </c>
      <c r="G239" s="14" t="s">
        <v>299</v>
      </c>
      <c r="H239" s="14" t="s">
        <v>697</v>
      </c>
      <c r="I239" s="14" t="s">
        <v>402</v>
      </c>
      <c r="J239" s="14" t="str">
        <f>IF(E239="KTG","KTG",(VLOOKUP(I239,'[1]list of outsource'!B:H,2,0)))</f>
        <v>ETC</v>
      </c>
      <c r="K239" s="14" t="s">
        <v>403</v>
      </c>
      <c r="L239" s="14"/>
      <c r="M239" s="14" t="s">
        <v>491</v>
      </c>
      <c r="N239" s="14" t="s">
        <v>698</v>
      </c>
      <c r="O239" s="14">
        <v>1210982220</v>
      </c>
      <c r="P239" s="14"/>
      <c r="Q239" s="15"/>
      <c r="R239" s="14"/>
      <c r="S239" s="16"/>
      <c r="T239" s="14"/>
      <c r="U239" s="14">
        <v>2</v>
      </c>
      <c r="V239" s="14"/>
      <c r="W239" s="14" t="s">
        <v>37</v>
      </c>
      <c r="X239" s="13">
        <v>45070</v>
      </c>
      <c r="Y239" s="13"/>
      <c r="AB239" t="e">
        <v>#N/A</v>
      </c>
      <c r="AC239" t="e">
        <v>#N/A</v>
      </c>
      <c r="AE239" t="str">
        <f t="shared" si="39"/>
        <v>P000293</v>
      </c>
      <c r="AF239" t="str">
        <f>_xlfn.XLOOKUP(AE239, Hoja2!A:A, Hoja2!A:A)</f>
        <v>P000293</v>
      </c>
      <c r="AG239" t="str">
        <f t="shared" si="42"/>
        <v>PP00024-15</v>
      </c>
      <c r="AH239">
        <f>_xlfn.XLOOKUP(AG239, Hoja3!A:A, Hoja3!B:B)</f>
        <v>5493</v>
      </c>
      <c r="AI239" t="str">
        <f>_xlfn.XLOOKUP(AH239, Hoja4!A:A, Hoja4!B:B)</f>
        <v>E38926000</v>
      </c>
      <c r="AJ239" t="b">
        <f t="shared" si="43"/>
        <v>1</v>
      </c>
    </row>
    <row r="240" spans="1:36" ht="15.5" hidden="1" customHeight="1" x14ac:dyDescent="0.35">
      <c r="A240">
        <f t="shared" ca="1" si="36"/>
        <v>42</v>
      </c>
      <c r="B240" s="56" t="s">
        <v>863</v>
      </c>
      <c r="C240" s="13">
        <v>45049</v>
      </c>
      <c r="D240" s="14" t="s">
        <v>121</v>
      </c>
      <c r="E240" s="14" t="s">
        <v>139</v>
      </c>
      <c r="F240" s="14" t="s">
        <v>329</v>
      </c>
      <c r="G240" s="14" t="s">
        <v>299</v>
      </c>
      <c r="H240" s="14" t="s">
        <v>864</v>
      </c>
      <c r="I240" s="14" t="s">
        <v>402</v>
      </c>
      <c r="J240" s="14" t="str">
        <f>IF(E240="KTG","KTG",(VLOOKUP(I240,'[1]list of outsource'!B:H,2,0)))</f>
        <v>ETC</v>
      </c>
      <c r="K240" s="14" t="s">
        <v>403</v>
      </c>
      <c r="L240" s="14"/>
      <c r="M240" s="55" t="s">
        <v>865</v>
      </c>
      <c r="N240" s="14" t="s">
        <v>701</v>
      </c>
      <c r="O240" s="14">
        <v>1230870895</v>
      </c>
      <c r="P240" s="14"/>
      <c r="Q240" s="15"/>
      <c r="R240" s="14"/>
      <c r="S240" s="16"/>
      <c r="T240" s="14"/>
      <c r="U240" s="14">
        <v>2</v>
      </c>
      <c r="V240" s="14"/>
      <c r="W240" s="14" t="s">
        <v>37</v>
      </c>
      <c r="X240" s="13">
        <v>45091</v>
      </c>
      <c r="Y240" s="13"/>
      <c r="AC240"/>
      <c r="AE240" t="str">
        <f t="shared" si="39"/>
        <v>P000265</v>
      </c>
      <c r="AF240" t="e">
        <f>_xlfn.XLOOKUP(AE240, Hoja2!A:A, Hoja2!A:A)</f>
        <v>#N/A</v>
      </c>
    </row>
    <row r="241" spans="1:36" ht="15.5" customHeight="1" x14ac:dyDescent="0.35">
      <c r="A241">
        <f t="shared" ca="1" si="36"/>
        <v>2</v>
      </c>
      <c r="B241" s="12" t="s">
        <v>866</v>
      </c>
      <c r="C241" s="13">
        <v>45955</v>
      </c>
      <c r="D241" s="14" t="s">
        <v>121</v>
      </c>
      <c r="E241" s="14" t="s">
        <v>83</v>
      </c>
      <c r="F241" s="14" t="s">
        <v>84</v>
      </c>
      <c r="G241" s="14" t="s">
        <v>156</v>
      </c>
      <c r="H241" s="14" t="s">
        <v>175</v>
      </c>
      <c r="I241" s="14" t="s">
        <v>176</v>
      </c>
      <c r="J241" s="14" t="str">
        <f>IF(E241="KTG","KTG",(VLOOKUP(I241,'[1]list of outsource'!B:H,2,0)))</f>
        <v>UPM</v>
      </c>
      <c r="K241" s="14" t="s">
        <v>177</v>
      </c>
      <c r="L241" s="14">
        <v>14</v>
      </c>
      <c r="M241" s="14" t="s">
        <v>178</v>
      </c>
      <c r="N241" s="14" t="s">
        <v>179</v>
      </c>
      <c r="O241" s="14" t="s">
        <v>867</v>
      </c>
      <c r="P241" s="14"/>
      <c r="Q241" s="15"/>
      <c r="R241" s="14"/>
      <c r="S241" s="16"/>
      <c r="T241" s="14"/>
      <c r="U241" s="14">
        <v>1</v>
      </c>
      <c r="V241" s="14" t="s">
        <v>569</v>
      </c>
      <c r="W241" s="14" t="s">
        <v>154</v>
      </c>
      <c r="X241" s="13">
        <v>45957</v>
      </c>
      <c r="Y241" s="13"/>
      <c r="AC241" t="e">
        <v>#N/A</v>
      </c>
      <c r="AE241" t="str">
        <f t="shared" si="39"/>
        <v>P000049</v>
      </c>
      <c r="AF241" t="str">
        <f>_xlfn.XLOOKUP(AE241, Hoja2!A:A, Hoja2!A:A)</f>
        <v>P000049</v>
      </c>
      <c r="AG241" t="str">
        <f t="shared" ref="AG241:AG243" si="44">LEFT(B241, FIND(" ", B241 &amp; " ") - 1)</f>
        <v>PP00028-0032</v>
      </c>
      <c r="AH241">
        <f>_xlfn.XLOOKUP(AG241, Hoja3!A:A, Hoja3!B:B)</f>
        <v>37</v>
      </c>
      <c r="AI241" t="str">
        <f>_xlfn.XLOOKUP(AH241, Hoja4!A:A, Hoja4!B:B)</f>
        <v>E35081800</v>
      </c>
      <c r="AJ241" t="b">
        <f t="shared" ref="AJ241:AJ243" si="45">H241=AI241</f>
        <v>1</v>
      </c>
    </row>
    <row r="242" spans="1:36" ht="15.5" customHeight="1" x14ac:dyDescent="0.35">
      <c r="A242">
        <f t="shared" ca="1" si="36"/>
        <v>1</v>
      </c>
      <c r="B242" s="17" t="s">
        <v>868</v>
      </c>
      <c r="C242" s="7">
        <v>45994</v>
      </c>
      <c r="D242" s="6" t="s">
        <v>564</v>
      </c>
      <c r="E242" s="6" t="s">
        <v>139</v>
      </c>
      <c r="F242" s="6" t="s">
        <v>84</v>
      </c>
      <c r="G242" s="6" t="s">
        <v>156</v>
      </c>
      <c r="H242" s="6" t="s">
        <v>231</v>
      </c>
      <c r="I242" s="6" t="s">
        <v>208</v>
      </c>
      <c r="J242" s="6" t="str">
        <f>IF(E242="KTG","KTG",(VLOOKUP(I242,'[1]list of outsource'!B:H,2,0)))</f>
        <v>ETC</v>
      </c>
      <c r="K242" s="6" t="s">
        <v>209</v>
      </c>
      <c r="L242" s="24">
        <v>24</v>
      </c>
      <c r="M242" s="6" t="s">
        <v>232</v>
      </c>
      <c r="N242" s="6" t="s">
        <v>583</v>
      </c>
      <c r="O242" s="6" t="s">
        <v>869</v>
      </c>
      <c r="P242" s="6"/>
      <c r="Q242" s="8" t="s">
        <v>575</v>
      </c>
      <c r="R242" s="6"/>
      <c r="S242" s="18"/>
      <c r="T242" s="6"/>
      <c r="U242" s="6">
        <v>1</v>
      </c>
      <c r="V242" s="6" t="s">
        <v>569</v>
      </c>
      <c r="W242" s="6" t="s">
        <v>154</v>
      </c>
      <c r="X242" s="7">
        <v>45995</v>
      </c>
      <c r="Y242" s="7">
        <v>45995</v>
      </c>
      <c r="AC242"/>
      <c r="AE242" t="str">
        <f t="shared" si="39"/>
        <v>P000161</v>
      </c>
      <c r="AF242" t="str">
        <f>_xlfn.XLOOKUP(AE242, Hoja2!A:A, Hoja2!A:A)</f>
        <v>P000161</v>
      </c>
      <c r="AG242" t="str">
        <f t="shared" si="44"/>
        <v>PP00028-0063</v>
      </c>
      <c r="AH242">
        <f>_xlfn.XLOOKUP(AG242, Hoja3!A:A, Hoja3!B:B)</f>
        <v>5300</v>
      </c>
      <c r="AI242" t="str">
        <f>_xlfn.XLOOKUP(AH242, Hoja4!A:A, Hoja4!B:B)</f>
        <v>E35099900</v>
      </c>
      <c r="AJ242" t="b">
        <f t="shared" si="45"/>
        <v>1</v>
      </c>
    </row>
    <row r="243" spans="1:36" ht="15.5" customHeight="1" x14ac:dyDescent="0.35">
      <c r="A243">
        <f t="shared" ca="1" si="36"/>
        <v>3</v>
      </c>
      <c r="B243" s="6" t="s">
        <v>870</v>
      </c>
      <c r="C243" s="7">
        <v>45971</v>
      </c>
      <c r="D243" s="6" t="s">
        <v>564</v>
      </c>
      <c r="E243" s="6" t="s">
        <v>30</v>
      </c>
      <c r="F243" s="6" t="s">
        <v>739</v>
      </c>
      <c r="G243" s="6" t="s">
        <v>156</v>
      </c>
      <c r="H243" s="6" t="s">
        <v>871</v>
      </c>
      <c r="I243" s="6"/>
      <c r="J243" s="6" t="str">
        <f>IF(E243="KTG","KTG",(VLOOKUP(I243,'[1]list of outsource'!B:H,2,0)))</f>
        <v>KTG</v>
      </c>
      <c r="K243" s="6"/>
      <c r="L243" s="6"/>
      <c r="M243" s="6" t="s">
        <v>872</v>
      </c>
      <c r="N243" s="6" t="s">
        <v>873</v>
      </c>
      <c r="O243" s="6"/>
      <c r="P243" s="6"/>
      <c r="Q243" s="8">
        <v>45442</v>
      </c>
      <c r="R243" s="6"/>
      <c r="S243" s="6"/>
      <c r="T243" s="6"/>
      <c r="U243" s="6">
        <v>1</v>
      </c>
      <c r="V243" s="6" t="s">
        <v>569</v>
      </c>
      <c r="W243" s="6" t="s">
        <v>154</v>
      </c>
      <c r="X243" s="7">
        <v>45974</v>
      </c>
      <c r="Y243" s="7">
        <v>45981</v>
      </c>
      <c r="AC243"/>
      <c r="AE243" t="str">
        <f t="shared" si="39"/>
        <v>E74936</v>
      </c>
      <c r="AF243" t="str">
        <f>_xlfn.XLOOKUP(AE243, Hoja2!A:A, Hoja2!A:A)</f>
        <v>E74936</v>
      </c>
      <c r="AG243" t="str">
        <f t="shared" si="44"/>
        <v>PP00028-0083</v>
      </c>
      <c r="AH243">
        <f>_xlfn.XLOOKUP(AG243, Hoja3!A:A, Hoja3!B:B)</f>
        <v>5469</v>
      </c>
      <c r="AI243" t="str">
        <f>_xlfn.XLOOKUP(AH243, Hoja4!A:A, Hoja4!B:B)</f>
        <v>E28493000</v>
      </c>
      <c r="AJ243" t="b">
        <f t="shared" si="45"/>
        <v>1</v>
      </c>
    </row>
    <row r="244" spans="1:36" ht="15.5" hidden="1" customHeight="1" x14ac:dyDescent="0.35">
      <c r="A244" s="25">
        <f t="shared" ca="1" si="36"/>
        <v>150</v>
      </c>
      <c r="B244" s="56" t="s">
        <v>874</v>
      </c>
      <c r="C244" s="27">
        <v>45859</v>
      </c>
      <c r="D244" s="28" t="s">
        <v>875</v>
      </c>
      <c r="E244" s="28" t="s">
        <v>139</v>
      </c>
      <c r="F244" s="28" t="s">
        <v>508</v>
      </c>
      <c r="G244" s="28" t="s">
        <v>299</v>
      </c>
      <c r="H244" s="28">
        <v>69322902</v>
      </c>
      <c r="I244" s="28" t="s">
        <v>849</v>
      </c>
      <c r="J244" s="28" t="str">
        <f>IF(E244="KTG","KTG",(VLOOKUP(I244,'[1]list of outsource'!B:H,2,0)))</f>
        <v>ETC</v>
      </c>
      <c r="K244" s="28" t="s">
        <v>876</v>
      </c>
      <c r="L244" s="29"/>
      <c r="M244" s="55" t="s">
        <v>4211</v>
      </c>
      <c r="N244" s="28" t="s">
        <v>877</v>
      </c>
      <c r="O244" s="28" t="s">
        <v>878</v>
      </c>
      <c r="P244" s="28"/>
      <c r="Q244" s="30">
        <v>45891</v>
      </c>
      <c r="R244" s="28"/>
      <c r="S244" s="31"/>
      <c r="T244" s="28"/>
      <c r="U244" s="28">
        <v>4</v>
      </c>
      <c r="V244" s="28" t="s">
        <v>879</v>
      </c>
      <c r="W244" s="28" t="s">
        <v>37</v>
      </c>
      <c r="X244" s="27"/>
      <c r="Y244" s="27"/>
      <c r="AC244"/>
      <c r="AE244" t="str">
        <f t="shared" si="39"/>
        <v>P001124</v>
      </c>
      <c r="AF244" t="e">
        <f>_xlfn.XLOOKUP(AE244, Hoja2!A:A, Hoja2!A:A)</f>
        <v>#N/A</v>
      </c>
    </row>
    <row r="245" spans="1:36" ht="15.5" customHeight="1" x14ac:dyDescent="0.35">
      <c r="A245">
        <f t="shared" ca="1" si="36"/>
        <v>27</v>
      </c>
      <c r="B245" s="6" t="s">
        <v>880</v>
      </c>
      <c r="C245" s="7">
        <v>45954</v>
      </c>
      <c r="D245" s="6" t="s">
        <v>564</v>
      </c>
      <c r="E245" s="6" t="s">
        <v>83</v>
      </c>
      <c r="F245" s="6" t="s">
        <v>84</v>
      </c>
      <c r="G245" s="6" t="s">
        <v>156</v>
      </c>
      <c r="H245" s="6" t="s">
        <v>881</v>
      </c>
      <c r="I245" s="6" t="s">
        <v>158</v>
      </c>
      <c r="J245" s="6" t="str">
        <f>IF(E245="KTG","KTG",(VLOOKUP(I245,'[1]list of outsource'!B:H,2,0)))</f>
        <v>UPM</v>
      </c>
      <c r="K245" s="6" t="s">
        <v>159</v>
      </c>
      <c r="L245" s="6">
        <v>47</v>
      </c>
      <c r="M245" s="6" t="s">
        <v>467</v>
      </c>
      <c r="N245" s="6" t="s">
        <v>468</v>
      </c>
      <c r="O245" s="6" t="s">
        <v>882</v>
      </c>
      <c r="P245" s="6"/>
      <c r="Q245" s="8">
        <v>45968</v>
      </c>
      <c r="R245" s="6"/>
      <c r="S245" s="6"/>
      <c r="T245" s="6"/>
      <c r="U245" s="6">
        <v>3</v>
      </c>
      <c r="V245" s="6" t="s">
        <v>569</v>
      </c>
      <c r="W245" s="6" t="s">
        <v>37</v>
      </c>
      <c r="X245" s="7">
        <v>45981</v>
      </c>
      <c r="Y245" s="7">
        <v>45982</v>
      </c>
      <c r="AC245"/>
      <c r="AE245" t="str">
        <f t="shared" si="39"/>
        <v>P000231</v>
      </c>
      <c r="AF245" t="str">
        <f>_xlfn.XLOOKUP(AE245, Hoja2!A:A, Hoja2!A:A)</f>
        <v>P000231</v>
      </c>
      <c r="AG245" t="str">
        <f t="shared" ref="AG245:AG251" si="46">LEFT(B245, FIND(" ", B245 &amp; " ") - 1)</f>
        <v>PP00028-0094</v>
      </c>
      <c r="AH245">
        <f>_xlfn.XLOOKUP(AG245, Hoja3!A:A, Hoja3!B:B)</f>
        <v>5302</v>
      </c>
      <c r="AI245" t="str">
        <f>_xlfn.XLOOKUP(AH245, Hoja4!A:A, Hoja4!B:B)</f>
        <v>E39044400</v>
      </c>
      <c r="AJ245" t="b">
        <f t="shared" ref="AJ245:AJ251" si="47">H245=AI245</f>
        <v>1</v>
      </c>
    </row>
    <row r="246" spans="1:36" ht="15.5" customHeight="1" x14ac:dyDescent="0.35">
      <c r="A246">
        <f t="shared" ca="1" si="36"/>
        <v>27</v>
      </c>
      <c r="B246" s="6" t="s">
        <v>883</v>
      </c>
      <c r="C246" s="7">
        <v>45954</v>
      </c>
      <c r="D246" s="6" t="s">
        <v>564</v>
      </c>
      <c r="E246" s="6" t="s">
        <v>83</v>
      </c>
      <c r="F246" s="6" t="s">
        <v>84</v>
      </c>
      <c r="G246" s="6" t="s">
        <v>156</v>
      </c>
      <c r="H246" s="6" t="s">
        <v>884</v>
      </c>
      <c r="I246" s="6" t="s">
        <v>158</v>
      </c>
      <c r="J246" s="6" t="str">
        <f>IF(E246="KTG","KTG",(VLOOKUP(I246,'[1]list of outsource'!B:H,2,0)))</f>
        <v>UPM</v>
      </c>
      <c r="K246" s="6" t="s">
        <v>159</v>
      </c>
      <c r="L246" s="6">
        <v>47</v>
      </c>
      <c r="M246" s="6" t="s">
        <v>885</v>
      </c>
      <c r="N246" s="6" t="s">
        <v>886</v>
      </c>
      <c r="O246" s="6" t="s">
        <v>887</v>
      </c>
      <c r="P246" s="6"/>
      <c r="Q246" s="8">
        <v>45968</v>
      </c>
      <c r="R246" s="6"/>
      <c r="S246" s="6"/>
      <c r="T246" s="6"/>
      <c r="U246" s="6">
        <v>3</v>
      </c>
      <c r="V246" s="6" t="s">
        <v>665</v>
      </c>
      <c r="W246" s="6" t="s">
        <v>37</v>
      </c>
      <c r="X246" s="7">
        <v>45981</v>
      </c>
      <c r="Y246" s="7">
        <v>45982</v>
      </c>
      <c r="AC246"/>
      <c r="AE246" t="str">
        <f t="shared" si="39"/>
        <v>P000731</v>
      </c>
      <c r="AF246" t="str">
        <f>_xlfn.XLOOKUP(AE246, Hoja2!A:A, Hoja2!A:A)</f>
        <v>P000731</v>
      </c>
      <c r="AG246" t="str">
        <f t="shared" si="46"/>
        <v>PP00028-0095</v>
      </c>
      <c r="AH246">
        <f>_xlfn.XLOOKUP(AG246, Hoja3!A:A, Hoja3!B:B)</f>
        <v>5303</v>
      </c>
      <c r="AI246" t="str">
        <f>_xlfn.XLOOKUP(AH246, Hoja4!A:A, Hoja4!B:B)</f>
        <v>E55808900</v>
      </c>
      <c r="AJ246" t="b">
        <f t="shared" si="47"/>
        <v>1</v>
      </c>
    </row>
    <row r="247" spans="1:36" ht="15.5" customHeight="1" x14ac:dyDescent="0.35">
      <c r="A247">
        <f t="shared" ca="1" si="36"/>
        <v>34</v>
      </c>
      <c r="B247" s="6" t="s">
        <v>888</v>
      </c>
      <c r="C247" s="7">
        <v>45058</v>
      </c>
      <c r="D247" s="6" t="s">
        <v>507</v>
      </c>
      <c r="E247" s="6" t="s">
        <v>83</v>
      </c>
      <c r="F247" s="6" t="s">
        <v>101</v>
      </c>
      <c r="G247" s="6" t="s">
        <v>299</v>
      </c>
      <c r="H247" s="6" t="s">
        <v>889</v>
      </c>
      <c r="I247" s="6" t="s">
        <v>158</v>
      </c>
      <c r="J247" s="6" t="str">
        <f>IF(E247="KTG","KTG",(VLOOKUP(I247,'[1]list of outsource'!B:H,2,0)))</f>
        <v>UPM</v>
      </c>
      <c r="K247" s="6" t="s">
        <v>159</v>
      </c>
      <c r="L247" s="6"/>
      <c r="M247" s="6" t="s">
        <v>890</v>
      </c>
      <c r="N247" s="6" t="s">
        <v>891</v>
      </c>
      <c r="O247" s="6">
        <v>1231574852</v>
      </c>
      <c r="P247" s="6"/>
      <c r="Q247" s="8"/>
      <c r="R247" s="6"/>
      <c r="S247" s="6"/>
      <c r="T247" s="6"/>
      <c r="U247" s="6">
        <v>2</v>
      </c>
      <c r="V247" s="6"/>
      <c r="W247" s="6" t="s">
        <v>37</v>
      </c>
      <c r="X247" s="7">
        <v>45092</v>
      </c>
      <c r="Y247" s="7">
        <v>45172</v>
      </c>
      <c r="AB247" t="e">
        <v>#N/A</v>
      </c>
      <c r="AC247"/>
      <c r="AE247" t="str">
        <f t="shared" si="39"/>
        <v>P000220</v>
      </c>
      <c r="AF247" t="str">
        <f>_xlfn.XLOOKUP(AE247, Hoja2!A:A, Hoja2!A:A)</f>
        <v>P000220</v>
      </c>
      <c r="AG247" t="str">
        <f t="shared" si="46"/>
        <v>PP00027-18</v>
      </c>
      <c r="AH247">
        <f>_xlfn.XLOOKUP(AG247, Hoja3!A:A, Hoja3!B:B)</f>
        <v>5577</v>
      </c>
      <c r="AI247" t="str">
        <f>_xlfn.XLOOKUP(AH247, Hoja4!A:A, Hoja4!B:B)</f>
        <v>GP092724</v>
      </c>
      <c r="AJ247" t="b">
        <f t="shared" si="47"/>
        <v>1</v>
      </c>
    </row>
    <row r="248" spans="1:36" ht="15.5" customHeight="1" x14ac:dyDescent="0.35">
      <c r="A248">
        <f t="shared" ca="1" si="36"/>
        <v>39</v>
      </c>
      <c r="B248" s="12" t="s">
        <v>892</v>
      </c>
      <c r="C248" s="13">
        <v>45058</v>
      </c>
      <c r="D248" s="14" t="s">
        <v>121</v>
      </c>
      <c r="E248" s="14" t="s">
        <v>139</v>
      </c>
      <c r="F248" s="14" t="s">
        <v>84</v>
      </c>
      <c r="G248" s="14" t="s">
        <v>578</v>
      </c>
      <c r="H248" s="14" t="s">
        <v>893</v>
      </c>
      <c r="I248" s="14" t="s">
        <v>494</v>
      </c>
      <c r="J248" s="14" t="str">
        <f>IF(E248="KTG","KTG",(VLOOKUP(I248,'[1]list of outsource'!B:H,2,0)))</f>
        <v>ETC</v>
      </c>
      <c r="K248" s="14" t="s">
        <v>495</v>
      </c>
      <c r="L248" s="14"/>
      <c r="M248" s="14" t="s">
        <v>894</v>
      </c>
      <c r="N248" s="14" t="s">
        <v>895</v>
      </c>
      <c r="O248" s="14">
        <v>1232776754</v>
      </c>
      <c r="P248" s="14"/>
      <c r="Q248" s="15"/>
      <c r="R248" s="14"/>
      <c r="S248" s="16"/>
      <c r="T248" s="14"/>
      <c r="U248" s="14">
        <v>2</v>
      </c>
      <c r="V248" s="14"/>
      <c r="W248" s="14" t="s">
        <v>37</v>
      </c>
      <c r="X248" s="13">
        <v>45097</v>
      </c>
      <c r="Y248" s="13"/>
      <c r="AC248"/>
      <c r="AE248" t="str">
        <f t="shared" si="39"/>
        <v>P000236</v>
      </c>
      <c r="AF248" t="str">
        <f>_xlfn.XLOOKUP(AE248, Hoja2!A:A, Hoja2!A:A)</f>
        <v>P000236</v>
      </c>
      <c r="AG248" t="str">
        <f t="shared" si="46"/>
        <v>PP00032-33</v>
      </c>
      <c r="AH248">
        <f>_xlfn.XLOOKUP(AG248, Hoja3!A:A, Hoja3!B:B)</f>
        <v>5457</v>
      </c>
      <c r="AI248" t="str">
        <f>_xlfn.XLOOKUP(AH248, Hoja4!A:A, Hoja4!B:B)</f>
        <v>E36962900</v>
      </c>
      <c r="AJ248" t="b">
        <f t="shared" si="47"/>
        <v>1</v>
      </c>
    </row>
    <row r="249" spans="1:36" ht="15.5" customHeight="1" x14ac:dyDescent="0.35">
      <c r="A249">
        <f t="shared" ca="1" si="36"/>
        <v>8</v>
      </c>
      <c r="B249" s="6" t="s">
        <v>896</v>
      </c>
      <c r="C249" s="7">
        <v>45216</v>
      </c>
      <c r="D249" s="6" t="s">
        <v>507</v>
      </c>
      <c r="E249" s="6" t="s">
        <v>83</v>
      </c>
      <c r="F249" s="6" t="s">
        <v>84</v>
      </c>
      <c r="G249" s="6" t="s">
        <v>156</v>
      </c>
      <c r="H249" s="6" t="s">
        <v>565</v>
      </c>
      <c r="I249" s="6" t="s">
        <v>218</v>
      </c>
      <c r="J249" s="6" t="str">
        <f>IF(E249="KTG","KTG",(VLOOKUP(I249,'[1]list of outsource'!B:H,2,0)))</f>
        <v>UPM</v>
      </c>
      <c r="K249" s="6" t="s">
        <v>219</v>
      </c>
      <c r="L249" s="6">
        <v>9</v>
      </c>
      <c r="M249" s="6" t="s">
        <v>566</v>
      </c>
      <c r="N249" s="6" t="s">
        <v>567</v>
      </c>
      <c r="O249" s="6">
        <v>1193337616</v>
      </c>
      <c r="P249" s="6"/>
      <c r="Q249" s="8"/>
      <c r="R249" s="6"/>
      <c r="S249" s="6"/>
      <c r="T249" s="6"/>
      <c r="U249" s="6">
        <v>4</v>
      </c>
      <c r="V249" s="6"/>
      <c r="W249" s="6" t="s">
        <v>37</v>
      </c>
      <c r="X249" s="7">
        <v>45224</v>
      </c>
      <c r="Y249" s="7">
        <v>45236</v>
      </c>
      <c r="AB249" t="e">
        <v>#N/A</v>
      </c>
      <c r="AC249" t="e">
        <v>#N/A</v>
      </c>
      <c r="AE249" t="str">
        <f t="shared" si="39"/>
        <v>P000133</v>
      </c>
      <c r="AF249" t="str">
        <f>_xlfn.XLOOKUP(AE249, Hoja2!A:A, Hoja2!A:A)</f>
        <v>P000133</v>
      </c>
      <c r="AG249" t="str">
        <f t="shared" si="46"/>
        <v>PP00028-01</v>
      </c>
      <c r="AH249">
        <f>_xlfn.XLOOKUP(AG249, Hoja3!A:A, Hoja3!B:B)</f>
        <v>48</v>
      </c>
      <c r="AI249" t="str">
        <f>_xlfn.XLOOKUP(AH249, Hoja4!A:A, Hoja4!B:B)</f>
        <v>E34749700</v>
      </c>
      <c r="AJ249" t="b">
        <f t="shared" si="47"/>
        <v>1</v>
      </c>
    </row>
    <row r="250" spans="1:36" ht="15.5" customHeight="1" x14ac:dyDescent="0.35">
      <c r="A250">
        <f t="shared" ca="1" si="36"/>
        <v>35</v>
      </c>
      <c r="B250" s="12" t="s">
        <v>897</v>
      </c>
      <c r="C250" s="13">
        <v>45065</v>
      </c>
      <c r="D250" s="14" t="s">
        <v>121</v>
      </c>
      <c r="E250" s="14" t="s">
        <v>139</v>
      </c>
      <c r="F250" s="14" t="s">
        <v>329</v>
      </c>
      <c r="G250" s="14" t="s">
        <v>299</v>
      </c>
      <c r="H250" s="14" t="s">
        <v>707</v>
      </c>
      <c r="I250" s="14" t="s">
        <v>402</v>
      </c>
      <c r="J250" s="14" t="str">
        <f>IF(E250="KTG","KTG",(VLOOKUP(I250,'[1]list of outsource'!B:H,2,0)))</f>
        <v>ETC</v>
      </c>
      <c r="K250" s="14" t="s">
        <v>403</v>
      </c>
      <c r="L250" s="14"/>
      <c r="M250" s="14" t="s">
        <v>708</v>
      </c>
      <c r="N250" s="14" t="s">
        <v>709</v>
      </c>
      <c r="O250" s="14">
        <v>1214745059</v>
      </c>
      <c r="P250" s="14"/>
      <c r="Q250" s="15"/>
      <c r="R250" s="14"/>
      <c r="S250" s="16"/>
      <c r="T250" s="14"/>
      <c r="U250" s="14">
        <v>2</v>
      </c>
      <c r="V250" s="14"/>
      <c r="W250" s="14" t="s">
        <v>37</v>
      </c>
      <c r="X250" s="13">
        <v>45100</v>
      </c>
      <c r="Y250" s="13"/>
      <c r="AC250"/>
      <c r="AE250" t="str">
        <f t="shared" si="39"/>
        <v>P000287</v>
      </c>
      <c r="AF250" t="str">
        <f>_xlfn.XLOOKUP(AE250, Hoja2!A:A, Hoja2!A:A)</f>
        <v>P000287</v>
      </c>
      <c r="AG250" t="str">
        <f t="shared" si="46"/>
        <v>PP00024-17</v>
      </c>
      <c r="AH250">
        <f>_xlfn.XLOOKUP(AG250, Hoja3!A:A, Hoja3!B:B)</f>
        <v>5494</v>
      </c>
      <c r="AI250" t="str">
        <f>_xlfn.XLOOKUP(AH250, Hoja4!A:A, Hoja4!B:B)</f>
        <v>E38925500</v>
      </c>
      <c r="AJ250" t="b">
        <f t="shared" si="47"/>
        <v>1</v>
      </c>
    </row>
    <row r="251" spans="1:36" ht="15.5" customHeight="1" x14ac:dyDescent="0.35">
      <c r="A251">
        <f t="shared" ca="1" si="36"/>
        <v>35</v>
      </c>
      <c r="B251" s="12" t="s">
        <v>898</v>
      </c>
      <c r="C251" s="13">
        <v>45065</v>
      </c>
      <c r="D251" s="14" t="s">
        <v>121</v>
      </c>
      <c r="E251" s="14" t="s">
        <v>139</v>
      </c>
      <c r="F251" s="14" t="s">
        <v>329</v>
      </c>
      <c r="G251" s="14" t="s">
        <v>299</v>
      </c>
      <c r="H251" s="14" t="s">
        <v>899</v>
      </c>
      <c r="I251" s="14" t="s">
        <v>402</v>
      </c>
      <c r="J251" s="14" t="str">
        <f>IF(E251="KTG","KTG",(VLOOKUP(I251,'[1]list of outsource'!B:H,2,0)))</f>
        <v>ETC</v>
      </c>
      <c r="K251" s="14" t="s">
        <v>403</v>
      </c>
      <c r="L251" s="14"/>
      <c r="M251" s="14" t="s">
        <v>900</v>
      </c>
      <c r="N251" s="14" t="s">
        <v>901</v>
      </c>
      <c r="O251" s="14">
        <v>1233581520</v>
      </c>
      <c r="P251" s="14"/>
      <c r="Q251" s="15"/>
      <c r="R251" s="14"/>
      <c r="S251" s="16"/>
      <c r="T251" s="14"/>
      <c r="U251" s="14">
        <v>2</v>
      </c>
      <c r="V251" s="14"/>
      <c r="W251" s="14" t="s">
        <v>37</v>
      </c>
      <c r="X251" s="13">
        <v>45100</v>
      </c>
      <c r="Y251" s="13"/>
      <c r="AC251" t="e">
        <v>#N/A</v>
      </c>
      <c r="AE251" t="str">
        <f t="shared" si="39"/>
        <v>P000292</v>
      </c>
      <c r="AF251" t="str">
        <f>_xlfn.XLOOKUP(AE251, Hoja2!A:A, Hoja2!A:A)</f>
        <v>P000292</v>
      </c>
      <c r="AG251" t="str">
        <f t="shared" si="46"/>
        <v>PP00024-18</v>
      </c>
      <c r="AH251">
        <f>_xlfn.XLOOKUP(AG251, Hoja3!A:A, Hoja3!B:B)</f>
        <v>5495</v>
      </c>
      <c r="AI251" t="str">
        <f>_xlfn.XLOOKUP(AH251, Hoja4!A:A, Hoja4!B:B)</f>
        <v>E38925900</v>
      </c>
      <c r="AJ251" t="b">
        <f t="shared" si="47"/>
        <v>1</v>
      </c>
    </row>
    <row r="252" spans="1:36" ht="15.5" hidden="1" customHeight="1" x14ac:dyDescent="0.35">
      <c r="A252">
        <f t="shared" ca="1" si="36"/>
        <v>35</v>
      </c>
      <c r="B252" s="56" t="s">
        <v>902</v>
      </c>
      <c r="C252" s="13">
        <v>45065</v>
      </c>
      <c r="D252" s="14" t="s">
        <v>121</v>
      </c>
      <c r="E252" s="14" t="s">
        <v>139</v>
      </c>
      <c r="F252" s="14" t="s">
        <v>329</v>
      </c>
      <c r="G252" s="14" t="s">
        <v>299</v>
      </c>
      <c r="H252" s="14" t="s">
        <v>903</v>
      </c>
      <c r="I252" s="14" t="s">
        <v>494</v>
      </c>
      <c r="J252" s="14" t="str">
        <f>IF(E252="KTG","KTG",(VLOOKUP(I252,'[1]list of outsource'!B:H,2,0)))</f>
        <v>ETC</v>
      </c>
      <c r="K252" s="14" t="s">
        <v>495</v>
      </c>
      <c r="L252" s="14"/>
      <c r="M252" s="55" t="s">
        <v>904</v>
      </c>
      <c r="N252" s="14" t="s">
        <v>905</v>
      </c>
      <c r="O252" s="14">
        <v>1233584997</v>
      </c>
      <c r="P252" s="14"/>
      <c r="Q252" s="15"/>
      <c r="R252" s="14"/>
      <c r="S252" s="16"/>
      <c r="T252" s="14"/>
      <c r="U252" s="14">
        <v>2</v>
      </c>
      <c r="V252" s="14"/>
      <c r="W252" s="14" t="s">
        <v>37</v>
      </c>
      <c r="X252" s="13">
        <v>45100</v>
      </c>
      <c r="Y252" s="13"/>
      <c r="AC252"/>
      <c r="AE252" t="str">
        <f t="shared" si="39"/>
        <v>P000295</v>
      </c>
      <c r="AF252" t="e">
        <f>_xlfn.XLOOKUP(AE252, Hoja2!A:A, Hoja2!A:A)</f>
        <v>#N/A</v>
      </c>
    </row>
    <row r="253" spans="1:36" ht="15.5" hidden="1" customHeight="1" x14ac:dyDescent="0.35">
      <c r="A253">
        <f t="shared" ca="1" si="36"/>
        <v>35</v>
      </c>
      <c r="B253" s="56" t="s">
        <v>906</v>
      </c>
      <c r="C253" s="13">
        <v>45065</v>
      </c>
      <c r="D253" s="14" t="s">
        <v>121</v>
      </c>
      <c r="E253" s="14" t="s">
        <v>139</v>
      </c>
      <c r="F253" s="14" t="s">
        <v>329</v>
      </c>
      <c r="G253" s="14" t="s">
        <v>299</v>
      </c>
      <c r="H253" s="14" t="s">
        <v>907</v>
      </c>
      <c r="I253" s="14" t="s">
        <v>402</v>
      </c>
      <c r="J253" s="14" t="str">
        <f>IF(E253="KTG","KTG",(VLOOKUP(I253,'[1]list of outsource'!B:H,2,0)))</f>
        <v>ETC</v>
      </c>
      <c r="K253" s="14" t="s">
        <v>403</v>
      </c>
      <c r="L253" s="14"/>
      <c r="M253" s="55" t="s">
        <v>908</v>
      </c>
      <c r="N253" s="14" t="s">
        <v>909</v>
      </c>
      <c r="O253" s="14">
        <v>1233585997</v>
      </c>
      <c r="P253" s="14"/>
      <c r="Q253" s="15"/>
      <c r="R253" s="14"/>
      <c r="S253" s="16"/>
      <c r="T253" s="14"/>
      <c r="U253" s="14">
        <v>2</v>
      </c>
      <c r="V253" s="14"/>
      <c r="W253" s="14" t="s">
        <v>37</v>
      </c>
      <c r="X253" s="13">
        <v>45100</v>
      </c>
      <c r="Y253" s="13"/>
      <c r="AC253"/>
      <c r="AE253" t="str">
        <f t="shared" si="39"/>
        <v>P000288</v>
      </c>
      <c r="AF253" t="e">
        <f>_xlfn.XLOOKUP(AE253, Hoja2!A:A, Hoja2!A:A)</f>
        <v>#N/A</v>
      </c>
    </row>
    <row r="254" spans="1:36" ht="15.5" customHeight="1" x14ac:dyDescent="0.35">
      <c r="A254">
        <f t="shared" ca="1" si="36"/>
        <v>31</v>
      </c>
      <c r="B254" s="6" t="s">
        <v>896</v>
      </c>
      <c r="C254" s="7">
        <v>45571</v>
      </c>
      <c r="D254" s="6" t="s">
        <v>564</v>
      </c>
      <c r="E254" s="6" t="s">
        <v>83</v>
      </c>
      <c r="F254" s="6" t="s">
        <v>84</v>
      </c>
      <c r="G254" s="6" t="s">
        <v>156</v>
      </c>
      <c r="H254" s="6" t="s">
        <v>565</v>
      </c>
      <c r="I254" s="6" t="s">
        <v>218</v>
      </c>
      <c r="J254" s="6" t="str">
        <f>IF(E254="KTG","KTG",(VLOOKUP(I254,'[1]list of outsource'!B:H,2,0)))</f>
        <v>UPM</v>
      </c>
      <c r="K254" s="6" t="s">
        <v>219</v>
      </c>
      <c r="L254" s="6">
        <v>13</v>
      </c>
      <c r="M254" s="6" t="s">
        <v>566</v>
      </c>
      <c r="N254" s="6" t="s">
        <v>567</v>
      </c>
      <c r="O254" s="6" t="s">
        <v>568</v>
      </c>
      <c r="P254" s="6"/>
      <c r="Q254" s="8"/>
      <c r="R254" s="6"/>
      <c r="S254" s="6"/>
      <c r="T254" s="6"/>
      <c r="U254" s="6">
        <v>1</v>
      </c>
      <c r="V254" s="6" t="s">
        <v>569</v>
      </c>
      <c r="W254" s="6" t="s">
        <v>154</v>
      </c>
      <c r="X254" s="7">
        <v>45602</v>
      </c>
      <c r="Y254" s="7">
        <v>45943</v>
      </c>
      <c r="AC254"/>
      <c r="AE254" t="str">
        <f t="shared" si="39"/>
        <v>P000133</v>
      </c>
      <c r="AF254" t="str">
        <f>_xlfn.XLOOKUP(AE254, Hoja2!A:A, Hoja2!A:A)</f>
        <v>P000133</v>
      </c>
      <c r="AG254" t="str">
        <f t="shared" ref="AG254:AG262" si="48">LEFT(B254, FIND(" ", B254 &amp; " ") - 1)</f>
        <v>PP00028-01</v>
      </c>
      <c r="AH254">
        <f>_xlfn.XLOOKUP(AG254, Hoja3!A:A, Hoja3!B:B)</f>
        <v>48</v>
      </c>
      <c r="AI254" t="str">
        <f>_xlfn.XLOOKUP(AH254, Hoja4!A:A, Hoja4!B:B)</f>
        <v>E34749700</v>
      </c>
      <c r="AJ254" t="b">
        <f t="shared" ref="AJ254:AJ262" si="49">H254=AI254</f>
        <v>1</v>
      </c>
    </row>
    <row r="255" spans="1:36" ht="15.5" customHeight="1" x14ac:dyDescent="0.35">
      <c r="A255">
        <f t="shared" ca="1" si="36"/>
        <v>15</v>
      </c>
      <c r="B255" s="6" t="s">
        <v>910</v>
      </c>
      <c r="C255" s="7">
        <v>44945</v>
      </c>
      <c r="D255" s="6" t="s">
        <v>507</v>
      </c>
      <c r="E255" s="6" t="s">
        <v>139</v>
      </c>
      <c r="F255" s="6" t="s">
        <v>84</v>
      </c>
      <c r="G255" s="6" t="s">
        <v>156</v>
      </c>
      <c r="H255" s="6" t="s">
        <v>700</v>
      </c>
      <c r="I255" s="6" t="s">
        <v>402</v>
      </c>
      <c r="J255" s="6" t="str">
        <f>IF(E255="KTG","KTG",(VLOOKUP(I255,'[1]list of outsource'!B:H,2,0)))</f>
        <v>ETC</v>
      </c>
      <c r="K255" s="6" t="s">
        <v>403</v>
      </c>
      <c r="L255" s="6"/>
      <c r="M255" s="6" t="s">
        <v>498</v>
      </c>
      <c r="N255" s="6" t="s">
        <v>911</v>
      </c>
      <c r="O255" s="6">
        <v>1194209127</v>
      </c>
      <c r="P255" s="6"/>
      <c r="Q255" s="8"/>
      <c r="R255" s="6"/>
      <c r="S255" s="6"/>
      <c r="T255" s="6"/>
      <c r="U255" s="6">
        <v>2</v>
      </c>
      <c r="V255" s="6"/>
      <c r="W255" s="6" t="s">
        <v>37</v>
      </c>
      <c r="X255" s="7">
        <v>44960</v>
      </c>
      <c r="Y255" s="7">
        <v>44964</v>
      </c>
      <c r="AC255"/>
      <c r="AE255" t="str">
        <f t="shared" si="39"/>
        <v>P000204</v>
      </c>
      <c r="AF255" t="str">
        <f>_xlfn.XLOOKUP(AE255, Hoja2!A:A, Hoja2!A:A)</f>
        <v>P000204</v>
      </c>
      <c r="AG255" t="str">
        <f t="shared" si="48"/>
        <v>PP00028-02</v>
      </c>
      <c r="AH255">
        <f>_xlfn.XLOOKUP(AG255, Hoja3!A:A, Hoja3!B:B)</f>
        <v>53</v>
      </c>
      <c r="AI255" t="str">
        <f>_xlfn.XLOOKUP(AH255, Hoja4!A:A, Hoja4!B:B)</f>
        <v>E36449000</v>
      </c>
      <c r="AJ255" t="b">
        <f t="shared" si="49"/>
        <v>1</v>
      </c>
    </row>
    <row r="256" spans="1:36" ht="15.5" customHeight="1" x14ac:dyDescent="0.35">
      <c r="A256">
        <f t="shared" ca="1" si="36"/>
        <v>19</v>
      </c>
      <c r="B256" s="6" t="s">
        <v>910</v>
      </c>
      <c r="C256" s="7">
        <v>45302</v>
      </c>
      <c r="D256" s="6" t="s">
        <v>912</v>
      </c>
      <c r="E256" s="6" t="s">
        <v>139</v>
      </c>
      <c r="F256" s="6" t="s">
        <v>84</v>
      </c>
      <c r="G256" s="6" t="s">
        <v>156</v>
      </c>
      <c r="H256" s="6" t="s">
        <v>700</v>
      </c>
      <c r="I256" s="6" t="s">
        <v>402</v>
      </c>
      <c r="J256" s="6" t="str">
        <f>IF(E256="KTG","KTG",(VLOOKUP(I256,'[1]list of outsource'!B:H,2,0)))</f>
        <v>ETC</v>
      </c>
      <c r="K256" s="6" t="s">
        <v>403</v>
      </c>
      <c r="L256" s="6">
        <v>62</v>
      </c>
      <c r="M256" s="6" t="s">
        <v>498</v>
      </c>
      <c r="N256" s="6" t="s">
        <v>911</v>
      </c>
      <c r="O256" s="6">
        <v>1194209127</v>
      </c>
      <c r="P256" s="6"/>
      <c r="Q256" s="8" t="s">
        <v>575</v>
      </c>
      <c r="R256" s="6"/>
      <c r="S256" s="6"/>
      <c r="T256" s="6"/>
      <c r="U256" s="6">
        <v>1</v>
      </c>
      <c r="V256" s="6" t="s">
        <v>569</v>
      </c>
      <c r="W256" s="6" t="s">
        <v>154</v>
      </c>
      <c r="X256" s="7">
        <v>45321</v>
      </c>
      <c r="Y256" s="7">
        <v>45548</v>
      </c>
      <c r="AC256"/>
      <c r="AE256" t="str">
        <f t="shared" si="39"/>
        <v>P000204</v>
      </c>
      <c r="AF256" t="str">
        <f>_xlfn.XLOOKUP(AE256, Hoja2!A:A, Hoja2!A:A)</f>
        <v>P000204</v>
      </c>
      <c r="AG256" t="str">
        <f t="shared" si="48"/>
        <v>PP00028-02</v>
      </c>
      <c r="AH256">
        <f>_xlfn.XLOOKUP(AG256, Hoja3!A:A, Hoja3!B:B)</f>
        <v>53</v>
      </c>
      <c r="AI256" t="str">
        <f>_xlfn.XLOOKUP(AH256, Hoja4!A:A, Hoja4!B:B)</f>
        <v>E36449000</v>
      </c>
      <c r="AJ256" t="b">
        <f t="shared" si="49"/>
        <v>1</v>
      </c>
    </row>
    <row r="257" spans="1:36" ht="15.5" customHeight="1" x14ac:dyDescent="0.35">
      <c r="A257">
        <f t="shared" ca="1" si="36"/>
        <v>26</v>
      </c>
      <c r="B257" s="17" t="s">
        <v>910</v>
      </c>
      <c r="C257" s="7">
        <v>45882</v>
      </c>
      <c r="D257" s="6" t="s">
        <v>564</v>
      </c>
      <c r="E257" s="6" t="s">
        <v>139</v>
      </c>
      <c r="F257" s="6" t="s">
        <v>84</v>
      </c>
      <c r="G257" s="6" t="s">
        <v>156</v>
      </c>
      <c r="H257" s="6" t="s">
        <v>700</v>
      </c>
      <c r="I257" s="6" t="s">
        <v>402</v>
      </c>
      <c r="J257" s="6" t="str">
        <f>IF(E257="KTG","KTG",(VLOOKUP(I257,'[1]list of outsource'!B:H,2,0)))</f>
        <v>ETC</v>
      </c>
      <c r="K257" s="6" t="s">
        <v>403</v>
      </c>
      <c r="L257" s="24">
        <v>73</v>
      </c>
      <c r="M257" s="6" t="s">
        <v>498</v>
      </c>
      <c r="N257" s="6" t="s">
        <v>911</v>
      </c>
      <c r="O257" s="6" t="s">
        <v>913</v>
      </c>
      <c r="P257" s="6"/>
      <c r="Q257" s="8" t="s">
        <v>575</v>
      </c>
      <c r="R257" s="6"/>
      <c r="S257" s="18"/>
      <c r="T257" s="6"/>
      <c r="U257" s="6">
        <v>1</v>
      </c>
      <c r="V257" s="6" t="s">
        <v>569</v>
      </c>
      <c r="W257" s="6" t="s">
        <v>154</v>
      </c>
      <c r="X257" s="7">
        <v>45908</v>
      </c>
      <c r="Y257" s="7">
        <v>45958</v>
      </c>
      <c r="AC257"/>
      <c r="AE257" t="str">
        <f t="shared" si="39"/>
        <v>P000204</v>
      </c>
      <c r="AF257" t="str">
        <f>_xlfn.XLOOKUP(AE257, Hoja2!A:A, Hoja2!A:A)</f>
        <v>P000204</v>
      </c>
      <c r="AG257" t="str">
        <f t="shared" si="48"/>
        <v>PP00028-02</v>
      </c>
      <c r="AH257">
        <f>_xlfn.XLOOKUP(AG257, Hoja3!A:A, Hoja3!B:B)</f>
        <v>53</v>
      </c>
      <c r="AI257" t="str">
        <f>_xlfn.XLOOKUP(AH257, Hoja4!A:A, Hoja4!B:B)</f>
        <v>E36449000</v>
      </c>
      <c r="AJ257" t="b">
        <f t="shared" si="49"/>
        <v>1</v>
      </c>
    </row>
    <row r="258" spans="1:36" ht="15.5" customHeight="1" x14ac:dyDescent="0.35">
      <c r="A258">
        <f t="shared" ref="A258:A321" ca="1" si="50">IF(X258="",(TODAY()-C258),(X258-C258))</f>
        <v>11</v>
      </c>
      <c r="B258" s="6" t="s">
        <v>914</v>
      </c>
      <c r="C258" s="7">
        <v>44956</v>
      </c>
      <c r="D258" s="6" t="s">
        <v>507</v>
      </c>
      <c r="E258" s="6" t="s">
        <v>139</v>
      </c>
      <c r="F258" s="6" t="s">
        <v>84</v>
      </c>
      <c r="G258" s="6" t="s">
        <v>156</v>
      </c>
      <c r="H258" s="6" t="s">
        <v>571</v>
      </c>
      <c r="I258" s="6" t="s">
        <v>402</v>
      </c>
      <c r="J258" s="6" t="str">
        <f>IF(E258="KTG","KTG",(VLOOKUP(I258,'[1]list of outsource'!B:H,2,0)))</f>
        <v>ETC</v>
      </c>
      <c r="K258" s="6" t="s">
        <v>403</v>
      </c>
      <c r="L258" s="6"/>
      <c r="M258" s="6" t="s">
        <v>488</v>
      </c>
      <c r="N258" s="6" t="s">
        <v>572</v>
      </c>
      <c r="O258" s="6">
        <v>1196293250</v>
      </c>
      <c r="P258" s="6"/>
      <c r="Q258" s="8"/>
      <c r="R258" s="6"/>
      <c r="S258" s="6"/>
      <c r="T258" s="6"/>
      <c r="U258" s="6">
        <v>2</v>
      </c>
      <c r="V258" s="6"/>
      <c r="W258" s="6" t="s">
        <v>37</v>
      </c>
      <c r="X258" s="7">
        <v>44967</v>
      </c>
      <c r="Y258" s="7">
        <v>44970</v>
      </c>
      <c r="AC258"/>
      <c r="AE258" t="str">
        <f t="shared" si="39"/>
        <v>P000277</v>
      </c>
      <c r="AF258" t="str">
        <f>_xlfn.XLOOKUP(AE258, Hoja2!A:A, Hoja2!A:A)</f>
        <v>P000277</v>
      </c>
      <c r="AG258" t="str">
        <f t="shared" si="48"/>
        <v>PP00028-03</v>
      </c>
      <c r="AH258">
        <f>_xlfn.XLOOKUP(AG258, Hoja3!A:A, Hoja3!B:B)</f>
        <v>5306</v>
      </c>
      <c r="AI258" t="str">
        <f>_xlfn.XLOOKUP(AH258, Hoja4!A:A, Hoja4!B:B)</f>
        <v>E39044200</v>
      </c>
      <c r="AJ258" t="b">
        <f t="shared" si="49"/>
        <v>1</v>
      </c>
    </row>
    <row r="259" spans="1:36" ht="15.5" customHeight="1" x14ac:dyDescent="0.35">
      <c r="A259">
        <f t="shared" ca="1" si="50"/>
        <v>50</v>
      </c>
      <c r="B259" s="12" t="s">
        <v>915</v>
      </c>
      <c r="C259" s="13">
        <v>45082</v>
      </c>
      <c r="D259" s="14" t="s">
        <v>121</v>
      </c>
      <c r="E259" s="14" t="s">
        <v>83</v>
      </c>
      <c r="F259" s="14" t="s">
        <v>101</v>
      </c>
      <c r="G259" s="14" t="s">
        <v>299</v>
      </c>
      <c r="H259" s="14" t="s">
        <v>916</v>
      </c>
      <c r="I259" s="14" t="s">
        <v>95</v>
      </c>
      <c r="J259" s="14" t="str">
        <f>IF(E259="KTG","KTG",(VLOOKUP(I259,'[1]list of outsource'!B:H,2,0)))</f>
        <v>Woer</v>
      </c>
      <c r="K259" s="14" t="s">
        <v>96</v>
      </c>
      <c r="L259" s="14"/>
      <c r="M259" s="14" t="s">
        <v>917</v>
      </c>
      <c r="N259" s="14" t="s">
        <v>918</v>
      </c>
      <c r="O259" s="14">
        <v>1242596483</v>
      </c>
      <c r="P259" s="14"/>
      <c r="Q259" s="15"/>
      <c r="R259" s="14"/>
      <c r="S259" s="16"/>
      <c r="T259" s="14"/>
      <c r="U259" s="14">
        <v>2</v>
      </c>
      <c r="V259" s="14"/>
      <c r="W259" s="14" t="s">
        <v>37</v>
      </c>
      <c r="X259" s="13">
        <v>45132</v>
      </c>
      <c r="Y259" s="13"/>
      <c r="AB259" t="e">
        <v>#N/A</v>
      </c>
      <c r="AC259"/>
      <c r="AE259" t="str">
        <f t="shared" ref="AE259:AE322" si="51">LEFT(M259, FIND(" ", M259 &amp; " ") - 1)</f>
        <v>P000006</v>
      </c>
      <c r="AF259" t="str">
        <f>_xlfn.XLOOKUP(AE259, Hoja2!A:A, Hoja2!A:A)</f>
        <v>P000006</v>
      </c>
      <c r="AG259" t="str">
        <f t="shared" si="48"/>
        <v>PP00027-19</v>
      </c>
      <c r="AH259">
        <f>_xlfn.XLOOKUP(AG259, Hoja3!A:A, Hoja3!B:B)</f>
        <v>5578</v>
      </c>
      <c r="AI259" t="str">
        <f>_xlfn.XLOOKUP(AH259, Hoja4!A:A, Hoja4!B:B)</f>
        <v>GP093602</v>
      </c>
      <c r="AJ259" t="b">
        <f t="shared" si="49"/>
        <v>1</v>
      </c>
    </row>
    <row r="260" spans="1:36" ht="15.5" customHeight="1" x14ac:dyDescent="0.35">
      <c r="A260">
        <f t="shared" ca="1" si="50"/>
        <v>17</v>
      </c>
      <c r="B260" s="12" t="s">
        <v>914</v>
      </c>
      <c r="C260" s="13">
        <v>45304</v>
      </c>
      <c r="D260" s="14" t="s">
        <v>121</v>
      </c>
      <c r="E260" s="14" t="s">
        <v>139</v>
      </c>
      <c r="F260" s="14" t="s">
        <v>84</v>
      </c>
      <c r="G260" s="14" t="s">
        <v>156</v>
      </c>
      <c r="H260" s="14" t="s">
        <v>571</v>
      </c>
      <c r="I260" s="14" t="s">
        <v>402</v>
      </c>
      <c r="J260" s="14" t="str">
        <f>IF(E260="KTG","KTG",(VLOOKUP(I260,'[1]list of outsource'!B:H,2,0)))</f>
        <v>ETC</v>
      </c>
      <c r="K260" s="14" t="s">
        <v>403</v>
      </c>
      <c r="L260" s="14">
        <v>57</v>
      </c>
      <c r="M260" s="14" t="s">
        <v>488</v>
      </c>
      <c r="N260" s="14" t="s">
        <v>572</v>
      </c>
      <c r="O260" s="14">
        <v>1196293250</v>
      </c>
      <c r="P260" s="14"/>
      <c r="Q260" s="15" t="s">
        <v>575</v>
      </c>
      <c r="R260" s="14"/>
      <c r="S260" s="16"/>
      <c r="T260" s="14"/>
      <c r="U260" s="14">
        <v>1</v>
      </c>
      <c r="V260" s="14" t="s">
        <v>919</v>
      </c>
      <c r="W260" s="14" t="s">
        <v>154</v>
      </c>
      <c r="X260" s="13">
        <v>45321</v>
      </c>
      <c r="Y260" s="13"/>
      <c r="AC260"/>
      <c r="AE260" t="str">
        <f t="shared" si="51"/>
        <v>P000277</v>
      </c>
      <c r="AF260" t="str">
        <f>_xlfn.XLOOKUP(AE260, Hoja2!A:A, Hoja2!A:A)</f>
        <v>P000277</v>
      </c>
      <c r="AG260" t="str">
        <f t="shared" si="48"/>
        <v>PP00028-03</v>
      </c>
      <c r="AH260">
        <f>_xlfn.XLOOKUP(AG260, Hoja3!A:A, Hoja3!B:B)</f>
        <v>5306</v>
      </c>
      <c r="AI260" t="str">
        <f>_xlfn.XLOOKUP(AH260, Hoja4!A:A, Hoja4!B:B)</f>
        <v>E39044200</v>
      </c>
      <c r="AJ260" t="b">
        <f t="shared" si="49"/>
        <v>1</v>
      </c>
    </row>
    <row r="261" spans="1:36" ht="15.5" customHeight="1" x14ac:dyDescent="0.35">
      <c r="A261">
        <f t="shared" ca="1" si="50"/>
        <v>42</v>
      </c>
      <c r="B261" s="12" t="s">
        <v>920</v>
      </c>
      <c r="C261" s="13">
        <v>45091</v>
      </c>
      <c r="D261" s="14" t="s">
        <v>121</v>
      </c>
      <c r="E261" s="14" t="s">
        <v>139</v>
      </c>
      <c r="F261" s="14" t="s">
        <v>921</v>
      </c>
      <c r="G261" s="14" t="s">
        <v>922</v>
      </c>
      <c r="H261" s="14" t="s">
        <v>923</v>
      </c>
      <c r="I261" s="14" t="s">
        <v>208</v>
      </c>
      <c r="J261" s="14" t="str">
        <f>IF(E261="KTG","KTG",(VLOOKUP(I261,'[1]list of outsource'!B:H,2,0)))</f>
        <v>ETC</v>
      </c>
      <c r="K261" s="14" t="s">
        <v>209</v>
      </c>
      <c r="L261" s="14"/>
      <c r="M261" s="14" t="s">
        <v>420</v>
      </c>
      <c r="N261" s="14" t="s">
        <v>924</v>
      </c>
      <c r="O261" s="14">
        <v>1242598610</v>
      </c>
      <c r="P261" s="14"/>
      <c r="Q261" s="15"/>
      <c r="R261" s="14"/>
      <c r="S261" s="16"/>
      <c r="T261" s="14"/>
      <c r="U261" s="14">
        <v>2</v>
      </c>
      <c r="V261" s="14"/>
      <c r="W261" s="14" t="s">
        <v>37</v>
      </c>
      <c r="X261" s="13">
        <v>45133</v>
      </c>
      <c r="Y261" s="13"/>
      <c r="AC261" t="e">
        <v>#N/A</v>
      </c>
      <c r="AE261" t="str">
        <f t="shared" si="51"/>
        <v>P000165</v>
      </c>
      <c r="AF261" t="str">
        <f>_xlfn.XLOOKUP(AE261, Hoja2!A:A, Hoja2!A:A)</f>
        <v>P000165</v>
      </c>
      <c r="AG261" t="str">
        <f t="shared" si="48"/>
        <v>PP00041-01</v>
      </c>
      <c r="AH261">
        <f>_xlfn.XLOOKUP(AG261, Hoja3!A:A, Hoja3!B:B)</f>
        <v>4325</v>
      </c>
      <c r="AI261" t="str">
        <f>_xlfn.XLOOKUP(AH261, Hoja4!A:A, Hoja4!B:B)</f>
        <v>8S3239</v>
      </c>
      <c r="AJ261" t="b">
        <f t="shared" si="49"/>
        <v>1</v>
      </c>
    </row>
    <row r="262" spans="1:36" ht="15.5" customHeight="1" x14ac:dyDescent="0.35">
      <c r="A262">
        <f t="shared" ca="1" si="50"/>
        <v>42</v>
      </c>
      <c r="B262" s="12" t="s">
        <v>925</v>
      </c>
      <c r="C262" s="13">
        <v>45091</v>
      </c>
      <c r="D262" s="14" t="s">
        <v>121</v>
      </c>
      <c r="E262" s="14" t="s">
        <v>139</v>
      </c>
      <c r="F262" s="14" t="s">
        <v>921</v>
      </c>
      <c r="G262" s="14" t="s">
        <v>922</v>
      </c>
      <c r="H262" s="14" t="s">
        <v>926</v>
      </c>
      <c r="I262" s="14" t="s">
        <v>208</v>
      </c>
      <c r="J262" s="14" t="str">
        <f>IF(E262="KTG","KTG",(VLOOKUP(I262,'[1]list of outsource'!B:H,2,0)))</f>
        <v>ETC</v>
      </c>
      <c r="K262" s="14" t="s">
        <v>209</v>
      </c>
      <c r="L262" s="14"/>
      <c r="M262" s="14" t="s">
        <v>662</v>
      </c>
      <c r="N262" s="14" t="s">
        <v>927</v>
      </c>
      <c r="O262" s="14">
        <v>1242600683</v>
      </c>
      <c r="P262" s="14"/>
      <c r="Q262" s="15"/>
      <c r="R262" s="14"/>
      <c r="S262" s="16"/>
      <c r="T262" s="14"/>
      <c r="U262" s="14">
        <v>2</v>
      </c>
      <c r="V262" s="14"/>
      <c r="W262" s="14" t="s">
        <v>37</v>
      </c>
      <c r="X262" s="13">
        <v>45133</v>
      </c>
      <c r="Y262" s="13"/>
      <c r="AC262"/>
      <c r="AE262" t="str">
        <f t="shared" si="51"/>
        <v>P000363</v>
      </c>
      <c r="AF262" t="str">
        <f>_xlfn.XLOOKUP(AE262, Hoja2!A:A, Hoja2!A:A)</f>
        <v>P000363</v>
      </c>
      <c r="AG262" t="str">
        <f t="shared" si="48"/>
        <v>PP00041-02</v>
      </c>
      <c r="AH262">
        <f>_xlfn.XLOOKUP(AG262, Hoja3!A:A, Hoja3!B:B)</f>
        <v>4326</v>
      </c>
      <c r="AI262" t="str">
        <f>_xlfn.XLOOKUP(AH262, Hoja4!A:A, Hoja4!B:B)</f>
        <v>8S3240</v>
      </c>
      <c r="AJ262" t="b">
        <f t="shared" si="49"/>
        <v>1</v>
      </c>
    </row>
    <row r="263" spans="1:36" ht="15.5" hidden="1" customHeight="1" x14ac:dyDescent="0.35">
      <c r="A263">
        <f t="shared" ca="1" si="50"/>
        <v>36</v>
      </c>
      <c r="B263" s="56" t="s">
        <v>928</v>
      </c>
      <c r="C263" s="13">
        <v>45096</v>
      </c>
      <c r="D263" s="14" t="s">
        <v>121</v>
      </c>
      <c r="E263" s="14" t="s">
        <v>83</v>
      </c>
      <c r="F263" s="14" t="s">
        <v>140</v>
      </c>
      <c r="G263" s="14" t="s">
        <v>32</v>
      </c>
      <c r="H263" s="14" t="s">
        <v>929</v>
      </c>
      <c r="I263" s="14" t="s">
        <v>133</v>
      </c>
      <c r="J263" s="14" t="str">
        <f>IF(E263="KTG","KTG",(VLOOKUP(I263,'[1]list of outsource'!B:H,2,0)))</f>
        <v>UPM</v>
      </c>
      <c r="K263" s="14" t="s">
        <v>301</v>
      </c>
      <c r="L263" s="14"/>
      <c r="M263" s="55" t="s">
        <v>930</v>
      </c>
      <c r="N263" s="14" t="s">
        <v>931</v>
      </c>
      <c r="O263" s="14">
        <v>1242931487</v>
      </c>
      <c r="P263" s="14"/>
      <c r="Q263" s="15"/>
      <c r="R263" s="14"/>
      <c r="S263" s="16"/>
      <c r="T263" s="14"/>
      <c r="U263" s="14">
        <v>2</v>
      </c>
      <c r="V263" s="14"/>
      <c r="W263" s="14" t="s">
        <v>37</v>
      </c>
      <c r="X263" s="13">
        <v>45132</v>
      </c>
      <c r="Y263" s="13"/>
      <c r="AC263"/>
      <c r="AE263" t="str">
        <f t="shared" si="51"/>
        <v>P000679</v>
      </c>
      <c r="AF263" t="e">
        <f>_xlfn.XLOOKUP(AE263, Hoja2!A:A, Hoja2!A:A)</f>
        <v>#N/A</v>
      </c>
    </row>
    <row r="264" spans="1:36" ht="15.5" customHeight="1" x14ac:dyDescent="0.35">
      <c r="A264">
        <f t="shared" ca="1" si="50"/>
        <v>41</v>
      </c>
      <c r="B264" s="6" t="s">
        <v>932</v>
      </c>
      <c r="C264" s="7">
        <v>45097</v>
      </c>
      <c r="D264" s="6" t="s">
        <v>507</v>
      </c>
      <c r="E264" s="6" t="s">
        <v>139</v>
      </c>
      <c r="F264" s="6" t="s">
        <v>933</v>
      </c>
      <c r="G264" s="6" t="s">
        <v>32</v>
      </c>
      <c r="H264" s="6">
        <v>35758280</v>
      </c>
      <c r="I264" s="6" t="s">
        <v>208</v>
      </c>
      <c r="J264" s="6" t="str">
        <f>IF(E264="KTG","KTG",(VLOOKUP(I264,'[1]list of outsource'!B:H,2,0)))</f>
        <v>ETC</v>
      </c>
      <c r="K264" s="6" t="s">
        <v>209</v>
      </c>
      <c r="L264" s="6">
        <v>4</v>
      </c>
      <c r="M264" s="6" t="s">
        <v>934</v>
      </c>
      <c r="N264" s="6" t="s">
        <v>935</v>
      </c>
      <c r="O264" s="6">
        <v>1242955812</v>
      </c>
      <c r="P264" s="6"/>
      <c r="Q264" s="8" t="s">
        <v>575</v>
      </c>
      <c r="R264" s="6" t="s">
        <v>575</v>
      </c>
      <c r="S264" s="6" t="s">
        <v>575</v>
      </c>
      <c r="T264" s="6" t="s">
        <v>575</v>
      </c>
      <c r="U264" s="6">
        <v>2</v>
      </c>
      <c r="V264" s="6"/>
      <c r="W264" s="6" t="s">
        <v>37</v>
      </c>
      <c r="X264" s="7">
        <v>45138</v>
      </c>
      <c r="Y264" s="7">
        <v>45268</v>
      </c>
      <c r="AC264"/>
      <c r="AE264" t="str">
        <f t="shared" si="51"/>
        <v>P000554</v>
      </c>
      <c r="AF264" t="str">
        <f>_xlfn.XLOOKUP(AE264, Hoja2!A:A, Hoja2!A:A)</f>
        <v>P000554</v>
      </c>
      <c r="AG264" t="str">
        <f t="shared" ref="AG264:AG266" si="52">LEFT(B264, FIND(" ", B264 &amp; " ") - 1)</f>
        <v>PP00042-0001</v>
      </c>
      <c r="AH264">
        <f>_xlfn.XLOOKUP(AG264, Hoja3!A:A, Hoja3!B:B)</f>
        <v>5137</v>
      </c>
      <c r="AI264">
        <f>_xlfn.XLOOKUP(AH264, Hoja4!A:A, Hoja4!B:B)</f>
        <v>35758280</v>
      </c>
      <c r="AJ264" t="b">
        <f t="shared" ref="AJ264:AJ266" si="53">H264=AI264</f>
        <v>1</v>
      </c>
    </row>
    <row r="265" spans="1:36" ht="15.5" customHeight="1" x14ac:dyDescent="0.35">
      <c r="A265">
        <f t="shared" ca="1" si="50"/>
        <v>26</v>
      </c>
      <c r="B265" s="12" t="s">
        <v>784</v>
      </c>
      <c r="C265" s="13">
        <v>45709</v>
      </c>
      <c r="D265" s="14" t="s">
        <v>121</v>
      </c>
      <c r="E265" s="14" t="s">
        <v>139</v>
      </c>
      <c r="F265" s="14" t="s">
        <v>658</v>
      </c>
      <c r="G265" s="14" t="s">
        <v>32</v>
      </c>
      <c r="H265" s="14">
        <v>13778222</v>
      </c>
      <c r="I265" s="14" t="s">
        <v>494</v>
      </c>
      <c r="J265" s="14" t="str">
        <f>IF(E265="KTG","KTG",(VLOOKUP(I265,'[1]list of outsource'!B:H,2,0)))</f>
        <v>ETC</v>
      </c>
      <c r="K265" s="14" t="s">
        <v>495</v>
      </c>
      <c r="L265" s="14">
        <v>32</v>
      </c>
      <c r="M265" s="14" t="s">
        <v>785</v>
      </c>
      <c r="N265" s="14" t="s">
        <v>786</v>
      </c>
      <c r="O265" s="14" t="s">
        <v>936</v>
      </c>
      <c r="P265" s="14"/>
      <c r="Q265" s="15"/>
      <c r="R265" s="14"/>
      <c r="S265" s="16"/>
      <c r="T265" s="14"/>
      <c r="U265" s="14">
        <v>4</v>
      </c>
      <c r="V265" s="14" t="s">
        <v>569</v>
      </c>
      <c r="W265" s="14" t="s">
        <v>154</v>
      </c>
      <c r="X265" s="13">
        <v>45735</v>
      </c>
      <c r="Y265" s="13"/>
      <c r="AC265"/>
      <c r="AE265" t="str">
        <f t="shared" si="51"/>
        <v>P000484</v>
      </c>
      <c r="AF265" t="str">
        <f>_xlfn.XLOOKUP(AE265, Hoja2!A:A, Hoja2!A:A)</f>
        <v>P000484</v>
      </c>
      <c r="AG265" t="str">
        <f t="shared" si="52"/>
        <v>PP00034-01</v>
      </c>
      <c r="AH265">
        <f>_xlfn.XLOOKUP(AG265, Hoja3!A:A, Hoja3!B:B)</f>
        <v>4803</v>
      </c>
      <c r="AI265">
        <f>_xlfn.XLOOKUP(AH265, Hoja4!A:A, Hoja4!B:B)</f>
        <v>13778222</v>
      </c>
      <c r="AJ265" t="b">
        <f t="shared" si="53"/>
        <v>1</v>
      </c>
    </row>
    <row r="266" spans="1:36" ht="15.5" customHeight="1" x14ac:dyDescent="0.35">
      <c r="A266">
        <f t="shared" ca="1" si="50"/>
        <v>14</v>
      </c>
      <c r="B266" s="6" t="s">
        <v>937</v>
      </c>
      <c r="C266" s="7">
        <v>44973</v>
      </c>
      <c r="D266" s="6" t="s">
        <v>121</v>
      </c>
      <c r="E266" s="6" t="s">
        <v>139</v>
      </c>
      <c r="F266" s="6" t="s">
        <v>658</v>
      </c>
      <c r="G266" s="6" t="s">
        <v>32</v>
      </c>
      <c r="H266" s="6">
        <v>13778227</v>
      </c>
      <c r="I266" s="6" t="s">
        <v>494</v>
      </c>
      <c r="J266" s="6" t="str">
        <f>IF(E266="KTG","KTG",(VLOOKUP(I266,'[1]list of outsource'!B:H,2,0)))</f>
        <v>ETC</v>
      </c>
      <c r="K266" s="6" t="s">
        <v>495</v>
      </c>
      <c r="L266" s="6"/>
      <c r="M266" s="6" t="s">
        <v>938</v>
      </c>
      <c r="N266" s="6" t="s">
        <v>939</v>
      </c>
      <c r="O266" s="6">
        <v>1201049955</v>
      </c>
      <c r="P266" s="6"/>
      <c r="Q266" s="8"/>
      <c r="R266" s="6"/>
      <c r="S266" s="6"/>
      <c r="T266" s="6"/>
      <c r="U266" s="6">
        <v>2</v>
      </c>
      <c r="V266" s="6"/>
      <c r="W266" s="6" t="s">
        <v>37</v>
      </c>
      <c r="X266" s="7">
        <v>44987</v>
      </c>
      <c r="Y266" s="7"/>
      <c r="AC266"/>
      <c r="AE266" t="str">
        <f t="shared" si="51"/>
        <v>P000483</v>
      </c>
      <c r="AF266" t="str">
        <f>_xlfn.XLOOKUP(AE266, Hoja2!A:A, Hoja2!A:A)</f>
        <v>P000483</v>
      </c>
      <c r="AG266" t="str">
        <f t="shared" si="52"/>
        <v>PP00034-02</v>
      </c>
      <c r="AH266">
        <f>_xlfn.XLOOKUP(AG266, Hoja3!A:A, Hoja3!B:B)</f>
        <v>4802</v>
      </c>
      <c r="AI266">
        <f>_xlfn.XLOOKUP(AH266, Hoja4!A:A, Hoja4!B:B)</f>
        <v>13778227</v>
      </c>
      <c r="AJ266" t="b">
        <f t="shared" si="53"/>
        <v>1</v>
      </c>
    </row>
    <row r="267" spans="1:36" ht="15.5" hidden="1" customHeight="1" x14ac:dyDescent="0.35">
      <c r="A267">
        <f t="shared" ca="1" si="50"/>
        <v>134</v>
      </c>
      <c r="B267" s="56" t="s">
        <v>940</v>
      </c>
      <c r="C267" s="13">
        <v>45110</v>
      </c>
      <c r="D267" s="14" t="s">
        <v>121</v>
      </c>
      <c r="E267" s="14" t="s">
        <v>139</v>
      </c>
      <c r="F267" s="14" t="s">
        <v>84</v>
      </c>
      <c r="G267" s="14" t="s">
        <v>941</v>
      </c>
      <c r="H267" s="14" t="s">
        <v>942</v>
      </c>
      <c r="I267" s="14" t="s">
        <v>943</v>
      </c>
      <c r="J267" s="14" t="str">
        <f>IF(E267="KTG","KTG",(VLOOKUP(I267,'[1]list of outsource'!B:H,2,0)))</f>
        <v>ETC</v>
      </c>
      <c r="K267" s="14" t="s">
        <v>944</v>
      </c>
      <c r="L267" s="14">
        <v>12</v>
      </c>
      <c r="M267" s="55" t="s">
        <v>945</v>
      </c>
      <c r="N267" s="14" t="s">
        <v>946</v>
      </c>
      <c r="O267" s="14">
        <v>1247850311</v>
      </c>
      <c r="P267" s="14"/>
      <c r="Q267" s="15"/>
      <c r="R267" s="14"/>
      <c r="S267" s="16"/>
      <c r="T267" s="14"/>
      <c r="U267" s="14">
        <v>2</v>
      </c>
      <c r="V267" s="14"/>
      <c r="W267" s="14" t="s">
        <v>37</v>
      </c>
      <c r="X267" s="13">
        <v>45244</v>
      </c>
      <c r="Y267" s="13"/>
      <c r="AC267"/>
      <c r="AE267" t="str">
        <f t="shared" si="51"/>
        <v>P000604</v>
      </c>
      <c r="AF267" t="e">
        <f>_xlfn.XLOOKUP(AE267, Hoja2!A:A, Hoja2!A:A)</f>
        <v>#N/A</v>
      </c>
    </row>
    <row r="268" spans="1:36" ht="15.5" customHeight="1" x14ac:dyDescent="0.35">
      <c r="A268">
        <f t="shared" ca="1" si="50"/>
        <v>134</v>
      </c>
      <c r="B268" s="12" t="s">
        <v>947</v>
      </c>
      <c r="C268" s="13">
        <v>45110</v>
      </c>
      <c r="D268" s="14" t="s">
        <v>121</v>
      </c>
      <c r="E268" s="14" t="s">
        <v>139</v>
      </c>
      <c r="F268" s="14" t="s">
        <v>84</v>
      </c>
      <c r="G268" s="14" t="s">
        <v>941</v>
      </c>
      <c r="H268" s="14" t="s">
        <v>948</v>
      </c>
      <c r="I268" s="14" t="s">
        <v>849</v>
      </c>
      <c r="J268" s="14" t="str">
        <f>IF(E268="KTG","KTG",(VLOOKUP(I268,'[1]list of outsource'!B:H,2,0)))</f>
        <v>ETC</v>
      </c>
      <c r="K268" s="14" t="s">
        <v>850</v>
      </c>
      <c r="L268" s="14">
        <v>16</v>
      </c>
      <c r="M268" s="14" t="s">
        <v>949</v>
      </c>
      <c r="N268" s="14" t="s">
        <v>950</v>
      </c>
      <c r="O268" s="14" t="s">
        <v>951</v>
      </c>
      <c r="P268" s="14"/>
      <c r="Q268" s="15"/>
      <c r="R268" s="14"/>
      <c r="S268" s="16"/>
      <c r="T268" s="14"/>
      <c r="U268" s="14">
        <v>2</v>
      </c>
      <c r="V268" s="14"/>
      <c r="W268" s="14" t="s">
        <v>37</v>
      </c>
      <c r="X268" s="13">
        <v>45244</v>
      </c>
      <c r="Y268" s="13"/>
      <c r="AC268"/>
      <c r="AE268" t="str">
        <f t="shared" si="51"/>
        <v>P000623</v>
      </c>
      <c r="AF268" t="str">
        <f>_xlfn.XLOOKUP(AE268, Hoja2!A:A, Hoja2!A:A)</f>
        <v>P000623</v>
      </c>
      <c r="AG268" t="str">
        <f>LEFT(B268, FIND(" ", B268 &amp; " ") - 1)</f>
        <v>PP00043-02</v>
      </c>
      <c r="AH268">
        <f>_xlfn.XLOOKUP(AG268, Hoja3!A:A, Hoja3!B:B)</f>
        <v>5463</v>
      </c>
      <c r="AI268" t="str">
        <f>_xlfn.XLOOKUP(AH268, Hoja4!A:A, Hoja4!B:B)</f>
        <v>E42304400</v>
      </c>
      <c r="AJ268" t="b">
        <f>H268=AI268</f>
        <v>1</v>
      </c>
    </row>
    <row r="269" spans="1:36" ht="15.5" hidden="1" customHeight="1" x14ac:dyDescent="0.35">
      <c r="A269">
        <f t="shared" ca="1" si="50"/>
        <v>899</v>
      </c>
      <c r="B269" s="55" t="s">
        <v>952</v>
      </c>
      <c r="C269" s="7">
        <v>45110</v>
      </c>
      <c r="D269" s="6"/>
      <c r="E269" s="6"/>
      <c r="F269" s="6" t="s">
        <v>84</v>
      </c>
      <c r="G269" s="6" t="s">
        <v>941</v>
      </c>
      <c r="H269" s="6" t="s">
        <v>953</v>
      </c>
      <c r="I269" s="6" t="s">
        <v>494</v>
      </c>
      <c r="J269" s="6" t="str">
        <f>IF(E269="KTG","KTG",(VLOOKUP(I269,'[1]list of outsource'!B:H,2,0)))</f>
        <v>ETC</v>
      </c>
      <c r="K269" s="6" t="s">
        <v>495</v>
      </c>
      <c r="L269" s="6"/>
      <c r="M269" s="55" t="s">
        <v>954</v>
      </c>
      <c r="N269" s="6" t="s">
        <v>955</v>
      </c>
      <c r="O269" s="6"/>
      <c r="P269" s="6"/>
      <c r="Q269" s="8"/>
      <c r="R269" s="6"/>
      <c r="S269" s="6"/>
      <c r="T269" s="6"/>
      <c r="U269" s="6"/>
      <c r="V269" s="6"/>
      <c r="W269" s="6"/>
      <c r="X269" s="7"/>
      <c r="Y269" s="7"/>
      <c r="AC269"/>
      <c r="AE269" t="str">
        <f t="shared" si="51"/>
        <v>P000239</v>
      </c>
      <c r="AF269" t="e">
        <f>_xlfn.XLOOKUP(AE269, Hoja2!A:A, Hoja2!A:A)</f>
        <v>#N/A</v>
      </c>
    </row>
    <row r="270" spans="1:36" ht="15.5" hidden="1" customHeight="1" x14ac:dyDescent="0.35">
      <c r="A270">
        <f t="shared" ca="1" si="50"/>
        <v>899</v>
      </c>
      <c r="B270" s="55" t="s">
        <v>956</v>
      </c>
      <c r="C270" s="7">
        <v>45110</v>
      </c>
      <c r="D270" s="6"/>
      <c r="E270" s="6"/>
      <c r="F270" s="6" t="s">
        <v>84</v>
      </c>
      <c r="G270" s="6" t="s">
        <v>941</v>
      </c>
      <c r="H270" s="6" t="s">
        <v>957</v>
      </c>
      <c r="I270" s="6" t="s">
        <v>849</v>
      </c>
      <c r="J270" s="6" t="str">
        <f>IF(E270="KTG","KTG",(VLOOKUP(I270,'[1]list of outsource'!B:H,2,0)))</f>
        <v>ETC</v>
      </c>
      <c r="K270" s="6" t="s">
        <v>850</v>
      </c>
      <c r="L270" s="6"/>
      <c r="M270" s="55" t="s">
        <v>958</v>
      </c>
      <c r="N270" s="6" t="s">
        <v>959</v>
      </c>
      <c r="O270" s="6"/>
      <c r="P270" s="6"/>
      <c r="Q270" s="8"/>
      <c r="R270" s="6"/>
      <c r="S270" s="6"/>
      <c r="T270" s="6"/>
      <c r="U270" s="6"/>
      <c r="V270" s="6"/>
      <c r="W270" s="6"/>
      <c r="X270" s="7"/>
      <c r="Y270" s="7"/>
      <c r="AC270"/>
      <c r="AE270" t="str">
        <f t="shared" si="51"/>
        <v>P000662</v>
      </c>
      <c r="AF270" t="e">
        <f>_xlfn.XLOOKUP(AE270, Hoja2!A:A, Hoja2!A:A)</f>
        <v>#N/A</v>
      </c>
    </row>
    <row r="271" spans="1:36" ht="15.5" hidden="1" customHeight="1" x14ac:dyDescent="0.35">
      <c r="A271">
        <f t="shared" ca="1" si="50"/>
        <v>134</v>
      </c>
      <c r="B271" s="56" t="s">
        <v>960</v>
      </c>
      <c r="C271" s="13">
        <v>45110</v>
      </c>
      <c r="D271" s="14" t="s">
        <v>121</v>
      </c>
      <c r="E271" s="14" t="s">
        <v>139</v>
      </c>
      <c r="F271" s="14" t="s">
        <v>84</v>
      </c>
      <c r="G271" s="14" t="s">
        <v>941</v>
      </c>
      <c r="H271" s="14" t="s">
        <v>961</v>
      </c>
      <c r="I271" s="14" t="s">
        <v>943</v>
      </c>
      <c r="J271" s="14" t="str">
        <f>IF(E271="KTG","KTG",(VLOOKUP(I271,'[1]list of outsource'!B:H,2,0)))</f>
        <v>ETC</v>
      </c>
      <c r="K271" s="14" t="s">
        <v>944</v>
      </c>
      <c r="L271" s="14">
        <v>12</v>
      </c>
      <c r="M271" s="55" t="s">
        <v>962</v>
      </c>
      <c r="N271" s="14" t="s">
        <v>963</v>
      </c>
      <c r="O271" s="14">
        <v>1247861798</v>
      </c>
      <c r="P271" s="14"/>
      <c r="Q271" s="15"/>
      <c r="R271" s="14"/>
      <c r="S271" s="16"/>
      <c r="T271" s="14"/>
      <c r="U271" s="14">
        <v>2</v>
      </c>
      <c r="V271" s="14"/>
      <c r="W271" s="14" t="s">
        <v>37</v>
      </c>
      <c r="X271" s="13">
        <v>45244</v>
      </c>
      <c r="Y271" s="13"/>
      <c r="AC271"/>
      <c r="AE271" t="str">
        <f t="shared" si="51"/>
        <v>P000611</v>
      </c>
      <c r="AF271" t="e">
        <f>_xlfn.XLOOKUP(AE271, Hoja2!A:A, Hoja2!A:A)</f>
        <v>#N/A</v>
      </c>
    </row>
    <row r="272" spans="1:36" ht="15.5" hidden="1" customHeight="1" x14ac:dyDescent="0.35">
      <c r="A272">
        <f t="shared" ca="1" si="50"/>
        <v>134</v>
      </c>
      <c r="B272" s="56" t="s">
        <v>964</v>
      </c>
      <c r="C272" s="13">
        <v>45110</v>
      </c>
      <c r="D272" s="14" t="s">
        <v>121</v>
      </c>
      <c r="E272" s="14" t="s">
        <v>139</v>
      </c>
      <c r="F272" s="14" t="s">
        <v>84</v>
      </c>
      <c r="G272" s="14" t="s">
        <v>941</v>
      </c>
      <c r="H272" s="14" t="s">
        <v>965</v>
      </c>
      <c r="I272" s="14" t="s">
        <v>943</v>
      </c>
      <c r="J272" s="14" t="str">
        <f>IF(E272="KTG","KTG",(VLOOKUP(I272,'[1]list of outsource'!B:H,2,0)))</f>
        <v>ETC</v>
      </c>
      <c r="K272" s="14" t="s">
        <v>944</v>
      </c>
      <c r="L272" s="14">
        <v>12</v>
      </c>
      <c r="M272" s="55" t="s">
        <v>966</v>
      </c>
      <c r="N272" s="14" t="s">
        <v>967</v>
      </c>
      <c r="O272" s="14">
        <v>1247861628</v>
      </c>
      <c r="P272" s="14"/>
      <c r="Q272" s="15"/>
      <c r="R272" s="14"/>
      <c r="S272" s="16"/>
      <c r="T272" s="14"/>
      <c r="U272" s="14">
        <v>2</v>
      </c>
      <c r="V272" s="14"/>
      <c r="W272" s="14" t="s">
        <v>37</v>
      </c>
      <c r="X272" s="13">
        <v>45244</v>
      </c>
      <c r="Y272" s="13"/>
      <c r="AC272"/>
      <c r="AE272" t="str">
        <f t="shared" si="51"/>
        <v>P000609</v>
      </c>
      <c r="AF272" t="e">
        <f>_xlfn.XLOOKUP(AE272, Hoja2!A:A, Hoja2!A:A)</f>
        <v>#N/A</v>
      </c>
    </row>
    <row r="273" spans="1:36" ht="15.5" hidden="1" customHeight="1" x14ac:dyDescent="0.35">
      <c r="A273">
        <f t="shared" ca="1" si="50"/>
        <v>134</v>
      </c>
      <c r="B273" s="56" t="s">
        <v>968</v>
      </c>
      <c r="C273" s="13">
        <v>45110</v>
      </c>
      <c r="D273" s="14" t="s">
        <v>121</v>
      </c>
      <c r="E273" s="14" t="s">
        <v>139</v>
      </c>
      <c r="F273" s="14" t="s">
        <v>84</v>
      </c>
      <c r="G273" s="14" t="s">
        <v>941</v>
      </c>
      <c r="H273" s="14" t="s">
        <v>969</v>
      </c>
      <c r="I273" s="14" t="s">
        <v>970</v>
      </c>
      <c r="J273" s="14" t="str">
        <f>IF(E273="KTG","KTG",(VLOOKUP(I273,'[1]list of outsource'!B:H,2,0)))</f>
        <v>ETC</v>
      </c>
      <c r="K273" s="14" t="s">
        <v>971</v>
      </c>
      <c r="L273" s="14">
        <v>5</v>
      </c>
      <c r="M273" s="55" t="s">
        <v>972</v>
      </c>
      <c r="N273" s="14" t="s">
        <v>973</v>
      </c>
      <c r="O273" s="14">
        <v>1247865330</v>
      </c>
      <c r="P273" s="14"/>
      <c r="Q273" s="15"/>
      <c r="R273" s="14"/>
      <c r="S273" s="16"/>
      <c r="T273" s="14"/>
      <c r="U273" s="14">
        <v>2</v>
      </c>
      <c r="V273" s="14"/>
      <c r="W273" s="14" t="s">
        <v>37</v>
      </c>
      <c r="X273" s="13">
        <v>45244</v>
      </c>
      <c r="Y273" s="13"/>
      <c r="AC273"/>
      <c r="AE273" t="str">
        <f t="shared" si="51"/>
        <v>P000613</v>
      </c>
      <c r="AF273" t="e">
        <f>_xlfn.XLOOKUP(AE273, Hoja2!A:A, Hoja2!A:A)</f>
        <v>#N/A</v>
      </c>
    </row>
    <row r="274" spans="1:36" ht="15.5" hidden="1" customHeight="1" x14ac:dyDescent="0.35">
      <c r="A274">
        <f t="shared" ca="1" si="50"/>
        <v>134</v>
      </c>
      <c r="B274" s="56" t="s">
        <v>974</v>
      </c>
      <c r="C274" s="13">
        <v>45110</v>
      </c>
      <c r="D274" s="14" t="s">
        <v>121</v>
      </c>
      <c r="E274" s="14" t="s">
        <v>139</v>
      </c>
      <c r="F274" s="14" t="s">
        <v>84</v>
      </c>
      <c r="G274" s="14" t="s">
        <v>941</v>
      </c>
      <c r="H274" s="14" t="s">
        <v>975</v>
      </c>
      <c r="I274" s="14" t="s">
        <v>943</v>
      </c>
      <c r="J274" s="14" t="str">
        <f>IF(E274="KTG","KTG",(VLOOKUP(I274,'[1]list of outsource'!B:H,2,0)))</f>
        <v>ETC</v>
      </c>
      <c r="K274" s="14" t="s">
        <v>944</v>
      </c>
      <c r="L274" s="14">
        <v>12</v>
      </c>
      <c r="M274" s="55" t="s">
        <v>976</v>
      </c>
      <c r="N274" s="14" t="s">
        <v>977</v>
      </c>
      <c r="O274" s="14">
        <v>1247861053</v>
      </c>
      <c r="P274" s="14"/>
      <c r="Q274" s="15"/>
      <c r="R274" s="14"/>
      <c r="S274" s="16"/>
      <c r="T274" s="14"/>
      <c r="U274" s="14">
        <v>2</v>
      </c>
      <c r="V274" s="14"/>
      <c r="W274" s="14" t="s">
        <v>37</v>
      </c>
      <c r="X274" s="13">
        <v>45244</v>
      </c>
      <c r="Y274" s="13"/>
      <c r="AC274"/>
      <c r="AE274" t="str">
        <f t="shared" si="51"/>
        <v>P000607</v>
      </c>
      <c r="AF274" t="e">
        <f>_xlfn.XLOOKUP(AE274, Hoja2!A:A, Hoja2!A:A)</f>
        <v>#N/A</v>
      </c>
    </row>
    <row r="275" spans="1:36" ht="15.5" hidden="1" customHeight="1" x14ac:dyDescent="0.35">
      <c r="A275">
        <f t="shared" ca="1" si="50"/>
        <v>899</v>
      </c>
      <c r="B275" s="55" t="s">
        <v>978</v>
      </c>
      <c r="C275" s="7">
        <v>45110</v>
      </c>
      <c r="D275" s="6"/>
      <c r="E275" s="6"/>
      <c r="F275" s="6" t="s">
        <v>84</v>
      </c>
      <c r="G275" s="6" t="s">
        <v>941</v>
      </c>
      <c r="H275" s="6" t="s">
        <v>979</v>
      </c>
      <c r="I275" s="6" t="s">
        <v>494</v>
      </c>
      <c r="J275" s="6" t="str">
        <f>IF(E275="KTG","KTG",(VLOOKUP(I275,'[1]list of outsource'!B:H,2,0)))</f>
        <v>ETC</v>
      </c>
      <c r="K275" s="6" t="s">
        <v>495</v>
      </c>
      <c r="L275" s="6"/>
      <c r="M275" s="55" t="s">
        <v>980</v>
      </c>
      <c r="N275" s="6" t="s">
        <v>981</v>
      </c>
      <c r="O275" s="6"/>
      <c r="P275" s="6"/>
      <c r="Q275" s="8"/>
      <c r="R275" s="6"/>
      <c r="S275" s="6"/>
      <c r="T275" s="6"/>
      <c r="U275" s="6"/>
      <c r="V275" s="6"/>
      <c r="W275" s="6"/>
      <c r="X275" s="7"/>
      <c r="Y275" s="7"/>
      <c r="AC275"/>
      <c r="AE275" t="str">
        <f t="shared" si="51"/>
        <v>P000664</v>
      </c>
      <c r="AF275" t="e">
        <f>_xlfn.XLOOKUP(AE275, Hoja2!A:A, Hoja2!A:A)</f>
        <v>#N/A</v>
      </c>
    </row>
    <row r="276" spans="1:36" ht="15.5" hidden="1" customHeight="1" x14ac:dyDescent="0.35">
      <c r="A276">
        <f t="shared" ca="1" si="50"/>
        <v>134</v>
      </c>
      <c r="B276" s="56" t="s">
        <v>982</v>
      </c>
      <c r="C276" s="13">
        <v>45110</v>
      </c>
      <c r="D276" s="14" t="s">
        <v>121</v>
      </c>
      <c r="E276" s="14" t="s">
        <v>139</v>
      </c>
      <c r="F276" s="14" t="s">
        <v>84</v>
      </c>
      <c r="G276" s="14" t="s">
        <v>941</v>
      </c>
      <c r="H276" s="14" t="s">
        <v>983</v>
      </c>
      <c r="I276" s="14" t="s">
        <v>970</v>
      </c>
      <c r="J276" s="14" t="str">
        <f>IF(E276="KTG","KTG",(VLOOKUP(I276,'[1]list of outsource'!B:H,2,0)))</f>
        <v>ETC</v>
      </c>
      <c r="K276" s="14" t="s">
        <v>971</v>
      </c>
      <c r="L276" s="14">
        <v>5</v>
      </c>
      <c r="M276" s="55" t="s">
        <v>984</v>
      </c>
      <c r="N276" s="14" t="s">
        <v>985</v>
      </c>
      <c r="O276" s="14">
        <v>1263516098</v>
      </c>
      <c r="P276" s="14"/>
      <c r="Q276" s="15"/>
      <c r="R276" s="14"/>
      <c r="S276" s="16"/>
      <c r="T276" s="14"/>
      <c r="U276" s="14">
        <v>2</v>
      </c>
      <c r="V276" s="14"/>
      <c r="W276" s="14" t="s">
        <v>37</v>
      </c>
      <c r="X276" s="13">
        <v>45244</v>
      </c>
      <c r="Y276" s="13"/>
      <c r="AC276"/>
      <c r="AE276" t="str">
        <f t="shared" si="51"/>
        <v>P000618</v>
      </c>
      <c r="AF276" t="e">
        <f>_xlfn.XLOOKUP(AE276, Hoja2!A:A, Hoja2!A:A)</f>
        <v>#N/A</v>
      </c>
    </row>
    <row r="277" spans="1:36" ht="15.5" hidden="1" customHeight="1" x14ac:dyDescent="0.35">
      <c r="A277">
        <f t="shared" ca="1" si="50"/>
        <v>899</v>
      </c>
      <c r="B277" s="55" t="s">
        <v>986</v>
      </c>
      <c r="C277" s="7">
        <v>45110</v>
      </c>
      <c r="D277" s="6"/>
      <c r="E277" s="6"/>
      <c r="F277" s="6" t="s">
        <v>84</v>
      </c>
      <c r="G277" s="6" t="s">
        <v>941</v>
      </c>
      <c r="H277" s="6" t="s">
        <v>987</v>
      </c>
      <c r="I277" s="6" t="s">
        <v>943</v>
      </c>
      <c r="J277" s="6" t="str">
        <f>IF(E277="KTG","KTG",(VLOOKUP(I277,'[1]list of outsource'!B:H,2,0)))</f>
        <v>ETC</v>
      </c>
      <c r="K277" s="6" t="s">
        <v>944</v>
      </c>
      <c r="L277" s="6"/>
      <c r="M277" s="55"/>
      <c r="N277" s="6" t="s">
        <v>988</v>
      </c>
      <c r="O277" s="6"/>
      <c r="P277" s="6"/>
      <c r="Q277" s="8"/>
      <c r="R277" s="6"/>
      <c r="S277" s="6"/>
      <c r="T277" s="6"/>
      <c r="U277" s="6"/>
      <c r="V277" s="6"/>
      <c r="W277" s="6"/>
      <c r="X277" s="7"/>
      <c r="Y277" s="7"/>
      <c r="AC277"/>
      <c r="AE277" t="str">
        <f t="shared" si="51"/>
        <v/>
      </c>
      <c r="AF277" t="e">
        <f>_xlfn.XLOOKUP(AE277, Hoja2!A:A, Hoja2!A:A)</f>
        <v>#N/A</v>
      </c>
    </row>
    <row r="278" spans="1:36" ht="15.5" hidden="1" customHeight="1" x14ac:dyDescent="0.35">
      <c r="A278">
        <f t="shared" ca="1" si="50"/>
        <v>899</v>
      </c>
      <c r="B278" s="55" t="s">
        <v>989</v>
      </c>
      <c r="C278" s="7">
        <v>45110</v>
      </c>
      <c r="D278" s="6"/>
      <c r="E278" s="6"/>
      <c r="F278" s="6" t="s">
        <v>84</v>
      </c>
      <c r="G278" s="6" t="s">
        <v>941</v>
      </c>
      <c r="H278" s="6" t="s">
        <v>987</v>
      </c>
      <c r="I278" s="6" t="s">
        <v>943</v>
      </c>
      <c r="J278" s="6" t="str">
        <f>IF(E278="KTG","KTG",(VLOOKUP(I278,'[1]list of outsource'!B:H,2,0)))</f>
        <v>ETC</v>
      </c>
      <c r="K278" s="6" t="s">
        <v>944</v>
      </c>
      <c r="L278" s="6"/>
      <c r="M278" s="55"/>
      <c r="N278" s="6" t="s">
        <v>990</v>
      </c>
      <c r="O278" s="6"/>
      <c r="P278" s="6"/>
      <c r="Q278" s="8"/>
      <c r="R278" s="6"/>
      <c r="S278" s="6"/>
      <c r="T278" s="6"/>
      <c r="U278" s="6"/>
      <c r="V278" s="6"/>
      <c r="W278" s="6"/>
      <c r="X278" s="7"/>
      <c r="Y278" s="7"/>
      <c r="AC278"/>
      <c r="AE278" t="str">
        <f t="shared" si="51"/>
        <v/>
      </c>
      <c r="AF278" t="e">
        <f>_xlfn.XLOOKUP(AE278, Hoja2!A:A, Hoja2!A:A)</f>
        <v>#N/A</v>
      </c>
    </row>
    <row r="279" spans="1:36" ht="15.5" hidden="1" customHeight="1" x14ac:dyDescent="0.35">
      <c r="A279">
        <f t="shared" ca="1" si="50"/>
        <v>134</v>
      </c>
      <c r="B279" s="56" t="s">
        <v>991</v>
      </c>
      <c r="C279" s="13">
        <v>45110</v>
      </c>
      <c r="D279" s="14" t="s">
        <v>121</v>
      </c>
      <c r="E279" s="14" t="s">
        <v>139</v>
      </c>
      <c r="F279" s="14" t="s">
        <v>84</v>
      </c>
      <c r="G279" s="14" t="s">
        <v>941</v>
      </c>
      <c r="H279" s="14" t="s">
        <v>992</v>
      </c>
      <c r="I279" s="14" t="s">
        <v>970</v>
      </c>
      <c r="J279" s="14" t="str">
        <f>IF(E279="KTG","KTG",(VLOOKUP(I279,'[1]list of outsource'!B:H,2,0)))</f>
        <v>ETC</v>
      </c>
      <c r="K279" s="14" t="s">
        <v>971</v>
      </c>
      <c r="L279" s="14">
        <v>5</v>
      </c>
      <c r="M279" s="55" t="s">
        <v>993</v>
      </c>
      <c r="N279" s="14" t="s">
        <v>994</v>
      </c>
      <c r="O279" s="14">
        <v>1263504869</v>
      </c>
      <c r="P279" s="14"/>
      <c r="Q279" s="15"/>
      <c r="R279" s="14"/>
      <c r="S279" s="16"/>
      <c r="T279" s="14"/>
      <c r="U279" s="14">
        <v>2</v>
      </c>
      <c r="V279" s="14"/>
      <c r="W279" s="14" t="s">
        <v>37</v>
      </c>
      <c r="X279" s="13">
        <v>45244</v>
      </c>
      <c r="Y279" s="13"/>
      <c r="AC279"/>
      <c r="AE279" t="str">
        <f t="shared" si="51"/>
        <v>P000620</v>
      </c>
      <c r="AF279" t="e">
        <f>_xlfn.XLOOKUP(AE279, Hoja2!A:A, Hoja2!A:A)</f>
        <v>#N/A</v>
      </c>
    </row>
    <row r="280" spans="1:36" ht="15.5" hidden="1" customHeight="1" x14ac:dyDescent="0.35">
      <c r="A280">
        <f t="shared" ca="1" si="50"/>
        <v>134</v>
      </c>
      <c r="B280" s="56" t="s">
        <v>995</v>
      </c>
      <c r="C280" s="13">
        <v>45110</v>
      </c>
      <c r="D280" s="14" t="s">
        <v>121</v>
      </c>
      <c r="E280" s="14" t="s">
        <v>139</v>
      </c>
      <c r="F280" s="14" t="s">
        <v>84</v>
      </c>
      <c r="G280" s="14" t="s">
        <v>941</v>
      </c>
      <c r="H280" s="14" t="s">
        <v>996</v>
      </c>
      <c r="I280" s="14" t="s">
        <v>970</v>
      </c>
      <c r="J280" s="14" t="str">
        <f>IF(E280="KTG","KTG",(VLOOKUP(I280,'[1]list of outsource'!B:H,2,0)))</f>
        <v>ETC</v>
      </c>
      <c r="K280" s="14" t="s">
        <v>971</v>
      </c>
      <c r="L280" s="14">
        <v>5</v>
      </c>
      <c r="M280" s="55" t="s">
        <v>997</v>
      </c>
      <c r="N280" s="14" t="s">
        <v>998</v>
      </c>
      <c r="O280" s="14">
        <v>1247865865</v>
      </c>
      <c r="P280" s="14"/>
      <c r="Q280" s="15"/>
      <c r="R280" s="14"/>
      <c r="S280" s="16"/>
      <c r="T280" s="14"/>
      <c r="U280" s="14">
        <v>2</v>
      </c>
      <c r="V280" s="14"/>
      <c r="W280" s="14" t="s">
        <v>37</v>
      </c>
      <c r="X280" s="13">
        <v>45244</v>
      </c>
      <c r="Y280" s="13"/>
      <c r="AC280"/>
      <c r="AE280" t="str">
        <f t="shared" si="51"/>
        <v>P000614</v>
      </c>
      <c r="AF280" t="e">
        <f>_xlfn.XLOOKUP(AE280, Hoja2!A:A, Hoja2!A:A)</f>
        <v>#N/A</v>
      </c>
    </row>
    <row r="281" spans="1:36" ht="15.5" hidden="1" customHeight="1" x14ac:dyDescent="0.35">
      <c r="A281">
        <f t="shared" ca="1" si="50"/>
        <v>134</v>
      </c>
      <c r="B281" s="56" t="s">
        <v>999</v>
      </c>
      <c r="C281" s="13">
        <v>45110</v>
      </c>
      <c r="D281" s="14" t="s">
        <v>121</v>
      </c>
      <c r="E281" s="14" t="s">
        <v>139</v>
      </c>
      <c r="F281" s="14" t="s">
        <v>84</v>
      </c>
      <c r="G281" s="14" t="s">
        <v>941</v>
      </c>
      <c r="H281" s="14" t="s">
        <v>1000</v>
      </c>
      <c r="I281" s="14" t="s">
        <v>970</v>
      </c>
      <c r="J281" s="14" t="str">
        <f>IF(E281="KTG","KTG",(VLOOKUP(I281,'[1]list of outsource'!B:H,2,0)))</f>
        <v>ETC</v>
      </c>
      <c r="K281" s="14" t="s">
        <v>971</v>
      </c>
      <c r="L281" s="14">
        <v>5</v>
      </c>
      <c r="M281" s="55" t="s">
        <v>1001</v>
      </c>
      <c r="N281" s="14" t="s">
        <v>1002</v>
      </c>
      <c r="O281" s="14">
        <v>1248122075</v>
      </c>
      <c r="P281" s="14"/>
      <c r="Q281" s="15"/>
      <c r="R281" s="14"/>
      <c r="S281" s="16"/>
      <c r="T281" s="14"/>
      <c r="U281" s="14">
        <v>2</v>
      </c>
      <c r="V281" s="14"/>
      <c r="W281" s="14" t="s">
        <v>37</v>
      </c>
      <c r="X281" s="13">
        <v>45244</v>
      </c>
      <c r="Y281" s="13"/>
      <c r="AC281"/>
      <c r="AE281" t="str">
        <f t="shared" si="51"/>
        <v>P000615</v>
      </c>
      <c r="AF281" t="e">
        <f>_xlfn.XLOOKUP(AE281, Hoja2!A:A, Hoja2!A:A)</f>
        <v>#N/A</v>
      </c>
    </row>
    <row r="282" spans="1:36" ht="15.5" hidden="1" customHeight="1" x14ac:dyDescent="0.35">
      <c r="A282">
        <f t="shared" ca="1" si="50"/>
        <v>134</v>
      </c>
      <c r="B282" s="56" t="s">
        <v>1003</v>
      </c>
      <c r="C282" s="13">
        <v>45110</v>
      </c>
      <c r="D282" s="14" t="s">
        <v>121</v>
      </c>
      <c r="E282" s="14" t="s">
        <v>139</v>
      </c>
      <c r="F282" s="14" t="s">
        <v>84</v>
      </c>
      <c r="G282" s="14" t="s">
        <v>941</v>
      </c>
      <c r="H282" s="14" t="s">
        <v>1004</v>
      </c>
      <c r="I282" s="14" t="s">
        <v>849</v>
      </c>
      <c r="J282" s="14" t="str">
        <f>IF(E282="KTG","KTG",(VLOOKUP(I282,'[1]list of outsource'!B:H,2,0)))</f>
        <v>ETC</v>
      </c>
      <c r="K282" s="14" t="s">
        <v>850</v>
      </c>
      <c r="L282" s="14">
        <v>16</v>
      </c>
      <c r="M282" s="55" t="s">
        <v>1005</v>
      </c>
      <c r="N282" s="14" t="s">
        <v>1006</v>
      </c>
      <c r="O282" s="14" t="s">
        <v>1007</v>
      </c>
      <c r="P282" s="14"/>
      <c r="Q282" s="15"/>
      <c r="R282" s="14"/>
      <c r="S282" s="16"/>
      <c r="T282" s="14"/>
      <c r="U282" s="14">
        <v>2</v>
      </c>
      <c r="V282" s="14"/>
      <c r="W282" s="14" t="s">
        <v>37</v>
      </c>
      <c r="X282" s="13">
        <v>45244</v>
      </c>
      <c r="Y282" s="13"/>
      <c r="AC282"/>
      <c r="AE282" t="str">
        <f t="shared" si="51"/>
        <v>P000625</v>
      </c>
      <c r="AF282" t="e">
        <f>_xlfn.XLOOKUP(AE282, Hoja2!A:A, Hoja2!A:A)</f>
        <v>#N/A</v>
      </c>
    </row>
    <row r="283" spans="1:36" ht="15.5" hidden="1" customHeight="1" x14ac:dyDescent="0.35">
      <c r="A283">
        <f t="shared" ca="1" si="50"/>
        <v>134</v>
      </c>
      <c r="B283" s="56" t="s">
        <v>1008</v>
      </c>
      <c r="C283" s="13">
        <v>45110</v>
      </c>
      <c r="D283" s="14" t="s">
        <v>121</v>
      </c>
      <c r="E283" s="14" t="s">
        <v>139</v>
      </c>
      <c r="F283" s="14" t="s">
        <v>84</v>
      </c>
      <c r="G283" s="14" t="s">
        <v>941</v>
      </c>
      <c r="H283" s="14" t="s">
        <v>1009</v>
      </c>
      <c r="I283" s="14" t="s">
        <v>943</v>
      </c>
      <c r="J283" s="14" t="str">
        <f>IF(E283="KTG","KTG",(VLOOKUP(I283,'[1]list of outsource'!B:H,2,0)))</f>
        <v>ETC</v>
      </c>
      <c r="K283" s="14" t="s">
        <v>944</v>
      </c>
      <c r="L283" s="14">
        <v>12</v>
      </c>
      <c r="M283" s="55" t="s">
        <v>1010</v>
      </c>
      <c r="N283" s="14" t="s">
        <v>1011</v>
      </c>
      <c r="O283" s="14">
        <v>1247861362</v>
      </c>
      <c r="P283" s="14"/>
      <c r="Q283" s="15"/>
      <c r="R283" s="14"/>
      <c r="S283" s="16"/>
      <c r="T283" s="14"/>
      <c r="U283" s="14">
        <v>2</v>
      </c>
      <c r="V283" s="14"/>
      <c r="W283" s="14" t="s">
        <v>37</v>
      </c>
      <c r="X283" s="13">
        <v>45244</v>
      </c>
      <c r="Y283" s="13"/>
      <c r="AC283"/>
      <c r="AE283" t="str">
        <f t="shared" si="51"/>
        <v>P000608</v>
      </c>
      <c r="AF283" t="e">
        <f>_xlfn.XLOOKUP(AE283, Hoja2!A:A, Hoja2!A:A)</f>
        <v>#N/A</v>
      </c>
    </row>
    <row r="284" spans="1:36" ht="15.5" hidden="1" customHeight="1" x14ac:dyDescent="0.35">
      <c r="A284">
        <f t="shared" ca="1" si="50"/>
        <v>134</v>
      </c>
      <c r="B284" s="56" t="s">
        <v>1012</v>
      </c>
      <c r="C284" s="13">
        <v>45110</v>
      </c>
      <c r="D284" s="14" t="s">
        <v>121</v>
      </c>
      <c r="E284" s="14" t="s">
        <v>139</v>
      </c>
      <c r="F284" s="14" t="s">
        <v>84</v>
      </c>
      <c r="G284" s="14" t="s">
        <v>941</v>
      </c>
      <c r="H284" s="14" t="s">
        <v>1013</v>
      </c>
      <c r="I284" s="14" t="s">
        <v>970</v>
      </c>
      <c r="J284" s="14" t="str">
        <f>IF(E284="KTG","KTG",(VLOOKUP(I284,'[1]list of outsource'!B:H,2,0)))</f>
        <v>ETC</v>
      </c>
      <c r="K284" s="14" t="s">
        <v>971</v>
      </c>
      <c r="L284" s="14">
        <v>5</v>
      </c>
      <c r="M284" s="55" t="s">
        <v>1014</v>
      </c>
      <c r="N284" s="14" t="s">
        <v>1015</v>
      </c>
      <c r="O284" s="14">
        <v>1261838313</v>
      </c>
      <c r="P284" s="14"/>
      <c r="Q284" s="15"/>
      <c r="R284" s="14"/>
      <c r="S284" s="16"/>
      <c r="T284" s="14"/>
      <c r="U284" s="14">
        <v>2</v>
      </c>
      <c r="V284" s="14"/>
      <c r="W284" s="14" t="s">
        <v>37</v>
      </c>
      <c r="X284" s="13">
        <v>45244</v>
      </c>
      <c r="Y284" s="13"/>
      <c r="AC284"/>
      <c r="AE284" t="str">
        <f t="shared" si="51"/>
        <v>P000661</v>
      </c>
      <c r="AF284" t="e">
        <f>_xlfn.XLOOKUP(AE284, Hoja2!A:A, Hoja2!A:A)</f>
        <v>#N/A</v>
      </c>
    </row>
    <row r="285" spans="1:36" ht="15.5" hidden="1" customHeight="1" x14ac:dyDescent="0.35">
      <c r="A285">
        <f t="shared" ca="1" si="50"/>
        <v>134</v>
      </c>
      <c r="B285" s="56" t="s">
        <v>1016</v>
      </c>
      <c r="C285" s="13">
        <v>45110</v>
      </c>
      <c r="D285" s="14" t="s">
        <v>121</v>
      </c>
      <c r="E285" s="14" t="s">
        <v>139</v>
      </c>
      <c r="F285" s="14" t="s">
        <v>84</v>
      </c>
      <c r="G285" s="14" t="s">
        <v>941</v>
      </c>
      <c r="H285" s="14" t="s">
        <v>1017</v>
      </c>
      <c r="I285" s="14" t="s">
        <v>943</v>
      </c>
      <c r="J285" s="14" t="str">
        <f>IF(E285="KTG","KTG",(VLOOKUP(I285,'[1]list of outsource'!B:H,2,0)))</f>
        <v>ETC</v>
      </c>
      <c r="K285" s="14" t="s">
        <v>944</v>
      </c>
      <c r="L285" s="14">
        <v>12</v>
      </c>
      <c r="M285" s="55" t="s">
        <v>1018</v>
      </c>
      <c r="N285" s="14" t="s">
        <v>1019</v>
      </c>
      <c r="O285" s="14">
        <v>1247860927</v>
      </c>
      <c r="P285" s="14"/>
      <c r="Q285" s="15"/>
      <c r="R285" s="14"/>
      <c r="S285" s="16"/>
      <c r="T285" s="14"/>
      <c r="U285" s="14">
        <v>2</v>
      </c>
      <c r="V285" s="14"/>
      <c r="W285" s="14" t="s">
        <v>37</v>
      </c>
      <c r="X285" s="13">
        <v>45244</v>
      </c>
      <c r="Y285" s="13"/>
      <c r="AC285"/>
      <c r="AE285" t="str">
        <f t="shared" si="51"/>
        <v>P000606</v>
      </c>
      <c r="AF285" t="e">
        <f>_xlfn.XLOOKUP(AE285, Hoja2!A:A, Hoja2!A:A)</f>
        <v>#N/A</v>
      </c>
    </row>
    <row r="286" spans="1:36" ht="15.5" customHeight="1" x14ac:dyDescent="0.35">
      <c r="A286">
        <f t="shared" ca="1" si="50"/>
        <v>134</v>
      </c>
      <c r="B286" s="12" t="s">
        <v>1020</v>
      </c>
      <c r="C286" s="13">
        <v>45110</v>
      </c>
      <c r="D286" s="14" t="s">
        <v>121</v>
      </c>
      <c r="E286" s="14" t="s">
        <v>139</v>
      </c>
      <c r="F286" s="14" t="s">
        <v>84</v>
      </c>
      <c r="G286" s="14" t="s">
        <v>941</v>
      </c>
      <c r="H286" s="14" t="s">
        <v>1021</v>
      </c>
      <c r="I286" s="14" t="s">
        <v>849</v>
      </c>
      <c r="J286" s="14" t="str">
        <f>IF(E286="KTG","KTG",(VLOOKUP(I286,'[1]list of outsource'!B:H,2,0)))</f>
        <v>ETC</v>
      </c>
      <c r="K286" s="14" t="s">
        <v>850</v>
      </c>
      <c r="L286" s="14">
        <v>16</v>
      </c>
      <c r="M286" s="14" t="s">
        <v>1022</v>
      </c>
      <c r="N286" s="14" t="s">
        <v>1023</v>
      </c>
      <c r="O286" s="14" t="s">
        <v>1024</v>
      </c>
      <c r="P286" s="14"/>
      <c r="Q286" s="15"/>
      <c r="R286" s="14"/>
      <c r="S286" s="16"/>
      <c r="T286" s="14"/>
      <c r="U286" s="14">
        <v>2</v>
      </c>
      <c r="V286" s="14"/>
      <c r="W286" s="14" t="s">
        <v>37</v>
      </c>
      <c r="X286" s="13">
        <v>45244</v>
      </c>
      <c r="Y286" s="13"/>
      <c r="AC286"/>
      <c r="AE286" t="str">
        <f t="shared" si="51"/>
        <v>P000621</v>
      </c>
      <c r="AF286" t="str">
        <f>_xlfn.XLOOKUP(AE286, Hoja2!A:A, Hoja2!A:A)</f>
        <v>P000621</v>
      </c>
      <c r="AG286" t="str">
        <f>LEFT(B286, FIND(" ", B286 &amp; " ") - 1)</f>
        <v>PP00043-15</v>
      </c>
      <c r="AH286">
        <f>_xlfn.XLOOKUP(AG286, Hoja3!A:A, Hoja3!B:B)</f>
        <v>5464</v>
      </c>
      <c r="AI286" t="str">
        <f>_xlfn.XLOOKUP(AH286, Hoja4!A:A, Hoja4!B:B)</f>
        <v>E42304000</v>
      </c>
      <c r="AJ286" t="b">
        <f>H286=AI286</f>
        <v>1</v>
      </c>
    </row>
    <row r="287" spans="1:36" ht="15.5" hidden="1" customHeight="1" x14ac:dyDescent="0.35">
      <c r="A287">
        <f t="shared" ca="1" si="50"/>
        <v>134</v>
      </c>
      <c r="B287" s="56" t="s">
        <v>1025</v>
      </c>
      <c r="C287" s="13">
        <v>45110</v>
      </c>
      <c r="D287" s="14" t="s">
        <v>121</v>
      </c>
      <c r="E287" s="14" t="s">
        <v>139</v>
      </c>
      <c r="F287" s="14" t="s">
        <v>84</v>
      </c>
      <c r="G287" s="14" t="s">
        <v>941</v>
      </c>
      <c r="H287" s="14" t="s">
        <v>1026</v>
      </c>
      <c r="I287" s="14" t="s">
        <v>943</v>
      </c>
      <c r="J287" s="14" t="str">
        <f>IF(E287="KTG","KTG",(VLOOKUP(I287,'[1]list of outsource'!B:H,2,0)))</f>
        <v>ETC</v>
      </c>
      <c r="K287" s="14" t="s">
        <v>944</v>
      </c>
      <c r="L287" s="14">
        <v>12</v>
      </c>
      <c r="M287" s="55" t="s">
        <v>1027</v>
      </c>
      <c r="N287" s="14" t="s">
        <v>1028</v>
      </c>
      <c r="O287" s="14">
        <v>1247862323</v>
      </c>
      <c r="P287" s="14"/>
      <c r="Q287" s="15"/>
      <c r="R287" s="14"/>
      <c r="S287" s="16"/>
      <c r="T287" s="14"/>
      <c r="U287" s="14">
        <v>2</v>
      </c>
      <c r="V287" s="14"/>
      <c r="W287" s="14" t="s">
        <v>37</v>
      </c>
      <c r="X287" s="13">
        <v>45244</v>
      </c>
      <c r="Y287" s="13"/>
      <c r="AC287"/>
      <c r="AE287" t="str">
        <f t="shared" si="51"/>
        <v>P000612</v>
      </c>
      <c r="AF287" t="e">
        <f>_xlfn.XLOOKUP(AE287, Hoja2!A:A, Hoja2!A:A)</f>
        <v>#N/A</v>
      </c>
    </row>
    <row r="288" spans="1:36" ht="15.5" customHeight="1" x14ac:dyDescent="0.35">
      <c r="A288">
        <f t="shared" ca="1" si="50"/>
        <v>134</v>
      </c>
      <c r="B288" s="12" t="s">
        <v>1029</v>
      </c>
      <c r="C288" s="13">
        <v>45110</v>
      </c>
      <c r="D288" s="14" t="s">
        <v>121</v>
      </c>
      <c r="E288" s="14" t="s">
        <v>139</v>
      </c>
      <c r="F288" s="14" t="s">
        <v>84</v>
      </c>
      <c r="G288" s="14" t="s">
        <v>941</v>
      </c>
      <c r="H288" s="14" t="s">
        <v>1030</v>
      </c>
      <c r="I288" s="14" t="s">
        <v>849</v>
      </c>
      <c r="J288" s="14" t="str">
        <f>IF(E288="KTG","KTG",(VLOOKUP(I288,'[1]list of outsource'!B:H,2,0)))</f>
        <v>ETC</v>
      </c>
      <c r="K288" s="14" t="s">
        <v>850</v>
      </c>
      <c r="L288" s="14">
        <v>16</v>
      </c>
      <c r="M288" s="14" t="s">
        <v>1031</v>
      </c>
      <c r="N288" s="14" t="s">
        <v>1032</v>
      </c>
      <c r="O288" s="14" t="s">
        <v>1033</v>
      </c>
      <c r="P288" s="14"/>
      <c r="Q288" s="15"/>
      <c r="R288" s="14"/>
      <c r="S288" s="16"/>
      <c r="T288" s="14"/>
      <c r="U288" s="14">
        <v>2</v>
      </c>
      <c r="V288" s="14"/>
      <c r="W288" s="14" t="s">
        <v>37</v>
      </c>
      <c r="X288" s="13">
        <v>45244</v>
      </c>
      <c r="Y288" s="13"/>
      <c r="AC288"/>
      <c r="AE288" t="str">
        <f t="shared" si="51"/>
        <v>P000622</v>
      </c>
      <c r="AF288" t="str">
        <f>_xlfn.XLOOKUP(AE288, Hoja2!A:A, Hoja2!A:A)</f>
        <v>P000622</v>
      </c>
      <c r="AG288" t="str">
        <f>LEFT(B288, FIND(" ", B288 &amp; " ") - 1)</f>
        <v>PP00043-17</v>
      </c>
      <c r="AH288">
        <f>_xlfn.XLOOKUP(AG288, Hoja3!A:A, Hoja3!B:B)</f>
        <v>5465</v>
      </c>
      <c r="AI288" t="str">
        <f>_xlfn.XLOOKUP(AH288, Hoja4!A:A, Hoja4!B:B)</f>
        <v>E42304100</v>
      </c>
      <c r="AJ288" t="b">
        <f>H288=AI288</f>
        <v>1</v>
      </c>
    </row>
    <row r="289" spans="1:36" ht="15.5" hidden="1" customHeight="1" x14ac:dyDescent="0.35">
      <c r="A289">
        <f t="shared" ca="1" si="50"/>
        <v>134</v>
      </c>
      <c r="B289" s="56" t="s">
        <v>1034</v>
      </c>
      <c r="C289" s="13">
        <v>45110</v>
      </c>
      <c r="D289" s="14" t="s">
        <v>121</v>
      </c>
      <c r="E289" s="14" t="s">
        <v>139</v>
      </c>
      <c r="F289" s="14" t="s">
        <v>84</v>
      </c>
      <c r="G289" s="14" t="s">
        <v>941</v>
      </c>
      <c r="H289" s="14" t="s">
        <v>1035</v>
      </c>
      <c r="I289" s="14" t="s">
        <v>970</v>
      </c>
      <c r="J289" s="14" t="str">
        <f>IF(E289="KTG","KTG",(VLOOKUP(I289,'[1]list of outsource'!B:H,2,0)))</f>
        <v>ETC</v>
      </c>
      <c r="K289" s="14" t="s">
        <v>971</v>
      </c>
      <c r="L289" s="14">
        <v>5</v>
      </c>
      <c r="M289" s="55" t="s">
        <v>1036</v>
      </c>
      <c r="N289" s="14" t="s">
        <v>1037</v>
      </c>
      <c r="O289" s="14">
        <v>1248122574</v>
      </c>
      <c r="P289" s="14"/>
      <c r="Q289" s="15"/>
      <c r="R289" s="14"/>
      <c r="S289" s="16"/>
      <c r="T289" s="14"/>
      <c r="U289" s="14">
        <v>2</v>
      </c>
      <c r="V289" s="14"/>
      <c r="W289" s="14" t="s">
        <v>37</v>
      </c>
      <c r="X289" s="13">
        <v>45244</v>
      </c>
      <c r="Y289" s="13"/>
      <c r="AC289"/>
      <c r="AE289" t="str">
        <f t="shared" si="51"/>
        <v>P000616</v>
      </c>
      <c r="AF289" t="e">
        <f>_xlfn.XLOOKUP(AE289, Hoja2!A:A, Hoja2!A:A)</f>
        <v>#N/A</v>
      </c>
    </row>
    <row r="290" spans="1:36" ht="15.5" hidden="1" customHeight="1" x14ac:dyDescent="0.35">
      <c r="A290">
        <f t="shared" ca="1" si="50"/>
        <v>134</v>
      </c>
      <c r="B290" s="56" t="s">
        <v>1038</v>
      </c>
      <c r="C290" s="13">
        <v>45110</v>
      </c>
      <c r="D290" s="14" t="s">
        <v>121</v>
      </c>
      <c r="E290" s="14" t="s">
        <v>139</v>
      </c>
      <c r="F290" s="14" t="s">
        <v>84</v>
      </c>
      <c r="G290" s="14" t="s">
        <v>941</v>
      </c>
      <c r="H290" s="14" t="s">
        <v>1039</v>
      </c>
      <c r="I290" s="14" t="s">
        <v>1040</v>
      </c>
      <c r="J290" s="14" t="str">
        <f>IF(E290="KTG","KTG",(VLOOKUP(I290,'[1]list of outsource'!B:H,2,0)))</f>
        <v>ETC</v>
      </c>
      <c r="K290" s="14" t="s">
        <v>1041</v>
      </c>
      <c r="L290" s="14">
        <v>4</v>
      </c>
      <c r="M290" s="55" t="s">
        <v>1042</v>
      </c>
      <c r="N290" s="14" t="s">
        <v>1043</v>
      </c>
      <c r="O290" s="14" t="s">
        <v>1044</v>
      </c>
      <c r="P290" s="14"/>
      <c r="Q290" s="15"/>
      <c r="R290" s="14"/>
      <c r="S290" s="16"/>
      <c r="T290" s="14"/>
      <c r="U290" s="14">
        <v>2</v>
      </c>
      <c r="V290" s="14"/>
      <c r="W290" s="14" t="s">
        <v>37</v>
      </c>
      <c r="X290" s="13">
        <v>45244</v>
      </c>
      <c r="Y290" s="13"/>
      <c r="AC290"/>
      <c r="AE290" t="str">
        <f t="shared" si="51"/>
        <v>P000660</v>
      </c>
      <c r="AF290" t="e">
        <f>_xlfn.XLOOKUP(AE290, Hoja2!A:A, Hoja2!A:A)</f>
        <v>#N/A</v>
      </c>
    </row>
    <row r="291" spans="1:36" ht="15.5" hidden="1" customHeight="1" x14ac:dyDescent="0.35">
      <c r="A291">
        <f t="shared" ca="1" si="50"/>
        <v>134</v>
      </c>
      <c r="B291" s="56" t="s">
        <v>1045</v>
      </c>
      <c r="C291" s="13">
        <v>45110</v>
      </c>
      <c r="D291" s="14" t="s">
        <v>121</v>
      </c>
      <c r="E291" s="14" t="s">
        <v>139</v>
      </c>
      <c r="F291" s="14" t="s">
        <v>84</v>
      </c>
      <c r="G291" s="14" t="s">
        <v>941</v>
      </c>
      <c r="H291" s="14" t="s">
        <v>1046</v>
      </c>
      <c r="I291" s="14" t="s">
        <v>494</v>
      </c>
      <c r="J291" s="14" t="str">
        <f>IF(E291="KTG","KTG",(VLOOKUP(I291,'[1]list of outsource'!B:H,2,0)))</f>
        <v>ETC</v>
      </c>
      <c r="K291" s="14" t="s">
        <v>495</v>
      </c>
      <c r="L291" s="14">
        <v>19</v>
      </c>
      <c r="M291" s="55" t="s">
        <v>1047</v>
      </c>
      <c r="N291" s="14" t="s">
        <v>1048</v>
      </c>
      <c r="O291" s="14">
        <v>1262270553</v>
      </c>
      <c r="P291" s="14"/>
      <c r="Q291" s="15"/>
      <c r="R291" s="14"/>
      <c r="S291" s="16"/>
      <c r="T291" s="14"/>
      <c r="U291" s="14">
        <v>2</v>
      </c>
      <c r="V291" s="14"/>
      <c r="W291" s="14" t="s">
        <v>37</v>
      </c>
      <c r="X291" s="13">
        <v>45244</v>
      </c>
      <c r="Y291" s="13"/>
      <c r="AC291"/>
      <c r="AE291" t="str">
        <f t="shared" si="51"/>
        <v>P000627</v>
      </c>
      <c r="AF291" t="e">
        <f>_xlfn.XLOOKUP(AE291, Hoja2!A:A, Hoja2!A:A)</f>
        <v>#N/A</v>
      </c>
    </row>
    <row r="292" spans="1:36" ht="15.5" customHeight="1" x14ac:dyDescent="0.35">
      <c r="A292">
        <f t="shared" ca="1" si="50"/>
        <v>134</v>
      </c>
      <c r="B292" s="12" t="s">
        <v>1049</v>
      </c>
      <c r="C292" s="13">
        <v>45110</v>
      </c>
      <c r="D292" s="14" t="s">
        <v>121</v>
      </c>
      <c r="E292" s="14" t="s">
        <v>139</v>
      </c>
      <c r="F292" s="14" t="s">
        <v>84</v>
      </c>
      <c r="G292" s="14" t="s">
        <v>941</v>
      </c>
      <c r="H292" s="14" t="s">
        <v>1050</v>
      </c>
      <c r="I292" s="14" t="s">
        <v>494</v>
      </c>
      <c r="J292" s="14" t="str">
        <f>IF(E292="KTG","KTG",(VLOOKUP(I292,'[1]list of outsource'!B:H,2,0)))</f>
        <v>ETC</v>
      </c>
      <c r="K292" s="14" t="s">
        <v>495</v>
      </c>
      <c r="L292" s="14">
        <v>19</v>
      </c>
      <c r="M292" s="14" t="s">
        <v>1051</v>
      </c>
      <c r="N292" s="14" t="s">
        <v>1052</v>
      </c>
      <c r="O292" s="14">
        <v>1262271639</v>
      </c>
      <c r="P292" s="14"/>
      <c r="Q292" s="15"/>
      <c r="R292" s="14"/>
      <c r="S292" s="16"/>
      <c r="T292" s="14"/>
      <c r="U292" s="14">
        <v>2</v>
      </c>
      <c r="V292" s="14"/>
      <c r="W292" s="14" t="s">
        <v>37</v>
      </c>
      <c r="X292" s="13">
        <v>45244</v>
      </c>
      <c r="Y292" s="13"/>
      <c r="AC292"/>
      <c r="AE292" t="str">
        <f t="shared" si="51"/>
        <v>P000628</v>
      </c>
      <c r="AF292" t="str">
        <f>_xlfn.XLOOKUP(AE292, Hoja2!A:A, Hoja2!A:A)</f>
        <v>P000628</v>
      </c>
      <c r="AG292" t="str">
        <f>LEFT(B292, FIND(" ", B292 &amp; " ") - 1)</f>
        <v>PP00043-23</v>
      </c>
      <c r="AH292">
        <f>_xlfn.XLOOKUP(AG292, Hoja3!A:A, Hoja3!B:B)</f>
        <v>5466</v>
      </c>
      <c r="AI292" t="str">
        <f>_xlfn.XLOOKUP(AH292, Hoja4!A:A, Hoja4!B:B)</f>
        <v>E42304600</v>
      </c>
      <c r="AJ292" t="b">
        <f>H292=AI292</f>
        <v>1</v>
      </c>
    </row>
    <row r="293" spans="1:36" ht="15.5" hidden="1" customHeight="1" x14ac:dyDescent="0.35">
      <c r="A293">
        <f t="shared" ca="1" si="50"/>
        <v>134</v>
      </c>
      <c r="B293" s="56" t="s">
        <v>1053</v>
      </c>
      <c r="C293" s="13">
        <v>45110</v>
      </c>
      <c r="D293" s="14" t="s">
        <v>121</v>
      </c>
      <c r="E293" s="14" t="s">
        <v>139</v>
      </c>
      <c r="F293" s="14" t="s">
        <v>84</v>
      </c>
      <c r="G293" s="14" t="s">
        <v>941</v>
      </c>
      <c r="H293" s="14" t="s">
        <v>1054</v>
      </c>
      <c r="I293" s="14" t="s">
        <v>943</v>
      </c>
      <c r="J293" s="14" t="str">
        <f>IF(E293="KTG","KTG",(VLOOKUP(I293,'[1]list of outsource'!B:H,2,0)))</f>
        <v>ETC</v>
      </c>
      <c r="K293" s="14" t="s">
        <v>944</v>
      </c>
      <c r="L293" s="14">
        <v>12</v>
      </c>
      <c r="M293" s="55" t="s">
        <v>1055</v>
      </c>
      <c r="N293" s="14" t="s">
        <v>1056</v>
      </c>
      <c r="O293" s="14">
        <v>1247853281</v>
      </c>
      <c r="P293" s="14"/>
      <c r="Q293" s="15"/>
      <c r="R293" s="14"/>
      <c r="S293" s="16"/>
      <c r="T293" s="14"/>
      <c r="U293" s="14">
        <v>2</v>
      </c>
      <c r="V293" s="14"/>
      <c r="W293" s="14" t="s">
        <v>37</v>
      </c>
      <c r="X293" s="13">
        <v>45244</v>
      </c>
      <c r="Y293" s="13"/>
      <c r="AC293"/>
      <c r="AE293" t="str">
        <f t="shared" si="51"/>
        <v>P000605</v>
      </c>
      <c r="AF293" t="e">
        <f>_xlfn.XLOOKUP(AE293, Hoja2!A:A, Hoja2!A:A)</f>
        <v>#N/A</v>
      </c>
    </row>
    <row r="294" spans="1:36" ht="15.5" hidden="1" customHeight="1" x14ac:dyDescent="0.35">
      <c r="A294">
        <f t="shared" ca="1" si="50"/>
        <v>134</v>
      </c>
      <c r="B294" s="56" t="s">
        <v>1057</v>
      </c>
      <c r="C294" s="13">
        <v>45110</v>
      </c>
      <c r="D294" s="14" t="s">
        <v>121</v>
      </c>
      <c r="E294" s="14" t="s">
        <v>139</v>
      </c>
      <c r="F294" s="14" t="s">
        <v>84</v>
      </c>
      <c r="G294" s="14" t="s">
        <v>941</v>
      </c>
      <c r="H294" s="14" t="s">
        <v>1058</v>
      </c>
      <c r="I294" s="14" t="s">
        <v>970</v>
      </c>
      <c r="J294" s="14" t="str">
        <f>IF(E294="KTG","KTG",(VLOOKUP(I294,'[1]list of outsource'!B:H,2,0)))</f>
        <v>ETC</v>
      </c>
      <c r="K294" s="14" t="s">
        <v>971</v>
      </c>
      <c r="L294" s="14">
        <v>5</v>
      </c>
      <c r="M294" s="55" t="s">
        <v>1059</v>
      </c>
      <c r="N294" s="14" t="s">
        <v>1060</v>
      </c>
      <c r="O294" s="14">
        <v>1263021294</v>
      </c>
      <c r="P294" s="14"/>
      <c r="Q294" s="15"/>
      <c r="R294" s="14"/>
      <c r="S294" s="16"/>
      <c r="T294" s="14"/>
      <c r="U294" s="14">
        <v>2</v>
      </c>
      <c r="V294" s="14"/>
      <c r="W294" s="14" t="s">
        <v>37</v>
      </c>
      <c r="X294" s="13">
        <v>45244</v>
      </c>
      <c r="Y294" s="13"/>
      <c r="AC294"/>
      <c r="AE294" t="str">
        <f t="shared" si="51"/>
        <v>P000667</v>
      </c>
      <c r="AF294" t="e">
        <f>_xlfn.XLOOKUP(AE294, Hoja2!A:A, Hoja2!A:A)</f>
        <v>#N/A</v>
      </c>
    </row>
    <row r="295" spans="1:36" ht="15.5" hidden="1" customHeight="1" x14ac:dyDescent="0.35">
      <c r="A295">
        <f t="shared" ca="1" si="50"/>
        <v>134</v>
      </c>
      <c r="B295" s="56" t="s">
        <v>1061</v>
      </c>
      <c r="C295" s="13">
        <v>45110</v>
      </c>
      <c r="D295" s="14" t="s">
        <v>121</v>
      </c>
      <c r="E295" s="14" t="s">
        <v>139</v>
      </c>
      <c r="F295" s="14" t="s">
        <v>84</v>
      </c>
      <c r="G295" s="14" t="s">
        <v>941</v>
      </c>
      <c r="H295" s="14" t="s">
        <v>1062</v>
      </c>
      <c r="I295" s="14" t="s">
        <v>849</v>
      </c>
      <c r="J295" s="14" t="str">
        <f>IF(E295="KTG","KTG",(VLOOKUP(I295,'[1]list of outsource'!B:H,2,0)))</f>
        <v>ETC</v>
      </c>
      <c r="K295" s="14" t="s">
        <v>850</v>
      </c>
      <c r="L295" s="14">
        <v>16</v>
      </c>
      <c r="M295" s="55" t="s">
        <v>1063</v>
      </c>
      <c r="N295" s="14" t="s">
        <v>1064</v>
      </c>
      <c r="O295" s="14">
        <v>1263497316</v>
      </c>
      <c r="P295" s="14"/>
      <c r="Q295" s="15"/>
      <c r="R295" s="14"/>
      <c r="S295" s="16"/>
      <c r="T295" s="14"/>
      <c r="U295" s="14">
        <v>2</v>
      </c>
      <c r="V295" s="14"/>
      <c r="W295" s="14" t="s">
        <v>37</v>
      </c>
      <c r="X295" s="13">
        <v>45244</v>
      </c>
      <c r="Y295" s="13"/>
      <c r="AC295"/>
      <c r="AE295" t="str">
        <f t="shared" si="51"/>
        <v>P000663</v>
      </c>
      <c r="AF295" t="e">
        <f>_xlfn.XLOOKUP(AE295, Hoja2!A:A, Hoja2!A:A)</f>
        <v>#N/A</v>
      </c>
    </row>
    <row r="296" spans="1:36" ht="15.5" customHeight="1" x14ac:dyDescent="0.35">
      <c r="A296">
        <f t="shared" ca="1" si="50"/>
        <v>134</v>
      </c>
      <c r="B296" s="12" t="s">
        <v>1065</v>
      </c>
      <c r="C296" s="13">
        <v>45110</v>
      </c>
      <c r="D296" s="14" t="s">
        <v>121</v>
      </c>
      <c r="E296" s="14" t="s">
        <v>139</v>
      </c>
      <c r="F296" s="14" t="s">
        <v>84</v>
      </c>
      <c r="G296" s="14" t="s">
        <v>941</v>
      </c>
      <c r="H296" s="14" t="s">
        <v>711</v>
      </c>
      <c r="I296" s="14" t="s">
        <v>529</v>
      </c>
      <c r="J296" s="14" t="str">
        <f>IF(E296="KTG","KTG",(VLOOKUP(I296,'[1]list of outsource'!B:H,2,0)))</f>
        <v>ETC</v>
      </c>
      <c r="K296" s="14" t="s">
        <v>530</v>
      </c>
      <c r="L296" s="14">
        <v>17</v>
      </c>
      <c r="M296" s="14" t="s">
        <v>712</v>
      </c>
      <c r="N296" s="14" t="s">
        <v>713</v>
      </c>
      <c r="O296" s="14">
        <v>1214811503</v>
      </c>
      <c r="P296" s="14"/>
      <c r="Q296" s="15"/>
      <c r="R296" s="14"/>
      <c r="S296" s="16"/>
      <c r="T296" s="14"/>
      <c r="U296" s="14">
        <v>2</v>
      </c>
      <c r="V296" s="14"/>
      <c r="W296" s="14" t="s">
        <v>37</v>
      </c>
      <c r="X296" s="13">
        <v>45244</v>
      </c>
      <c r="Y296" s="13"/>
      <c r="AC296"/>
      <c r="AE296" t="str">
        <f t="shared" si="51"/>
        <v>P000386</v>
      </c>
      <c r="AF296" t="str">
        <f>_xlfn.XLOOKUP(AE296, Hoja2!A:A, Hoja2!A:A)</f>
        <v>P000386</v>
      </c>
      <c r="AG296" t="str">
        <f t="shared" ref="AG296:AG321" si="54">LEFT(B296, FIND(" ", B296 &amp; " ") - 1)</f>
        <v>PP00043-30</v>
      </c>
      <c r="AH296">
        <f>_xlfn.XLOOKUP(AG296, Hoja3!A:A, Hoja3!B:B)</f>
        <v>5467</v>
      </c>
      <c r="AI296" t="str">
        <f>_xlfn.XLOOKUP(AH296, Hoja4!A:A, Hoja4!B:B)</f>
        <v>E40089100</v>
      </c>
      <c r="AJ296" t="b">
        <f t="shared" ref="AJ296:AJ321" si="55">H296=AI296</f>
        <v>1</v>
      </c>
    </row>
    <row r="297" spans="1:36" ht="15.5" customHeight="1" x14ac:dyDescent="0.35">
      <c r="A297">
        <f t="shared" ca="1" si="50"/>
        <v>66</v>
      </c>
      <c r="B297" s="6" t="s">
        <v>1066</v>
      </c>
      <c r="C297" s="7">
        <v>45020</v>
      </c>
      <c r="D297" s="6" t="s">
        <v>507</v>
      </c>
      <c r="E297" s="6" t="s">
        <v>139</v>
      </c>
      <c r="F297" s="6" t="s">
        <v>658</v>
      </c>
      <c r="G297" s="6" t="s">
        <v>32</v>
      </c>
      <c r="H297" s="6" t="s">
        <v>1067</v>
      </c>
      <c r="I297" s="6" t="s">
        <v>402</v>
      </c>
      <c r="J297" s="6" t="str">
        <f>IF(E297="KTG","KTG",(VLOOKUP(I297,'[1]list of outsource'!B:H,2,0)))</f>
        <v>ETC</v>
      </c>
      <c r="K297" s="6" t="s">
        <v>403</v>
      </c>
      <c r="L297" s="6"/>
      <c r="M297" s="6" t="s">
        <v>1068</v>
      </c>
      <c r="N297" s="6" t="s">
        <v>828</v>
      </c>
      <c r="O297" s="6">
        <v>1229761980</v>
      </c>
      <c r="P297" s="6"/>
      <c r="Q297" s="8"/>
      <c r="R297" s="6"/>
      <c r="S297" s="6"/>
      <c r="T297" s="6"/>
      <c r="U297" s="6">
        <v>2</v>
      </c>
      <c r="V297" s="6"/>
      <c r="W297" s="6" t="s">
        <v>37</v>
      </c>
      <c r="X297" s="7">
        <v>45086</v>
      </c>
      <c r="Y297" s="7">
        <v>45111</v>
      </c>
      <c r="AC297"/>
      <c r="AE297" t="str">
        <f t="shared" si="51"/>
        <v>P000291</v>
      </c>
      <c r="AF297" t="str">
        <f>_xlfn.XLOOKUP(AE297, Hoja2!A:A, Hoja2!A:A)</f>
        <v>P000291</v>
      </c>
      <c r="AG297" t="str">
        <f t="shared" si="54"/>
        <v>PP00034-03</v>
      </c>
      <c r="AH297">
        <f>_xlfn.XLOOKUP(AG297, Hoja3!A:A, Hoja3!B:B)</f>
        <v>4774</v>
      </c>
      <c r="AI297" t="str">
        <f>_xlfn.XLOOKUP(AH297, Hoja4!A:A, Hoja4!B:B)</f>
        <v>EXP02140</v>
      </c>
      <c r="AJ297" t="b">
        <f t="shared" si="55"/>
        <v>1</v>
      </c>
    </row>
    <row r="298" spans="1:36" ht="15.5" customHeight="1" x14ac:dyDescent="0.35">
      <c r="A298">
        <f t="shared" ca="1" si="50"/>
        <v>38</v>
      </c>
      <c r="B298" s="12" t="s">
        <v>1069</v>
      </c>
      <c r="C298" s="13">
        <v>45110</v>
      </c>
      <c r="D298" s="14" t="s">
        <v>121</v>
      </c>
      <c r="E298" s="14" t="s">
        <v>83</v>
      </c>
      <c r="F298" s="14" t="s">
        <v>658</v>
      </c>
      <c r="G298" s="14" t="s">
        <v>32</v>
      </c>
      <c r="H298" s="14">
        <v>13927985</v>
      </c>
      <c r="I298" s="14" t="s">
        <v>447</v>
      </c>
      <c r="J298" s="14" t="str">
        <f>IF(E298="KTG","KTG",(VLOOKUP(I298,'[1]list of outsource'!B:H,2,0)))</f>
        <v>UPM</v>
      </c>
      <c r="K298" s="14" t="s">
        <v>448</v>
      </c>
      <c r="L298" s="14"/>
      <c r="M298" s="14" t="s">
        <v>1070</v>
      </c>
      <c r="N298" s="14" t="s">
        <v>1071</v>
      </c>
      <c r="O298" s="14">
        <v>1243704290</v>
      </c>
      <c r="P298" s="14"/>
      <c r="Q298" s="15"/>
      <c r="R298" s="14"/>
      <c r="S298" s="16"/>
      <c r="T298" s="14"/>
      <c r="U298" s="14">
        <v>4</v>
      </c>
      <c r="V298" s="14"/>
      <c r="W298" s="14" t="s">
        <v>37</v>
      </c>
      <c r="X298" s="13">
        <v>45148</v>
      </c>
      <c r="Y298" s="13"/>
      <c r="AC298"/>
      <c r="AE298" t="str">
        <f t="shared" si="51"/>
        <v>P000668</v>
      </c>
      <c r="AF298" t="str">
        <f>_xlfn.XLOOKUP(AE298, Hoja2!A:A, Hoja2!A:A)</f>
        <v>P000668</v>
      </c>
      <c r="AG298" t="str">
        <f t="shared" si="54"/>
        <v>PP00034-06</v>
      </c>
      <c r="AH298">
        <f>_xlfn.XLOOKUP(AG298, Hoja3!A:A, Hoja3!B:B)</f>
        <v>4806</v>
      </c>
      <c r="AI298">
        <f>_xlfn.XLOOKUP(AH298, Hoja4!A:A, Hoja4!B:B)</f>
        <v>13927985</v>
      </c>
      <c r="AJ298" t="b">
        <f t="shared" si="55"/>
        <v>1</v>
      </c>
    </row>
    <row r="299" spans="1:36" ht="15.5" customHeight="1" x14ac:dyDescent="0.35">
      <c r="A299">
        <f t="shared" ca="1" si="50"/>
        <v>21</v>
      </c>
      <c r="B299" s="12" t="s">
        <v>1072</v>
      </c>
      <c r="C299" s="13">
        <v>45112</v>
      </c>
      <c r="D299" s="14" t="s">
        <v>121</v>
      </c>
      <c r="E299" s="14" t="s">
        <v>83</v>
      </c>
      <c r="F299" s="14" t="s">
        <v>329</v>
      </c>
      <c r="G299" s="14" t="s">
        <v>299</v>
      </c>
      <c r="H299" s="14" t="s">
        <v>117</v>
      </c>
      <c r="I299" s="14" t="s">
        <v>87</v>
      </c>
      <c r="J299" s="14" t="str">
        <f>IF(E299="KTG","KTG",(VLOOKUP(I299,'[1]list of outsource'!B:H,2,0)))</f>
        <v>UPM</v>
      </c>
      <c r="K299" s="14" t="s">
        <v>88</v>
      </c>
      <c r="L299" s="14"/>
      <c r="M299" s="14" t="s">
        <v>118</v>
      </c>
      <c r="N299" s="14" t="s">
        <v>119</v>
      </c>
      <c r="O299" s="14" t="s">
        <v>1073</v>
      </c>
      <c r="P299" s="14"/>
      <c r="Q299" s="15"/>
      <c r="R299" s="14"/>
      <c r="S299" s="16"/>
      <c r="T299" s="14"/>
      <c r="U299" s="14">
        <v>1</v>
      </c>
      <c r="V299" s="14"/>
      <c r="W299" s="14" t="s">
        <v>154</v>
      </c>
      <c r="X299" s="13">
        <v>45133</v>
      </c>
      <c r="Y299" s="13"/>
      <c r="AB299" t="e">
        <v>#N/A</v>
      </c>
      <c r="AC299"/>
      <c r="AE299" t="str">
        <f t="shared" si="51"/>
        <v>P000043</v>
      </c>
      <c r="AF299" t="str">
        <f>_xlfn.XLOOKUP(AE299, Hoja2!A:A, Hoja2!A:A)</f>
        <v>P000043</v>
      </c>
      <c r="AG299" t="str">
        <f t="shared" si="54"/>
        <v>PP00024-21</v>
      </c>
      <c r="AH299">
        <f>_xlfn.XLOOKUP(AG299, Hoja3!A:A, Hoja3!B:B)</f>
        <v>4497</v>
      </c>
      <c r="AI299" t="str">
        <f>_xlfn.XLOOKUP(AH299, Hoja4!A:A, Hoja4!B:B)</f>
        <v>E26459700</v>
      </c>
      <c r="AJ299" t="b">
        <f t="shared" si="55"/>
        <v>1</v>
      </c>
    </row>
    <row r="300" spans="1:36" ht="15.5" customHeight="1" x14ac:dyDescent="0.35">
      <c r="A300">
        <f t="shared" ca="1" si="50"/>
        <v>31</v>
      </c>
      <c r="B300" s="6" t="s">
        <v>1074</v>
      </c>
      <c r="C300" s="7">
        <v>45118</v>
      </c>
      <c r="D300" s="6" t="s">
        <v>507</v>
      </c>
      <c r="E300" s="6" t="s">
        <v>139</v>
      </c>
      <c r="F300" s="6" t="s">
        <v>508</v>
      </c>
      <c r="G300" s="6" t="s">
        <v>32</v>
      </c>
      <c r="H300" s="6">
        <v>69321138</v>
      </c>
      <c r="I300" s="6" t="s">
        <v>402</v>
      </c>
      <c r="J300" s="6" t="str">
        <f>IF(E300="KTG","KTG",(VLOOKUP(I300,'[1]list of outsource'!B:H,2,0)))</f>
        <v>ETC</v>
      </c>
      <c r="K300" s="6" t="s">
        <v>403</v>
      </c>
      <c r="L300" s="6"/>
      <c r="M300" s="6" t="s">
        <v>827</v>
      </c>
      <c r="N300" s="6" t="s">
        <v>828</v>
      </c>
      <c r="O300" s="6">
        <v>1245240801</v>
      </c>
      <c r="P300" s="6"/>
      <c r="Q300" s="8"/>
      <c r="R300" s="6"/>
      <c r="S300" s="6"/>
      <c r="T300" s="6"/>
      <c r="U300" s="6">
        <v>4</v>
      </c>
      <c r="V300" s="6"/>
      <c r="W300" s="6" t="s">
        <v>37</v>
      </c>
      <c r="X300" s="7">
        <v>45149</v>
      </c>
      <c r="Y300" s="7">
        <v>45156</v>
      </c>
      <c r="AB300" t="s">
        <v>1075</v>
      </c>
      <c r="AC300"/>
      <c r="AE300" t="str">
        <f t="shared" si="51"/>
        <v>P000215</v>
      </c>
      <c r="AF300" t="str">
        <f>_xlfn.XLOOKUP(AE300, Hoja2!A:A, Hoja2!A:A)</f>
        <v>P000215</v>
      </c>
      <c r="AG300" t="str">
        <f t="shared" si="54"/>
        <v>PP00026-10</v>
      </c>
      <c r="AH300">
        <f>_xlfn.XLOOKUP(AG300, Hoja3!A:A, Hoja3!B:B)</f>
        <v>5613</v>
      </c>
      <c r="AI300">
        <f>_xlfn.XLOOKUP(AH300, Hoja4!A:A, Hoja4!B:B)</f>
        <v>69321138</v>
      </c>
      <c r="AJ300" t="b">
        <f t="shared" si="55"/>
        <v>1</v>
      </c>
    </row>
    <row r="301" spans="1:36" ht="15.5" customHeight="1" x14ac:dyDescent="0.35">
      <c r="A301">
        <f t="shared" ca="1" si="50"/>
        <v>31</v>
      </c>
      <c r="B301" s="6" t="s">
        <v>1076</v>
      </c>
      <c r="C301" s="7">
        <v>45118</v>
      </c>
      <c r="D301" s="6" t="s">
        <v>507</v>
      </c>
      <c r="E301" s="6" t="s">
        <v>139</v>
      </c>
      <c r="F301" s="6" t="s">
        <v>508</v>
      </c>
      <c r="G301" s="6" t="s">
        <v>32</v>
      </c>
      <c r="H301" s="6">
        <v>69321141</v>
      </c>
      <c r="I301" s="6" t="s">
        <v>402</v>
      </c>
      <c r="J301" s="6" t="str">
        <f>IF(E301="KTG","KTG",(VLOOKUP(I301,'[1]list of outsource'!B:H,2,0)))</f>
        <v>ETC</v>
      </c>
      <c r="K301" s="6" t="s">
        <v>403</v>
      </c>
      <c r="L301" s="6"/>
      <c r="M301" s="6" t="s">
        <v>1077</v>
      </c>
      <c r="N301" s="6" t="s">
        <v>1078</v>
      </c>
      <c r="O301" s="6">
        <v>1245243969</v>
      </c>
      <c r="P301" s="6"/>
      <c r="Q301" s="8"/>
      <c r="R301" s="6"/>
      <c r="S301" s="6"/>
      <c r="T301" s="6"/>
      <c r="U301" s="6">
        <v>4</v>
      </c>
      <c r="V301" s="6"/>
      <c r="W301" s="6" t="s">
        <v>37</v>
      </c>
      <c r="X301" s="7">
        <v>45149</v>
      </c>
      <c r="Y301" s="7">
        <v>45156</v>
      </c>
      <c r="AB301" t="s">
        <v>1075</v>
      </c>
      <c r="AC301" t="e">
        <v>#N/A</v>
      </c>
      <c r="AE301" t="str">
        <f t="shared" si="51"/>
        <v>P000216</v>
      </c>
      <c r="AF301" t="str">
        <f>_xlfn.XLOOKUP(AE301, Hoja2!A:A, Hoja2!A:A)</f>
        <v>P000216</v>
      </c>
      <c r="AG301" t="str">
        <f t="shared" si="54"/>
        <v>PP00026-11</v>
      </c>
      <c r="AH301">
        <f>_xlfn.XLOOKUP(AG301, Hoja3!A:A, Hoja3!B:B)</f>
        <v>5615</v>
      </c>
      <c r="AI301">
        <f>_xlfn.XLOOKUP(AH301, Hoja4!A:A, Hoja4!B:B)</f>
        <v>69321141</v>
      </c>
      <c r="AJ301" t="b">
        <f t="shared" si="55"/>
        <v>1</v>
      </c>
    </row>
    <row r="302" spans="1:36" ht="15.5" customHeight="1" x14ac:dyDescent="0.35">
      <c r="A302">
        <f t="shared" ca="1" si="50"/>
        <v>0</v>
      </c>
      <c r="B302" s="12" t="s">
        <v>1079</v>
      </c>
      <c r="C302" s="13">
        <v>45121</v>
      </c>
      <c r="D302" s="14" t="s">
        <v>121</v>
      </c>
      <c r="E302" s="14" t="s">
        <v>147</v>
      </c>
      <c r="F302" s="14" t="s">
        <v>1080</v>
      </c>
      <c r="G302" s="14" t="s">
        <v>126</v>
      </c>
      <c r="H302" s="14">
        <v>300010</v>
      </c>
      <c r="I302" s="14" t="s">
        <v>459</v>
      </c>
      <c r="J302" s="14" t="e">
        <f>IF(E302="KTG","KTG",(VLOOKUP(I302,'[1]list of outsource'!B:H,2,0)))</f>
        <v>#N/A</v>
      </c>
      <c r="K302" s="14" t="s">
        <v>653</v>
      </c>
      <c r="L302" s="14"/>
      <c r="M302" s="14" t="s">
        <v>459</v>
      </c>
      <c r="N302" s="14" t="s">
        <v>460</v>
      </c>
      <c r="O302" s="14">
        <v>1239431468</v>
      </c>
      <c r="P302" s="14"/>
      <c r="Q302" s="15"/>
      <c r="R302" s="14"/>
      <c r="S302" s="16"/>
      <c r="T302" s="14"/>
      <c r="U302" s="14">
        <v>2</v>
      </c>
      <c r="V302" s="14"/>
      <c r="W302" s="14" t="s">
        <v>37</v>
      </c>
      <c r="X302" s="13">
        <v>45121</v>
      </c>
      <c r="Y302" s="13"/>
      <c r="AB302" t="e">
        <v>#N/A</v>
      </c>
      <c r="AC302" t="s">
        <v>4210</v>
      </c>
      <c r="AE302" t="str">
        <f t="shared" si="51"/>
        <v>ET008-500</v>
      </c>
      <c r="AF302" t="str">
        <f>_xlfn.XLOOKUP(AE302, Hoja2!A:A, Hoja2!A:A)</f>
        <v>ET008-500</v>
      </c>
      <c r="AG302" t="str">
        <f t="shared" si="54"/>
        <v>PP00044-01</v>
      </c>
      <c r="AH302">
        <f>_xlfn.XLOOKUP(AG302, Hoja3!A:A, Hoja3!B:B)</f>
        <v>4348</v>
      </c>
      <c r="AI302">
        <f>_xlfn.XLOOKUP(AH302, Hoja4!A:A, Hoja4!B:B)</f>
        <v>300010</v>
      </c>
      <c r="AJ302" t="b">
        <f t="shared" si="55"/>
        <v>1</v>
      </c>
    </row>
    <row r="303" spans="1:36" ht="15.5" customHeight="1" x14ac:dyDescent="0.35">
      <c r="A303">
        <f t="shared" ca="1" si="50"/>
        <v>38</v>
      </c>
      <c r="B303" s="12" t="s">
        <v>1081</v>
      </c>
      <c r="C303" s="13">
        <v>45110</v>
      </c>
      <c r="D303" s="14" t="s">
        <v>121</v>
      </c>
      <c r="E303" s="14" t="s">
        <v>139</v>
      </c>
      <c r="F303" s="14" t="s">
        <v>658</v>
      </c>
      <c r="G303" s="14" t="s">
        <v>32</v>
      </c>
      <c r="H303" s="14">
        <v>35738191</v>
      </c>
      <c r="I303" s="14" t="s">
        <v>208</v>
      </c>
      <c r="J303" s="14" t="str">
        <f>IF(E303="KTG","KTG",(VLOOKUP(I303,'[1]list of outsource'!B:H,2,0)))</f>
        <v>ETC</v>
      </c>
      <c r="K303" s="14" t="s">
        <v>209</v>
      </c>
      <c r="L303" s="14"/>
      <c r="M303" s="14" t="s">
        <v>292</v>
      </c>
      <c r="N303" s="14" t="s">
        <v>581</v>
      </c>
      <c r="O303" s="14">
        <v>1243709196</v>
      </c>
      <c r="P303" s="14"/>
      <c r="Q303" s="15"/>
      <c r="R303" s="14"/>
      <c r="S303" s="16"/>
      <c r="T303" s="14"/>
      <c r="U303" s="14">
        <v>4</v>
      </c>
      <c r="V303" s="14"/>
      <c r="W303" s="14" t="s">
        <v>37</v>
      </c>
      <c r="X303" s="13">
        <v>45148</v>
      </c>
      <c r="Y303" s="13"/>
      <c r="AC303" t="s">
        <v>4210</v>
      </c>
      <c r="AE303" t="str">
        <f t="shared" si="51"/>
        <v>P000158</v>
      </c>
      <c r="AF303" t="str">
        <f>_xlfn.XLOOKUP(AE303, Hoja2!A:A, Hoja2!A:A)</f>
        <v>P000158</v>
      </c>
      <c r="AG303" t="str">
        <f t="shared" si="54"/>
        <v>PP00034-07</v>
      </c>
      <c r="AH303">
        <f>_xlfn.XLOOKUP(AG303, Hoja3!A:A, Hoja3!B:B)</f>
        <v>4764</v>
      </c>
      <c r="AI303">
        <f>_xlfn.XLOOKUP(AH303, Hoja4!A:A, Hoja4!B:B)</f>
        <v>35738191</v>
      </c>
      <c r="AJ303" t="b">
        <f t="shared" si="55"/>
        <v>1</v>
      </c>
    </row>
    <row r="304" spans="1:36" ht="15.5" customHeight="1" x14ac:dyDescent="0.35">
      <c r="A304">
        <f t="shared" ca="1" si="50"/>
        <v>0</v>
      </c>
      <c r="B304" s="6" t="s">
        <v>914</v>
      </c>
      <c r="C304" s="7">
        <v>45706</v>
      </c>
      <c r="D304" s="6" t="s">
        <v>564</v>
      </c>
      <c r="E304" s="6" t="s">
        <v>139</v>
      </c>
      <c r="F304" s="6" t="s">
        <v>84</v>
      </c>
      <c r="G304" s="6" t="s">
        <v>156</v>
      </c>
      <c r="H304" s="6" t="s">
        <v>571</v>
      </c>
      <c r="I304" s="6" t="s">
        <v>402</v>
      </c>
      <c r="J304" s="6" t="str">
        <f>IF(E304="KTG","KTG",(VLOOKUP(I304,'[1]list of outsource'!B:H,2,0)))</f>
        <v>ETC</v>
      </c>
      <c r="K304" s="6" t="s">
        <v>403</v>
      </c>
      <c r="L304" s="6">
        <v>65</v>
      </c>
      <c r="M304" s="6" t="s">
        <v>488</v>
      </c>
      <c r="N304" s="6" t="s">
        <v>572</v>
      </c>
      <c r="O304" s="6" t="s">
        <v>573</v>
      </c>
      <c r="P304" s="6" t="s">
        <v>574</v>
      </c>
      <c r="Q304" s="8" t="s">
        <v>575</v>
      </c>
      <c r="R304" s="6"/>
      <c r="S304" s="6"/>
      <c r="T304" s="6"/>
      <c r="U304" s="6">
        <v>1</v>
      </c>
      <c r="V304" s="6" t="s">
        <v>569</v>
      </c>
      <c r="W304" s="6" t="s">
        <v>154</v>
      </c>
      <c r="X304" s="7">
        <v>45706</v>
      </c>
      <c r="Y304" s="7">
        <v>45975</v>
      </c>
      <c r="AB304" t="s">
        <v>1082</v>
      </c>
      <c r="AC304" t="e">
        <v>#N/A</v>
      </c>
      <c r="AE304" t="str">
        <f t="shared" si="51"/>
        <v>P000277</v>
      </c>
      <c r="AF304" t="str">
        <f>_xlfn.XLOOKUP(AE304, Hoja2!A:A, Hoja2!A:A)</f>
        <v>P000277</v>
      </c>
      <c r="AG304" t="str">
        <f t="shared" si="54"/>
        <v>PP00028-03</v>
      </c>
      <c r="AH304">
        <f>_xlfn.XLOOKUP(AG304, Hoja3!A:A, Hoja3!B:B)</f>
        <v>5306</v>
      </c>
      <c r="AI304" t="str">
        <f>_xlfn.XLOOKUP(AH304, Hoja4!A:A, Hoja4!B:B)</f>
        <v>E39044200</v>
      </c>
      <c r="AJ304" t="b">
        <f t="shared" si="55"/>
        <v>1</v>
      </c>
    </row>
    <row r="305" spans="1:36" ht="15.5" customHeight="1" x14ac:dyDescent="0.35">
      <c r="A305">
        <f t="shared" ca="1" si="50"/>
        <v>-323</v>
      </c>
      <c r="B305" s="6" t="s">
        <v>1083</v>
      </c>
      <c r="C305" s="7">
        <v>45126</v>
      </c>
      <c r="D305" s="6" t="s">
        <v>912</v>
      </c>
      <c r="E305" s="6" t="s">
        <v>83</v>
      </c>
      <c r="F305" s="6" t="s">
        <v>646</v>
      </c>
      <c r="G305" s="6" t="s">
        <v>32</v>
      </c>
      <c r="H305" s="6" t="s">
        <v>1084</v>
      </c>
      <c r="I305" s="6" t="s">
        <v>158</v>
      </c>
      <c r="J305" s="6" t="str">
        <f>IF(E305="KTG","KTG",(VLOOKUP(I305,'[1]list of outsource'!B:H,2,0)))</f>
        <v>UPM</v>
      </c>
      <c r="K305" s="6" t="s">
        <v>159</v>
      </c>
      <c r="L305" s="6">
        <v>34</v>
      </c>
      <c r="M305" s="6" t="s">
        <v>172</v>
      </c>
      <c r="N305" s="6" t="s">
        <v>1085</v>
      </c>
      <c r="O305" s="6">
        <v>1253003769</v>
      </c>
      <c r="P305" s="6"/>
      <c r="Q305" s="8"/>
      <c r="R305" s="6"/>
      <c r="S305" s="6"/>
      <c r="T305" s="6"/>
      <c r="U305" s="6">
        <v>2</v>
      </c>
      <c r="V305" s="6"/>
      <c r="W305" s="6" t="s">
        <v>37</v>
      </c>
      <c r="X305" s="7">
        <v>44803</v>
      </c>
      <c r="Y305" s="7">
        <v>45436</v>
      </c>
      <c r="AC305"/>
      <c r="AE305" t="str">
        <f t="shared" si="51"/>
        <v>P000124</v>
      </c>
      <c r="AF305" t="str">
        <f>_xlfn.XLOOKUP(AE305, Hoja2!A:A, Hoja2!A:A)</f>
        <v>P000124</v>
      </c>
      <c r="AG305" t="str">
        <f t="shared" si="54"/>
        <v>PP00030-03</v>
      </c>
      <c r="AH305">
        <f>_xlfn.XLOOKUP(AG305, Hoja3!A:A, Hoja3!B:B)</f>
        <v>4284</v>
      </c>
      <c r="AI305" s="38" t="s">
        <v>1084</v>
      </c>
      <c r="AJ305" t="b">
        <f t="shared" si="55"/>
        <v>1</v>
      </c>
    </row>
    <row r="306" spans="1:36" ht="15.5" customHeight="1" x14ac:dyDescent="0.35">
      <c r="A306">
        <f t="shared" ca="1" si="50"/>
        <v>-323</v>
      </c>
      <c r="B306" s="6" t="s">
        <v>1086</v>
      </c>
      <c r="C306" s="7">
        <v>45126</v>
      </c>
      <c r="D306" s="6" t="s">
        <v>912</v>
      </c>
      <c r="E306" s="6" t="s">
        <v>83</v>
      </c>
      <c r="F306" s="6" t="s">
        <v>646</v>
      </c>
      <c r="G306" s="6" t="s">
        <v>32</v>
      </c>
      <c r="H306" s="6" t="s">
        <v>1087</v>
      </c>
      <c r="I306" s="6" t="s">
        <v>158</v>
      </c>
      <c r="J306" s="6" t="str">
        <f>IF(E306="KTG","KTG",(VLOOKUP(I306,'[1]list of outsource'!B:H,2,0)))</f>
        <v>UPM</v>
      </c>
      <c r="K306" s="6" t="s">
        <v>159</v>
      </c>
      <c r="L306" s="6">
        <v>34</v>
      </c>
      <c r="M306" s="6" t="s">
        <v>438</v>
      </c>
      <c r="N306" s="6" t="s">
        <v>637</v>
      </c>
      <c r="O306" s="6">
        <v>1253006214</v>
      </c>
      <c r="P306" s="6"/>
      <c r="Q306" s="8"/>
      <c r="R306" s="6"/>
      <c r="S306" s="6"/>
      <c r="T306" s="6"/>
      <c r="U306" s="6">
        <v>2</v>
      </c>
      <c r="V306" s="6"/>
      <c r="W306" s="6" t="s">
        <v>37</v>
      </c>
      <c r="X306" s="7">
        <v>44803</v>
      </c>
      <c r="Y306" s="7">
        <v>45436</v>
      </c>
      <c r="AC306" t="s">
        <v>4210</v>
      </c>
      <c r="AE306" t="str">
        <f t="shared" si="51"/>
        <v>P000052</v>
      </c>
      <c r="AF306" t="str">
        <f>_xlfn.XLOOKUP(AE306, Hoja2!A:A, Hoja2!A:A)</f>
        <v>P000052</v>
      </c>
      <c r="AG306" t="str">
        <f t="shared" si="54"/>
        <v>PP00030-04</v>
      </c>
      <c r="AH306">
        <f>_xlfn.XLOOKUP(AG306, Hoja3!A:A, Hoja3!B:B)</f>
        <v>4275</v>
      </c>
      <c r="AI306" t="str">
        <f>_xlfn.XLOOKUP(AH306, Hoja4!A:A, Hoja4!B:B)</f>
        <v>711798 18.3 040</v>
      </c>
      <c r="AJ306" t="b">
        <f t="shared" si="55"/>
        <v>1</v>
      </c>
    </row>
    <row r="307" spans="1:36" ht="15.5" customHeight="1" x14ac:dyDescent="0.35">
      <c r="A307">
        <f t="shared" ca="1" si="50"/>
        <v>-323</v>
      </c>
      <c r="B307" s="6" t="s">
        <v>1088</v>
      </c>
      <c r="C307" s="7">
        <v>45126</v>
      </c>
      <c r="D307" s="6" t="s">
        <v>912</v>
      </c>
      <c r="E307" s="6" t="s">
        <v>83</v>
      </c>
      <c r="F307" s="6" t="s">
        <v>646</v>
      </c>
      <c r="G307" s="6" t="s">
        <v>32</v>
      </c>
      <c r="H307" s="6" t="s">
        <v>1089</v>
      </c>
      <c r="I307" s="6" t="s">
        <v>158</v>
      </c>
      <c r="J307" s="6" t="str">
        <f>IF(E307="KTG","KTG",(VLOOKUP(I307,'[1]list of outsource'!B:H,2,0)))</f>
        <v>UPM</v>
      </c>
      <c r="K307" s="6" t="s">
        <v>159</v>
      </c>
      <c r="L307" s="6">
        <v>34</v>
      </c>
      <c r="M307" s="6" t="s">
        <v>164</v>
      </c>
      <c r="N307" s="6" t="s">
        <v>1090</v>
      </c>
      <c r="O307" s="6">
        <v>1247862284</v>
      </c>
      <c r="P307" s="6"/>
      <c r="Q307" s="8"/>
      <c r="R307" s="6"/>
      <c r="S307" s="6"/>
      <c r="T307" s="6"/>
      <c r="U307" s="6">
        <v>2</v>
      </c>
      <c r="V307" s="6"/>
      <c r="W307" s="6" t="s">
        <v>37</v>
      </c>
      <c r="X307" s="7">
        <v>44803</v>
      </c>
      <c r="Y307" s="7">
        <v>45436</v>
      </c>
      <c r="AC307"/>
      <c r="AE307" t="str">
        <f t="shared" si="51"/>
        <v>P000106</v>
      </c>
      <c r="AF307" t="str">
        <f>_xlfn.XLOOKUP(AE307, Hoja2!A:A, Hoja2!A:A)</f>
        <v>P000106</v>
      </c>
      <c r="AG307" t="str">
        <f t="shared" si="54"/>
        <v>PP00030-06</v>
      </c>
      <c r="AH307">
        <f>_xlfn.XLOOKUP(AG307, Hoja3!A:A, Hoja3!B:B)</f>
        <v>4278</v>
      </c>
      <c r="AI307" t="str">
        <f>_xlfn.XLOOKUP(AH307, Hoja4!A:A, Hoja4!B:B)</f>
        <v>711798 5.7 0050</v>
      </c>
      <c r="AJ307" t="b">
        <f t="shared" si="55"/>
        <v>1</v>
      </c>
    </row>
    <row r="308" spans="1:36" ht="15.5" customHeight="1" x14ac:dyDescent="0.35">
      <c r="A308">
        <f t="shared" ca="1" si="50"/>
        <v>-323</v>
      </c>
      <c r="B308" s="6" t="s">
        <v>1091</v>
      </c>
      <c r="C308" s="7">
        <v>45126</v>
      </c>
      <c r="D308" s="6" t="s">
        <v>912</v>
      </c>
      <c r="E308" s="6" t="s">
        <v>83</v>
      </c>
      <c r="F308" s="6" t="s">
        <v>646</v>
      </c>
      <c r="G308" s="6" t="s">
        <v>32</v>
      </c>
      <c r="H308" s="6" t="s">
        <v>1092</v>
      </c>
      <c r="I308" s="6" t="s">
        <v>158</v>
      </c>
      <c r="J308" s="6" t="str">
        <f>IF(E308="KTG","KTG",(VLOOKUP(I308,'[1]list of outsource'!B:H,2,0)))</f>
        <v>UPM</v>
      </c>
      <c r="K308" s="6" t="s">
        <v>159</v>
      </c>
      <c r="L308" s="6">
        <v>34</v>
      </c>
      <c r="M308" s="6" t="s">
        <v>168</v>
      </c>
      <c r="N308" s="6" t="s">
        <v>628</v>
      </c>
      <c r="O308" s="6">
        <v>1247863112</v>
      </c>
      <c r="P308" s="6"/>
      <c r="Q308" s="8"/>
      <c r="R308" s="6"/>
      <c r="S308" s="6"/>
      <c r="T308" s="6"/>
      <c r="U308" s="6">
        <v>2</v>
      </c>
      <c r="V308" s="6"/>
      <c r="W308" s="6" t="s">
        <v>37</v>
      </c>
      <c r="X308" s="7">
        <v>44803</v>
      </c>
      <c r="Y308" s="7">
        <v>45436</v>
      </c>
      <c r="AC308"/>
      <c r="AE308" t="str">
        <f t="shared" si="51"/>
        <v>P000121</v>
      </c>
      <c r="AF308" t="str">
        <f>_xlfn.XLOOKUP(AE308, Hoja2!A:A, Hoja2!A:A)</f>
        <v>P000121</v>
      </c>
      <c r="AG308" t="str">
        <f t="shared" si="54"/>
        <v>PP00030-07</v>
      </c>
      <c r="AH308">
        <f>_xlfn.XLOOKUP(AG308, Hoja3!A:A, Hoja3!B:B)</f>
        <v>4281</v>
      </c>
      <c r="AI308" t="str">
        <f>_xlfn.XLOOKUP(AH308, Hoja4!A:A, Hoja4!B:B)</f>
        <v>711798 7.5 0050</v>
      </c>
      <c r="AJ308" t="b">
        <f t="shared" si="55"/>
        <v>1</v>
      </c>
    </row>
    <row r="309" spans="1:36" ht="15.5" customHeight="1" x14ac:dyDescent="0.35">
      <c r="A309">
        <f t="shared" ca="1" si="50"/>
        <v>-323</v>
      </c>
      <c r="B309" s="12" t="s">
        <v>1093</v>
      </c>
      <c r="C309" s="13">
        <v>45126</v>
      </c>
      <c r="D309" s="14" t="s">
        <v>121</v>
      </c>
      <c r="E309" s="14" t="s">
        <v>83</v>
      </c>
      <c r="F309" s="14" t="s">
        <v>646</v>
      </c>
      <c r="G309" s="14" t="s">
        <v>32</v>
      </c>
      <c r="H309" s="14" t="s">
        <v>1094</v>
      </c>
      <c r="I309" s="14" t="s">
        <v>158</v>
      </c>
      <c r="J309" s="14" t="str">
        <f>IF(E309="KTG","KTG",(VLOOKUP(I309,'[1]list of outsource'!B:H,2,0)))</f>
        <v>UPM</v>
      </c>
      <c r="K309" s="14" t="s">
        <v>159</v>
      </c>
      <c r="L309" s="14"/>
      <c r="M309" s="14" t="s">
        <v>160</v>
      </c>
      <c r="N309" s="14" t="s">
        <v>1095</v>
      </c>
      <c r="O309" s="14">
        <v>1253010950</v>
      </c>
      <c r="P309" s="14"/>
      <c r="Q309" s="15"/>
      <c r="R309" s="14"/>
      <c r="S309" s="16"/>
      <c r="T309" s="14"/>
      <c r="U309" s="14">
        <v>2</v>
      </c>
      <c r="V309" s="14"/>
      <c r="W309" s="14" t="s">
        <v>37</v>
      </c>
      <c r="X309" s="13">
        <v>44803</v>
      </c>
      <c r="Y309" s="13"/>
      <c r="AC309"/>
      <c r="AE309" t="str">
        <f t="shared" si="51"/>
        <v>P000053</v>
      </c>
      <c r="AF309" t="str">
        <f>_xlfn.XLOOKUP(AE309, Hoja2!A:A, Hoja2!A:A)</f>
        <v>P000053</v>
      </c>
      <c r="AG309" t="str">
        <f t="shared" si="54"/>
        <v>PP00030-05</v>
      </c>
      <c r="AH309">
        <f>_xlfn.XLOOKUP(AG309, Hoja3!A:A, Hoja3!B:B)</f>
        <v>4277</v>
      </c>
      <c r="AI309" t="str">
        <f>_xlfn.XLOOKUP(AH309, Hoja4!A:A, Hoja4!B:B)</f>
        <v>711798 18.3 050</v>
      </c>
      <c r="AJ309" t="b">
        <f t="shared" si="55"/>
        <v>1</v>
      </c>
    </row>
    <row r="310" spans="1:36" ht="15.5" customHeight="1" x14ac:dyDescent="0.35">
      <c r="A310">
        <f t="shared" ca="1" si="50"/>
        <v>60</v>
      </c>
      <c r="B310" s="6" t="s">
        <v>1096</v>
      </c>
      <c r="C310" s="7">
        <v>45127</v>
      </c>
      <c r="D310" s="6" t="s">
        <v>507</v>
      </c>
      <c r="E310" s="6" t="s">
        <v>83</v>
      </c>
      <c r="F310" s="6" t="s">
        <v>933</v>
      </c>
      <c r="G310" s="6" t="s">
        <v>32</v>
      </c>
      <c r="H310" s="6">
        <v>35770188</v>
      </c>
      <c r="I310" s="6" t="s">
        <v>95</v>
      </c>
      <c r="J310" s="6" t="str">
        <f>IF(E310="KTG","KTG",(VLOOKUP(I310,'[1]list of outsource'!B:H,2,0)))</f>
        <v>Woer</v>
      </c>
      <c r="K310" s="6" t="s">
        <v>96</v>
      </c>
      <c r="L310" s="6"/>
      <c r="M310" s="6" t="s">
        <v>1097</v>
      </c>
      <c r="N310" s="6" t="s">
        <v>1098</v>
      </c>
      <c r="O310" s="6">
        <v>1256732125</v>
      </c>
      <c r="P310" s="6"/>
      <c r="Q310" s="8" t="s">
        <v>575</v>
      </c>
      <c r="R310" s="6" t="s">
        <v>575</v>
      </c>
      <c r="S310" s="6" t="s">
        <v>575</v>
      </c>
      <c r="T310" s="6" t="s">
        <v>575</v>
      </c>
      <c r="U310" s="6">
        <v>4</v>
      </c>
      <c r="V310" s="6"/>
      <c r="W310" s="6" t="s">
        <v>37</v>
      </c>
      <c r="X310" s="7">
        <v>45187</v>
      </c>
      <c r="Y310" s="7">
        <v>45268</v>
      </c>
      <c r="AC310"/>
      <c r="AE310" t="str">
        <f t="shared" si="51"/>
        <v>P000573</v>
      </c>
      <c r="AF310" t="str">
        <f>_xlfn.XLOOKUP(AE310, Hoja2!A:A, Hoja2!A:A)</f>
        <v>P000573</v>
      </c>
      <c r="AG310" t="str">
        <f t="shared" si="54"/>
        <v>PP00042-0002</v>
      </c>
      <c r="AH310">
        <f>_xlfn.XLOOKUP(AG310, Hoja3!A:A, Hoja3!B:B)</f>
        <v>3803</v>
      </c>
      <c r="AI310">
        <f>_xlfn.XLOOKUP(AH310, Hoja4!A:A, Hoja4!B:B)</f>
        <v>35770188</v>
      </c>
      <c r="AJ310" t="b">
        <f t="shared" si="55"/>
        <v>1</v>
      </c>
    </row>
    <row r="311" spans="1:36" ht="15.5" customHeight="1" x14ac:dyDescent="0.35">
      <c r="A311">
        <f t="shared" ca="1" si="50"/>
        <v>49</v>
      </c>
      <c r="B311" s="6" t="s">
        <v>1099</v>
      </c>
      <c r="C311" s="7">
        <v>45132</v>
      </c>
      <c r="D311" s="6" t="s">
        <v>507</v>
      </c>
      <c r="E311" s="6" t="s">
        <v>139</v>
      </c>
      <c r="F311" s="6" t="s">
        <v>508</v>
      </c>
      <c r="G311" s="6" t="s">
        <v>32</v>
      </c>
      <c r="H311" s="6">
        <v>69321144</v>
      </c>
      <c r="I311" s="6" t="s">
        <v>402</v>
      </c>
      <c r="J311" s="6" t="str">
        <f>IF(E311="KTG","KTG",(VLOOKUP(I311,'[1]list of outsource'!B:H,2,0)))</f>
        <v>ETC</v>
      </c>
      <c r="K311" s="6" t="s">
        <v>403</v>
      </c>
      <c r="L311" s="6"/>
      <c r="M311" s="6" t="s">
        <v>595</v>
      </c>
      <c r="N311" s="6" t="s">
        <v>596</v>
      </c>
      <c r="O311" s="6">
        <v>1256746275</v>
      </c>
      <c r="P311" s="6"/>
      <c r="Q311" s="8"/>
      <c r="R311" s="6"/>
      <c r="S311" s="6"/>
      <c r="T311" s="6"/>
      <c r="U311" s="6">
        <v>2</v>
      </c>
      <c r="V311" s="6"/>
      <c r="W311" s="6" t="s">
        <v>37</v>
      </c>
      <c r="X311" s="7">
        <v>45181</v>
      </c>
      <c r="Y311" s="7"/>
      <c r="AB311" t="e">
        <v>#N/A</v>
      </c>
      <c r="AC311"/>
      <c r="AE311" t="str">
        <f t="shared" si="51"/>
        <v>P000269</v>
      </c>
      <c r="AF311" t="str">
        <f>_xlfn.XLOOKUP(AE311, Hoja2!A:A, Hoja2!A:A)</f>
        <v>P000269</v>
      </c>
      <c r="AG311" t="str">
        <f t="shared" si="54"/>
        <v>PP00026-13</v>
      </c>
      <c r="AH311">
        <f>_xlfn.XLOOKUP(AG311, Hoja3!A:A, Hoja3!B:B)</f>
        <v>5617</v>
      </c>
      <c r="AI311">
        <f>_xlfn.XLOOKUP(AH311, Hoja4!A:A, Hoja4!B:B)</f>
        <v>69321144</v>
      </c>
      <c r="AJ311" t="b">
        <f t="shared" si="55"/>
        <v>1</v>
      </c>
    </row>
    <row r="312" spans="1:36" ht="15.5" customHeight="1" x14ac:dyDescent="0.35">
      <c r="A312">
        <f t="shared" ca="1" si="50"/>
        <v>20</v>
      </c>
      <c r="B312" s="6" t="s">
        <v>1100</v>
      </c>
      <c r="C312" s="7">
        <v>45134</v>
      </c>
      <c r="D312" s="6" t="s">
        <v>507</v>
      </c>
      <c r="E312" s="6" t="s">
        <v>147</v>
      </c>
      <c r="F312" s="6" t="s">
        <v>52</v>
      </c>
      <c r="G312" s="6" t="s">
        <v>126</v>
      </c>
      <c r="H312" s="6" t="s">
        <v>1101</v>
      </c>
      <c r="I312" s="6" t="s">
        <v>459</v>
      </c>
      <c r="J312" s="6" t="e">
        <f>IF(E312="KTG","KTG",(VLOOKUP(I312,'[1]list of outsource'!B:H,2,0)))</f>
        <v>#N/A</v>
      </c>
      <c r="K312" s="6" t="s">
        <v>653</v>
      </c>
      <c r="L312" s="6"/>
      <c r="M312" s="6" t="s">
        <v>459</v>
      </c>
      <c r="N312" s="6" t="s">
        <v>460</v>
      </c>
      <c r="O312" s="6">
        <v>1248834931</v>
      </c>
      <c r="P312" s="6"/>
      <c r="Q312" s="8"/>
      <c r="R312" s="6"/>
      <c r="S312" s="6"/>
      <c r="T312" s="6"/>
      <c r="U312" s="6">
        <v>2</v>
      </c>
      <c r="V312" s="6"/>
      <c r="W312" s="6" t="s">
        <v>37</v>
      </c>
      <c r="X312" s="7">
        <v>45154</v>
      </c>
      <c r="Y312" s="7">
        <v>45167</v>
      </c>
      <c r="AC312"/>
      <c r="AE312" t="str">
        <f t="shared" si="51"/>
        <v>ET008-500</v>
      </c>
      <c r="AF312" t="str">
        <f>_xlfn.XLOOKUP(AE312, Hoja2!A:A, Hoja2!A:A)</f>
        <v>ET008-500</v>
      </c>
      <c r="AG312" t="str">
        <f t="shared" si="54"/>
        <v>PP00023-0002</v>
      </c>
      <c r="AH312">
        <f>_xlfn.XLOOKUP(AG312, Hoja3!A:A, Hoja3!B:B)</f>
        <v>5239</v>
      </c>
      <c r="AI312" t="str">
        <f>_xlfn.XLOOKUP(AH312, Hoja4!A:A, Hoja4!B:B)</f>
        <v>11043938A</v>
      </c>
      <c r="AJ312" t="b">
        <f t="shared" si="55"/>
        <v>1</v>
      </c>
    </row>
    <row r="313" spans="1:36" ht="15.5" customHeight="1" x14ac:dyDescent="0.35">
      <c r="A313">
        <f t="shared" ca="1" si="50"/>
        <v>43</v>
      </c>
      <c r="B313" s="12" t="s">
        <v>1102</v>
      </c>
      <c r="C313" s="13">
        <v>45139</v>
      </c>
      <c r="D313" s="14" t="s">
        <v>121</v>
      </c>
      <c r="E313" s="14" t="s">
        <v>83</v>
      </c>
      <c r="F313" s="14" t="s">
        <v>101</v>
      </c>
      <c r="G313" s="14" t="s">
        <v>299</v>
      </c>
      <c r="H313" s="14" t="s">
        <v>1103</v>
      </c>
      <c r="I313" s="14" t="s">
        <v>133</v>
      </c>
      <c r="J313" s="14" t="str">
        <f>IF(E313="KTG","KTG",(VLOOKUP(I313,'[1]list of outsource'!B:H,2,0)))</f>
        <v>UPM</v>
      </c>
      <c r="K313" s="14" t="s">
        <v>301</v>
      </c>
      <c r="L313" s="14">
        <v>23</v>
      </c>
      <c r="M313" s="14" t="s">
        <v>1104</v>
      </c>
      <c r="N313" s="14" t="s">
        <v>1105</v>
      </c>
      <c r="O313" s="14">
        <v>1188110244</v>
      </c>
      <c r="P313" s="14"/>
      <c r="Q313" s="15"/>
      <c r="R313" s="14"/>
      <c r="S313" s="16"/>
      <c r="T313" s="14"/>
      <c r="U313" s="14">
        <v>2</v>
      </c>
      <c r="V313" s="14"/>
      <c r="W313" s="14" t="s">
        <v>37</v>
      </c>
      <c r="X313" s="13">
        <v>45182</v>
      </c>
      <c r="Y313" s="13"/>
      <c r="AC313" t="e">
        <v>#N/A</v>
      </c>
      <c r="AE313" t="str">
        <f t="shared" si="51"/>
        <v>P000029</v>
      </c>
      <c r="AF313" t="str">
        <f>_xlfn.XLOOKUP(AE313, Hoja2!A:A, Hoja2!A:A)</f>
        <v>P000029</v>
      </c>
      <c r="AG313" t="str">
        <f t="shared" si="54"/>
        <v>PP00027-07</v>
      </c>
      <c r="AH313">
        <f>_xlfn.XLOOKUP(AG313, Hoja3!A:A, Hoja3!B:B)</f>
        <v>4573</v>
      </c>
      <c r="AI313" t="str">
        <f>_xlfn.XLOOKUP(AH313, Hoja4!A:A, Hoja4!B:B)</f>
        <v>GP088848</v>
      </c>
      <c r="AJ313" t="b">
        <f t="shared" si="55"/>
        <v>1</v>
      </c>
    </row>
    <row r="314" spans="1:36" ht="15.5" customHeight="1" x14ac:dyDescent="0.35">
      <c r="A314">
        <f t="shared" ca="1" si="50"/>
        <v>2</v>
      </c>
      <c r="B314" s="6" t="s">
        <v>1106</v>
      </c>
      <c r="C314" s="7">
        <v>44999</v>
      </c>
      <c r="D314" s="6" t="s">
        <v>507</v>
      </c>
      <c r="E314" s="6" t="s">
        <v>83</v>
      </c>
      <c r="F314" s="6" t="s">
        <v>84</v>
      </c>
      <c r="G314" s="6" t="s">
        <v>156</v>
      </c>
      <c r="H314" s="6" t="s">
        <v>1107</v>
      </c>
      <c r="I314" s="6" t="s">
        <v>176</v>
      </c>
      <c r="J314" s="6" t="str">
        <f>IF(E314="KTG","KTG",(VLOOKUP(I314,'[1]list of outsource'!B:H,2,0)))</f>
        <v>UPM</v>
      </c>
      <c r="K314" s="6" t="s">
        <v>177</v>
      </c>
      <c r="L314" s="6"/>
      <c r="M314" s="6" t="s">
        <v>1108</v>
      </c>
      <c r="N314" s="6" t="s">
        <v>1109</v>
      </c>
      <c r="O314" s="6">
        <v>1205276080</v>
      </c>
      <c r="P314" s="6"/>
      <c r="Q314" s="8"/>
      <c r="R314" s="6"/>
      <c r="S314" s="6"/>
      <c r="T314" s="6"/>
      <c r="U314" s="6">
        <v>2</v>
      </c>
      <c r="V314" s="6"/>
      <c r="W314" s="6" t="s">
        <v>37</v>
      </c>
      <c r="X314" s="7">
        <v>45001</v>
      </c>
      <c r="Y314" s="7">
        <v>45014</v>
      </c>
      <c r="AB314" t="s">
        <v>1110</v>
      </c>
      <c r="AC314"/>
      <c r="AE314" t="str">
        <f t="shared" si="51"/>
        <v>P000152</v>
      </c>
      <c r="AF314" t="str">
        <f>_xlfn.XLOOKUP(AE314, Hoja2!A:A, Hoja2!A:A)</f>
        <v>P000152</v>
      </c>
      <c r="AG314" t="str">
        <f t="shared" si="54"/>
        <v>PP00028-04</v>
      </c>
      <c r="AH314">
        <f>_xlfn.XLOOKUP(AG314, Hoja3!A:A, Hoja3!B:B)</f>
        <v>5309</v>
      </c>
      <c r="AI314" t="str">
        <f>_xlfn.XLOOKUP(AH314, Hoja4!A:A, Hoja4!B:B)</f>
        <v>E35082000</v>
      </c>
      <c r="AJ314" t="b">
        <f t="shared" si="55"/>
        <v>1</v>
      </c>
    </row>
    <row r="315" spans="1:36" ht="15.5" customHeight="1" x14ac:dyDescent="0.35">
      <c r="A315">
        <f t="shared" ca="1" si="50"/>
        <v>58</v>
      </c>
      <c r="B315" s="12" t="s">
        <v>1111</v>
      </c>
      <c r="C315" s="13">
        <v>45145</v>
      </c>
      <c r="D315" s="14" t="s">
        <v>121</v>
      </c>
      <c r="E315" s="14" t="s">
        <v>139</v>
      </c>
      <c r="F315" s="14" t="s">
        <v>508</v>
      </c>
      <c r="G315" s="14" t="s">
        <v>32</v>
      </c>
      <c r="H315" s="14">
        <v>69321142</v>
      </c>
      <c r="I315" s="14" t="s">
        <v>402</v>
      </c>
      <c r="J315" s="14" t="str">
        <f>IF(E315="KTG","KTG",(VLOOKUP(I315,'[1]list of outsource'!B:H,2,0)))</f>
        <v>ETC</v>
      </c>
      <c r="K315" s="14" t="s">
        <v>403</v>
      </c>
      <c r="L315" s="14">
        <v>55</v>
      </c>
      <c r="M315" s="14" t="s">
        <v>1112</v>
      </c>
      <c r="N315" s="14" t="s">
        <v>1113</v>
      </c>
      <c r="O315" s="14">
        <v>1247316215</v>
      </c>
      <c r="P315" s="14"/>
      <c r="Q315" s="15"/>
      <c r="R315" s="14"/>
      <c r="S315" s="16"/>
      <c r="T315" s="14"/>
      <c r="U315" s="14">
        <v>4</v>
      </c>
      <c r="V315" s="14"/>
      <c r="W315" s="14" t="s">
        <v>37</v>
      </c>
      <c r="X315" s="13">
        <v>45203</v>
      </c>
      <c r="Y315" s="13"/>
      <c r="AC315"/>
      <c r="AE315" t="str">
        <f t="shared" si="51"/>
        <v>P000267</v>
      </c>
      <c r="AF315" t="str">
        <f>_xlfn.XLOOKUP(AE315, Hoja2!A:A, Hoja2!A:A)</f>
        <v>P000267</v>
      </c>
      <c r="AG315" t="str">
        <f t="shared" si="54"/>
        <v>PP00026-12</v>
      </c>
      <c r="AH315">
        <f>_xlfn.XLOOKUP(AG315, Hoja3!A:A, Hoja3!B:B)</f>
        <v>5616</v>
      </c>
      <c r="AI315">
        <f>_xlfn.XLOOKUP(AH315, Hoja4!A:A, Hoja4!B:B)</f>
        <v>69321142</v>
      </c>
      <c r="AJ315" t="b">
        <f t="shared" si="55"/>
        <v>1</v>
      </c>
    </row>
    <row r="316" spans="1:36" ht="15.5" customHeight="1" x14ac:dyDescent="0.35">
      <c r="A316">
        <f t="shared" ca="1" si="50"/>
        <v>36</v>
      </c>
      <c r="B316" s="12" t="s">
        <v>1114</v>
      </c>
      <c r="C316" s="13">
        <v>45146</v>
      </c>
      <c r="D316" s="14" t="s">
        <v>121</v>
      </c>
      <c r="E316" s="14" t="s">
        <v>83</v>
      </c>
      <c r="F316" s="14" t="s">
        <v>329</v>
      </c>
      <c r="G316" s="14" t="s">
        <v>299</v>
      </c>
      <c r="H316" s="14" t="s">
        <v>217</v>
      </c>
      <c r="I316" s="14" t="s">
        <v>218</v>
      </c>
      <c r="J316" s="14" t="str">
        <f>IF(E316="KTG","KTG",(VLOOKUP(I316,'[1]list of outsource'!B:H,2,0)))</f>
        <v>UPM</v>
      </c>
      <c r="K316" s="14" t="s">
        <v>219</v>
      </c>
      <c r="L316" s="14"/>
      <c r="M316" s="14" t="s">
        <v>220</v>
      </c>
      <c r="N316" s="14" t="s">
        <v>1115</v>
      </c>
      <c r="O316" s="14">
        <v>1257334022</v>
      </c>
      <c r="P316" s="14"/>
      <c r="Q316" s="15"/>
      <c r="R316" s="14"/>
      <c r="S316" s="16"/>
      <c r="T316" s="14"/>
      <c r="U316" s="14">
        <v>2</v>
      </c>
      <c r="V316" s="14"/>
      <c r="W316" s="14" t="s">
        <v>37</v>
      </c>
      <c r="X316" s="13">
        <v>45182</v>
      </c>
      <c r="Y316" s="13"/>
      <c r="AC316" t="s">
        <v>4210</v>
      </c>
      <c r="AE316" t="str">
        <f t="shared" si="51"/>
        <v>P000129</v>
      </c>
      <c r="AF316" t="str">
        <f>_xlfn.XLOOKUP(AE316, Hoja2!A:A, Hoja2!A:A)</f>
        <v>P000129</v>
      </c>
      <c r="AG316" t="str">
        <f t="shared" si="54"/>
        <v>PP00024-22</v>
      </c>
      <c r="AH316">
        <f>_xlfn.XLOOKUP(AG316, Hoja3!A:A, Hoja3!B:B)</f>
        <v>5496</v>
      </c>
      <c r="AI316" t="str">
        <f>_xlfn.XLOOKUP(AH316, Hoja4!A:A, Hoja4!B:B)</f>
        <v>E34750100</v>
      </c>
      <c r="AJ316" t="b">
        <f t="shared" si="55"/>
        <v>1</v>
      </c>
    </row>
    <row r="317" spans="1:36" ht="15.5" customHeight="1" x14ac:dyDescent="0.35">
      <c r="A317">
        <f t="shared" ca="1" si="50"/>
        <v>26</v>
      </c>
      <c r="B317" s="12" t="s">
        <v>1116</v>
      </c>
      <c r="C317" s="13">
        <v>45147</v>
      </c>
      <c r="D317" s="14" t="s">
        <v>121</v>
      </c>
      <c r="E317" s="14" t="s">
        <v>83</v>
      </c>
      <c r="F317" s="14" t="s">
        <v>1117</v>
      </c>
      <c r="G317" s="14" t="s">
        <v>32</v>
      </c>
      <c r="H317" s="14">
        <v>55592</v>
      </c>
      <c r="I317" s="14" t="s">
        <v>198</v>
      </c>
      <c r="J317" s="14" t="str">
        <f>IF(E317="KTG","KTG",(VLOOKUP(I317,'[1]list of outsource'!B:H,2,0)))</f>
        <v>UPM</v>
      </c>
      <c r="K317" s="14" t="s">
        <v>199</v>
      </c>
      <c r="L317" s="14"/>
      <c r="M317" s="14" t="s">
        <v>256</v>
      </c>
      <c r="N317" s="14" t="s">
        <v>1118</v>
      </c>
      <c r="O317" s="14">
        <v>1253019517</v>
      </c>
      <c r="P317" s="14"/>
      <c r="Q317" s="15"/>
      <c r="R317" s="14"/>
      <c r="S317" s="16"/>
      <c r="T317" s="14"/>
      <c r="U317" s="14">
        <v>2</v>
      </c>
      <c r="V317" s="14"/>
      <c r="W317" s="14" t="s">
        <v>37</v>
      </c>
      <c r="X317" s="13">
        <v>45173</v>
      </c>
      <c r="Y317" s="13"/>
      <c r="AB317" t="e">
        <v>#N/A</v>
      </c>
      <c r="AC317"/>
      <c r="AE317" t="str">
        <f t="shared" si="51"/>
        <v>P000144</v>
      </c>
      <c r="AF317" t="str">
        <f>_xlfn.XLOOKUP(AE317, Hoja2!A:A, Hoja2!A:A)</f>
        <v>P000144</v>
      </c>
      <c r="AG317" t="str">
        <f t="shared" si="54"/>
        <v>PP00045-01</v>
      </c>
      <c r="AH317">
        <f>_xlfn.XLOOKUP(AG317, Hoja3!A:A, Hoja3!B:B)</f>
        <v>5167</v>
      </c>
      <c r="AI317">
        <f>_xlfn.XLOOKUP(AH317, Hoja4!A:A, Hoja4!B:B)</f>
        <v>55592</v>
      </c>
      <c r="AJ317" t="b">
        <f t="shared" si="55"/>
        <v>1</v>
      </c>
    </row>
    <row r="318" spans="1:36" ht="15.5" customHeight="1" x14ac:dyDescent="0.35">
      <c r="A318">
        <f t="shared" ca="1" si="50"/>
        <v>26</v>
      </c>
      <c r="B318" s="12" t="s">
        <v>1119</v>
      </c>
      <c r="C318" s="13">
        <v>45147</v>
      </c>
      <c r="D318" s="14" t="s">
        <v>121</v>
      </c>
      <c r="E318" s="14" t="s">
        <v>83</v>
      </c>
      <c r="F318" s="14" t="s">
        <v>1117</v>
      </c>
      <c r="G318" s="14" t="s">
        <v>32</v>
      </c>
      <c r="H318" s="14">
        <v>55593</v>
      </c>
      <c r="I318" s="14" t="s">
        <v>198</v>
      </c>
      <c r="J318" s="14" t="str">
        <f>IF(E318="KTG","KTG",(VLOOKUP(I318,'[1]list of outsource'!B:H,2,0)))</f>
        <v>UPM</v>
      </c>
      <c r="K318" s="14" t="s">
        <v>199</v>
      </c>
      <c r="L318" s="14"/>
      <c r="M318" s="14" t="s">
        <v>1120</v>
      </c>
      <c r="N318" s="14" t="s">
        <v>1121</v>
      </c>
      <c r="O318" s="14">
        <v>1253390788</v>
      </c>
      <c r="P318" s="14"/>
      <c r="Q318" s="15"/>
      <c r="R318" s="14"/>
      <c r="S318" s="16"/>
      <c r="T318" s="14"/>
      <c r="U318" s="14">
        <v>2</v>
      </c>
      <c r="V318" s="14"/>
      <c r="W318" s="14" t="s">
        <v>37</v>
      </c>
      <c r="X318" s="13">
        <v>45173</v>
      </c>
      <c r="Y318" s="13"/>
      <c r="AB318" t="e">
        <v>#N/A</v>
      </c>
      <c r="AC318"/>
      <c r="AE318" t="str">
        <f t="shared" si="51"/>
        <v>P000639</v>
      </c>
      <c r="AF318" t="str">
        <f>_xlfn.XLOOKUP(AE318, Hoja2!A:A, Hoja2!A:A)</f>
        <v>P000639</v>
      </c>
      <c r="AG318" t="str">
        <f t="shared" si="54"/>
        <v>PP00045-02</v>
      </c>
      <c r="AH318">
        <f>_xlfn.XLOOKUP(AG318, Hoja3!A:A, Hoja3!B:B)</f>
        <v>5168</v>
      </c>
      <c r="AI318">
        <f>_xlfn.XLOOKUP(AH318, Hoja4!A:A, Hoja4!B:B)</f>
        <v>55593</v>
      </c>
      <c r="AJ318" t="b">
        <f t="shared" si="55"/>
        <v>1</v>
      </c>
    </row>
    <row r="319" spans="1:36" ht="15.5" customHeight="1" x14ac:dyDescent="0.35">
      <c r="A319">
        <f t="shared" ca="1" si="50"/>
        <v>33</v>
      </c>
      <c r="B319" s="6" t="s">
        <v>1122</v>
      </c>
      <c r="C319" s="7">
        <v>45149</v>
      </c>
      <c r="D319" s="6" t="s">
        <v>507</v>
      </c>
      <c r="E319" s="6" t="s">
        <v>83</v>
      </c>
      <c r="F319" s="6" t="s">
        <v>101</v>
      </c>
      <c r="G319" s="6" t="s">
        <v>299</v>
      </c>
      <c r="H319" s="6" t="s">
        <v>1123</v>
      </c>
      <c r="I319" s="6" t="s">
        <v>428</v>
      </c>
      <c r="J319" s="6" t="str">
        <f>IF(E319="KTG","KTG",(VLOOKUP(I319,'[1]list of outsource'!B:H,2,0)))</f>
        <v>UPM</v>
      </c>
      <c r="K319" s="6" t="s">
        <v>429</v>
      </c>
      <c r="L319" s="6">
        <v>15</v>
      </c>
      <c r="M319" s="6" t="s">
        <v>1124</v>
      </c>
      <c r="N319" s="6" t="s">
        <v>1125</v>
      </c>
      <c r="O319" s="6">
        <v>1189553513</v>
      </c>
      <c r="P319" s="6"/>
      <c r="Q319" s="8"/>
      <c r="R319" s="6"/>
      <c r="S319" s="6"/>
      <c r="T319" s="6"/>
      <c r="U319" s="6">
        <v>2</v>
      </c>
      <c r="V319" s="6"/>
      <c r="W319" s="6" t="s">
        <v>37</v>
      </c>
      <c r="X319" s="7">
        <v>45182</v>
      </c>
      <c r="Y319" s="7">
        <v>45183</v>
      </c>
      <c r="AC319" t="e">
        <v>#N/A</v>
      </c>
      <c r="AE319" t="str">
        <f t="shared" si="51"/>
        <v>P000315</v>
      </c>
      <c r="AF319" t="str">
        <f>_xlfn.XLOOKUP(AE319, Hoja2!A:A, Hoja2!A:A)</f>
        <v>P000315</v>
      </c>
      <c r="AG319" t="str">
        <f t="shared" si="54"/>
        <v>PP00027-14</v>
      </c>
      <c r="AH319">
        <f>_xlfn.XLOOKUP(AG319, Hoja3!A:A, Hoja3!B:B)</f>
        <v>4580</v>
      </c>
      <c r="AI319" t="str">
        <f>_xlfn.XLOOKUP(AH319, Hoja4!A:A, Hoja4!B:B)</f>
        <v>GP095936</v>
      </c>
      <c r="AJ319" t="b">
        <f t="shared" si="55"/>
        <v>1</v>
      </c>
    </row>
    <row r="320" spans="1:36" ht="15.5" customHeight="1" x14ac:dyDescent="0.35">
      <c r="A320">
        <f t="shared" ca="1" si="50"/>
        <v>75</v>
      </c>
      <c r="B320" s="12" t="s">
        <v>1126</v>
      </c>
      <c r="C320" s="13">
        <v>45149</v>
      </c>
      <c r="D320" s="14" t="s">
        <v>121</v>
      </c>
      <c r="E320" s="14" t="s">
        <v>30</v>
      </c>
      <c r="F320" s="14" t="s">
        <v>1127</v>
      </c>
      <c r="G320" s="14"/>
      <c r="H320" s="14" t="s">
        <v>1128</v>
      </c>
      <c r="I320" s="14"/>
      <c r="J320" s="14" t="str">
        <f>IF(E320="KTG","KTG",(VLOOKUP(I320,'[1]list of outsource'!B:H,2,0)))</f>
        <v>KTG</v>
      </c>
      <c r="K320" s="14"/>
      <c r="L320" s="14"/>
      <c r="M320" s="59" t="s">
        <v>2229</v>
      </c>
      <c r="N320" s="14" t="s">
        <v>1129</v>
      </c>
      <c r="O320" s="14"/>
      <c r="P320" s="14"/>
      <c r="Q320" s="15"/>
      <c r="R320" s="14"/>
      <c r="S320" s="16"/>
      <c r="T320" s="14"/>
      <c r="U320" s="14">
        <v>4</v>
      </c>
      <c r="V320" s="14"/>
      <c r="W320" s="14" t="s">
        <v>37</v>
      </c>
      <c r="X320" s="13">
        <v>45224</v>
      </c>
      <c r="Y320" s="13"/>
      <c r="AC320" t="e">
        <v>#N/A</v>
      </c>
      <c r="AE320" t="str">
        <f t="shared" si="51"/>
        <v>E42803</v>
      </c>
      <c r="AF320" t="str">
        <f>_xlfn.XLOOKUP(AE320, Hoja2!A:A, Hoja2!A:A)</f>
        <v>E42803</v>
      </c>
      <c r="AG320" t="str">
        <f t="shared" si="54"/>
        <v>PP00046-01</v>
      </c>
      <c r="AH320">
        <f>_xlfn.XLOOKUP(AG320, Hoja3!A:A, Hoja3!B:B)</f>
        <v>4664</v>
      </c>
      <c r="AI320" t="str">
        <f>_xlfn.XLOOKUP(AH320, Hoja4!A:A, Hoja4!B:B)</f>
        <v>648052100A</v>
      </c>
      <c r="AJ320" t="b">
        <f t="shared" si="55"/>
        <v>1</v>
      </c>
    </row>
    <row r="321" spans="1:36" ht="15.5" customHeight="1" x14ac:dyDescent="0.35">
      <c r="A321">
        <f t="shared" ca="1" si="50"/>
        <v>75</v>
      </c>
      <c r="B321" s="12" t="s">
        <v>1130</v>
      </c>
      <c r="C321" s="13">
        <v>45149</v>
      </c>
      <c r="D321" s="14" t="s">
        <v>121</v>
      </c>
      <c r="E321" s="14" t="s">
        <v>30</v>
      </c>
      <c r="F321" s="14" t="s">
        <v>1127</v>
      </c>
      <c r="G321" s="14"/>
      <c r="H321" s="14" t="s">
        <v>1131</v>
      </c>
      <c r="I321" s="14"/>
      <c r="J321" s="14" t="str">
        <f>IF(E321="KTG","KTG",(VLOOKUP(I321,'[1]list of outsource'!B:H,2,0)))</f>
        <v>KTG</v>
      </c>
      <c r="K321" s="14"/>
      <c r="L321" s="14"/>
      <c r="M321" s="59" t="s">
        <v>2230</v>
      </c>
      <c r="N321" s="14" t="s">
        <v>1132</v>
      </c>
      <c r="O321" s="14"/>
      <c r="P321" s="14"/>
      <c r="Q321" s="15"/>
      <c r="R321" s="14"/>
      <c r="S321" s="16"/>
      <c r="T321" s="14"/>
      <c r="U321" s="14">
        <v>4</v>
      </c>
      <c r="V321" s="14"/>
      <c r="W321" s="14" t="s">
        <v>37</v>
      </c>
      <c r="X321" s="13">
        <v>45224</v>
      </c>
      <c r="Y321" s="13"/>
      <c r="AC321"/>
      <c r="AE321" t="str">
        <f t="shared" si="51"/>
        <v>E42801</v>
      </c>
      <c r="AF321" t="str">
        <f>_xlfn.XLOOKUP(AE321, Hoja2!A:A, Hoja2!A:A)</f>
        <v>E42801</v>
      </c>
      <c r="AG321" t="str">
        <f t="shared" si="54"/>
        <v>PP00046-02</v>
      </c>
      <c r="AH321">
        <f>_xlfn.XLOOKUP(AG321, Hoja3!A:A, Hoja3!B:B)</f>
        <v>4665</v>
      </c>
      <c r="AI321" t="str">
        <f>_xlfn.XLOOKUP(AH321, Hoja4!A:A, Hoja4!B:B)</f>
        <v>SHRINKTUBE15BLACK</v>
      </c>
      <c r="AJ321" t="b">
        <f t="shared" si="55"/>
        <v>1</v>
      </c>
    </row>
    <row r="322" spans="1:36" ht="15.5" hidden="1" customHeight="1" x14ac:dyDescent="0.35">
      <c r="A322">
        <f t="shared" ref="A322:A385" ca="1" si="56">IF(X322="",(TODAY()-C322),(X322-C322))</f>
        <v>33</v>
      </c>
      <c r="B322" s="56" t="s">
        <v>1133</v>
      </c>
      <c r="C322" s="13">
        <v>45149</v>
      </c>
      <c r="D322" s="14" t="s">
        <v>121</v>
      </c>
      <c r="E322" s="14" t="s">
        <v>83</v>
      </c>
      <c r="F322" s="14" t="s">
        <v>101</v>
      </c>
      <c r="G322" s="14" t="s">
        <v>299</v>
      </c>
      <c r="H322" s="14" t="s">
        <v>1134</v>
      </c>
      <c r="I322" s="14" t="s">
        <v>428</v>
      </c>
      <c r="J322" s="14" t="str">
        <f>IF(E322="KTG","KTG",(VLOOKUP(I322,'[1]list of outsource'!B:H,2,0)))</f>
        <v>UPM</v>
      </c>
      <c r="K322" s="14" t="s">
        <v>429</v>
      </c>
      <c r="L322" s="14">
        <v>15</v>
      </c>
      <c r="M322" s="55" t="s">
        <v>1135</v>
      </c>
      <c r="N322" s="14" t="s">
        <v>1136</v>
      </c>
      <c r="O322" s="14">
        <v>1253390090</v>
      </c>
      <c r="P322" s="14"/>
      <c r="Q322" s="15"/>
      <c r="R322" s="14"/>
      <c r="S322" s="16"/>
      <c r="T322" s="14"/>
      <c r="U322" s="14">
        <v>2</v>
      </c>
      <c r="V322" s="14"/>
      <c r="W322" s="14" t="s">
        <v>37</v>
      </c>
      <c r="X322" s="13">
        <v>45182</v>
      </c>
      <c r="Y322" s="13"/>
      <c r="AB322" t="e">
        <v>#N/A</v>
      </c>
      <c r="AC322"/>
      <c r="AE322" t="str">
        <f t="shared" si="51"/>
        <v>P000245</v>
      </c>
      <c r="AF322" t="e">
        <f>_xlfn.XLOOKUP(AE322, Hoja2!A:A, Hoja2!A:A)</f>
        <v>#N/A</v>
      </c>
    </row>
    <row r="323" spans="1:36" ht="15.5" customHeight="1" x14ac:dyDescent="0.35">
      <c r="A323">
        <f t="shared" ca="1" si="56"/>
        <v>85</v>
      </c>
      <c r="B323" s="12" t="s">
        <v>1137</v>
      </c>
      <c r="C323" s="13">
        <v>45152</v>
      </c>
      <c r="D323" s="14" t="s">
        <v>121</v>
      </c>
      <c r="E323" s="14" t="s">
        <v>30</v>
      </c>
      <c r="F323" s="14" t="s">
        <v>508</v>
      </c>
      <c r="G323" s="14"/>
      <c r="H323" s="14">
        <v>69227220</v>
      </c>
      <c r="I323" s="14"/>
      <c r="J323" s="14" t="str">
        <f>IF(E323="KTG","KTG",(VLOOKUP(I323,'[1]list of outsource'!B:H,2,0)))</f>
        <v>KTG</v>
      </c>
      <c r="K323" s="14"/>
      <c r="L323" s="14"/>
      <c r="M323" s="14" t="s">
        <v>1138</v>
      </c>
      <c r="N323" s="14" t="s">
        <v>1139</v>
      </c>
      <c r="O323" s="14"/>
      <c r="P323" s="14"/>
      <c r="Q323" s="15"/>
      <c r="R323" s="14"/>
      <c r="S323" s="16"/>
      <c r="T323" s="14"/>
      <c r="U323" s="14">
        <v>4</v>
      </c>
      <c r="V323" s="14"/>
      <c r="W323" s="14" t="s">
        <v>154</v>
      </c>
      <c r="X323" s="13">
        <v>45237</v>
      </c>
      <c r="Y323" s="13"/>
      <c r="AB323" t="e">
        <v>#N/A</v>
      </c>
      <c r="AC323"/>
      <c r="AE323" t="str">
        <f t="shared" ref="AE323:AE386" si="57">LEFT(M323, FIND(" ", M323 &amp; " ") - 1)</f>
        <v>E62401</v>
      </c>
      <c r="AF323" t="str">
        <f>_xlfn.XLOOKUP(AE323, Hoja2!A:A, Hoja2!A:A)</f>
        <v>E62401</v>
      </c>
      <c r="AG323" t="str">
        <f t="shared" ref="AG323:AG339" si="58">LEFT(B323, FIND(" ", B323 &amp; " ") - 1)</f>
        <v>PP00026-14</v>
      </c>
      <c r="AH323">
        <f>_xlfn.XLOOKUP(AG323, Hoja3!A:A, Hoja3!B:B)</f>
        <v>5618</v>
      </c>
      <c r="AI323">
        <f>_xlfn.XLOOKUP(AH323, Hoja4!A:A, Hoja4!B:B)</f>
        <v>69227220</v>
      </c>
      <c r="AJ323" t="b">
        <f t="shared" ref="AJ323:AJ339" si="59">H323=AI323</f>
        <v>1</v>
      </c>
    </row>
    <row r="324" spans="1:36" ht="15.5" customHeight="1" x14ac:dyDescent="0.35">
      <c r="A324">
        <f t="shared" ca="1" si="56"/>
        <v>85</v>
      </c>
      <c r="B324" s="12" t="s">
        <v>1140</v>
      </c>
      <c r="C324" s="13">
        <v>45152</v>
      </c>
      <c r="D324" s="14" t="s">
        <v>121</v>
      </c>
      <c r="E324" s="14" t="s">
        <v>30</v>
      </c>
      <c r="F324" s="14" t="s">
        <v>508</v>
      </c>
      <c r="G324" s="14"/>
      <c r="H324" s="14">
        <v>69229870</v>
      </c>
      <c r="I324" s="14"/>
      <c r="J324" s="14" t="str">
        <f>IF(E324="KTG","KTG",(VLOOKUP(I324,'[1]list of outsource'!B:H,2,0)))</f>
        <v>KTG</v>
      </c>
      <c r="K324" s="14"/>
      <c r="L324" s="14"/>
      <c r="M324" s="14" t="s">
        <v>1141</v>
      </c>
      <c r="N324" s="14" t="s">
        <v>1142</v>
      </c>
      <c r="O324" s="14"/>
      <c r="P324" s="14"/>
      <c r="Q324" s="15"/>
      <c r="R324" s="14"/>
      <c r="S324" s="16"/>
      <c r="T324" s="14"/>
      <c r="U324" s="14">
        <v>4</v>
      </c>
      <c r="V324" s="14"/>
      <c r="W324" s="14" t="s">
        <v>154</v>
      </c>
      <c r="X324" s="13">
        <v>45237</v>
      </c>
      <c r="Y324" s="13"/>
      <c r="AB324" t="e">
        <v>#N/A</v>
      </c>
      <c r="AC324" t="e">
        <v>#N/A</v>
      </c>
      <c r="AE324" t="str">
        <f t="shared" si="57"/>
        <v>E62404</v>
      </c>
      <c r="AF324" t="str">
        <f>_xlfn.XLOOKUP(AE324, Hoja2!A:A, Hoja2!A:A)</f>
        <v>E62404</v>
      </c>
      <c r="AG324" t="str">
        <f t="shared" si="58"/>
        <v>PP00026-15</v>
      </c>
      <c r="AH324">
        <f>_xlfn.XLOOKUP(AG324, Hoja3!A:A, Hoja3!B:B)</f>
        <v>5620</v>
      </c>
      <c r="AI324">
        <f>_xlfn.XLOOKUP(AH324, Hoja4!A:A, Hoja4!B:B)</f>
        <v>69229870</v>
      </c>
      <c r="AJ324" t="b">
        <f t="shared" si="59"/>
        <v>1</v>
      </c>
    </row>
    <row r="325" spans="1:36" ht="15.5" customHeight="1" x14ac:dyDescent="0.35">
      <c r="A325">
        <f t="shared" ca="1" si="56"/>
        <v>85</v>
      </c>
      <c r="B325" s="12" t="s">
        <v>1143</v>
      </c>
      <c r="C325" s="13">
        <v>45152</v>
      </c>
      <c r="D325" s="14" t="s">
        <v>121</v>
      </c>
      <c r="E325" s="14" t="s">
        <v>30</v>
      </c>
      <c r="F325" s="14" t="s">
        <v>508</v>
      </c>
      <c r="G325" s="14"/>
      <c r="H325" s="14">
        <v>69229872</v>
      </c>
      <c r="I325" s="14"/>
      <c r="J325" s="14" t="str">
        <f>IF(E325="KTG","KTG",(VLOOKUP(I325,'[1]list of outsource'!B:H,2,0)))</f>
        <v>KTG</v>
      </c>
      <c r="K325" s="14"/>
      <c r="L325" s="14"/>
      <c r="M325" s="14" t="s">
        <v>1144</v>
      </c>
      <c r="N325" s="14" t="s">
        <v>1145</v>
      </c>
      <c r="O325" s="14"/>
      <c r="P325" s="14"/>
      <c r="Q325" s="15"/>
      <c r="R325" s="14"/>
      <c r="S325" s="16"/>
      <c r="T325" s="14"/>
      <c r="U325" s="14">
        <v>4</v>
      </c>
      <c r="V325" s="14"/>
      <c r="W325" s="14" t="s">
        <v>154</v>
      </c>
      <c r="X325" s="13">
        <v>45237</v>
      </c>
      <c r="Y325" s="13"/>
      <c r="AB325" t="e">
        <v>#N/A</v>
      </c>
      <c r="AC325" t="e">
        <v>#N/A</v>
      </c>
      <c r="AE325" t="str">
        <f t="shared" si="57"/>
        <v>E62406</v>
      </c>
      <c r="AF325" t="str">
        <f>_xlfn.XLOOKUP(AE325, Hoja2!A:A, Hoja2!A:A)</f>
        <v>E62406</v>
      </c>
      <c r="AG325" t="str">
        <f t="shared" si="58"/>
        <v>PP00026-16</v>
      </c>
      <c r="AH325">
        <f>_xlfn.XLOOKUP(AG325, Hoja3!A:A, Hoja3!B:B)</f>
        <v>5621</v>
      </c>
      <c r="AI325">
        <f>_xlfn.XLOOKUP(AH325, Hoja4!A:A, Hoja4!B:B)</f>
        <v>69229872</v>
      </c>
      <c r="AJ325" t="b">
        <f t="shared" si="59"/>
        <v>1</v>
      </c>
    </row>
    <row r="326" spans="1:36" ht="15.5" customHeight="1" x14ac:dyDescent="0.35">
      <c r="A326">
        <f t="shared" ca="1" si="56"/>
        <v>85</v>
      </c>
      <c r="B326" s="12" t="s">
        <v>1146</v>
      </c>
      <c r="C326" s="13">
        <v>45152</v>
      </c>
      <c r="D326" s="14" t="s">
        <v>121</v>
      </c>
      <c r="E326" s="14" t="s">
        <v>30</v>
      </c>
      <c r="F326" s="14" t="s">
        <v>508</v>
      </c>
      <c r="G326" s="14"/>
      <c r="H326" s="14">
        <v>69320365</v>
      </c>
      <c r="I326" s="14"/>
      <c r="J326" s="14" t="str">
        <f>IF(E326="KTG","KTG",(VLOOKUP(I326,'[1]list of outsource'!B:H,2,0)))</f>
        <v>KTG</v>
      </c>
      <c r="K326" s="14"/>
      <c r="L326" s="14"/>
      <c r="M326" s="14" t="s">
        <v>1147</v>
      </c>
      <c r="N326" s="14" t="s">
        <v>1148</v>
      </c>
      <c r="O326" s="14"/>
      <c r="P326" s="14"/>
      <c r="Q326" s="15"/>
      <c r="R326" s="14"/>
      <c r="S326" s="16"/>
      <c r="T326" s="14"/>
      <c r="U326" s="14">
        <v>4</v>
      </c>
      <c r="V326" s="14"/>
      <c r="W326" s="14" t="s">
        <v>154</v>
      </c>
      <c r="X326" s="13">
        <v>45237</v>
      </c>
      <c r="Y326" s="13"/>
      <c r="AB326" t="e">
        <v>#N/A</v>
      </c>
      <c r="AC326" t="e">
        <v>#N/A</v>
      </c>
      <c r="AE326" t="str">
        <f t="shared" si="57"/>
        <v>E62407</v>
      </c>
      <c r="AF326" t="str">
        <f>_xlfn.XLOOKUP(AE326, Hoja2!A:A, Hoja2!A:A)</f>
        <v>E62407</v>
      </c>
      <c r="AG326" t="str">
        <f t="shared" si="58"/>
        <v>PP00026-17</v>
      </c>
      <c r="AH326">
        <f>_xlfn.XLOOKUP(AG326, Hoja3!A:A, Hoja3!B:B)</f>
        <v>5622</v>
      </c>
      <c r="AI326">
        <f>_xlfn.XLOOKUP(AH326, Hoja4!A:A, Hoja4!B:B)</f>
        <v>69320365</v>
      </c>
      <c r="AJ326" t="b">
        <f t="shared" si="59"/>
        <v>1</v>
      </c>
    </row>
    <row r="327" spans="1:36" ht="15.5" customHeight="1" x14ac:dyDescent="0.35">
      <c r="A327">
        <f t="shared" ca="1" si="56"/>
        <v>85</v>
      </c>
      <c r="B327" s="12" t="s">
        <v>1149</v>
      </c>
      <c r="C327" s="13">
        <v>45152</v>
      </c>
      <c r="D327" s="14" t="s">
        <v>121</v>
      </c>
      <c r="E327" s="14" t="s">
        <v>30</v>
      </c>
      <c r="F327" s="14" t="s">
        <v>508</v>
      </c>
      <c r="G327" s="14"/>
      <c r="H327" s="14">
        <v>69229871</v>
      </c>
      <c r="I327" s="14"/>
      <c r="J327" s="14" t="str">
        <f>IF(E327="KTG","KTG",(VLOOKUP(I327,'[1]list of outsource'!B:H,2,0)))</f>
        <v>KTG</v>
      </c>
      <c r="K327" s="14"/>
      <c r="L327" s="14"/>
      <c r="M327" s="14" t="s">
        <v>1150</v>
      </c>
      <c r="N327" s="14" t="s">
        <v>1151</v>
      </c>
      <c r="O327" s="14"/>
      <c r="P327" s="14"/>
      <c r="Q327" s="15"/>
      <c r="R327" s="14"/>
      <c r="S327" s="16"/>
      <c r="T327" s="14"/>
      <c r="U327" s="14">
        <v>4</v>
      </c>
      <c r="V327" s="14"/>
      <c r="W327" s="14" t="s">
        <v>154</v>
      </c>
      <c r="X327" s="13">
        <v>45237</v>
      </c>
      <c r="Y327" s="13"/>
      <c r="AB327" t="e">
        <v>#N/A</v>
      </c>
      <c r="AC327" t="e">
        <v>#N/A</v>
      </c>
      <c r="AE327" t="str">
        <f t="shared" si="57"/>
        <v>E62405</v>
      </c>
      <c r="AF327" t="str">
        <f>_xlfn.XLOOKUP(AE327, Hoja2!A:A, Hoja2!A:A)</f>
        <v>E62405</v>
      </c>
      <c r="AG327" t="str">
        <f t="shared" si="58"/>
        <v>PP00026-18</v>
      </c>
      <c r="AH327">
        <f>_xlfn.XLOOKUP(AG327, Hoja3!A:A, Hoja3!B:B)</f>
        <v>5623</v>
      </c>
      <c r="AI327">
        <f>_xlfn.XLOOKUP(AH327, Hoja4!A:A, Hoja4!B:B)</f>
        <v>69229871</v>
      </c>
      <c r="AJ327" t="b">
        <f t="shared" si="59"/>
        <v>1</v>
      </c>
    </row>
    <row r="328" spans="1:36" ht="15.5" customHeight="1" x14ac:dyDescent="0.35">
      <c r="A328">
        <f t="shared" ca="1" si="56"/>
        <v>85</v>
      </c>
      <c r="B328" s="12" t="s">
        <v>1152</v>
      </c>
      <c r="C328" s="13">
        <v>45152</v>
      </c>
      <c r="D328" s="14" t="s">
        <v>121</v>
      </c>
      <c r="E328" s="14" t="s">
        <v>30</v>
      </c>
      <c r="F328" s="14" t="s">
        <v>508</v>
      </c>
      <c r="G328" s="14"/>
      <c r="H328" s="14">
        <v>69320538</v>
      </c>
      <c r="I328" s="14"/>
      <c r="J328" s="14" t="str">
        <f>IF(E328="KTG","KTG",(VLOOKUP(I328,'[1]list of outsource'!B:H,2,0)))</f>
        <v>KTG</v>
      </c>
      <c r="K328" s="14"/>
      <c r="L328" s="14"/>
      <c r="M328" s="14" t="s">
        <v>1153</v>
      </c>
      <c r="N328" s="14" t="s">
        <v>1154</v>
      </c>
      <c r="O328" s="14"/>
      <c r="P328" s="14"/>
      <c r="Q328" s="15"/>
      <c r="R328" s="14"/>
      <c r="S328" s="16"/>
      <c r="T328" s="14"/>
      <c r="U328" s="14">
        <v>4</v>
      </c>
      <c r="V328" s="14"/>
      <c r="W328" s="14" t="s">
        <v>154</v>
      </c>
      <c r="X328" s="13">
        <v>45237</v>
      </c>
      <c r="Y328" s="13"/>
      <c r="AB328" t="e">
        <v>#N/A</v>
      </c>
      <c r="AC328" t="e">
        <v>#N/A</v>
      </c>
      <c r="AE328" t="str">
        <f t="shared" si="57"/>
        <v>E62410</v>
      </c>
      <c r="AF328" t="str">
        <f>_xlfn.XLOOKUP(AE328, Hoja2!A:A, Hoja2!A:A)</f>
        <v>E62410</v>
      </c>
      <c r="AG328" t="str">
        <f t="shared" si="58"/>
        <v>PP00026-19</v>
      </c>
      <c r="AH328">
        <f>_xlfn.XLOOKUP(AG328, Hoja3!A:A, Hoja3!B:B)</f>
        <v>5624</v>
      </c>
      <c r="AI328">
        <f>_xlfn.XLOOKUP(AH328, Hoja4!A:A, Hoja4!B:B)</f>
        <v>69320538</v>
      </c>
      <c r="AJ328" t="b">
        <f t="shared" si="59"/>
        <v>1</v>
      </c>
    </row>
    <row r="329" spans="1:36" ht="15.5" customHeight="1" x14ac:dyDescent="0.35">
      <c r="A329">
        <f t="shared" ca="1" si="56"/>
        <v>85</v>
      </c>
      <c r="B329" s="12" t="s">
        <v>1155</v>
      </c>
      <c r="C329" s="13">
        <v>45152</v>
      </c>
      <c r="D329" s="14" t="s">
        <v>121</v>
      </c>
      <c r="E329" s="14" t="s">
        <v>30</v>
      </c>
      <c r="F329" s="14" t="s">
        <v>508</v>
      </c>
      <c r="G329" s="14"/>
      <c r="H329" s="14">
        <v>69320539</v>
      </c>
      <c r="I329" s="14"/>
      <c r="J329" s="14" t="str">
        <f>IF(E329="KTG","KTG",(VLOOKUP(I329,'[1]list of outsource'!B:H,2,0)))</f>
        <v>KTG</v>
      </c>
      <c r="K329" s="14"/>
      <c r="L329" s="14"/>
      <c r="M329" s="14" t="s">
        <v>1156</v>
      </c>
      <c r="N329" s="14" t="s">
        <v>1157</v>
      </c>
      <c r="O329" s="14"/>
      <c r="P329" s="14"/>
      <c r="Q329" s="15"/>
      <c r="R329" s="14"/>
      <c r="S329" s="16"/>
      <c r="T329" s="14"/>
      <c r="U329" s="14">
        <v>4</v>
      </c>
      <c r="V329" s="14"/>
      <c r="W329" s="14" t="s">
        <v>154</v>
      </c>
      <c r="X329" s="13">
        <v>45237</v>
      </c>
      <c r="Y329" s="13"/>
      <c r="AB329" t="e">
        <v>#N/A</v>
      </c>
      <c r="AC329" t="e">
        <v>#N/A</v>
      </c>
      <c r="AE329" t="str">
        <f t="shared" si="57"/>
        <v>E62411</v>
      </c>
      <c r="AF329" t="str">
        <f>_xlfn.XLOOKUP(AE329, Hoja2!A:A, Hoja2!A:A)</f>
        <v>E62411</v>
      </c>
      <c r="AG329" t="str">
        <f t="shared" si="58"/>
        <v>PP00026-20</v>
      </c>
      <c r="AH329">
        <f>_xlfn.XLOOKUP(AG329, Hoja3!A:A, Hoja3!B:B)</f>
        <v>5625</v>
      </c>
      <c r="AI329">
        <f>_xlfn.XLOOKUP(AH329, Hoja4!A:A, Hoja4!B:B)</f>
        <v>69320539</v>
      </c>
      <c r="AJ329" t="b">
        <f t="shared" si="59"/>
        <v>1</v>
      </c>
    </row>
    <row r="330" spans="1:36" ht="15.5" customHeight="1" x14ac:dyDescent="0.35">
      <c r="A330">
        <f t="shared" ca="1" si="56"/>
        <v>85</v>
      </c>
      <c r="B330" s="12" t="s">
        <v>1158</v>
      </c>
      <c r="C330" s="13">
        <v>45152</v>
      </c>
      <c r="D330" s="14" t="s">
        <v>121</v>
      </c>
      <c r="E330" s="14" t="s">
        <v>30</v>
      </c>
      <c r="F330" s="14" t="s">
        <v>508</v>
      </c>
      <c r="G330" s="14"/>
      <c r="H330" s="14">
        <v>69320540</v>
      </c>
      <c r="I330" s="14"/>
      <c r="J330" s="14" t="str">
        <f>IF(E330="KTG","KTG",(VLOOKUP(I330,'[1]list of outsource'!B:H,2,0)))</f>
        <v>KTG</v>
      </c>
      <c r="K330" s="14"/>
      <c r="L330" s="14"/>
      <c r="M330" s="14" t="s">
        <v>1159</v>
      </c>
      <c r="N330" s="14" t="s">
        <v>1160</v>
      </c>
      <c r="O330" s="14"/>
      <c r="P330" s="14"/>
      <c r="Q330" s="15"/>
      <c r="R330" s="14"/>
      <c r="S330" s="16"/>
      <c r="T330" s="14"/>
      <c r="U330" s="14">
        <v>4</v>
      </c>
      <c r="V330" s="14"/>
      <c r="W330" s="14" t="s">
        <v>154</v>
      </c>
      <c r="X330" s="13">
        <v>45237</v>
      </c>
      <c r="Y330" s="13"/>
      <c r="AB330" t="e">
        <v>#N/A</v>
      </c>
      <c r="AC330" t="e">
        <v>#N/A</v>
      </c>
      <c r="AE330" t="str">
        <f t="shared" si="57"/>
        <v>E62408</v>
      </c>
      <c r="AF330" t="str">
        <f>_xlfn.XLOOKUP(AE330, Hoja2!A:A, Hoja2!A:A)</f>
        <v>E62408</v>
      </c>
      <c r="AG330" t="str">
        <f t="shared" si="58"/>
        <v>PP00026-21</v>
      </c>
      <c r="AH330">
        <f>_xlfn.XLOOKUP(AG330, Hoja3!A:A, Hoja3!B:B)</f>
        <v>5626</v>
      </c>
      <c r="AI330">
        <f>_xlfn.XLOOKUP(AH330, Hoja4!A:A, Hoja4!B:B)</f>
        <v>69320540</v>
      </c>
      <c r="AJ330" t="b">
        <f t="shared" si="59"/>
        <v>1</v>
      </c>
    </row>
    <row r="331" spans="1:36" ht="15.5" customHeight="1" x14ac:dyDescent="0.35">
      <c r="A331">
        <f t="shared" ca="1" si="56"/>
        <v>85</v>
      </c>
      <c r="B331" s="12" t="s">
        <v>1161</v>
      </c>
      <c r="C331" s="13">
        <v>45152</v>
      </c>
      <c r="D331" s="14" t="s">
        <v>121</v>
      </c>
      <c r="E331" s="14" t="s">
        <v>30</v>
      </c>
      <c r="F331" s="14" t="s">
        <v>508</v>
      </c>
      <c r="G331" s="14"/>
      <c r="H331" s="14">
        <v>69320541</v>
      </c>
      <c r="I331" s="14"/>
      <c r="J331" s="14" t="str">
        <f>IF(E331="KTG","KTG",(VLOOKUP(I331,'[1]list of outsource'!B:H,2,0)))</f>
        <v>KTG</v>
      </c>
      <c r="K331" s="14"/>
      <c r="L331" s="14"/>
      <c r="M331" s="14" t="s">
        <v>1162</v>
      </c>
      <c r="N331" s="14" t="s">
        <v>1163</v>
      </c>
      <c r="O331" s="14"/>
      <c r="P331" s="14"/>
      <c r="Q331" s="15"/>
      <c r="R331" s="14"/>
      <c r="S331" s="16"/>
      <c r="T331" s="14"/>
      <c r="U331" s="14">
        <v>4</v>
      </c>
      <c r="V331" s="14"/>
      <c r="W331" s="14" t="s">
        <v>154</v>
      </c>
      <c r="X331" s="13">
        <v>45237</v>
      </c>
      <c r="Y331" s="13"/>
      <c r="AB331" t="e">
        <v>#N/A</v>
      </c>
      <c r="AC331" t="e">
        <v>#N/A</v>
      </c>
      <c r="AE331" t="str">
        <f t="shared" si="57"/>
        <v>E62412</v>
      </c>
      <c r="AF331" t="str">
        <f>_xlfn.XLOOKUP(AE331, Hoja2!A:A, Hoja2!A:A)</f>
        <v>E62412</v>
      </c>
      <c r="AG331" t="str">
        <f t="shared" si="58"/>
        <v>PP00026-22</v>
      </c>
      <c r="AH331">
        <f>_xlfn.XLOOKUP(AG331, Hoja3!A:A, Hoja3!B:B)</f>
        <v>5627</v>
      </c>
      <c r="AI331">
        <f>_xlfn.XLOOKUP(AH331, Hoja4!A:A, Hoja4!B:B)</f>
        <v>69320541</v>
      </c>
      <c r="AJ331" t="b">
        <f t="shared" si="59"/>
        <v>1</v>
      </c>
    </row>
    <row r="332" spans="1:36" ht="15.5" customHeight="1" x14ac:dyDescent="0.35">
      <c r="A332">
        <f t="shared" ca="1" si="56"/>
        <v>85</v>
      </c>
      <c r="B332" s="12" t="s">
        <v>1164</v>
      </c>
      <c r="C332" s="13">
        <v>45152</v>
      </c>
      <c r="D332" s="14" t="s">
        <v>121</v>
      </c>
      <c r="E332" s="14" t="s">
        <v>30</v>
      </c>
      <c r="F332" s="14" t="s">
        <v>508</v>
      </c>
      <c r="G332" s="14"/>
      <c r="H332" s="14">
        <v>69320542</v>
      </c>
      <c r="I332" s="14"/>
      <c r="J332" s="14" t="str">
        <f>IF(E332="KTG","KTG",(VLOOKUP(I332,'[1]list of outsource'!B:H,2,0)))</f>
        <v>KTG</v>
      </c>
      <c r="K332" s="14"/>
      <c r="L332" s="14"/>
      <c r="M332" s="14" t="s">
        <v>1165</v>
      </c>
      <c r="N332" s="14" t="s">
        <v>1166</v>
      </c>
      <c r="O332" s="14"/>
      <c r="P332" s="14"/>
      <c r="Q332" s="15"/>
      <c r="R332" s="14"/>
      <c r="S332" s="16"/>
      <c r="T332" s="14"/>
      <c r="U332" s="14">
        <v>4</v>
      </c>
      <c r="V332" s="14"/>
      <c r="W332" s="14" t="s">
        <v>154</v>
      </c>
      <c r="X332" s="13">
        <v>45237</v>
      </c>
      <c r="Y332" s="13"/>
      <c r="AB332" t="e">
        <v>#N/A</v>
      </c>
      <c r="AC332" t="e">
        <v>#N/A</v>
      </c>
      <c r="AE332" t="str">
        <f t="shared" si="57"/>
        <v>E62409</v>
      </c>
      <c r="AF332" t="str">
        <f>_xlfn.XLOOKUP(AE332, Hoja2!A:A, Hoja2!A:A)</f>
        <v>E62409</v>
      </c>
      <c r="AG332" t="str">
        <f t="shared" si="58"/>
        <v>PP00026-23</v>
      </c>
      <c r="AH332">
        <f>_xlfn.XLOOKUP(AG332, Hoja3!A:A, Hoja3!B:B)</f>
        <v>5628</v>
      </c>
      <c r="AI332">
        <f>_xlfn.XLOOKUP(AH332, Hoja4!A:A, Hoja4!B:B)</f>
        <v>69320542</v>
      </c>
      <c r="AJ332" t="b">
        <f t="shared" si="59"/>
        <v>1</v>
      </c>
    </row>
    <row r="333" spans="1:36" ht="15.5" customHeight="1" x14ac:dyDescent="0.35">
      <c r="A333">
        <f t="shared" ca="1" si="56"/>
        <v>85</v>
      </c>
      <c r="B333" s="12" t="s">
        <v>1167</v>
      </c>
      <c r="C333" s="13">
        <v>45152</v>
      </c>
      <c r="D333" s="14" t="s">
        <v>121</v>
      </c>
      <c r="E333" s="14" t="s">
        <v>30</v>
      </c>
      <c r="F333" s="14" t="s">
        <v>508</v>
      </c>
      <c r="G333" s="14"/>
      <c r="H333" s="14">
        <v>69320543</v>
      </c>
      <c r="I333" s="14"/>
      <c r="J333" s="14" t="str">
        <f>IF(E333="KTG","KTG",(VLOOKUP(I333,'[1]list of outsource'!B:H,2,0)))</f>
        <v>KTG</v>
      </c>
      <c r="K333" s="14"/>
      <c r="L333" s="14"/>
      <c r="M333" s="14" t="s">
        <v>1168</v>
      </c>
      <c r="N333" s="14" t="s">
        <v>1169</v>
      </c>
      <c r="O333" s="14"/>
      <c r="P333" s="14"/>
      <c r="Q333" s="15"/>
      <c r="R333" s="14"/>
      <c r="S333" s="16"/>
      <c r="T333" s="14"/>
      <c r="U333" s="14">
        <v>4</v>
      </c>
      <c r="V333" s="14"/>
      <c r="W333" s="14" t="s">
        <v>154</v>
      </c>
      <c r="X333" s="13">
        <v>45237</v>
      </c>
      <c r="Y333" s="13"/>
      <c r="AB333" t="e">
        <v>#N/A</v>
      </c>
      <c r="AC333" t="e">
        <v>#N/A</v>
      </c>
      <c r="AE333" t="str">
        <f t="shared" si="57"/>
        <v>E62413</v>
      </c>
      <c r="AF333" t="str">
        <f>_xlfn.XLOOKUP(AE333, Hoja2!A:A, Hoja2!A:A)</f>
        <v>E62413</v>
      </c>
      <c r="AG333" t="str">
        <f t="shared" si="58"/>
        <v>PP00026-24</v>
      </c>
      <c r="AH333">
        <f>_xlfn.XLOOKUP(AG333, Hoja3!A:A, Hoja3!B:B)</f>
        <v>5629</v>
      </c>
      <c r="AI333">
        <f>_xlfn.XLOOKUP(AH333, Hoja4!A:A, Hoja4!B:B)</f>
        <v>69320543</v>
      </c>
      <c r="AJ333" t="b">
        <f t="shared" si="59"/>
        <v>1</v>
      </c>
    </row>
    <row r="334" spans="1:36" ht="15.5" customHeight="1" x14ac:dyDescent="0.35">
      <c r="A334">
        <f t="shared" ca="1" si="56"/>
        <v>85</v>
      </c>
      <c r="B334" s="12" t="s">
        <v>1170</v>
      </c>
      <c r="C334" s="13">
        <v>45152</v>
      </c>
      <c r="D334" s="14" t="s">
        <v>121</v>
      </c>
      <c r="E334" s="14" t="s">
        <v>30</v>
      </c>
      <c r="F334" s="14" t="s">
        <v>508</v>
      </c>
      <c r="G334" s="14"/>
      <c r="H334" s="14">
        <v>69320544</v>
      </c>
      <c r="I334" s="14"/>
      <c r="J334" s="14" t="str">
        <f>IF(E334="KTG","KTG",(VLOOKUP(I334,'[1]list of outsource'!B:H,2,0)))</f>
        <v>KTG</v>
      </c>
      <c r="K334" s="14"/>
      <c r="L334" s="14"/>
      <c r="M334" s="14" t="s">
        <v>1171</v>
      </c>
      <c r="N334" s="14" t="s">
        <v>1172</v>
      </c>
      <c r="O334" s="14"/>
      <c r="P334" s="14"/>
      <c r="Q334" s="15"/>
      <c r="R334" s="14"/>
      <c r="S334" s="16"/>
      <c r="T334" s="14"/>
      <c r="U334" s="14">
        <v>4</v>
      </c>
      <c r="V334" s="14"/>
      <c r="W334" s="14" t="s">
        <v>154</v>
      </c>
      <c r="X334" s="13">
        <v>45237</v>
      </c>
      <c r="Y334" s="13"/>
      <c r="AB334" t="e">
        <v>#N/A</v>
      </c>
      <c r="AC334" t="e">
        <v>#N/A</v>
      </c>
      <c r="AE334" t="str">
        <f t="shared" si="57"/>
        <v>E62414</v>
      </c>
      <c r="AF334" t="str">
        <f>_xlfn.XLOOKUP(AE334, Hoja2!A:A, Hoja2!A:A)</f>
        <v>E62414</v>
      </c>
      <c r="AG334" t="str">
        <f t="shared" si="58"/>
        <v>PP00026-25</v>
      </c>
      <c r="AH334">
        <f>_xlfn.XLOOKUP(AG334, Hoja3!A:A, Hoja3!B:B)</f>
        <v>5630</v>
      </c>
      <c r="AI334">
        <f>_xlfn.XLOOKUP(AH334, Hoja4!A:A, Hoja4!B:B)</f>
        <v>69320544</v>
      </c>
      <c r="AJ334" t="b">
        <f t="shared" si="59"/>
        <v>1</v>
      </c>
    </row>
    <row r="335" spans="1:36" ht="15.5" customHeight="1" x14ac:dyDescent="0.35">
      <c r="A335">
        <f t="shared" ca="1" si="56"/>
        <v>85</v>
      </c>
      <c r="B335" s="12" t="s">
        <v>1173</v>
      </c>
      <c r="C335" s="13">
        <v>45152</v>
      </c>
      <c r="D335" s="14" t="s">
        <v>121</v>
      </c>
      <c r="E335" s="14" t="s">
        <v>30</v>
      </c>
      <c r="F335" s="14" t="s">
        <v>508</v>
      </c>
      <c r="G335" s="14"/>
      <c r="H335" s="14">
        <v>69320545</v>
      </c>
      <c r="I335" s="14"/>
      <c r="J335" s="14" t="str">
        <f>IF(E335="KTG","KTG",(VLOOKUP(I335,'[1]list of outsource'!B:H,2,0)))</f>
        <v>KTG</v>
      </c>
      <c r="K335" s="14"/>
      <c r="L335" s="14"/>
      <c r="M335" s="14" t="s">
        <v>1174</v>
      </c>
      <c r="N335" s="14" t="s">
        <v>1175</v>
      </c>
      <c r="O335" s="14"/>
      <c r="P335" s="14"/>
      <c r="Q335" s="15"/>
      <c r="R335" s="14"/>
      <c r="S335" s="16"/>
      <c r="T335" s="14"/>
      <c r="U335" s="14">
        <v>4</v>
      </c>
      <c r="V335" s="14"/>
      <c r="W335" s="14" t="s">
        <v>154</v>
      </c>
      <c r="X335" s="13">
        <v>45237</v>
      </c>
      <c r="Y335" s="13"/>
      <c r="AB335" t="e">
        <v>#N/A</v>
      </c>
      <c r="AC335" t="e">
        <v>#N/A</v>
      </c>
      <c r="AE335" t="str">
        <f t="shared" si="57"/>
        <v>E62415</v>
      </c>
      <c r="AF335" t="str">
        <f>_xlfn.XLOOKUP(AE335, Hoja2!A:A, Hoja2!A:A)</f>
        <v>E62415</v>
      </c>
      <c r="AG335" t="str">
        <f t="shared" si="58"/>
        <v>PP00026-26</v>
      </c>
      <c r="AH335">
        <f>_xlfn.XLOOKUP(AG335, Hoja3!A:A, Hoja3!B:B)</f>
        <v>5631</v>
      </c>
      <c r="AI335">
        <f>_xlfn.XLOOKUP(AH335, Hoja4!A:A, Hoja4!B:B)</f>
        <v>69320545</v>
      </c>
      <c r="AJ335" t="b">
        <f t="shared" si="59"/>
        <v>1</v>
      </c>
    </row>
    <row r="336" spans="1:36" ht="15.5" customHeight="1" x14ac:dyDescent="0.35">
      <c r="A336">
        <f t="shared" ca="1" si="56"/>
        <v>85</v>
      </c>
      <c r="B336" s="12" t="s">
        <v>1176</v>
      </c>
      <c r="C336" s="13">
        <v>45152</v>
      </c>
      <c r="D336" s="14" t="s">
        <v>121</v>
      </c>
      <c r="E336" s="14" t="s">
        <v>30</v>
      </c>
      <c r="F336" s="14" t="s">
        <v>508</v>
      </c>
      <c r="G336" s="14"/>
      <c r="H336" s="14">
        <v>69320546</v>
      </c>
      <c r="I336" s="14"/>
      <c r="J336" s="14" t="str">
        <f>IF(E336="KTG","KTG",(VLOOKUP(I336,'[1]list of outsource'!B:H,2,0)))</f>
        <v>KTG</v>
      </c>
      <c r="K336" s="14"/>
      <c r="L336" s="14"/>
      <c r="M336" s="14" t="s">
        <v>1177</v>
      </c>
      <c r="N336" s="14" t="s">
        <v>1178</v>
      </c>
      <c r="O336" s="14"/>
      <c r="P336" s="14"/>
      <c r="Q336" s="15"/>
      <c r="R336" s="14"/>
      <c r="S336" s="16"/>
      <c r="T336" s="14"/>
      <c r="U336" s="14">
        <v>4</v>
      </c>
      <c r="V336" s="14"/>
      <c r="W336" s="14" t="s">
        <v>154</v>
      </c>
      <c r="X336" s="13">
        <v>45237</v>
      </c>
      <c r="Y336" s="13"/>
      <c r="AB336" t="e">
        <v>#N/A</v>
      </c>
      <c r="AC336" t="e">
        <v>#N/A</v>
      </c>
      <c r="AE336" t="str">
        <f t="shared" si="57"/>
        <v>E62416</v>
      </c>
      <c r="AF336" t="str">
        <f>_xlfn.XLOOKUP(AE336, Hoja2!A:A, Hoja2!A:A)</f>
        <v>E62416</v>
      </c>
      <c r="AG336" t="str">
        <f t="shared" si="58"/>
        <v>PP00026-27</v>
      </c>
      <c r="AH336">
        <f>_xlfn.XLOOKUP(AG336, Hoja3!A:A, Hoja3!B:B)</f>
        <v>5632</v>
      </c>
      <c r="AI336">
        <f>_xlfn.XLOOKUP(AH336, Hoja4!A:A, Hoja4!B:B)</f>
        <v>69320546</v>
      </c>
      <c r="AJ336" t="b">
        <f t="shared" si="59"/>
        <v>1</v>
      </c>
    </row>
    <row r="337" spans="1:36" ht="15.5" customHeight="1" x14ac:dyDescent="0.35">
      <c r="A337">
        <f t="shared" ca="1" si="56"/>
        <v>27</v>
      </c>
      <c r="B337" s="6" t="s">
        <v>1106</v>
      </c>
      <c r="C337" s="7">
        <v>45351</v>
      </c>
      <c r="D337" s="6" t="s">
        <v>912</v>
      </c>
      <c r="E337" s="6" t="s">
        <v>83</v>
      </c>
      <c r="F337" s="6" t="s">
        <v>84</v>
      </c>
      <c r="G337" s="6" t="s">
        <v>156</v>
      </c>
      <c r="H337" s="6" t="s">
        <v>1107</v>
      </c>
      <c r="I337" s="6" t="s">
        <v>176</v>
      </c>
      <c r="J337" s="6" t="str">
        <f>IF(E337="KTG","KTG",(VLOOKUP(I337,'[1]list of outsource'!B:H,2,0)))</f>
        <v>UPM</v>
      </c>
      <c r="K337" s="6" t="s">
        <v>177</v>
      </c>
      <c r="L337" s="6">
        <v>12</v>
      </c>
      <c r="M337" s="6" t="s">
        <v>1108</v>
      </c>
      <c r="N337" s="6" t="s">
        <v>1109</v>
      </c>
      <c r="O337" s="6">
        <v>1205276080</v>
      </c>
      <c r="P337" s="6"/>
      <c r="Q337" s="8">
        <v>45000</v>
      </c>
      <c r="R337" s="6"/>
      <c r="S337" s="6"/>
      <c r="T337" s="6"/>
      <c r="U337" s="6">
        <v>1</v>
      </c>
      <c r="V337" s="6" t="s">
        <v>569</v>
      </c>
      <c r="W337" s="6" t="s">
        <v>154</v>
      </c>
      <c r="X337" s="7">
        <v>45378</v>
      </c>
      <c r="Y337" s="7">
        <v>45513</v>
      </c>
      <c r="AB337" t="e">
        <v>#N/A</v>
      </c>
      <c r="AC337" t="e">
        <v>#N/A</v>
      </c>
      <c r="AE337" t="str">
        <f t="shared" si="57"/>
        <v>P000152</v>
      </c>
      <c r="AF337" t="str">
        <f>_xlfn.XLOOKUP(AE337, Hoja2!A:A, Hoja2!A:A)</f>
        <v>P000152</v>
      </c>
      <c r="AG337" t="str">
        <f t="shared" si="58"/>
        <v>PP00028-04</v>
      </c>
      <c r="AH337">
        <f>_xlfn.XLOOKUP(AG337, Hoja3!A:A, Hoja3!B:B)</f>
        <v>5309</v>
      </c>
      <c r="AI337" t="str">
        <f>_xlfn.XLOOKUP(AH337, Hoja4!A:A, Hoja4!B:B)</f>
        <v>E35082000</v>
      </c>
      <c r="AJ337" t="b">
        <f t="shared" si="59"/>
        <v>1</v>
      </c>
    </row>
    <row r="338" spans="1:36" ht="15.5" customHeight="1" x14ac:dyDescent="0.35">
      <c r="A338">
        <f t="shared" ca="1" si="56"/>
        <v>20</v>
      </c>
      <c r="B338" s="17" t="s">
        <v>1106</v>
      </c>
      <c r="C338" s="7">
        <v>45847</v>
      </c>
      <c r="D338" s="6" t="s">
        <v>564</v>
      </c>
      <c r="E338" s="6" t="s">
        <v>83</v>
      </c>
      <c r="F338" s="6" t="s">
        <v>84</v>
      </c>
      <c r="G338" s="6" t="s">
        <v>156</v>
      </c>
      <c r="H338" s="6" t="s">
        <v>1107</v>
      </c>
      <c r="I338" s="6" t="s">
        <v>176</v>
      </c>
      <c r="J338" s="6" t="str">
        <f>IF(E338="KTG","KTG",(VLOOKUP(I338,'[1]list of outsource'!B:H,2,0)))</f>
        <v>UPM</v>
      </c>
      <c r="K338" s="6" t="s">
        <v>177</v>
      </c>
      <c r="L338" s="24">
        <v>14</v>
      </c>
      <c r="M338" s="6" t="s">
        <v>1108</v>
      </c>
      <c r="N338" s="6" t="s">
        <v>1109</v>
      </c>
      <c r="O338" s="6" t="s">
        <v>1179</v>
      </c>
      <c r="P338" s="6"/>
      <c r="Q338" s="8">
        <v>45000</v>
      </c>
      <c r="R338" s="6"/>
      <c r="S338" s="18"/>
      <c r="T338" s="6"/>
      <c r="U338" s="6">
        <v>1</v>
      </c>
      <c r="V338" s="6" t="s">
        <v>569</v>
      </c>
      <c r="W338" s="6" t="s">
        <v>154</v>
      </c>
      <c r="X338" s="7">
        <v>45867</v>
      </c>
      <c r="Y338" s="7">
        <v>45959</v>
      </c>
      <c r="AB338" t="e">
        <v>#N/A</v>
      </c>
      <c r="AC338" t="e">
        <v>#N/A</v>
      </c>
      <c r="AE338" t="str">
        <f t="shared" si="57"/>
        <v>P000152</v>
      </c>
      <c r="AF338" t="str">
        <f>_xlfn.XLOOKUP(AE338, Hoja2!A:A, Hoja2!A:A)</f>
        <v>P000152</v>
      </c>
      <c r="AG338" t="str">
        <f t="shared" si="58"/>
        <v>PP00028-04</v>
      </c>
      <c r="AH338">
        <f>_xlfn.XLOOKUP(AG338, Hoja3!A:A, Hoja3!B:B)</f>
        <v>5309</v>
      </c>
      <c r="AI338" t="str">
        <f>_xlfn.XLOOKUP(AH338, Hoja4!A:A, Hoja4!B:B)</f>
        <v>E35082000</v>
      </c>
      <c r="AJ338" t="b">
        <f t="shared" si="59"/>
        <v>1</v>
      </c>
    </row>
    <row r="339" spans="1:36" ht="15.5" customHeight="1" x14ac:dyDescent="0.35">
      <c r="A339">
        <f t="shared" ca="1" si="56"/>
        <v>31</v>
      </c>
      <c r="B339" s="6" t="s">
        <v>1180</v>
      </c>
      <c r="C339" s="7">
        <v>45006</v>
      </c>
      <c r="D339" s="6" t="s">
        <v>507</v>
      </c>
      <c r="E339" s="6" t="s">
        <v>83</v>
      </c>
      <c r="F339" s="6" t="s">
        <v>84</v>
      </c>
      <c r="G339" s="6" t="s">
        <v>156</v>
      </c>
      <c r="H339" s="6" t="s">
        <v>1181</v>
      </c>
      <c r="I339" s="6" t="s">
        <v>198</v>
      </c>
      <c r="J339" s="6" t="str">
        <f>IF(E339="KTG","KTG",(VLOOKUP(I339,'[1]list of outsource'!B:H,2,0)))</f>
        <v>UPM</v>
      </c>
      <c r="K339" s="6" t="s">
        <v>199</v>
      </c>
      <c r="L339" s="6"/>
      <c r="M339" s="6" t="s">
        <v>1182</v>
      </c>
      <c r="N339" s="6" t="s">
        <v>1183</v>
      </c>
      <c r="O339" s="6">
        <v>1214724948</v>
      </c>
      <c r="P339" s="6"/>
      <c r="Q339" s="8"/>
      <c r="R339" s="6"/>
      <c r="S339" s="6"/>
      <c r="T339" s="6"/>
      <c r="U339" s="6">
        <v>2</v>
      </c>
      <c r="V339" s="6"/>
      <c r="W339" s="6" t="s">
        <v>37</v>
      </c>
      <c r="X339" s="7">
        <v>45037</v>
      </c>
      <c r="Y339" s="7">
        <v>45040</v>
      </c>
      <c r="AC339" t="e">
        <v>#N/A</v>
      </c>
      <c r="AE339" t="str">
        <f t="shared" si="57"/>
        <v>P000317</v>
      </c>
      <c r="AF339" t="str">
        <f>_xlfn.XLOOKUP(AE339, Hoja2!A:A, Hoja2!A:A)</f>
        <v>P000317</v>
      </c>
      <c r="AG339" t="str">
        <f t="shared" si="58"/>
        <v>PP00028-05</v>
      </c>
      <c r="AH339">
        <f>_xlfn.XLOOKUP(AG339, Hoja3!A:A, Hoja3!B:B)</f>
        <v>5312</v>
      </c>
      <c r="AI339" t="str">
        <f>_xlfn.XLOOKUP(AH339, Hoja4!A:A, Hoja4!B:B)</f>
        <v>E39278000</v>
      </c>
      <c r="AJ339" t="b">
        <f t="shared" si="59"/>
        <v>1</v>
      </c>
    </row>
    <row r="340" spans="1:36" ht="15.5" hidden="1" customHeight="1" x14ac:dyDescent="0.35">
      <c r="A340">
        <f t="shared" ca="1" si="56"/>
        <v>57</v>
      </c>
      <c r="B340" s="56" t="s">
        <v>1184</v>
      </c>
      <c r="C340" s="13">
        <v>45167</v>
      </c>
      <c r="D340" s="14" t="s">
        <v>121</v>
      </c>
      <c r="E340" s="14" t="s">
        <v>30</v>
      </c>
      <c r="F340" s="14" t="s">
        <v>148</v>
      </c>
      <c r="G340" s="14" t="s">
        <v>32</v>
      </c>
      <c r="H340" s="14" t="s">
        <v>1185</v>
      </c>
      <c r="I340" s="14"/>
      <c r="J340" s="14" t="str">
        <f>IF(E340="KTG","KTG",(VLOOKUP(I340,'[1]list of outsource'!B:H,2,0)))</f>
        <v>KTG</v>
      </c>
      <c r="K340" s="14"/>
      <c r="L340" s="14"/>
      <c r="M340" s="55"/>
      <c r="N340" s="14" t="s">
        <v>1185</v>
      </c>
      <c r="O340" s="14"/>
      <c r="P340" s="14"/>
      <c r="Q340" s="15"/>
      <c r="R340" s="14"/>
      <c r="S340" s="16"/>
      <c r="T340" s="14"/>
      <c r="U340" s="14">
        <v>4</v>
      </c>
      <c r="V340" s="14"/>
      <c r="W340" s="14" t="s">
        <v>37</v>
      </c>
      <c r="X340" s="13">
        <v>45224</v>
      </c>
      <c r="Y340" s="13"/>
      <c r="AB340" t="e">
        <v>#N/A</v>
      </c>
      <c r="AC340" t="e">
        <v>#N/A</v>
      </c>
      <c r="AE340" t="str">
        <f t="shared" si="57"/>
        <v/>
      </c>
      <c r="AF340" t="e">
        <f>_xlfn.XLOOKUP(AE340, Hoja2!A:A, Hoja2!A:A)</f>
        <v>#N/A</v>
      </c>
    </row>
    <row r="341" spans="1:36" ht="15.5" customHeight="1" x14ac:dyDescent="0.35">
      <c r="A341">
        <f t="shared" ca="1" si="56"/>
        <v>38</v>
      </c>
      <c r="B341" s="12" t="s">
        <v>1186</v>
      </c>
      <c r="C341" s="13">
        <v>45110</v>
      </c>
      <c r="D341" s="14" t="s">
        <v>121</v>
      </c>
      <c r="E341" s="14" t="s">
        <v>83</v>
      </c>
      <c r="F341" s="14" t="s">
        <v>658</v>
      </c>
      <c r="G341" s="14" t="s">
        <v>32</v>
      </c>
      <c r="H341" s="14" t="s">
        <v>1187</v>
      </c>
      <c r="I341" s="14" t="s">
        <v>95</v>
      </c>
      <c r="J341" s="14" t="str">
        <f>IF(E341="KTG","KTG",(VLOOKUP(I341,'[1]list of outsource'!B:H,2,0)))</f>
        <v>Woer</v>
      </c>
      <c r="K341" s="14" t="s">
        <v>96</v>
      </c>
      <c r="L341" s="14"/>
      <c r="M341" s="14" t="s">
        <v>917</v>
      </c>
      <c r="N341" s="14" t="s">
        <v>918</v>
      </c>
      <c r="O341" s="14">
        <v>1243710949</v>
      </c>
      <c r="P341" s="14"/>
      <c r="Q341" s="15"/>
      <c r="R341" s="14"/>
      <c r="S341" s="16"/>
      <c r="T341" s="14"/>
      <c r="U341" s="14">
        <v>4</v>
      </c>
      <c r="V341" s="14"/>
      <c r="W341" s="14" t="s">
        <v>37</v>
      </c>
      <c r="X341" s="13">
        <v>45148</v>
      </c>
      <c r="Y341" s="13"/>
      <c r="AB341" t="e">
        <v>#N/A</v>
      </c>
      <c r="AC341"/>
      <c r="AE341" t="str">
        <f t="shared" si="57"/>
        <v>P000006</v>
      </c>
      <c r="AF341" t="str">
        <f>_xlfn.XLOOKUP(AE341, Hoja2!A:A, Hoja2!A:A)</f>
        <v>P000006</v>
      </c>
      <c r="AG341" t="str">
        <f t="shared" ref="AG341:AG350" si="60">LEFT(B341, FIND(" ", B341 &amp; " ") - 1)</f>
        <v>PP00034-08</v>
      </c>
      <c r="AH341">
        <f>_xlfn.XLOOKUP(AG341, Hoja3!A:A, Hoja3!B:B)</f>
        <v>4761</v>
      </c>
      <c r="AI341" t="str">
        <f>_xlfn.XLOOKUP(AH341, Hoja4!A:A, Hoja4!B:B)</f>
        <v>M2038013</v>
      </c>
      <c r="AJ341" t="b">
        <f t="shared" ref="AJ341:AJ350" si="61">H341=AI341</f>
        <v>1</v>
      </c>
    </row>
    <row r="342" spans="1:36" ht="15.5" customHeight="1" x14ac:dyDescent="0.35">
      <c r="A342">
        <f t="shared" ca="1" si="56"/>
        <v>38</v>
      </c>
      <c r="B342" s="12" t="s">
        <v>1188</v>
      </c>
      <c r="C342" s="13">
        <v>45110</v>
      </c>
      <c r="D342" s="14" t="s">
        <v>121</v>
      </c>
      <c r="E342" s="14" t="s">
        <v>139</v>
      </c>
      <c r="F342" s="14" t="s">
        <v>658</v>
      </c>
      <c r="G342" s="14" t="s">
        <v>32</v>
      </c>
      <c r="H342" s="14">
        <v>33260604</v>
      </c>
      <c r="I342" s="14" t="s">
        <v>402</v>
      </c>
      <c r="J342" s="14" t="str">
        <f>IF(E342="KTG","KTG",(VLOOKUP(I342,'[1]list of outsource'!B:H,2,0)))</f>
        <v>ETC</v>
      </c>
      <c r="K342" s="14" t="s">
        <v>403</v>
      </c>
      <c r="L342" s="14"/>
      <c r="M342" s="14" t="s">
        <v>1189</v>
      </c>
      <c r="N342" s="14" t="s">
        <v>1190</v>
      </c>
      <c r="O342" s="14">
        <v>1247793125</v>
      </c>
      <c r="P342" s="14"/>
      <c r="Q342" s="15"/>
      <c r="R342" s="14"/>
      <c r="S342" s="16"/>
      <c r="T342" s="14"/>
      <c r="U342" s="14">
        <v>4</v>
      </c>
      <c r="V342" s="14"/>
      <c r="W342" s="14" t="s">
        <v>37</v>
      </c>
      <c r="X342" s="13">
        <v>45148</v>
      </c>
      <c r="Y342" s="13"/>
      <c r="AB342" t="e">
        <v>#N/A</v>
      </c>
      <c r="AC342" t="e">
        <v>#N/A</v>
      </c>
      <c r="AE342" t="str">
        <f t="shared" si="57"/>
        <v>P000518</v>
      </c>
      <c r="AF342" t="str">
        <f>_xlfn.XLOOKUP(AE342, Hoja2!A:A, Hoja2!A:A)</f>
        <v>P000518</v>
      </c>
      <c r="AG342" t="str">
        <f t="shared" si="60"/>
        <v>PP00034-09</v>
      </c>
      <c r="AH342">
        <f>_xlfn.XLOOKUP(AG342, Hoja3!A:A, Hoja3!B:B)</f>
        <v>4804</v>
      </c>
      <c r="AI342">
        <f>_xlfn.XLOOKUP(AH342, Hoja4!A:A, Hoja4!B:B)</f>
        <v>33260604</v>
      </c>
      <c r="AJ342" t="b">
        <f t="shared" si="61"/>
        <v>1</v>
      </c>
    </row>
    <row r="343" spans="1:36" ht="15.5" customHeight="1" x14ac:dyDescent="0.35">
      <c r="A343">
        <f t="shared" ca="1" si="56"/>
        <v>25</v>
      </c>
      <c r="B343" s="6" t="s">
        <v>1191</v>
      </c>
      <c r="C343" s="7">
        <v>45124</v>
      </c>
      <c r="D343" s="6" t="s">
        <v>564</v>
      </c>
      <c r="E343" s="6" t="s">
        <v>139</v>
      </c>
      <c r="F343" s="6" t="s">
        <v>658</v>
      </c>
      <c r="G343" s="6" t="s">
        <v>32</v>
      </c>
      <c r="H343" s="6">
        <v>35758276</v>
      </c>
      <c r="I343" s="6" t="s">
        <v>208</v>
      </c>
      <c r="J343" s="6" t="str">
        <f>IF(E343="KTG","KTG",(VLOOKUP(I343,'[1]list of outsource'!B:H,2,0)))</f>
        <v>ETC</v>
      </c>
      <c r="K343" s="6" t="s">
        <v>209</v>
      </c>
      <c r="L343" s="6">
        <v>18</v>
      </c>
      <c r="M343" s="6" t="s">
        <v>1192</v>
      </c>
      <c r="N343" s="6" t="s">
        <v>1193</v>
      </c>
      <c r="O343" s="6" t="s">
        <v>1194</v>
      </c>
      <c r="P343" s="6"/>
      <c r="Q343" s="8"/>
      <c r="R343" s="6"/>
      <c r="S343" s="6"/>
      <c r="T343" s="6"/>
      <c r="U343" s="6">
        <v>4</v>
      </c>
      <c r="V343" s="6"/>
      <c r="W343" s="6" t="s">
        <v>37</v>
      </c>
      <c r="X343" s="7">
        <v>45149</v>
      </c>
      <c r="Y343" s="7">
        <v>45782</v>
      </c>
      <c r="AB343" t="e">
        <v>#N/A</v>
      </c>
      <c r="AC343" t="e">
        <v>#N/A</v>
      </c>
      <c r="AE343" t="str">
        <f t="shared" si="57"/>
        <v>P000469</v>
      </c>
      <c r="AF343" t="str">
        <f>_xlfn.XLOOKUP(AE343, Hoja2!A:A, Hoja2!A:A)</f>
        <v>P000469</v>
      </c>
      <c r="AG343" t="str">
        <f t="shared" si="60"/>
        <v>PP00034-10</v>
      </c>
      <c r="AH343">
        <f>_xlfn.XLOOKUP(AG343, Hoja3!A:A, Hoja3!B:B)</f>
        <v>4800</v>
      </c>
      <c r="AI343">
        <f>_xlfn.XLOOKUP(AH343, Hoja4!A:A, Hoja4!B:B)</f>
        <v>35758276</v>
      </c>
      <c r="AJ343" t="b">
        <f t="shared" si="61"/>
        <v>1</v>
      </c>
    </row>
    <row r="344" spans="1:36" ht="15.5" customHeight="1" x14ac:dyDescent="0.35">
      <c r="A344">
        <f t="shared" ca="1" si="56"/>
        <v>43</v>
      </c>
      <c r="B344" s="6" t="s">
        <v>1195</v>
      </c>
      <c r="C344" s="7">
        <v>45175</v>
      </c>
      <c r="D344" s="6" t="s">
        <v>507</v>
      </c>
      <c r="E344" s="6" t="s">
        <v>139</v>
      </c>
      <c r="F344" s="6" t="s">
        <v>658</v>
      </c>
      <c r="G344" s="6" t="s">
        <v>32</v>
      </c>
      <c r="H344" s="6">
        <v>35758281</v>
      </c>
      <c r="I344" s="6" t="s">
        <v>208</v>
      </c>
      <c r="J344" s="6" t="str">
        <f>IF(E344="KTG","KTG",(VLOOKUP(I344,'[1]list of outsource'!B:H,2,0)))</f>
        <v>ETC</v>
      </c>
      <c r="K344" s="6" t="s">
        <v>209</v>
      </c>
      <c r="L344" s="6"/>
      <c r="M344" s="6" t="s">
        <v>1196</v>
      </c>
      <c r="N344" s="6" t="s">
        <v>1197</v>
      </c>
      <c r="O344" s="6">
        <v>1265476774</v>
      </c>
      <c r="P344" s="6"/>
      <c r="Q344" s="8"/>
      <c r="R344" s="6"/>
      <c r="S344" s="6"/>
      <c r="T344" s="6"/>
      <c r="U344" s="6">
        <v>4</v>
      </c>
      <c r="V344" s="6"/>
      <c r="W344" s="6" t="s">
        <v>37</v>
      </c>
      <c r="X344" s="7">
        <v>45218</v>
      </c>
      <c r="Y344" s="7">
        <v>45218</v>
      </c>
      <c r="AB344" t="e">
        <v>#N/A</v>
      </c>
      <c r="AC344" t="e">
        <v>#N/A</v>
      </c>
      <c r="AE344" t="str">
        <f t="shared" si="57"/>
        <v>P000471</v>
      </c>
      <c r="AF344" t="str">
        <f>_xlfn.XLOOKUP(AE344, Hoja2!A:A, Hoja2!A:A)</f>
        <v>P000471</v>
      </c>
      <c r="AG344" t="str">
        <f t="shared" si="60"/>
        <v>PP00034-11</v>
      </c>
      <c r="AH344">
        <f>_xlfn.XLOOKUP(AG344, Hoja3!A:A, Hoja3!B:B)</f>
        <v>4801</v>
      </c>
      <c r="AI344">
        <f>_xlfn.XLOOKUP(AH344, Hoja4!A:A, Hoja4!B:B)</f>
        <v>35758281</v>
      </c>
      <c r="AJ344" t="b">
        <f t="shared" si="61"/>
        <v>1</v>
      </c>
    </row>
    <row r="345" spans="1:36" ht="15.5" customHeight="1" x14ac:dyDescent="0.35">
      <c r="A345">
        <f t="shared" ca="1" si="56"/>
        <v>43</v>
      </c>
      <c r="B345" s="6" t="s">
        <v>1198</v>
      </c>
      <c r="C345" s="7">
        <v>45175</v>
      </c>
      <c r="D345" s="6" t="s">
        <v>507</v>
      </c>
      <c r="E345" s="6" t="s">
        <v>139</v>
      </c>
      <c r="F345" s="6" t="s">
        <v>658</v>
      </c>
      <c r="G345" s="6" t="s">
        <v>32</v>
      </c>
      <c r="H345" s="6">
        <v>35758276</v>
      </c>
      <c r="I345" s="6" t="s">
        <v>208</v>
      </c>
      <c r="J345" s="6" t="str">
        <f>IF(E345="KTG","KTG",(VLOOKUP(I345,'[1]list of outsource'!B:H,2,0)))</f>
        <v>ETC</v>
      </c>
      <c r="K345" s="6" t="s">
        <v>209</v>
      </c>
      <c r="L345" s="6"/>
      <c r="M345" s="6" t="s">
        <v>1192</v>
      </c>
      <c r="N345" s="6" t="s">
        <v>1193</v>
      </c>
      <c r="O345" s="6">
        <v>1265478553</v>
      </c>
      <c r="P345" s="6"/>
      <c r="Q345" s="8"/>
      <c r="R345" s="6"/>
      <c r="S345" s="6"/>
      <c r="T345" s="6"/>
      <c r="U345" s="6">
        <v>4</v>
      </c>
      <c r="V345" s="6"/>
      <c r="W345" s="6" t="s">
        <v>37</v>
      </c>
      <c r="X345" s="7">
        <v>45218</v>
      </c>
      <c r="Y345" s="7">
        <v>45218</v>
      </c>
      <c r="AB345" t="e">
        <v>#N/A</v>
      </c>
      <c r="AC345" t="e">
        <v>#N/A</v>
      </c>
      <c r="AE345" t="str">
        <f t="shared" si="57"/>
        <v>P000469</v>
      </c>
      <c r="AF345" t="str">
        <f>_xlfn.XLOOKUP(AE345, Hoja2!A:A, Hoja2!A:A)</f>
        <v>P000469</v>
      </c>
      <c r="AG345" t="str">
        <f t="shared" si="60"/>
        <v>PP00034-12</v>
      </c>
      <c r="AH345">
        <f>_xlfn.XLOOKUP(AG345, Hoja3!A:A, Hoja3!B:B)</f>
        <v>4800</v>
      </c>
      <c r="AI345">
        <f>_xlfn.XLOOKUP(AH345, Hoja4!A:A, Hoja4!B:B)</f>
        <v>35758276</v>
      </c>
      <c r="AJ345" t="b">
        <f t="shared" si="61"/>
        <v>1</v>
      </c>
    </row>
    <row r="346" spans="1:36" ht="15.5" customHeight="1" x14ac:dyDescent="0.35">
      <c r="A346">
        <f t="shared" ca="1" si="56"/>
        <v>43</v>
      </c>
      <c r="B346" s="6" t="s">
        <v>1199</v>
      </c>
      <c r="C346" s="7">
        <v>45175</v>
      </c>
      <c r="D346" s="6" t="s">
        <v>507</v>
      </c>
      <c r="E346" s="6" t="s">
        <v>139</v>
      </c>
      <c r="F346" s="6" t="s">
        <v>658</v>
      </c>
      <c r="G346" s="6" t="s">
        <v>32</v>
      </c>
      <c r="H346" s="6">
        <v>35738172</v>
      </c>
      <c r="I346" s="6" t="s">
        <v>529</v>
      </c>
      <c r="J346" s="6" t="str">
        <f>IF(E346="KTG","KTG",(VLOOKUP(I346,'[1]list of outsource'!B:H,2,0)))</f>
        <v>ETC</v>
      </c>
      <c r="K346" s="6" t="s">
        <v>530</v>
      </c>
      <c r="L346" s="6"/>
      <c r="M346" s="6" t="s">
        <v>1200</v>
      </c>
      <c r="N346" s="6" t="s">
        <v>1201</v>
      </c>
      <c r="O346" s="6">
        <v>1265479368</v>
      </c>
      <c r="P346" s="6"/>
      <c r="Q346" s="8"/>
      <c r="R346" s="6"/>
      <c r="S346" s="6"/>
      <c r="T346" s="6"/>
      <c r="U346" s="6">
        <v>4</v>
      </c>
      <c r="V346" s="6"/>
      <c r="W346" s="6" t="s">
        <v>37</v>
      </c>
      <c r="X346" s="7">
        <v>45218</v>
      </c>
      <c r="Y346" s="7">
        <v>45218</v>
      </c>
      <c r="AB346" t="e">
        <v>#N/A</v>
      </c>
      <c r="AC346" t="e">
        <v>#N/A</v>
      </c>
      <c r="AE346" t="str">
        <f t="shared" si="57"/>
        <v>P000365</v>
      </c>
      <c r="AF346" t="str">
        <f>_xlfn.XLOOKUP(AE346, Hoja2!A:A, Hoja2!A:A)</f>
        <v>P000365</v>
      </c>
      <c r="AG346" t="str">
        <f t="shared" si="60"/>
        <v>PP00034-13</v>
      </c>
      <c r="AH346">
        <f>_xlfn.XLOOKUP(AG346, Hoja3!A:A, Hoja3!B:B)</f>
        <v>4786</v>
      </c>
      <c r="AI346">
        <f>_xlfn.XLOOKUP(AH346, Hoja4!A:A, Hoja4!B:B)</f>
        <v>35738172</v>
      </c>
      <c r="AJ346" t="b">
        <f t="shared" si="61"/>
        <v>1</v>
      </c>
    </row>
    <row r="347" spans="1:36" ht="15.5" customHeight="1" x14ac:dyDescent="0.35">
      <c r="A347">
        <f t="shared" ca="1" si="56"/>
        <v>43</v>
      </c>
      <c r="B347" s="6" t="s">
        <v>1202</v>
      </c>
      <c r="C347" s="7">
        <v>45175</v>
      </c>
      <c r="D347" s="6" t="s">
        <v>507</v>
      </c>
      <c r="E347" s="6" t="s">
        <v>139</v>
      </c>
      <c r="F347" s="6" t="s">
        <v>658</v>
      </c>
      <c r="G347" s="6" t="s">
        <v>32</v>
      </c>
      <c r="H347" s="6">
        <v>35804066</v>
      </c>
      <c r="I347" s="6" t="s">
        <v>208</v>
      </c>
      <c r="J347" s="6" t="str">
        <f>IF(E347="KTG","KTG",(VLOOKUP(I347,'[1]list of outsource'!B:H,2,0)))</f>
        <v>ETC</v>
      </c>
      <c r="K347" s="6" t="s">
        <v>209</v>
      </c>
      <c r="L347" s="6"/>
      <c r="M347" s="6" t="s">
        <v>586</v>
      </c>
      <c r="N347" s="6" t="s">
        <v>587</v>
      </c>
      <c r="O347" s="6">
        <v>1265951151</v>
      </c>
      <c r="P347" s="6"/>
      <c r="Q347" s="8"/>
      <c r="R347" s="6"/>
      <c r="S347" s="6"/>
      <c r="T347" s="6"/>
      <c r="U347" s="6">
        <v>4</v>
      </c>
      <c r="V347" s="6"/>
      <c r="W347" s="6" t="s">
        <v>37</v>
      </c>
      <c r="X347" s="7">
        <v>45218</v>
      </c>
      <c r="Y347" s="7">
        <v>45218</v>
      </c>
      <c r="AB347" t="e">
        <v>#N/A</v>
      </c>
      <c r="AC347" t="e">
        <v>#N/A</v>
      </c>
      <c r="AE347" t="str">
        <f t="shared" si="57"/>
        <v>P000183</v>
      </c>
      <c r="AF347" t="str">
        <f>_xlfn.XLOOKUP(AE347, Hoja2!A:A, Hoja2!A:A)</f>
        <v>P000183</v>
      </c>
      <c r="AG347" t="str">
        <f t="shared" si="60"/>
        <v>PP00034-14</v>
      </c>
      <c r="AH347">
        <f>_xlfn.XLOOKUP(AG347, Hoja3!A:A, Hoja3!B:B)</f>
        <v>4771</v>
      </c>
      <c r="AI347">
        <f>_xlfn.XLOOKUP(AH347, Hoja4!A:A, Hoja4!B:B)</f>
        <v>35804066</v>
      </c>
      <c r="AJ347" t="b">
        <f t="shared" si="61"/>
        <v>1</v>
      </c>
    </row>
    <row r="348" spans="1:36" ht="15.5" customHeight="1" x14ac:dyDescent="0.35">
      <c r="A348">
        <f t="shared" ca="1" si="56"/>
        <v>23</v>
      </c>
      <c r="B348" s="6" t="s">
        <v>1180</v>
      </c>
      <c r="C348" s="7">
        <v>45375</v>
      </c>
      <c r="D348" s="6" t="s">
        <v>912</v>
      </c>
      <c r="E348" s="6" t="s">
        <v>83</v>
      </c>
      <c r="F348" s="6" t="s">
        <v>84</v>
      </c>
      <c r="G348" s="6" t="s">
        <v>156</v>
      </c>
      <c r="H348" s="6" t="s">
        <v>1181</v>
      </c>
      <c r="I348" s="6" t="s">
        <v>198</v>
      </c>
      <c r="J348" s="6" t="str">
        <f>IF(E348="KTG","KTG",(VLOOKUP(I348,'[1]list of outsource'!B:H,2,0)))</f>
        <v>UPM</v>
      </c>
      <c r="K348" s="6" t="s">
        <v>199</v>
      </c>
      <c r="L348" s="6" t="s">
        <v>1203</v>
      </c>
      <c r="M348" s="6" t="s">
        <v>1182</v>
      </c>
      <c r="N348" s="6" t="s">
        <v>1183</v>
      </c>
      <c r="O348" s="6">
        <v>1214724948</v>
      </c>
      <c r="P348" s="6"/>
      <c r="Q348" s="8"/>
      <c r="R348" s="6"/>
      <c r="S348" s="6"/>
      <c r="T348" s="6"/>
      <c r="U348" s="6">
        <v>1</v>
      </c>
      <c r="V348" s="6" t="s">
        <v>569</v>
      </c>
      <c r="W348" s="6" t="s">
        <v>154</v>
      </c>
      <c r="X348" s="7">
        <v>45398</v>
      </c>
      <c r="Y348" s="7">
        <v>45398</v>
      </c>
      <c r="AB348" t="e">
        <v>#N/A</v>
      </c>
      <c r="AC348" t="e">
        <v>#N/A</v>
      </c>
      <c r="AE348" t="str">
        <f t="shared" si="57"/>
        <v>P000317</v>
      </c>
      <c r="AF348" t="str">
        <f>_xlfn.XLOOKUP(AE348, Hoja2!A:A, Hoja2!A:A)</f>
        <v>P000317</v>
      </c>
      <c r="AG348" t="str">
        <f t="shared" si="60"/>
        <v>PP00028-05</v>
      </c>
      <c r="AH348">
        <f>_xlfn.XLOOKUP(AG348, Hoja3!A:A, Hoja3!B:B)</f>
        <v>5312</v>
      </c>
      <c r="AI348" t="str">
        <f>_xlfn.XLOOKUP(AH348, Hoja4!A:A, Hoja4!B:B)</f>
        <v>E39278000</v>
      </c>
      <c r="AJ348" t="b">
        <f t="shared" si="61"/>
        <v>1</v>
      </c>
    </row>
    <row r="349" spans="1:36" ht="15.5" customHeight="1" x14ac:dyDescent="0.35">
      <c r="A349">
        <f t="shared" ca="1" si="56"/>
        <v>25</v>
      </c>
      <c r="B349" s="6" t="s">
        <v>1180</v>
      </c>
      <c r="C349" s="7">
        <v>45732</v>
      </c>
      <c r="D349" s="6" t="s">
        <v>564</v>
      </c>
      <c r="E349" s="6" t="s">
        <v>83</v>
      </c>
      <c r="F349" s="6" t="s">
        <v>84</v>
      </c>
      <c r="G349" s="6" t="s">
        <v>156</v>
      </c>
      <c r="H349" s="6" t="s">
        <v>1181</v>
      </c>
      <c r="I349" s="6" t="s">
        <v>198</v>
      </c>
      <c r="J349" s="6" t="str">
        <f>IF(E349="KTG","KTG",(VLOOKUP(I349,'[1]list of outsource'!B:H,2,0)))</f>
        <v>UPM</v>
      </c>
      <c r="K349" s="6" t="s">
        <v>199</v>
      </c>
      <c r="L349" s="6">
        <v>10</v>
      </c>
      <c r="M349" s="6" t="s">
        <v>1182</v>
      </c>
      <c r="N349" s="6" t="s">
        <v>1183</v>
      </c>
      <c r="O349" s="6" t="s">
        <v>1204</v>
      </c>
      <c r="P349" s="6"/>
      <c r="Q349" s="8"/>
      <c r="R349" s="6"/>
      <c r="S349" s="6"/>
      <c r="T349" s="6"/>
      <c r="U349" s="6">
        <v>1</v>
      </c>
      <c r="V349" s="6" t="s">
        <v>569</v>
      </c>
      <c r="W349" s="6" t="s">
        <v>154</v>
      </c>
      <c r="X349" s="7">
        <v>45757</v>
      </c>
      <c r="Y349" s="7">
        <v>45786</v>
      </c>
      <c r="AB349" t="e">
        <v>#N/A</v>
      </c>
      <c r="AC349" t="e">
        <v>#N/A</v>
      </c>
      <c r="AE349" t="str">
        <f t="shared" si="57"/>
        <v>P000317</v>
      </c>
      <c r="AF349" t="str">
        <f>_xlfn.XLOOKUP(AE349, Hoja2!A:A, Hoja2!A:A)</f>
        <v>P000317</v>
      </c>
      <c r="AG349" t="str">
        <f t="shared" si="60"/>
        <v>PP00028-05</v>
      </c>
      <c r="AH349">
        <f>_xlfn.XLOOKUP(AG349, Hoja3!A:A, Hoja3!B:B)</f>
        <v>5312</v>
      </c>
      <c r="AI349" t="str">
        <f>_xlfn.XLOOKUP(AH349, Hoja4!A:A, Hoja4!B:B)</f>
        <v>E39278000</v>
      </c>
      <c r="AJ349" t="b">
        <f t="shared" si="61"/>
        <v>1</v>
      </c>
    </row>
    <row r="350" spans="1:36" ht="15.5" customHeight="1" x14ac:dyDescent="0.35">
      <c r="A350">
        <f t="shared" ca="1" si="56"/>
        <v>22</v>
      </c>
      <c r="B350" s="12" t="s">
        <v>1205</v>
      </c>
      <c r="C350" s="13">
        <v>45035</v>
      </c>
      <c r="D350" s="14" t="s">
        <v>121</v>
      </c>
      <c r="E350" s="14" t="s">
        <v>83</v>
      </c>
      <c r="F350" s="14" t="s">
        <v>84</v>
      </c>
      <c r="G350" s="14" t="s">
        <v>156</v>
      </c>
      <c r="H350" s="14" t="s">
        <v>167</v>
      </c>
      <c r="I350" s="14" t="s">
        <v>158</v>
      </c>
      <c r="J350" s="14" t="str">
        <f>IF(E350="KTG","KTG",(VLOOKUP(I350,'[1]list of outsource'!B:H,2,0)))</f>
        <v>UPM</v>
      </c>
      <c r="K350" s="14" t="s">
        <v>159</v>
      </c>
      <c r="L350" s="14"/>
      <c r="M350" s="14" t="s">
        <v>168</v>
      </c>
      <c r="N350" s="14" t="s">
        <v>628</v>
      </c>
      <c r="O350" s="14">
        <v>1202433545</v>
      </c>
      <c r="P350" s="14"/>
      <c r="Q350" s="15"/>
      <c r="R350" s="14"/>
      <c r="S350" s="16"/>
      <c r="T350" s="14"/>
      <c r="U350" s="14">
        <v>2</v>
      </c>
      <c r="V350" s="14"/>
      <c r="W350" s="14" t="s">
        <v>154</v>
      </c>
      <c r="X350" s="13">
        <v>45057</v>
      </c>
      <c r="Y350" s="13"/>
      <c r="AB350" t="e">
        <v>#N/A</v>
      </c>
      <c r="AC350" t="e">
        <v>#N/A</v>
      </c>
      <c r="AE350" t="str">
        <f t="shared" si="57"/>
        <v>P000121</v>
      </c>
      <c r="AF350" t="str">
        <f>_xlfn.XLOOKUP(AE350, Hoja2!A:A, Hoja2!A:A)</f>
        <v>P000121</v>
      </c>
      <c r="AG350" t="str">
        <f t="shared" si="60"/>
        <v>PP00028-06</v>
      </c>
      <c r="AH350">
        <f>_xlfn.XLOOKUP(AG350, Hoja3!A:A, Hoja3!B:B)</f>
        <v>43</v>
      </c>
      <c r="AI350" t="str">
        <f>_xlfn.XLOOKUP(AH350, Hoja4!A:A, Hoja4!B:B)</f>
        <v>E34284700</v>
      </c>
      <c r="AJ350" t="b">
        <f t="shared" si="61"/>
        <v>1</v>
      </c>
    </row>
    <row r="351" spans="1:36" ht="15.5" hidden="1" customHeight="1" x14ac:dyDescent="0.35">
      <c r="A351">
        <f t="shared" ca="1" si="56"/>
        <v>95</v>
      </c>
      <c r="B351" s="56" t="s">
        <v>1206</v>
      </c>
      <c r="C351" s="13">
        <v>45177</v>
      </c>
      <c r="D351" s="14" t="s">
        <v>121</v>
      </c>
      <c r="E351" s="14" t="s">
        <v>30</v>
      </c>
      <c r="F351" s="14" t="s">
        <v>140</v>
      </c>
      <c r="G351" s="14" t="s">
        <v>32</v>
      </c>
      <c r="H351" s="14" t="s">
        <v>1207</v>
      </c>
      <c r="I351" s="14"/>
      <c r="J351" s="14" t="str">
        <f>IF(E351="KTG","KTG",(VLOOKUP(I351,'[1]list of outsource'!B:H,2,0)))</f>
        <v>KTG</v>
      </c>
      <c r="K351" s="14"/>
      <c r="L351" s="14"/>
      <c r="M351" s="55"/>
      <c r="N351" s="14" t="s">
        <v>1208</v>
      </c>
      <c r="O351" s="14"/>
      <c r="P351" s="14"/>
      <c r="Q351" s="15"/>
      <c r="R351" s="14"/>
      <c r="S351" s="16"/>
      <c r="T351" s="14"/>
      <c r="U351" s="14">
        <v>4</v>
      </c>
      <c r="V351" s="14"/>
      <c r="W351" s="14" t="s">
        <v>37</v>
      </c>
      <c r="X351" s="13">
        <v>45272</v>
      </c>
      <c r="Y351" s="13"/>
      <c r="AB351" t="e">
        <v>#N/A</v>
      </c>
      <c r="AC351" t="e">
        <v>#N/A</v>
      </c>
      <c r="AE351" t="str">
        <f t="shared" si="57"/>
        <v/>
      </c>
      <c r="AF351" t="e">
        <f>_xlfn.XLOOKUP(AE351, Hoja2!A:A, Hoja2!A:A)</f>
        <v>#N/A</v>
      </c>
    </row>
    <row r="352" spans="1:36" ht="15.5" customHeight="1" x14ac:dyDescent="0.35">
      <c r="A352">
        <f t="shared" ca="1" si="56"/>
        <v>4</v>
      </c>
      <c r="B352" s="6" t="s">
        <v>1205</v>
      </c>
      <c r="C352" s="7">
        <v>45394</v>
      </c>
      <c r="D352" s="6" t="s">
        <v>912</v>
      </c>
      <c r="E352" s="6" t="s">
        <v>83</v>
      </c>
      <c r="F352" s="6" t="s">
        <v>84</v>
      </c>
      <c r="G352" s="6" t="s">
        <v>156</v>
      </c>
      <c r="H352" s="6" t="s">
        <v>167</v>
      </c>
      <c r="I352" s="6" t="s">
        <v>158</v>
      </c>
      <c r="J352" s="6" t="str">
        <f>IF(E352="KTG","KTG",(VLOOKUP(I352,'[1]list of outsource'!B:H,2,0)))</f>
        <v>UPM</v>
      </c>
      <c r="K352" s="6" t="s">
        <v>159</v>
      </c>
      <c r="L352" s="6">
        <v>38</v>
      </c>
      <c r="M352" s="6" t="s">
        <v>168</v>
      </c>
      <c r="N352" s="6" t="s">
        <v>628</v>
      </c>
      <c r="O352" s="6">
        <v>1202433545</v>
      </c>
      <c r="P352" s="6"/>
      <c r="Q352" s="8" t="s">
        <v>575</v>
      </c>
      <c r="R352" s="6"/>
      <c r="S352" s="6"/>
      <c r="T352" s="6"/>
      <c r="U352" s="6">
        <v>1</v>
      </c>
      <c r="V352" s="6" t="s">
        <v>569</v>
      </c>
      <c r="W352" s="6" t="s">
        <v>154</v>
      </c>
      <c r="X352" s="7">
        <v>45398</v>
      </c>
      <c r="Y352" s="7">
        <v>45401</v>
      </c>
      <c r="AB352" t="e">
        <v>#N/A</v>
      </c>
      <c r="AC352" t="e">
        <v>#N/A</v>
      </c>
      <c r="AE352" t="str">
        <f t="shared" si="57"/>
        <v>P000121</v>
      </c>
      <c r="AF352" t="str">
        <f>_xlfn.XLOOKUP(AE352, Hoja2!A:A, Hoja2!A:A)</f>
        <v>P000121</v>
      </c>
      <c r="AG352" t="str">
        <f t="shared" ref="AG352:AG374" si="62">LEFT(B352, FIND(" ", B352 &amp; " ") - 1)</f>
        <v>PP00028-06</v>
      </c>
      <c r="AH352">
        <f>_xlfn.XLOOKUP(AG352, Hoja3!A:A, Hoja3!B:B)</f>
        <v>43</v>
      </c>
      <c r="AI352" t="str">
        <f>_xlfn.XLOOKUP(AH352, Hoja4!A:A, Hoja4!B:B)</f>
        <v>E34284700</v>
      </c>
      <c r="AJ352" t="b">
        <f t="shared" ref="AJ352:AJ374" si="63">H352=AI352</f>
        <v>1</v>
      </c>
    </row>
    <row r="353" spans="1:36" ht="15.5" customHeight="1" x14ac:dyDescent="0.35">
      <c r="A353">
        <f t="shared" ca="1" si="56"/>
        <v>6</v>
      </c>
      <c r="B353" s="6" t="s">
        <v>1205</v>
      </c>
      <c r="C353" s="7">
        <v>45791</v>
      </c>
      <c r="D353" s="6" t="s">
        <v>564</v>
      </c>
      <c r="E353" s="6" t="s">
        <v>83</v>
      </c>
      <c r="F353" s="6" t="s">
        <v>84</v>
      </c>
      <c r="G353" s="6" t="s">
        <v>156</v>
      </c>
      <c r="H353" s="6" t="s">
        <v>167</v>
      </c>
      <c r="I353" s="6" t="s">
        <v>158</v>
      </c>
      <c r="J353" s="6" t="str">
        <f>IF(E353="KTG","KTG",(VLOOKUP(I353,'[1]list of outsource'!B:H,2,0)))</f>
        <v>UPM</v>
      </c>
      <c r="K353" s="6" t="s">
        <v>159</v>
      </c>
      <c r="L353" s="6">
        <v>45</v>
      </c>
      <c r="M353" s="6" t="s">
        <v>168</v>
      </c>
      <c r="N353" s="6" t="s">
        <v>628</v>
      </c>
      <c r="O353" s="6" t="s">
        <v>1209</v>
      </c>
      <c r="P353" s="6"/>
      <c r="Q353" s="8"/>
      <c r="R353" s="6"/>
      <c r="S353" s="6"/>
      <c r="T353" s="6"/>
      <c r="U353" s="6">
        <v>1</v>
      </c>
      <c r="V353" s="6" t="s">
        <v>569</v>
      </c>
      <c r="W353" s="6" t="s">
        <v>154</v>
      </c>
      <c r="X353" s="7">
        <v>45797</v>
      </c>
      <c r="Y353" s="7">
        <v>45798</v>
      </c>
      <c r="AB353" t="e">
        <v>#N/A</v>
      </c>
      <c r="AC353" t="e">
        <v>#N/A</v>
      </c>
      <c r="AE353" t="str">
        <f t="shared" si="57"/>
        <v>P000121</v>
      </c>
      <c r="AF353" t="str">
        <f>_xlfn.XLOOKUP(AE353, Hoja2!A:A, Hoja2!A:A)</f>
        <v>P000121</v>
      </c>
      <c r="AG353" t="str">
        <f t="shared" si="62"/>
        <v>PP00028-06</v>
      </c>
      <c r="AH353">
        <f>_xlfn.XLOOKUP(AG353, Hoja3!A:A, Hoja3!B:B)</f>
        <v>43</v>
      </c>
      <c r="AI353" t="str">
        <f>_xlfn.XLOOKUP(AH353, Hoja4!A:A, Hoja4!B:B)</f>
        <v>E34284700</v>
      </c>
      <c r="AJ353" t="b">
        <f t="shared" si="63"/>
        <v>1</v>
      </c>
    </row>
    <row r="354" spans="1:36" ht="15.5" customHeight="1" x14ac:dyDescent="0.35">
      <c r="A354">
        <f t="shared" ca="1" si="56"/>
        <v>21</v>
      </c>
      <c r="B354" s="6" t="s">
        <v>1210</v>
      </c>
      <c r="C354" s="7">
        <v>45184</v>
      </c>
      <c r="D354" s="6" t="s">
        <v>507</v>
      </c>
      <c r="E354" s="6" t="s">
        <v>139</v>
      </c>
      <c r="F354" s="6" t="s">
        <v>933</v>
      </c>
      <c r="G354" s="6" t="s">
        <v>32</v>
      </c>
      <c r="H354" s="6">
        <v>35774147</v>
      </c>
      <c r="I354" s="6" t="s">
        <v>208</v>
      </c>
      <c r="J354" s="6" t="str">
        <f>IF(E354="KTG","KTG",(VLOOKUP(I354,'[1]list of outsource'!B:H,2,0)))</f>
        <v>ETC</v>
      </c>
      <c r="K354" s="6" t="s">
        <v>209</v>
      </c>
      <c r="L354" s="6"/>
      <c r="M354" s="6" t="s">
        <v>1211</v>
      </c>
      <c r="N354" s="6" t="s">
        <v>1212</v>
      </c>
      <c r="O354" s="6">
        <v>1264236755</v>
      </c>
      <c r="P354" s="6"/>
      <c r="Q354" s="8" t="s">
        <v>575</v>
      </c>
      <c r="R354" s="6" t="s">
        <v>575</v>
      </c>
      <c r="S354" s="6" t="s">
        <v>575</v>
      </c>
      <c r="T354" s="6" t="s">
        <v>575</v>
      </c>
      <c r="U354" s="6">
        <v>4</v>
      </c>
      <c r="V354" s="6"/>
      <c r="W354" s="6" t="s">
        <v>37</v>
      </c>
      <c r="X354" s="7">
        <v>45205</v>
      </c>
      <c r="Y354" s="7">
        <v>45215</v>
      </c>
      <c r="AB354" t="e">
        <v>#N/A</v>
      </c>
      <c r="AC354" t="e">
        <v>#N/A</v>
      </c>
      <c r="AE354" t="str">
        <f t="shared" si="57"/>
        <v>P000602</v>
      </c>
      <c r="AF354" t="str">
        <f>_xlfn.XLOOKUP(AE354, Hoja2!A:A, Hoja2!A:A)</f>
        <v>P000602</v>
      </c>
      <c r="AG354" t="str">
        <f t="shared" si="62"/>
        <v>PP00042-0007</v>
      </c>
      <c r="AH354">
        <f>_xlfn.XLOOKUP(AG354, Hoja3!A:A, Hoja3!B:B)</f>
        <v>3804</v>
      </c>
      <c r="AI354">
        <f>_xlfn.XLOOKUP(AH354, Hoja4!A:A, Hoja4!B:B)</f>
        <v>35774147</v>
      </c>
      <c r="AJ354" t="b">
        <f t="shared" si="63"/>
        <v>1</v>
      </c>
    </row>
    <row r="355" spans="1:36" ht="15.5" customHeight="1" x14ac:dyDescent="0.35">
      <c r="A355">
        <f t="shared" ca="1" si="56"/>
        <v>45</v>
      </c>
      <c r="B355" s="6" t="s">
        <v>1213</v>
      </c>
      <c r="C355" s="7">
        <v>45188</v>
      </c>
      <c r="D355" s="6" t="s">
        <v>912</v>
      </c>
      <c r="E355" s="6" t="s">
        <v>83</v>
      </c>
      <c r="F355" s="6" t="s">
        <v>641</v>
      </c>
      <c r="G355" s="6" t="s">
        <v>299</v>
      </c>
      <c r="H355" s="6" t="s">
        <v>1214</v>
      </c>
      <c r="I355" s="6" t="s">
        <v>133</v>
      </c>
      <c r="J355" s="6" t="str">
        <f>IF(E355="KTG","KTG",(VLOOKUP(I355,'[1]list of outsource'!B:H,2,0)))</f>
        <v>UPM</v>
      </c>
      <c r="K355" s="6" t="s">
        <v>301</v>
      </c>
      <c r="L355" s="6">
        <v>23</v>
      </c>
      <c r="M355" s="6" t="s">
        <v>302</v>
      </c>
      <c r="N355" s="6" t="s">
        <v>1215</v>
      </c>
      <c r="O355" s="6" t="s">
        <v>1216</v>
      </c>
      <c r="P355" s="6"/>
      <c r="Q355" s="8"/>
      <c r="R355" s="6"/>
      <c r="S355" s="6"/>
      <c r="T355" s="6"/>
      <c r="U355" s="6">
        <v>4</v>
      </c>
      <c r="V355" s="6"/>
      <c r="W355" s="6" t="s">
        <v>37</v>
      </c>
      <c r="X355" s="7">
        <v>45233</v>
      </c>
      <c r="Y355" s="7">
        <v>45366</v>
      </c>
      <c r="AB355">
        <v>0</v>
      </c>
      <c r="AC355" t="e">
        <v>#N/A</v>
      </c>
      <c r="AE355" t="str">
        <f t="shared" si="57"/>
        <v>P000026</v>
      </c>
      <c r="AF355" t="str">
        <f>_xlfn.XLOOKUP(AE355, Hoja2!A:A, Hoja2!A:A)</f>
        <v>P000026</v>
      </c>
      <c r="AG355" t="str">
        <f t="shared" si="62"/>
        <v>PP00031-02</v>
      </c>
      <c r="AH355">
        <f>_xlfn.XLOOKUP(AG355, Hoja3!A:A, Hoja3!B:B)</f>
        <v>4563</v>
      </c>
      <c r="AI355" t="str">
        <f>_xlfn.XLOOKUP(AH355, Hoja4!A:A, Hoja4!B:B)</f>
        <v>V20808528</v>
      </c>
      <c r="AJ355" t="b">
        <f t="shared" si="63"/>
        <v>1</v>
      </c>
    </row>
    <row r="356" spans="1:36" ht="15.5" customHeight="1" x14ac:dyDescent="0.35">
      <c r="A356">
        <f t="shared" ca="1" si="56"/>
        <v>45</v>
      </c>
      <c r="B356" s="6" t="s">
        <v>1217</v>
      </c>
      <c r="C356" s="7">
        <v>45188</v>
      </c>
      <c r="D356" s="6" t="s">
        <v>912</v>
      </c>
      <c r="E356" s="6" t="s">
        <v>83</v>
      </c>
      <c r="F356" s="6" t="s">
        <v>641</v>
      </c>
      <c r="G356" s="6" t="s">
        <v>299</v>
      </c>
      <c r="H356" s="6" t="s">
        <v>1218</v>
      </c>
      <c r="I356" s="6" t="s">
        <v>133</v>
      </c>
      <c r="J356" s="6" t="str">
        <f>IF(E356="KTG","KTG",(VLOOKUP(I356,'[1]list of outsource'!B:H,2,0)))</f>
        <v>UPM</v>
      </c>
      <c r="K356" s="6" t="s">
        <v>301</v>
      </c>
      <c r="L356" s="6">
        <v>23</v>
      </c>
      <c r="M356" s="6" t="s">
        <v>757</v>
      </c>
      <c r="N356" s="6" t="s">
        <v>1219</v>
      </c>
      <c r="O356" s="6" t="s">
        <v>1220</v>
      </c>
      <c r="P356" s="6"/>
      <c r="Q356" s="8"/>
      <c r="R356" s="6"/>
      <c r="S356" s="6"/>
      <c r="T356" s="6"/>
      <c r="U356" s="6">
        <v>4</v>
      </c>
      <c r="V356" s="6"/>
      <c r="W356" s="6" t="s">
        <v>37</v>
      </c>
      <c r="X356" s="7">
        <v>45233</v>
      </c>
      <c r="Y356" s="7">
        <v>45366</v>
      </c>
      <c r="AB356" t="e">
        <v>#N/A</v>
      </c>
      <c r="AC356" t="e">
        <v>#N/A</v>
      </c>
      <c r="AE356" t="str">
        <f t="shared" si="57"/>
        <v>P000027</v>
      </c>
      <c r="AF356" t="str">
        <f>_xlfn.XLOOKUP(AE356, Hoja2!A:A, Hoja2!A:A)</f>
        <v>P000027</v>
      </c>
      <c r="AG356" t="str">
        <f t="shared" si="62"/>
        <v>PP00031-03</v>
      </c>
      <c r="AH356">
        <f>_xlfn.XLOOKUP(AG356, Hoja3!A:A, Hoja3!B:B)</f>
        <v>4564</v>
      </c>
      <c r="AI356" t="str">
        <f>_xlfn.XLOOKUP(AH356, Hoja4!A:A, Hoja4!B:B)</f>
        <v>V20808527</v>
      </c>
      <c r="AJ356" t="b">
        <f t="shared" si="63"/>
        <v>1</v>
      </c>
    </row>
    <row r="357" spans="1:36" ht="15.5" customHeight="1" x14ac:dyDescent="0.35">
      <c r="A357">
        <f t="shared" ca="1" si="56"/>
        <v>45</v>
      </c>
      <c r="B357" s="6" t="s">
        <v>1221</v>
      </c>
      <c r="C357" s="7">
        <v>45188</v>
      </c>
      <c r="D357" s="6" t="s">
        <v>912</v>
      </c>
      <c r="E357" s="6" t="s">
        <v>83</v>
      </c>
      <c r="F357" s="6" t="s">
        <v>641</v>
      </c>
      <c r="G357" s="6" t="s">
        <v>299</v>
      </c>
      <c r="H357" s="6" t="s">
        <v>1222</v>
      </c>
      <c r="I357" s="6" t="s">
        <v>133</v>
      </c>
      <c r="J357" s="6" t="str">
        <f>IF(E357="KTG","KTG",(VLOOKUP(I357,'[1]list of outsource'!B:H,2,0)))</f>
        <v>UPM</v>
      </c>
      <c r="K357" s="6" t="s">
        <v>301</v>
      </c>
      <c r="L357" s="6">
        <v>23</v>
      </c>
      <c r="M357" s="6" t="s">
        <v>135</v>
      </c>
      <c r="N357" s="6" t="s">
        <v>1223</v>
      </c>
      <c r="O357" s="6" t="s">
        <v>1224</v>
      </c>
      <c r="P357" s="6"/>
      <c r="Q357" s="8"/>
      <c r="R357" s="6"/>
      <c r="S357" s="6"/>
      <c r="T357" s="6"/>
      <c r="U357" s="6">
        <v>4</v>
      </c>
      <c r="V357" s="6"/>
      <c r="W357" s="6" t="s">
        <v>37</v>
      </c>
      <c r="X357" s="7">
        <v>45233</v>
      </c>
      <c r="Y357" s="7">
        <v>45366</v>
      </c>
      <c r="AB357" t="e">
        <v>#N/A</v>
      </c>
      <c r="AC357" t="s">
        <v>4209</v>
      </c>
      <c r="AE357" t="str">
        <f t="shared" si="57"/>
        <v>P000028</v>
      </c>
      <c r="AF357" t="str">
        <f>_xlfn.XLOOKUP(AE357, Hoja2!A:A, Hoja2!A:A)</f>
        <v>P000028</v>
      </c>
      <c r="AG357" t="str">
        <f t="shared" si="62"/>
        <v>PP00031-04</v>
      </c>
      <c r="AH357">
        <f>_xlfn.XLOOKUP(AG357, Hoja3!A:A, Hoja3!B:B)</f>
        <v>4565</v>
      </c>
      <c r="AI357" t="str">
        <f>_xlfn.XLOOKUP(AH357, Hoja4!A:A, Hoja4!B:B)</f>
        <v>V20808526</v>
      </c>
      <c r="AJ357" t="b">
        <f t="shared" si="63"/>
        <v>1</v>
      </c>
    </row>
    <row r="358" spans="1:36" ht="15.5" customHeight="1" x14ac:dyDescent="0.35">
      <c r="A358">
        <f t="shared" ca="1" si="56"/>
        <v>45</v>
      </c>
      <c r="B358" s="6" t="s">
        <v>1225</v>
      </c>
      <c r="C358" s="7">
        <v>45188</v>
      </c>
      <c r="D358" s="6" t="s">
        <v>912</v>
      </c>
      <c r="E358" s="6" t="s">
        <v>83</v>
      </c>
      <c r="F358" s="6" t="s">
        <v>641</v>
      </c>
      <c r="G358" s="6" t="s">
        <v>299</v>
      </c>
      <c r="H358" s="6" t="s">
        <v>1226</v>
      </c>
      <c r="I358" s="6" t="s">
        <v>133</v>
      </c>
      <c r="J358" s="6" t="str">
        <f>IF(E358="KTG","KTG",(VLOOKUP(I358,'[1]list of outsource'!B:H,2,0)))</f>
        <v>UPM</v>
      </c>
      <c r="K358" s="6" t="s">
        <v>301</v>
      </c>
      <c r="L358" s="6">
        <v>23</v>
      </c>
      <c r="M358" s="6" t="s">
        <v>1104</v>
      </c>
      <c r="N358" s="6" t="s">
        <v>1105</v>
      </c>
      <c r="O358" s="6" t="s">
        <v>1227</v>
      </c>
      <c r="P358" s="6"/>
      <c r="Q358" s="8"/>
      <c r="R358" s="6"/>
      <c r="S358" s="6"/>
      <c r="T358" s="6"/>
      <c r="U358" s="6">
        <v>4</v>
      </c>
      <c r="V358" s="6"/>
      <c r="W358" s="6" t="s">
        <v>37</v>
      </c>
      <c r="X358" s="7">
        <v>45233</v>
      </c>
      <c r="Y358" s="7">
        <v>45366</v>
      </c>
      <c r="AB358" t="e">
        <v>#N/A</v>
      </c>
      <c r="AC358" t="e">
        <v>#N/A</v>
      </c>
      <c r="AE358" t="str">
        <f t="shared" si="57"/>
        <v>P000029</v>
      </c>
      <c r="AF358" t="str">
        <f>_xlfn.XLOOKUP(AE358, Hoja2!A:A, Hoja2!A:A)</f>
        <v>P000029</v>
      </c>
      <c r="AG358" t="str">
        <f t="shared" si="62"/>
        <v>PP00031-05</v>
      </c>
      <c r="AH358">
        <f>_xlfn.XLOOKUP(AG358, Hoja3!A:A, Hoja3!B:B)</f>
        <v>5165</v>
      </c>
      <c r="AI358" t="str">
        <f>_xlfn.XLOOKUP(AH358, Hoja4!A:A, Hoja4!B:B)</f>
        <v>V20808524</v>
      </c>
      <c r="AJ358" t="b">
        <f t="shared" si="63"/>
        <v>1</v>
      </c>
    </row>
    <row r="359" spans="1:36" ht="15.5" customHeight="1" x14ac:dyDescent="0.35">
      <c r="A359">
        <f t="shared" ca="1" si="56"/>
        <v>45</v>
      </c>
      <c r="B359" s="6" t="s">
        <v>1228</v>
      </c>
      <c r="C359" s="7">
        <v>45188</v>
      </c>
      <c r="D359" s="6" t="s">
        <v>912</v>
      </c>
      <c r="E359" s="6" t="s">
        <v>83</v>
      </c>
      <c r="F359" s="6" t="s">
        <v>641</v>
      </c>
      <c r="G359" s="6" t="s">
        <v>299</v>
      </c>
      <c r="H359" s="6" t="s">
        <v>1229</v>
      </c>
      <c r="I359" s="6" t="s">
        <v>133</v>
      </c>
      <c r="J359" s="6" t="str">
        <f>IF(E359="KTG","KTG",(VLOOKUP(I359,'[1]list of outsource'!B:H,2,0)))</f>
        <v>UPM</v>
      </c>
      <c r="K359" s="6" t="s">
        <v>301</v>
      </c>
      <c r="L359" s="6">
        <v>23</v>
      </c>
      <c r="M359" s="6" t="s">
        <v>807</v>
      </c>
      <c r="N359" s="6" t="s">
        <v>1230</v>
      </c>
      <c r="O359" s="6" t="s">
        <v>1231</v>
      </c>
      <c r="P359" s="6"/>
      <c r="Q359" s="8"/>
      <c r="R359" s="6"/>
      <c r="S359" s="6"/>
      <c r="T359" s="6"/>
      <c r="U359" s="6">
        <v>4</v>
      </c>
      <c r="V359" s="6"/>
      <c r="W359" s="6" t="s">
        <v>37</v>
      </c>
      <c r="X359" s="7">
        <v>45233</v>
      </c>
      <c r="Y359" s="7">
        <v>45366</v>
      </c>
      <c r="AB359" t="e">
        <v>#N/A</v>
      </c>
      <c r="AC359" t="e">
        <v>#N/A</v>
      </c>
      <c r="AE359" t="str">
        <f t="shared" si="57"/>
        <v>P100355</v>
      </c>
      <c r="AF359" t="str">
        <f>_xlfn.XLOOKUP(AE359, Hoja2!A:A, Hoja2!A:A)</f>
        <v>P100355</v>
      </c>
      <c r="AG359" t="str">
        <f t="shared" si="62"/>
        <v>PP00031-06</v>
      </c>
      <c r="AH359">
        <f>_xlfn.XLOOKUP(AG359, Hoja3!A:A, Hoja3!B:B)</f>
        <v>4567</v>
      </c>
      <c r="AI359" t="str">
        <f>_xlfn.XLOOKUP(AH359, Hoja4!A:A, Hoja4!B:B)</f>
        <v>V20808530</v>
      </c>
      <c r="AJ359" t="b">
        <f t="shared" si="63"/>
        <v>1</v>
      </c>
    </row>
    <row r="360" spans="1:36" ht="15.5" customHeight="1" x14ac:dyDescent="0.35">
      <c r="A360">
        <f t="shared" ca="1" si="56"/>
        <v>45</v>
      </c>
      <c r="B360" s="6" t="s">
        <v>1232</v>
      </c>
      <c r="C360" s="7">
        <v>45188</v>
      </c>
      <c r="D360" s="6" t="s">
        <v>912</v>
      </c>
      <c r="E360" s="6" t="s">
        <v>83</v>
      </c>
      <c r="F360" s="6" t="s">
        <v>641</v>
      </c>
      <c r="G360" s="6" t="s">
        <v>299</v>
      </c>
      <c r="H360" s="6" t="s">
        <v>1233</v>
      </c>
      <c r="I360" s="6" t="s">
        <v>133</v>
      </c>
      <c r="J360" s="6" t="str">
        <f>IF(E360="KTG","KTG",(VLOOKUP(I360,'[1]list of outsource'!B:H,2,0)))</f>
        <v>UPM</v>
      </c>
      <c r="K360" s="6" t="s">
        <v>301</v>
      </c>
      <c r="L360" s="6">
        <v>23</v>
      </c>
      <c r="M360" s="6" t="s">
        <v>546</v>
      </c>
      <c r="N360" s="6" t="s">
        <v>1234</v>
      </c>
      <c r="O360" s="6" t="s">
        <v>1235</v>
      </c>
      <c r="P360" s="6"/>
      <c r="Q360" s="8"/>
      <c r="R360" s="6"/>
      <c r="S360" s="6"/>
      <c r="T360" s="6"/>
      <c r="U360" s="6">
        <v>4</v>
      </c>
      <c r="V360" s="6"/>
      <c r="W360" s="6" t="s">
        <v>37</v>
      </c>
      <c r="X360" s="7">
        <v>45233</v>
      </c>
      <c r="Y360" s="7">
        <v>45316</v>
      </c>
      <c r="AB360" t="e">
        <v>#N/A</v>
      </c>
      <c r="AC360" t="e">
        <v>#N/A</v>
      </c>
      <c r="AE360" t="str">
        <f t="shared" si="57"/>
        <v>P100356</v>
      </c>
      <c r="AF360" t="str">
        <f>_xlfn.XLOOKUP(AE360, Hoja2!A:A, Hoja2!A:A)</f>
        <v>P100356</v>
      </c>
      <c r="AG360" t="str">
        <f t="shared" si="62"/>
        <v>PP00031-07</v>
      </c>
      <c r="AH360">
        <f>_xlfn.XLOOKUP(AG360, Hoja3!A:A, Hoja3!B:B)</f>
        <v>5166</v>
      </c>
      <c r="AI360" t="str">
        <f>_xlfn.XLOOKUP(AH360, Hoja4!A:A, Hoja4!B:B)</f>
        <v>V20784162</v>
      </c>
      <c r="AJ360" t="b">
        <f t="shared" si="63"/>
        <v>1</v>
      </c>
    </row>
    <row r="361" spans="1:36" ht="15.5" customHeight="1" x14ac:dyDescent="0.35">
      <c r="A361">
        <f t="shared" ca="1" si="56"/>
        <v>45</v>
      </c>
      <c r="B361" s="6" t="s">
        <v>1236</v>
      </c>
      <c r="C361" s="7">
        <v>45188</v>
      </c>
      <c r="D361" s="6" t="s">
        <v>912</v>
      </c>
      <c r="E361" s="6" t="s">
        <v>83</v>
      </c>
      <c r="F361" s="6" t="s">
        <v>641</v>
      </c>
      <c r="G361" s="6" t="s">
        <v>299</v>
      </c>
      <c r="H361" s="6" t="s">
        <v>1237</v>
      </c>
      <c r="I361" s="6" t="s">
        <v>133</v>
      </c>
      <c r="J361" s="6" t="str">
        <f>IF(E361="KTG","KTG",(VLOOKUP(I361,'[1]list of outsource'!B:H,2,0)))</f>
        <v>UPM</v>
      </c>
      <c r="K361" s="6" t="s">
        <v>301</v>
      </c>
      <c r="L361" s="6">
        <v>23</v>
      </c>
      <c r="M361" s="6" t="s">
        <v>802</v>
      </c>
      <c r="N361" s="6" t="s">
        <v>1238</v>
      </c>
      <c r="O361" s="6" t="s">
        <v>1239</v>
      </c>
      <c r="P361" s="6"/>
      <c r="Q361" s="8" t="s">
        <v>575</v>
      </c>
      <c r="R361" s="6"/>
      <c r="S361" s="6"/>
      <c r="T361" s="6"/>
      <c r="U361" s="6">
        <v>4</v>
      </c>
      <c r="V361" s="6"/>
      <c r="W361" s="6" t="s">
        <v>37</v>
      </c>
      <c r="X361" s="7">
        <v>45233</v>
      </c>
      <c r="Y361" s="7">
        <v>45420</v>
      </c>
      <c r="AB361" t="s">
        <v>804</v>
      </c>
      <c r="AC361" t="e">
        <v>#N/A</v>
      </c>
      <c r="AE361" t="str">
        <f t="shared" si="57"/>
        <v>P000025</v>
      </c>
      <c r="AF361" t="str">
        <f>_xlfn.XLOOKUP(AE361, Hoja2!A:A, Hoja2!A:A)</f>
        <v>P000025</v>
      </c>
      <c r="AG361" t="str">
        <f t="shared" si="62"/>
        <v>PP00031-08</v>
      </c>
      <c r="AH361">
        <f>_xlfn.XLOOKUP(AG361, Hoja3!A:A, Hoja3!B:B)</f>
        <v>4562</v>
      </c>
      <c r="AI361" t="str">
        <f>_xlfn.XLOOKUP(AH361, Hoja4!A:A, Hoja4!B:B)</f>
        <v>V20808529</v>
      </c>
      <c r="AJ361" t="b">
        <f t="shared" si="63"/>
        <v>1</v>
      </c>
    </row>
    <row r="362" spans="1:36" ht="15.5" customHeight="1" x14ac:dyDescent="0.35">
      <c r="A362">
        <f t="shared" ca="1" si="56"/>
        <v>17</v>
      </c>
      <c r="B362" s="6" t="s">
        <v>1240</v>
      </c>
      <c r="C362" s="7">
        <v>45040</v>
      </c>
      <c r="D362" s="6" t="s">
        <v>507</v>
      </c>
      <c r="E362" s="6" t="s">
        <v>139</v>
      </c>
      <c r="F362" s="6" t="s">
        <v>84</v>
      </c>
      <c r="G362" s="6" t="s">
        <v>156</v>
      </c>
      <c r="H362" s="6" t="s">
        <v>697</v>
      </c>
      <c r="I362" s="6" t="s">
        <v>402</v>
      </c>
      <c r="J362" s="6" t="str">
        <f>IF(E362="KTG","KTG",(VLOOKUP(I362,'[1]list of outsource'!B:H,2,0)))</f>
        <v>ETC</v>
      </c>
      <c r="K362" s="6" t="s">
        <v>403</v>
      </c>
      <c r="L362" s="6"/>
      <c r="M362" s="6" t="s">
        <v>491</v>
      </c>
      <c r="N362" s="6" t="s">
        <v>698</v>
      </c>
      <c r="O362" s="6">
        <v>1210982220</v>
      </c>
      <c r="P362" s="6"/>
      <c r="Q362" s="8"/>
      <c r="R362" s="6"/>
      <c r="S362" s="6"/>
      <c r="T362" s="6"/>
      <c r="U362" s="6">
        <v>3</v>
      </c>
      <c r="V362" s="6"/>
      <c r="W362" s="6" t="s">
        <v>154</v>
      </c>
      <c r="X362" s="7">
        <v>45057</v>
      </c>
      <c r="Y362" s="7">
        <v>45082</v>
      </c>
      <c r="AB362" t="e">
        <v>#N/A</v>
      </c>
      <c r="AC362" t="e">
        <v>#N/A</v>
      </c>
      <c r="AE362" t="str">
        <f t="shared" si="57"/>
        <v>P000293</v>
      </c>
      <c r="AF362" t="str">
        <f>_xlfn.XLOOKUP(AE362, Hoja2!A:A, Hoja2!A:A)</f>
        <v>P000293</v>
      </c>
      <c r="AG362" t="str">
        <f t="shared" si="62"/>
        <v>PP00028-07</v>
      </c>
      <c r="AH362">
        <f>_xlfn.XLOOKUP(AG362, Hoja3!A:A, Hoja3!B:B)</f>
        <v>5315</v>
      </c>
      <c r="AI362" t="str">
        <f>_xlfn.XLOOKUP(AH362, Hoja4!A:A, Hoja4!B:B)</f>
        <v>E38926000</v>
      </c>
      <c r="AJ362" t="b">
        <f t="shared" si="63"/>
        <v>1</v>
      </c>
    </row>
    <row r="363" spans="1:36" ht="15.5" customHeight="1" x14ac:dyDescent="0.35">
      <c r="A363">
        <f t="shared" ca="1" si="56"/>
        <v>61</v>
      </c>
      <c r="B363" s="12" t="s">
        <v>355</v>
      </c>
      <c r="C363" s="13">
        <v>45190</v>
      </c>
      <c r="D363" s="14" t="s">
        <v>121</v>
      </c>
      <c r="E363" s="14" t="s">
        <v>83</v>
      </c>
      <c r="F363" s="14" t="s">
        <v>356</v>
      </c>
      <c r="G363" s="14" t="s">
        <v>32</v>
      </c>
      <c r="H363" s="14" t="s">
        <v>357</v>
      </c>
      <c r="I363" s="14" t="s">
        <v>158</v>
      </c>
      <c r="J363" s="14" t="str">
        <f>IF(E363="KTG","KTG",(VLOOKUP(I363,'[1]list of outsource'!B:H,2,0)))</f>
        <v>UPM</v>
      </c>
      <c r="K363" s="14" t="s">
        <v>159</v>
      </c>
      <c r="L363" s="14">
        <v>34</v>
      </c>
      <c r="M363" s="14" t="s">
        <v>358</v>
      </c>
      <c r="N363" s="14" t="s">
        <v>1241</v>
      </c>
      <c r="O363" s="14" t="s">
        <v>1242</v>
      </c>
      <c r="P363" s="14"/>
      <c r="Q363" s="15"/>
      <c r="R363" s="14"/>
      <c r="S363" s="16"/>
      <c r="T363" s="14"/>
      <c r="U363" s="14">
        <v>4</v>
      </c>
      <c r="V363" s="14"/>
      <c r="W363" s="14" t="s">
        <v>154</v>
      </c>
      <c r="X363" s="13">
        <v>45251</v>
      </c>
      <c r="Y363" s="13"/>
      <c r="AB363" t="e">
        <v>#N/A</v>
      </c>
      <c r="AC363" t="s">
        <v>4209</v>
      </c>
      <c r="AE363" t="str">
        <f t="shared" si="57"/>
        <v>P000109</v>
      </c>
      <c r="AF363" t="str">
        <f>_xlfn.XLOOKUP(AE363, Hoja2!A:A, Hoja2!A:A)</f>
        <v>P000109</v>
      </c>
      <c r="AG363" t="str">
        <f t="shared" si="62"/>
        <v>PP00012-01</v>
      </c>
      <c r="AH363">
        <f>_xlfn.XLOOKUP(AG363, Hoja3!A:A, Hoja3!B:B)</f>
        <v>4045</v>
      </c>
      <c r="AI363" t="str">
        <f>_xlfn.XLOOKUP(AH363, Hoja4!A:A, Hoja4!B:B)</f>
        <v>GAT125</v>
      </c>
      <c r="AJ363" t="b">
        <f t="shared" si="63"/>
        <v>1</v>
      </c>
    </row>
    <row r="364" spans="1:36" ht="15.5" customHeight="1" x14ac:dyDescent="0.35">
      <c r="A364">
        <f t="shared" ca="1" si="56"/>
        <v>1</v>
      </c>
      <c r="B364" s="6" t="s">
        <v>1240</v>
      </c>
      <c r="C364" s="7">
        <v>45417</v>
      </c>
      <c r="D364" s="6" t="s">
        <v>912</v>
      </c>
      <c r="E364" s="6" t="s">
        <v>139</v>
      </c>
      <c r="F364" s="6" t="s">
        <v>84</v>
      </c>
      <c r="G364" s="6" t="s">
        <v>156</v>
      </c>
      <c r="H364" s="6" t="s">
        <v>697</v>
      </c>
      <c r="I364" s="6" t="s">
        <v>402</v>
      </c>
      <c r="J364" s="6" t="str">
        <f>IF(E364="KTG","KTG",(VLOOKUP(I364,'[1]list of outsource'!B:H,2,0)))</f>
        <v>ETC</v>
      </c>
      <c r="K364" s="6" t="s">
        <v>403</v>
      </c>
      <c r="L364" s="6">
        <v>59</v>
      </c>
      <c r="M364" s="6" t="s">
        <v>491</v>
      </c>
      <c r="N364" s="6" t="s">
        <v>698</v>
      </c>
      <c r="O364" s="6">
        <v>1210982220</v>
      </c>
      <c r="P364" s="6"/>
      <c r="Q364" s="8" t="s">
        <v>575</v>
      </c>
      <c r="R364" s="6"/>
      <c r="S364" s="6"/>
      <c r="T364" s="6"/>
      <c r="U364" s="6">
        <v>1</v>
      </c>
      <c r="V364" s="6" t="s">
        <v>569</v>
      </c>
      <c r="W364" s="6" t="s">
        <v>576</v>
      </c>
      <c r="X364" s="7">
        <v>45418</v>
      </c>
      <c r="Y364" s="7">
        <v>45432</v>
      </c>
      <c r="AB364" t="e">
        <v>#N/A</v>
      </c>
      <c r="AC364" t="e">
        <v>#N/A</v>
      </c>
      <c r="AE364" t="str">
        <f t="shared" si="57"/>
        <v>P000293</v>
      </c>
      <c r="AF364" t="str">
        <f>_xlfn.XLOOKUP(AE364, Hoja2!A:A, Hoja2!A:A)</f>
        <v>P000293</v>
      </c>
      <c r="AG364" t="str">
        <f t="shared" si="62"/>
        <v>PP00028-07</v>
      </c>
      <c r="AH364">
        <f>_xlfn.XLOOKUP(AG364, Hoja3!A:A, Hoja3!B:B)</f>
        <v>5315</v>
      </c>
      <c r="AI364" t="str">
        <f>_xlfn.XLOOKUP(AH364, Hoja4!A:A, Hoja4!B:B)</f>
        <v>E38926000</v>
      </c>
      <c r="AJ364" t="b">
        <f t="shared" si="63"/>
        <v>1</v>
      </c>
    </row>
    <row r="365" spans="1:36" ht="15.5" customHeight="1" x14ac:dyDescent="0.35">
      <c r="A365">
        <f t="shared" ca="1" si="56"/>
        <v>52</v>
      </c>
      <c r="B365" s="6" t="s">
        <v>1243</v>
      </c>
      <c r="C365" s="7">
        <v>45195</v>
      </c>
      <c r="D365" s="6" t="s">
        <v>507</v>
      </c>
      <c r="E365" s="6" t="s">
        <v>139</v>
      </c>
      <c r="F365" s="6" t="s">
        <v>933</v>
      </c>
      <c r="G365" s="6" t="s">
        <v>299</v>
      </c>
      <c r="H365" s="6">
        <v>35758202</v>
      </c>
      <c r="I365" s="6" t="s">
        <v>402</v>
      </c>
      <c r="J365" s="6" t="str">
        <f>IF(E365="KTG","KTG",(VLOOKUP(I365,'[1]list of outsource'!B:H,2,0)))</f>
        <v>ETC</v>
      </c>
      <c r="K365" s="6" t="s">
        <v>403</v>
      </c>
      <c r="L365" s="6">
        <v>4</v>
      </c>
      <c r="M365" s="6" t="s">
        <v>1244</v>
      </c>
      <c r="N365" s="6" t="s">
        <v>1245</v>
      </c>
      <c r="O365" s="6" t="s">
        <v>1246</v>
      </c>
      <c r="P365" s="6"/>
      <c r="Q365" s="8" t="s">
        <v>575</v>
      </c>
      <c r="R365" s="6" t="s">
        <v>575</v>
      </c>
      <c r="S365" s="6" t="s">
        <v>575</v>
      </c>
      <c r="T365" s="6" t="s">
        <v>575</v>
      </c>
      <c r="U365" s="6">
        <v>4</v>
      </c>
      <c r="V365" s="6"/>
      <c r="W365" s="6" t="s">
        <v>37</v>
      </c>
      <c r="X365" s="7">
        <v>45247</v>
      </c>
      <c r="Y365" s="7">
        <v>45266</v>
      </c>
      <c r="AB365" t="e">
        <v>#N/A</v>
      </c>
      <c r="AC365" t="e">
        <v>#N/A</v>
      </c>
      <c r="AE365" t="str">
        <f t="shared" si="57"/>
        <v>P000339</v>
      </c>
      <c r="AF365" t="str">
        <f>_xlfn.XLOOKUP(AE365, Hoja2!A:A, Hoja2!A:A)</f>
        <v>P000339</v>
      </c>
      <c r="AG365" t="str">
        <f t="shared" si="62"/>
        <v>PP00063-0001</v>
      </c>
      <c r="AH365">
        <f>_xlfn.XLOOKUP(AG365, Hoja3!A:A, Hoja3!B:B)</f>
        <v>5161</v>
      </c>
      <c r="AI365">
        <f>_xlfn.XLOOKUP(AH365, Hoja4!A:A, Hoja4!B:B)</f>
        <v>35758202</v>
      </c>
      <c r="AJ365" t="b">
        <f t="shared" si="63"/>
        <v>1</v>
      </c>
    </row>
    <row r="366" spans="1:36" ht="15.5" customHeight="1" x14ac:dyDescent="0.35">
      <c r="A366">
        <f t="shared" ca="1" si="56"/>
        <v>55</v>
      </c>
      <c r="B366" s="6" t="s">
        <v>1247</v>
      </c>
      <c r="C366" s="7">
        <v>45197</v>
      </c>
      <c r="D366" s="6" t="s">
        <v>507</v>
      </c>
      <c r="E366" s="6" t="s">
        <v>83</v>
      </c>
      <c r="F366" s="6" t="s">
        <v>441</v>
      </c>
      <c r="G366" s="6" t="s">
        <v>32</v>
      </c>
      <c r="H366" s="6" t="s">
        <v>442</v>
      </c>
      <c r="I366" s="6" t="s">
        <v>95</v>
      </c>
      <c r="J366" s="6" t="str">
        <f>IF(E366="KTG","KTG",(VLOOKUP(I366,'[1]list of outsource'!B:H,2,0)))</f>
        <v>Woer</v>
      </c>
      <c r="K366" s="6" t="s">
        <v>96</v>
      </c>
      <c r="L366" s="6">
        <v>39</v>
      </c>
      <c r="M366" s="6" t="s">
        <v>443</v>
      </c>
      <c r="N366" s="6" t="s">
        <v>444</v>
      </c>
      <c r="O366" s="6">
        <v>1285136462</v>
      </c>
      <c r="P366" s="6"/>
      <c r="Q366" s="8" t="s">
        <v>575</v>
      </c>
      <c r="R366" s="6"/>
      <c r="S366" s="6"/>
      <c r="T366" s="6"/>
      <c r="U366" s="6">
        <v>1</v>
      </c>
      <c r="V366" s="6"/>
      <c r="W366" s="6" t="s">
        <v>154</v>
      </c>
      <c r="X366" s="7">
        <v>45252</v>
      </c>
      <c r="Y366" s="7">
        <v>45274</v>
      </c>
      <c r="AB366" t="e">
        <v>#N/A</v>
      </c>
      <c r="AC366" t="e">
        <v>#N/A</v>
      </c>
      <c r="AE366" t="str">
        <f t="shared" si="57"/>
        <v>P000110</v>
      </c>
      <c r="AF366" t="str">
        <f>_xlfn.XLOOKUP(AE366, Hoja2!A:A, Hoja2!A:A)</f>
        <v>P000110</v>
      </c>
      <c r="AG366" t="str">
        <f t="shared" si="62"/>
        <v>PP00025-01</v>
      </c>
      <c r="AH366">
        <v>75</v>
      </c>
      <c r="AI366" t="str">
        <f>_xlfn.XLOOKUP(AH366, Hoja4!A:A, Hoja4!B:B)</f>
        <v>ZRM-982381-20</v>
      </c>
      <c r="AJ366" t="b">
        <f t="shared" si="63"/>
        <v>1</v>
      </c>
    </row>
    <row r="367" spans="1:36" ht="15.5" customHeight="1" x14ac:dyDescent="0.35">
      <c r="A367">
        <f t="shared" ca="1" si="56"/>
        <v>55</v>
      </c>
      <c r="B367" s="6" t="s">
        <v>1248</v>
      </c>
      <c r="C367" s="7">
        <v>45197</v>
      </c>
      <c r="D367" s="6" t="s">
        <v>507</v>
      </c>
      <c r="E367" s="6" t="s">
        <v>83</v>
      </c>
      <c r="F367" s="6" t="s">
        <v>441</v>
      </c>
      <c r="G367" s="6" t="s">
        <v>32</v>
      </c>
      <c r="H367" s="6" t="s">
        <v>446</v>
      </c>
      <c r="I367" s="6" t="s">
        <v>447</v>
      </c>
      <c r="J367" s="6" t="str">
        <f>IF(E367="KTG","KTG",(VLOOKUP(I367,'[1]list of outsource'!B:H,2,0)))</f>
        <v>UPM</v>
      </c>
      <c r="K367" s="6" t="s">
        <v>448</v>
      </c>
      <c r="L367" s="6">
        <v>6</v>
      </c>
      <c r="M367" s="6" t="s">
        <v>449</v>
      </c>
      <c r="N367" s="6" t="s">
        <v>450</v>
      </c>
      <c r="O367" s="6">
        <v>1285137916</v>
      </c>
      <c r="P367" s="6"/>
      <c r="Q367" s="8" t="s">
        <v>575</v>
      </c>
      <c r="R367" s="6"/>
      <c r="S367" s="6"/>
      <c r="T367" s="6"/>
      <c r="U367" s="6">
        <v>1</v>
      </c>
      <c r="V367" s="6"/>
      <c r="W367" s="6" t="s">
        <v>154</v>
      </c>
      <c r="X367" s="7">
        <v>45252</v>
      </c>
      <c r="Y367" s="7">
        <v>45274</v>
      </c>
      <c r="AB367">
        <v>0</v>
      </c>
      <c r="AC367" t="e">
        <v>#N/A</v>
      </c>
      <c r="AE367" t="str">
        <f t="shared" si="57"/>
        <v>P000105</v>
      </c>
      <c r="AF367" t="str">
        <f>_xlfn.XLOOKUP(AE367, Hoja2!A:A, Hoja2!A:A)</f>
        <v>P000105</v>
      </c>
      <c r="AG367" t="str">
        <f t="shared" si="62"/>
        <v>PP00025-02</v>
      </c>
      <c r="AH367">
        <f>_xlfn.XLOOKUP(AG367, Hoja3!A:A, Hoja3!B:B)</f>
        <v>73</v>
      </c>
      <c r="AI367" t="str">
        <f>_xlfn.XLOOKUP(AH367, Hoja4!A:A, Hoja4!B:B)</f>
        <v>ZRM-982367-17</v>
      </c>
      <c r="AJ367" t="b">
        <f t="shared" si="63"/>
        <v>1</v>
      </c>
    </row>
    <row r="368" spans="1:36" ht="15.5" customHeight="1" x14ac:dyDescent="0.35">
      <c r="A368">
        <f t="shared" ca="1" si="56"/>
        <v>55</v>
      </c>
      <c r="B368" s="6" t="s">
        <v>1249</v>
      </c>
      <c r="C368" s="7">
        <v>45197</v>
      </c>
      <c r="D368" s="6" t="s">
        <v>507</v>
      </c>
      <c r="E368" s="6" t="s">
        <v>83</v>
      </c>
      <c r="F368" s="6" t="s">
        <v>441</v>
      </c>
      <c r="G368" s="6" t="s">
        <v>32</v>
      </c>
      <c r="H368" s="6" t="s">
        <v>1250</v>
      </c>
      <c r="I368" s="6" t="s">
        <v>95</v>
      </c>
      <c r="J368" s="6" t="str">
        <f>IF(E368="KTG","KTG",(VLOOKUP(I368,'[1]list of outsource'!B:H,2,0)))</f>
        <v>Woer</v>
      </c>
      <c r="K368" s="6" t="s">
        <v>96</v>
      </c>
      <c r="L368" s="6">
        <v>39</v>
      </c>
      <c r="M368" s="6" t="s">
        <v>248</v>
      </c>
      <c r="N368" s="6" t="s">
        <v>1251</v>
      </c>
      <c r="O368" s="6">
        <v>1285143563</v>
      </c>
      <c r="P368" s="6"/>
      <c r="Q368" s="8" t="s">
        <v>575</v>
      </c>
      <c r="R368" s="6"/>
      <c r="S368" s="6"/>
      <c r="T368" s="6"/>
      <c r="U368" s="6">
        <v>1</v>
      </c>
      <c r="V368" s="6"/>
      <c r="W368" s="6" t="s">
        <v>154</v>
      </c>
      <c r="X368" s="7">
        <v>45252</v>
      </c>
      <c r="Y368" s="7">
        <v>45274</v>
      </c>
      <c r="AB368" t="s">
        <v>1252</v>
      </c>
      <c r="AC368" t="e">
        <v>#N/A</v>
      </c>
      <c r="AE368" t="str">
        <f t="shared" si="57"/>
        <v>P000107</v>
      </c>
      <c r="AF368" t="str">
        <f>_xlfn.XLOOKUP(AE368, Hoja2!A:A, Hoja2!A:A)</f>
        <v>P000107</v>
      </c>
      <c r="AG368" t="str">
        <f t="shared" si="62"/>
        <v>PP00025-04</v>
      </c>
      <c r="AH368">
        <f>_xlfn.XLOOKUP(AG368, Hoja3!A:A, Hoja3!B:B)</f>
        <v>74</v>
      </c>
      <c r="AI368" t="str">
        <f>_xlfn.XLOOKUP(AH368, Hoja4!A:A, Hoja4!B:B)</f>
        <v>ZRM-98845-11</v>
      </c>
      <c r="AJ368" t="b">
        <f t="shared" si="63"/>
        <v>1</v>
      </c>
    </row>
    <row r="369" spans="1:36" ht="15.5" customHeight="1" x14ac:dyDescent="0.35">
      <c r="A369">
        <f t="shared" ca="1" si="56"/>
        <v>55</v>
      </c>
      <c r="B369" s="6" t="s">
        <v>1253</v>
      </c>
      <c r="C369" s="7">
        <v>45197</v>
      </c>
      <c r="D369" s="6" t="s">
        <v>507</v>
      </c>
      <c r="E369" s="6" t="s">
        <v>83</v>
      </c>
      <c r="F369" s="6" t="s">
        <v>441</v>
      </c>
      <c r="G369" s="6" t="s">
        <v>32</v>
      </c>
      <c r="H369" s="6" t="s">
        <v>1254</v>
      </c>
      <c r="I369" s="6" t="s">
        <v>447</v>
      </c>
      <c r="J369" s="6" t="str">
        <f>IF(E369="KTG","KTG",(VLOOKUP(I369,'[1]list of outsource'!B:H,2,0)))</f>
        <v>UPM</v>
      </c>
      <c r="K369" s="6" t="s">
        <v>448</v>
      </c>
      <c r="L369" s="6">
        <v>6</v>
      </c>
      <c r="M369" s="6" t="s">
        <v>1255</v>
      </c>
      <c r="N369" s="6" t="s">
        <v>1256</v>
      </c>
      <c r="O369" s="6">
        <v>1285142630</v>
      </c>
      <c r="P369" s="6"/>
      <c r="Q369" s="8" t="s">
        <v>575</v>
      </c>
      <c r="R369" s="6"/>
      <c r="S369" s="6"/>
      <c r="T369" s="6"/>
      <c r="U369" s="6">
        <v>4</v>
      </c>
      <c r="V369" s="6"/>
      <c r="W369" s="6" t="s">
        <v>37</v>
      </c>
      <c r="X369" s="7">
        <v>45252</v>
      </c>
      <c r="Y369" s="7">
        <v>45274</v>
      </c>
      <c r="AB369">
        <v>0</v>
      </c>
      <c r="AC369" t="s">
        <v>4210</v>
      </c>
      <c r="AE369" t="str">
        <f t="shared" si="57"/>
        <v>P000075</v>
      </c>
      <c r="AF369" t="str">
        <f>_xlfn.XLOOKUP(AE369, Hoja2!A:A, Hoja2!A:A)</f>
        <v>P000075</v>
      </c>
      <c r="AG369" t="str">
        <f t="shared" si="62"/>
        <v>PP00025-03</v>
      </c>
      <c r="AH369">
        <f>_xlfn.XLOOKUP(AG369, Hoja3!A:A, Hoja3!B:B)</f>
        <v>72</v>
      </c>
      <c r="AI369" t="str">
        <f>_xlfn.XLOOKUP(AH369, Hoja4!A:A, Hoja4!B:B)</f>
        <v>ZRM-982319-16</v>
      </c>
      <c r="AJ369" t="b">
        <f t="shared" si="63"/>
        <v>1</v>
      </c>
    </row>
    <row r="370" spans="1:36" ht="15.5" customHeight="1" x14ac:dyDescent="0.35">
      <c r="A370">
        <f t="shared" ca="1" si="56"/>
        <v>1</v>
      </c>
      <c r="B370" s="6" t="s">
        <v>1240</v>
      </c>
      <c r="C370" s="7">
        <v>45791</v>
      </c>
      <c r="D370" s="6" t="s">
        <v>564</v>
      </c>
      <c r="E370" s="6" t="s">
        <v>139</v>
      </c>
      <c r="F370" s="6" t="s">
        <v>84</v>
      </c>
      <c r="G370" s="6" t="s">
        <v>156</v>
      </c>
      <c r="H370" s="6" t="s">
        <v>697</v>
      </c>
      <c r="I370" s="6" t="s">
        <v>402</v>
      </c>
      <c r="J370" s="6" t="str">
        <f>IF(E370="KTG","KTG",(VLOOKUP(I370,'[1]list of outsource'!B:H,2,0)))</f>
        <v>ETC</v>
      </c>
      <c r="K370" s="6" t="s">
        <v>403</v>
      </c>
      <c r="L370" s="6">
        <v>68</v>
      </c>
      <c r="M370" s="6" t="s">
        <v>491</v>
      </c>
      <c r="N370" s="6" t="s">
        <v>698</v>
      </c>
      <c r="O370" s="6" t="s">
        <v>1257</v>
      </c>
      <c r="P370" s="6"/>
      <c r="Q370" s="8"/>
      <c r="R370" s="6"/>
      <c r="S370" s="6"/>
      <c r="T370" s="6"/>
      <c r="U370" s="6">
        <v>1</v>
      </c>
      <c r="V370" s="6" t="s">
        <v>569</v>
      </c>
      <c r="W370" s="6" t="s">
        <v>576</v>
      </c>
      <c r="X370" s="7">
        <v>45792</v>
      </c>
      <c r="Y370" s="7">
        <v>45799</v>
      </c>
      <c r="AB370" t="e">
        <v>#N/A</v>
      </c>
      <c r="AC370" t="s">
        <v>4210</v>
      </c>
      <c r="AE370" t="str">
        <f t="shared" si="57"/>
        <v>P000293</v>
      </c>
      <c r="AF370" t="str">
        <f>_xlfn.XLOOKUP(AE370, Hoja2!A:A, Hoja2!A:A)</f>
        <v>P000293</v>
      </c>
      <c r="AG370" t="str">
        <f t="shared" si="62"/>
        <v>PP00028-07</v>
      </c>
      <c r="AH370">
        <f>_xlfn.XLOOKUP(AG370, Hoja3!A:A, Hoja3!B:B)</f>
        <v>5315</v>
      </c>
      <c r="AI370" t="str">
        <f>_xlfn.XLOOKUP(AH370, Hoja4!A:A, Hoja4!B:B)</f>
        <v>E38926000</v>
      </c>
      <c r="AJ370" t="b">
        <f t="shared" si="63"/>
        <v>1</v>
      </c>
    </row>
    <row r="371" spans="1:36" ht="15.5" customHeight="1" x14ac:dyDescent="0.35">
      <c r="A371">
        <f t="shared" ca="1" si="56"/>
        <v>43</v>
      </c>
      <c r="B371" s="6" t="s">
        <v>1258</v>
      </c>
      <c r="C371" s="7">
        <v>45175</v>
      </c>
      <c r="D371" s="6" t="s">
        <v>507</v>
      </c>
      <c r="E371" s="6" t="s">
        <v>139</v>
      </c>
      <c r="F371" s="6" t="s">
        <v>658</v>
      </c>
      <c r="G371" s="6" t="s">
        <v>32</v>
      </c>
      <c r="H371" s="6">
        <v>35758256</v>
      </c>
      <c r="I371" s="6" t="s">
        <v>529</v>
      </c>
      <c r="J371" s="6" t="str">
        <f>IF(E371="KTG","KTG",(VLOOKUP(I371,'[1]list of outsource'!B:H,2,0)))</f>
        <v>ETC</v>
      </c>
      <c r="K371" s="6" t="s">
        <v>530</v>
      </c>
      <c r="L371" s="6"/>
      <c r="M371" s="6" t="s">
        <v>1259</v>
      </c>
      <c r="N371" s="6" t="s">
        <v>1260</v>
      </c>
      <c r="O371" s="6">
        <v>1265951638</v>
      </c>
      <c r="P371" s="6"/>
      <c r="Q371" s="8"/>
      <c r="R371" s="6"/>
      <c r="S371" s="6"/>
      <c r="T371" s="6"/>
      <c r="U371" s="6">
        <v>4</v>
      </c>
      <c r="V371" s="6"/>
      <c r="W371" s="6" t="s">
        <v>37</v>
      </c>
      <c r="X371" s="7">
        <v>45218</v>
      </c>
      <c r="Y371" s="7">
        <v>45218</v>
      </c>
      <c r="AB371" t="e">
        <v>#N/A</v>
      </c>
      <c r="AC371" t="s">
        <v>4210</v>
      </c>
      <c r="AE371" t="str">
        <f t="shared" si="57"/>
        <v>P000452</v>
      </c>
      <c r="AF371" t="str">
        <f>_xlfn.XLOOKUP(AE371, Hoja2!A:A, Hoja2!A:A)</f>
        <v>P000452</v>
      </c>
      <c r="AG371" t="str">
        <f t="shared" si="62"/>
        <v>PP00034-15</v>
      </c>
      <c r="AH371">
        <f>_xlfn.XLOOKUP(AG371, Hoja3!A:A, Hoja3!B:B)</f>
        <v>4797</v>
      </c>
      <c r="AI371">
        <f>_xlfn.XLOOKUP(AH371, Hoja4!A:A, Hoja4!B:B)</f>
        <v>35758256</v>
      </c>
      <c r="AJ371" t="b">
        <f t="shared" si="63"/>
        <v>1</v>
      </c>
    </row>
    <row r="372" spans="1:36" ht="15.5" customHeight="1" x14ac:dyDescent="0.35">
      <c r="A372">
        <f t="shared" ca="1" si="56"/>
        <v>30</v>
      </c>
      <c r="B372" s="6" t="s">
        <v>1261</v>
      </c>
      <c r="C372" s="7">
        <v>45047</v>
      </c>
      <c r="D372" s="6" t="s">
        <v>507</v>
      </c>
      <c r="E372" s="6" t="s">
        <v>83</v>
      </c>
      <c r="F372" s="6" t="s">
        <v>84</v>
      </c>
      <c r="G372" s="6" t="s">
        <v>156</v>
      </c>
      <c r="H372" s="6" t="s">
        <v>163</v>
      </c>
      <c r="I372" s="6" t="s">
        <v>158</v>
      </c>
      <c r="J372" s="6" t="str">
        <f>IF(E372="KTG","KTG",(VLOOKUP(I372,'[1]list of outsource'!B:H,2,0)))</f>
        <v>UPM</v>
      </c>
      <c r="K372" s="6" t="s">
        <v>159</v>
      </c>
      <c r="L372" s="6">
        <v>33</v>
      </c>
      <c r="M372" s="6" t="s">
        <v>164</v>
      </c>
      <c r="N372" s="6" t="s">
        <v>1090</v>
      </c>
      <c r="O372" s="6" t="s">
        <v>1262</v>
      </c>
      <c r="P372" s="6"/>
      <c r="Q372" s="8"/>
      <c r="R372" s="6"/>
      <c r="S372" s="6"/>
      <c r="T372" s="6"/>
      <c r="U372" s="6">
        <v>2</v>
      </c>
      <c r="V372" s="6"/>
      <c r="W372" s="6" t="s">
        <v>154</v>
      </c>
      <c r="X372" s="7">
        <v>45077</v>
      </c>
      <c r="Y372" s="7">
        <v>45187</v>
      </c>
      <c r="AB372" t="e">
        <v>#N/A</v>
      </c>
      <c r="AC372" t="e">
        <v>#N/A</v>
      </c>
      <c r="AE372" t="str">
        <f t="shared" si="57"/>
        <v>P000106</v>
      </c>
      <c r="AF372" t="str">
        <f>_xlfn.XLOOKUP(AE372, Hoja2!A:A, Hoja2!A:A)</f>
        <v>P000106</v>
      </c>
      <c r="AG372" t="str">
        <f t="shared" si="62"/>
        <v>PP00028-08</v>
      </c>
      <c r="AH372">
        <f>_xlfn.XLOOKUP(AG372, Hoja3!A:A, Hoja3!B:B)</f>
        <v>40</v>
      </c>
      <c r="AI372" t="str">
        <f>_xlfn.XLOOKUP(AH372, Hoja4!A:A, Hoja4!B:B)</f>
        <v>E33301100</v>
      </c>
      <c r="AJ372" t="b">
        <f t="shared" si="63"/>
        <v>1</v>
      </c>
    </row>
    <row r="373" spans="1:36" ht="15.5" customHeight="1" x14ac:dyDescent="0.35">
      <c r="A373">
        <f t="shared" ca="1" si="56"/>
        <v>0</v>
      </c>
      <c r="B373" s="6" t="s">
        <v>1261</v>
      </c>
      <c r="C373" s="7">
        <v>45764</v>
      </c>
      <c r="D373" s="6" t="s">
        <v>564</v>
      </c>
      <c r="E373" s="6" t="s">
        <v>83</v>
      </c>
      <c r="F373" s="6" t="s">
        <v>84</v>
      </c>
      <c r="G373" s="6" t="s">
        <v>156</v>
      </c>
      <c r="H373" s="6" t="s">
        <v>163</v>
      </c>
      <c r="I373" s="6" t="s">
        <v>158</v>
      </c>
      <c r="J373" s="6" t="str">
        <f>IF(E373="KTG","KTG",(VLOOKUP(I373,'[1]list of outsource'!B:H,2,0)))</f>
        <v>UPM</v>
      </c>
      <c r="K373" s="6" t="s">
        <v>159</v>
      </c>
      <c r="L373" s="6">
        <v>45</v>
      </c>
      <c r="M373" s="6" t="s">
        <v>164</v>
      </c>
      <c r="N373" s="6" t="s">
        <v>1090</v>
      </c>
      <c r="O373" s="6" t="s">
        <v>1263</v>
      </c>
      <c r="P373" s="6"/>
      <c r="Q373" s="8"/>
      <c r="R373" s="6"/>
      <c r="S373" s="6"/>
      <c r="T373" s="6"/>
      <c r="U373" s="6">
        <v>1</v>
      </c>
      <c r="V373" s="6" t="s">
        <v>569</v>
      </c>
      <c r="W373" s="6" t="s">
        <v>154</v>
      </c>
      <c r="X373" s="7">
        <v>45764</v>
      </c>
      <c r="Y373" s="7">
        <v>45764</v>
      </c>
      <c r="Z373" t="s">
        <v>1264</v>
      </c>
      <c r="AB373" t="e">
        <v>#N/A</v>
      </c>
      <c r="AC373" t="e">
        <v>#N/A</v>
      </c>
      <c r="AE373" t="str">
        <f t="shared" si="57"/>
        <v>P000106</v>
      </c>
      <c r="AF373" t="str">
        <f>_xlfn.XLOOKUP(AE373, Hoja2!A:A, Hoja2!A:A)</f>
        <v>P000106</v>
      </c>
      <c r="AG373" t="str">
        <f t="shared" si="62"/>
        <v>PP00028-08</v>
      </c>
      <c r="AH373">
        <f>_xlfn.XLOOKUP(AG373, Hoja3!A:A, Hoja3!B:B)</f>
        <v>40</v>
      </c>
      <c r="AI373" t="str">
        <f>_xlfn.XLOOKUP(AH373, Hoja4!A:A, Hoja4!B:B)</f>
        <v>E33301100</v>
      </c>
      <c r="AJ373" t="b">
        <f t="shared" si="63"/>
        <v>1</v>
      </c>
    </row>
    <row r="374" spans="1:36" ht="15.5" customHeight="1" x14ac:dyDescent="0.35">
      <c r="A374">
        <f t="shared" ca="1" si="56"/>
        <v>24</v>
      </c>
      <c r="B374" s="6" t="s">
        <v>1265</v>
      </c>
      <c r="C374" s="7">
        <v>45053</v>
      </c>
      <c r="D374" s="6" t="s">
        <v>507</v>
      </c>
      <c r="E374" s="6" t="s">
        <v>83</v>
      </c>
      <c r="F374" s="6" t="s">
        <v>84</v>
      </c>
      <c r="G374" s="6" t="s">
        <v>156</v>
      </c>
      <c r="H374" s="6" t="s">
        <v>171</v>
      </c>
      <c r="I374" s="6" t="s">
        <v>158</v>
      </c>
      <c r="J374" s="6" t="str">
        <f>IF(E374="KTG","KTG",(VLOOKUP(I374,'[1]list of outsource'!B:H,2,0)))</f>
        <v>UPM</v>
      </c>
      <c r="K374" s="6" t="s">
        <v>159</v>
      </c>
      <c r="L374" s="6"/>
      <c r="M374" s="6" t="s">
        <v>172</v>
      </c>
      <c r="N374" s="6" t="s">
        <v>1085</v>
      </c>
      <c r="O374" s="6" t="s">
        <v>1266</v>
      </c>
      <c r="P374" s="6"/>
      <c r="Q374" s="8"/>
      <c r="R374" s="6"/>
      <c r="S374" s="6"/>
      <c r="T374" s="6"/>
      <c r="U374" s="6">
        <v>2</v>
      </c>
      <c r="V374" s="6"/>
      <c r="W374" s="6" t="s">
        <v>154</v>
      </c>
      <c r="X374" s="7">
        <v>45077</v>
      </c>
      <c r="Y374" s="7">
        <v>45146</v>
      </c>
      <c r="AB374" t="e">
        <v>#N/A</v>
      </c>
      <c r="AC374" t="e">
        <v>#N/A</v>
      </c>
      <c r="AE374" t="str">
        <f t="shared" si="57"/>
        <v>P000124</v>
      </c>
      <c r="AF374" t="str">
        <f>_xlfn.XLOOKUP(AE374, Hoja2!A:A, Hoja2!A:A)</f>
        <v>P000124</v>
      </c>
      <c r="AG374" t="str">
        <f t="shared" si="62"/>
        <v>PP00028-09</v>
      </c>
      <c r="AH374">
        <f>_xlfn.XLOOKUP(AG374, Hoja3!A:A, Hoja3!B:B)</f>
        <v>44</v>
      </c>
      <c r="AI374" t="str">
        <f>_xlfn.XLOOKUP(AH374, Hoja4!A:A, Hoja4!B:B)</f>
        <v>E34285300</v>
      </c>
      <c r="AJ374" t="b">
        <f t="shared" si="63"/>
        <v>1</v>
      </c>
    </row>
    <row r="375" spans="1:36" ht="15.5" hidden="1" customHeight="1" x14ac:dyDescent="0.35">
      <c r="A375">
        <f t="shared" ca="1" si="56"/>
        <v>86</v>
      </c>
      <c r="B375" s="55" t="s">
        <v>1267</v>
      </c>
      <c r="C375" s="7">
        <v>45210</v>
      </c>
      <c r="D375" s="6" t="s">
        <v>912</v>
      </c>
      <c r="E375" s="6" t="s">
        <v>139</v>
      </c>
      <c r="F375" s="6" t="s">
        <v>1268</v>
      </c>
      <c r="G375" s="6" t="s">
        <v>126</v>
      </c>
      <c r="H375" s="6">
        <v>12191733</v>
      </c>
      <c r="I375" s="6" t="s">
        <v>1269</v>
      </c>
      <c r="J375" s="6" t="str">
        <f>IF(E375="KTG","KTG",(VLOOKUP(I375,'[1]list of outsource'!B:H,2,0)))</f>
        <v>Pass</v>
      </c>
      <c r="K375" s="6" t="s">
        <v>1270</v>
      </c>
      <c r="L375" s="6">
        <v>6</v>
      </c>
      <c r="M375" s="55" t="s">
        <v>1271</v>
      </c>
      <c r="N375" s="6" t="s">
        <v>1272</v>
      </c>
      <c r="O375" s="6" t="s">
        <v>1273</v>
      </c>
      <c r="P375" s="6"/>
      <c r="Q375" s="8" t="s">
        <v>575</v>
      </c>
      <c r="R375" s="6"/>
      <c r="S375" s="6"/>
      <c r="T375" s="6"/>
      <c r="U375" s="6">
        <v>4</v>
      </c>
      <c r="V375" s="6"/>
      <c r="W375" s="6" t="s">
        <v>37</v>
      </c>
      <c r="X375" s="7">
        <v>45296</v>
      </c>
      <c r="Y375" s="7">
        <v>45554</v>
      </c>
      <c r="AB375" t="e">
        <v>#N/A</v>
      </c>
      <c r="AC375" t="e">
        <v>#N/A</v>
      </c>
      <c r="AE375" t="str">
        <f t="shared" si="57"/>
        <v>P000752</v>
      </c>
      <c r="AF375" t="e">
        <f>_xlfn.XLOOKUP(AE375, Hoja2!A:A, Hoja2!A:A)</f>
        <v>#N/A</v>
      </c>
    </row>
    <row r="376" spans="1:36" ht="15.5" hidden="1" customHeight="1" x14ac:dyDescent="0.35">
      <c r="A376">
        <f t="shared" ca="1" si="56"/>
        <v>86</v>
      </c>
      <c r="B376" s="55" t="s">
        <v>1274</v>
      </c>
      <c r="C376" s="7">
        <v>45210</v>
      </c>
      <c r="D376" s="6" t="s">
        <v>912</v>
      </c>
      <c r="E376" s="6" t="s">
        <v>139</v>
      </c>
      <c r="F376" s="6" t="s">
        <v>1268</v>
      </c>
      <c r="G376" s="6" t="s">
        <v>126</v>
      </c>
      <c r="H376" s="6">
        <v>12191732</v>
      </c>
      <c r="I376" s="6" t="s">
        <v>1269</v>
      </c>
      <c r="J376" s="6" t="str">
        <f>IF(E376="KTG","KTG",(VLOOKUP(I376,'[1]list of outsource'!B:H,2,0)))</f>
        <v>Pass</v>
      </c>
      <c r="K376" s="6" t="s">
        <v>1270</v>
      </c>
      <c r="L376" s="6">
        <v>6</v>
      </c>
      <c r="M376" s="55" t="s">
        <v>1275</v>
      </c>
      <c r="N376" s="6" t="s">
        <v>1276</v>
      </c>
      <c r="O376" s="6" t="s">
        <v>1277</v>
      </c>
      <c r="P376" s="6"/>
      <c r="Q376" s="8" t="s">
        <v>575</v>
      </c>
      <c r="R376" s="6"/>
      <c r="S376" s="6"/>
      <c r="T376" s="6"/>
      <c r="U376" s="6">
        <v>4</v>
      </c>
      <c r="V376" s="6"/>
      <c r="W376" s="6" t="s">
        <v>37</v>
      </c>
      <c r="X376" s="7">
        <v>45296</v>
      </c>
      <c r="Y376" s="7">
        <v>45554</v>
      </c>
      <c r="AB376" t="e">
        <v>#N/A</v>
      </c>
      <c r="AC376" t="e">
        <v>#N/A</v>
      </c>
      <c r="AE376" t="str">
        <f t="shared" si="57"/>
        <v>P000753</v>
      </c>
      <c r="AF376" t="e">
        <f>_xlfn.XLOOKUP(AE376, Hoja2!A:A, Hoja2!A:A)</f>
        <v>#N/A</v>
      </c>
    </row>
    <row r="377" spans="1:36" ht="15.5" hidden="1" customHeight="1" x14ac:dyDescent="0.35">
      <c r="A377">
        <f t="shared" ca="1" si="56"/>
        <v>86</v>
      </c>
      <c r="B377" s="55" t="s">
        <v>1278</v>
      </c>
      <c r="C377" s="7">
        <v>45210</v>
      </c>
      <c r="D377" s="6" t="s">
        <v>912</v>
      </c>
      <c r="E377" s="6" t="s">
        <v>139</v>
      </c>
      <c r="F377" s="6" t="s">
        <v>1268</v>
      </c>
      <c r="G377" s="6" t="s">
        <v>126</v>
      </c>
      <c r="H377" s="6">
        <v>12192792</v>
      </c>
      <c r="I377" s="6" t="s">
        <v>1269</v>
      </c>
      <c r="J377" s="6" t="str">
        <f>IF(E377="KTG","KTG",(VLOOKUP(I377,'[1]list of outsource'!B:H,2,0)))</f>
        <v>Pass</v>
      </c>
      <c r="K377" s="6" t="s">
        <v>1270</v>
      </c>
      <c r="L377" s="6">
        <v>6</v>
      </c>
      <c r="M377" s="55" t="s">
        <v>1279</v>
      </c>
      <c r="N377" s="6" t="s">
        <v>1280</v>
      </c>
      <c r="O377" s="6" t="s">
        <v>1281</v>
      </c>
      <c r="P377" s="6"/>
      <c r="Q377" s="8" t="s">
        <v>575</v>
      </c>
      <c r="R377" s="6"/>
      <c r="S377" s="6"/>
      <c r="T377" s="6"/>
      <c r="U377" s="6">
        <v>4</v>
      </c>
      <c r="V377" s="6"/>
      <c r="W377" s="6" t="s">
        <v>37</v>
      </c>
      <c r="X377" s="7">
        <v>45296</v>
      </c>
      <c r="Y377" s="7">
        <v>45554</v>
      </c>
      <c r="AB377" t="e">
        <v>#N/A</v>
      </c>
      <c r="AC377" t="e">
        <v>#N/A</v>
      </c>
      <c r="AE377" t="str">
        <f t="shared" si="57"/>
        <v>P000751</v>
      </c>
      <c r="AF377" t="e">
        <f>_xlfn.XLOOKUP(AE377, Hoja2!A:A, Hoja2!A:A)</f>
        <v>#N/A</v>
      </c>
    </row>
    <row r="378" spans="1:36" ht="15.5" customHeight="1" x14ac:dyDescent="0.35">
      <c r="A378">
        <f t="shared" ca="1" si="56"/>
        <v>64</v>
      </c>
      <c r="B378" s="12" t="s">
        <v>1282</v>
      </c>
      <c r="C378" s="13">
        <v>45215</v>
      </c>
      <c r="D378" s="14" t="s">
        <v>121</v>
      </c>
      <c r="E378" s="14" t="s">
        <v>83</v>
      </c>
      <c r="F378" s="14" t="s">
        <v>140</v>
      </c>
      <c r="G378" s="14" t="s">
        <v>32</v>
      </c>
      <c r="H378" s="14" t="s">
        <v>1283</v>
      </c>
      <c r="I378" s="14" t="s">
        <v>1284</v>
      </c>
      <c r="J378" s="14" t="str">
        <f>IF(E378="KTG","KTG",(VLOOKUP(I378,'[1]list of outsource'!B:H,2,0)))</f>
        <v>UPM</v>
      </c>
      <c r="K378" s="14" t="s">
        <v>1285</v>
      </c>
      <c r="L378" s="14">
        <v>4</v>
      </c>
      <c r="M378" s="14" t="s">
        <v>1286</v>
      </c>
      <c r="N378" s="14" t="s">
        <v>1287</v>
      </c>
      <c r="O378" s="14">
        <v>1278418736</v>
      </c>
      <c r="P378" s="14"/>
      <c r="Q378" s="15" t="s">
        <v>575</v>
      </c>
      <c r="R378" s="14"/>
      <c r="S378" s="16"/>
      <c r="T378" s="14"/>
      <c r="U378" s="14">
        <v>4</v>
      </c>
      <c r="V378" s="14"/>
      <c r="W378" s="14" t="s">
        <v>37</v>
      </c>
      <c r="X378" s="13">
        <v>45279</v>
      </c>
      <c r="Y378" s="13"/>
      <c r="AB378" t="e">
        <v>#N/A</v>
      </c>
      <c r="AC378" t="e">
        <v>#N/A</v>
      </c>
      <c r="AE378" t="str">
        <f t="shared" si="57"/>
        <v>P000754</v>
      </c>
      <c r="AF378" t="str">
        <f>_xlfn.XLOOKUP(AE378, Hoja2!A:A, Hoja2!A:A)</f>
        <v>P000754</v>
      </c>
      <c r="AG378" t="str">
        <f t="shared" ref="AG378:AG413" si="64">LEFT(B378, FIND(" ", B378 &amp; " ") - 1)</f>
        <v>PP00036-07</v>
      </c>
      <c r="AH378">
        <f>_xlfn.XLOOKUP(AG378, Hoja3!A:A, Hoja3!B:B)</f>
        <v>5179</v>
      </c>
      <c r="AI378" t="str">
        <f>_xlfn.XLOOKUP(AH378, Hoja4!A:A, Hoja4!B:B)</f>
        <v>BRAIDP179</v>
      </c>
      <c r="AJ378" t="b">
        <f t="shared" ref="AJ378:AJ413" si="65">H378=AI378</f>
        <v>1</v>
      </c>
    </row>
    <row r="379" spans="1:36" ht="15.5" customHeight="1" x14ac:dyDescent="0.35">
      <c r="A379">
        <f t="shared" ca="1" si="56"/>
        <v>24</v>
      </c>
      <c r="B379" s="6" t="s">
        <v>1265</v>
      </c>
      <c r="C379" s="7">
        <v>45768</v>
      </c>
      <c r="D379" s="6" t="s">
        <v>564</v>
      </c>
      <c r="E379" s="6" t="s">
        <v>83</v>
      </c>
      <c r="F379" s="6" t="s">
        <v>84</v>
      </c>
      <c r="G379" s="6" t="s">
        <v>156</v>
      </c>
      <c r="H379" s="6" t="s">
        <v>171</v>
      </c>
      <c r="I379" s="6" t="s">
        <v>158</v>
      </c>
      <c r="J379" s="6" t="str">
        <f>IF(E379="KTG","KTG",(VLOOKUP(I379,'[1]list of outsource'!B:H,2,0)))</f>
        <v>UPM</v>
      </c>
      <c r="K379" s="6" t="s">
        <v>159</v>
      </c>
      <c r="L379" s="6">
        <v>45</v>
      </c>
      <c r="M379" s="6" t="s">
        <v>172</v>
      </c>
      <c r="N379" s="6" t="s">
        <v>1085</v>
      </c>
      <c r="O379" s="6" t="s">
        <v>1288</v>
      </c>
      <c r="P379" s="6"/>
      <c r="Q379" s="8"/>
      <c r="R379" s="6"/>
      <c r="S379" s="6"/>
      <c r="T379" s="6"/>
      <c r="U379" s="6">
        <v>1</v>
      </c>
      <c r="V379" s="6" t="s">
        <v>569</v>
      </c>
      <c r="W379" s="6" t="s">
        <v>154</v>
      </c>
      <c r="X379" s="7">
        <v>45792</v>
      </c>
      <c r="Y379" s="7">
        <v>45799</v>
      </c>
      <c r="AB379" t="e">
        <v>#N/A</v>
      </c>
      <c r="AC379" t="e">
        <v>#N/A</v>
      </c>
      <c r="AE379" t="str">
        <f t="shared" si="57"/>
        <v>P000124</v>
      </c>
      <c r="AF379" t="str">
        <f>_xlfn.XLOOKUP(AE379, Hoja2!A:A, Hoja2!A:A)</f>
        <v>P000124</v>
      </c>
      <c r="AG379" t="str">
        <f t="shared" si="64"/>
        <v>PP00028-09</v>
      </c>
      <c r="AH379">
        <f>_xlfn.XLOOKUP(AG379, Hoja3!A:A, Hoja3!B:B)</f>
        <v>44</v>
      </c>
      <c r="AI379" t="str">
        <f>_xlfn.XLOOKUP(AH379, Hoja4!A:A, Hoja4!B:B)</f>
        <v>E34285300</v>
      </c>
      <c r="AJ379" t="b">
        <f t="shared" si="65"/>
        <v>1</v>
      </c>
    </row>
    <row r="380" spans="1:36" ht="15.5" customHeight="1" x14ac:dyDescent="0.35">
      <c r="A380">
        <f t="shared" ca="1" si="56"/>
        <v>61</v>
      </c>
      <c r="B380" s="12" t="s">
        <v>1289</v>
      </c>
      <c r="C380" s="13">
        <v>45218</v>
      </c>
      <c r="D380" s="14" t="s">
        <v>121</v>
      </c>
      <c r="E380" s="14" t="s">
        <v>83</v>
      </c>
      <c r="F380" s="14" t="s">
        <v>140</v>
      </c>
      <c r="G380" s="14" t="s">
        <v>32</v>
      </c>
      <c r="H380" s="14" t="s">
        <v>1290</v>
      </c>
      <c r="I380" s="14" t="s">
        <v>1284</v>
      </c>
      <c r="J380" s="14" t="str">
        <f>IF(E380="KTG","KTG",(VLOOKUP(I380,'[1]list of outsource'!B:H,2,0)))</f>
        <v>UPM</v>
      </c>
      <c r="K380" s="14" t="s">
        <v>1285</v>
      </c>
      <c r="L380" s="14">
        <v>4</v>
      </c>
      <c r="M380" s="14" t="s">
        <v>1291</v>
      </c>
      <c r="N380" s="14" t="s">
        <v>1292</v>
      </c>
      <c r="O380" s="14">
        <v>1278838777</v>
      </c>
      <c r="P380" s="14"/>
      <c r="Q380" s="15" t="s">
        <v>575</v>
      </c>
      <c r="R380" s="14"/>
      <c r="S380" s="16"/>
      <c r="T380" s="14"/>
      <c r="U380" s="14">
        <v>4</v>
      </c>
      <c r="V380" s="14"/>
      <c r="W380" s="14" t="s">
        <v>37</v>
      </c>
      <c r="X380" s="13">
        <v>45279</v>
      </c>
      <c r="Y380" s="13"/>
      <c r="AB380" t="e">
        <v>#N/A</v>
      </c>
      <c r="AC380" t="e">
        <v>#N/A</v>
      </c>
      <c r="AE380" t="str">
        <f t="shared" si="57"/>
        <v>P000755</v>
      </c>
      <c r="AF380" t="str">
        <f>_xlfn.XLOOKUP(AE380, Hoja2!A:A, Hoja2!A:A)</f>
        <v>P000755</v>
      </c>
      <c r="AG380" t="str">
        <f t="shared" si="64"/>
        <v>PP00036-08</v>
      </c>
      <c r="AH380">
        <f>_xlfn.XLOOKUP(AG380, Hoja3!A:A, Hoja3!B:B)</f>
        <v>5180</v>
      </c>
      <c r="AI380" t="str">
        <f>_xlfn.XLOOKUP(AH380, Hoja4!A:A, Hoja4!B:B)</f>
        <v>BRAIDP187</v>
      </c>
      <c r="AJ380" t="b">
        <f t="shared" si="65"/>
        <v>1</v>
      </c>
    </row>
    <row r="381" spans="1:36" ht="15.5" customHeight="1" x14ac:dyDescent="0.35">
      <c r="A381">
        <f t="shared" ca="1" si="56"/>
        <v>61</v>
      </c>
      <c r="B381" s="12" t="s">
        <v>1293</v>
      </c>
      <c r="C381" s="13">
        <v>45218</v>
      </c>
      <c r="D381" s="14" t="s">
        <v>121</v>
      </c>
      <c r="E381" s="14" t="s">
        <v>83</v>
      </c>
      <c r="F381" s="14" t="s">
        <v>140</v>
      </c>
      <c r="G381" s="14" t="s">
        <v>32</v>
      </c>
      <c r="H381" s="14" t="s">
        <v>1294</v>
      </c>
      <c r="I381" s="14" t="s">
        <v>1284</v>
      </c>
      <c r="J381" s="14" t="str">
        <f>IF(E381="KTG","KTG",(VLOOKUP(I381,'[1]list of outsource'!B:H,2,0)))</f>
        <v>UPM</v>
      </c>
      <c r="K381" s="14" t="s">
        <v>1285</v>
      </c>
      <c r="L381" s="14">
        <v>4</v>
      </c>
      <c r="M381" s="14" t="s">
        <v>1295</v>
      </c>
      <c r="N381" s="14" t="s">
        <v>1296</v>
      </c>
      <c r="O381" s="14">
        <v>1278900502</v>
      </c>
      <c r="P381" s="14"/>
      <c r="Q381" s="15" t="s">
        <v>575</v>
      </c>
      <c r="R381" s="14"/>
      <c r="S381" s="16"/>
      <c r="T381" s="14"/>
      <c r="U381" s="14">
        <v>4</v>
      </c>
      <c r="V381" s="14"/>
      <c r="W381" s="14" t="s">
        <v>37</v>
      </c>
      <c r="X381" s="13">
        <v>45279</v>
      </c>
      <c r="Y381" s="13"/>
      <c r="AB381" t="e">
        <v>#N/A</v>
      </c>
      <c r="AC381" t="e">
        <v>#N/A</v>
      </c>
      <c r="AE381" t="str">
        <f t="shared" si="57"/>
        <v>P000756</v>
      </c>
      <c r="AF381" t="str">
        <f>_xlfn.XLOOKUP(AE381, Hoja2!A:A, Hoja2!A:A)</f>
        <v>P000756</v>
      </c>
      <c r="AG381" t="str">
        <f t="shared" si="64"/>
        <v>PP00036-09</v>
      </c>
      <c r="AH381">
        <f>_xlfn.XLOOKUP(AG381, Hoja3!A:A, Hoja3!B:B)</f>
        <v>5181</v>
      </c>
      <c r="AI381" t="str">
        <f>_xlfn.XLOOKUP(AH381, Hoja4!A:A, Hoja4!B:B)</f>
        <v>BRAIDP182</v>
      </c>
      <c r="AJ381" t="b">
        <f t="shared" si="65"/>
        <v>1</v>
      </c>
    </row>
    <row r="382" spans="1:36" ht="15.5" customHeight="1" x14ac:dyDescent="0.35">
      <c r="A382">
        <f t="shared" ca="1" si="56"/>
        <v>61</v>
      </c>
      <c r="B382" s="12" t="s">
        <v>1297</v>
      </c>
      <c r="C382" s="13">
        <v>45218</v>
      </c>
      <c r="D382" s="14" t="s">
        <v>121</v>
      </c>
      <c r="E382" s="14" t="s">
        <v>83</v>
      </c>
      <c r="F382" s="14" t="s">
        <v>140</v>
      </c>
      <c r="G382" s="14" t="s">
        <v>32</v>
      </c>
      <c r="H382" s="14" t="s">
        <v>1298</v>
      </c>
      <c r="I382" s="14" t="s">
        <v>1284</v>
      </c>
      <c r="J382" s="14" t="str">
        <f>IF(E382="KTG","KTG",(VLOOKUP(I382,'[1]list of outsource'!B:H,2,0)))</f>
        <v>UPM</v>
      </c>
      <c r="K382" s="14" t="s">
        <v>1285</v>
      </c>
      <c r="L382" s="14">
        <v>4</v>
      </c>
      <c r="M382" s="14" t="s">
        <v>1299</v>
      </c>
      <c r="N382" s="14" t="s">
        <v>1300</v>
      </c>
      <c r="O382" s="14">
        <v>1278905318</v>
      </c>
      <c r="P382" s="14"/>
      <c r="Q382" s="15" t="s">
        <v>575</v>
      </c>
      <c r="R382" s="14"/>
      <c r="S382" s="16"/>
      <c r="T382" s="14"/>
      <c r="U382" s="14">
        <v>4</v>
      </c>
      <c r="V382" s="14"/>
      <c r="W382" s="14" t="s">
        <v>37</v>
      </c>
      <c r="X382" s="13">
        <v>45279</v>
      </c>
      <c r="Y382" s="13"/>
      <c r="AB382" t="e">
        <v>#N/A</v>
      </c>
      <c r="AC382" t="e">
        <v>#N/A</v>
      </c>
      <c r="AE382" t="str">
        <f t="shared" si="57"/>
        <v>P000757</v>
      </c>
      <c r="AF382" t="str">
        <f>_xlfn.XLOOKUP(AE382, Hoja2!A:A, Hoja2!A:A)</f>
        <v>P000757</v>
      </c>
      <c r="AG382" t="str">
        <f t="shared" si="64"/>
        <v>PP00036-10</v>
      </c>
      <c r="AH382">
        <f>_xlfn.XLOOKUP(AG382, Hoja3!A:A, Hoja3!B:B)</f>
        <v>5182</v>
      </c>
      <c r="AI382" t="str">
        <f>_xlfn.XLOOKUP(AH382, Hoja4!A:A, Hoja4!B:B)</f>
        <v>BRAIDP184</v>
      </c>
      <c r="AJ382" t="b">
        <f t="shared" si="65"/>
        <v>1</v>
      </c>
    </row>
    <row r="383" spans="1:36" ht="15.5" customHeight="1" x14ac:dyDescent="0.35">
      <c r="A383">
        <f t="shared" ca="1" si="56"/>
        <v>35</v>
      </c>
      <c r="B383" s="6" t="s">
        <v>1301</v>
      </c>
      <c r="C383" s="7">
        <v>45224</v>
      </c>
      <c r="D383" s="6" t="s">
        <v>507</v>
      </c>
      <c r="E383" s="6" t="s">
        <v>139</v>
      </c>
      <c r="F383" s="6" t="s">
        <v>1302</v>
      </c>
      <c r="G383" s="6" t="s">
        <v>299</v>
      </c>
      <c r="H383" s="6" t="s">
        <v>1303</v>
      </c>
      <c r="I383" s="6" t="s">
        <v>1304</v>
      </c>
      <c r="J383" s="6" t="str">
        <f>IF(E383="KTG","KTG",(VLOOKUP(I383,'[1]list of outsource'!B:H,2,0)))</f>
        <v>ETC</v>
      </c>
      <c r="K383" s="6" t="s">
        <v>1305</v>
      </c>
      <c r="L383" s="6">
        <v>4</v>
      </c>
      <c r="M383" s="6" t="s">
        <v>1306</v>
      </c>
      <c r="N383" s="6" t="s">
        <v>1307</v>
      </c>
      <c r="O383" s="6" t="s">
        <v>1308</v>
      </c>
      <c r="P383" s="6"/>
      <c r="Q383" s="8"/>
      <c r="R383" s="6"/>
      <c r="S383" s="6"/>
      <c r="T383" s="6"/>
      <c r="U383" s="6">
        <v>4</v>
      </c>
      <c r="V383" s="6"/>
      <c r="W383" s="6" t="s">
        <v>37</v>
      </c>
      <c r="X383" s="7">
        <v>45259</v>
      </c>
      <c r="Y383" s="7">
        <v>45265</v>
      </c>
      <c r="AB383" t="e">
        <v>#N/A</v>
      </c>
      <c r="AC383" t="e">
        <v>#N/A</v>
      </c>
      <c r="AE383" t="str">
        <f t="shared" si="57"/>
        <v>P000762</v>
      </c>
      <c r="AF383" t="str">
        <f>_xlfn.XLOOKUP(AE383, Hoja2!A:A, Hoja2!A:A)</f>
        <v>P000762</v>
      </c>
      <c r="AG383" t="str">
        <f t="shared" si="64"/>
        <v>PP00049-01</v>
      </c>
      <c r="AH383">
        <f>_xlfn.XLOOKUP(AG383, Hoja3!A:A, Hoja3!B:B)</f>
        <v>5501</v>
      </c>
      <c r="AI383" t="str">
        <f>_xlfn.XLOOKUP(AH383, Hoja4!A:A, Hoja4!B:B)</f>
        <v>ET73 4.3/2.0</v>
      </c>
      <c r="AJ383" t="b">
        <f t="shared" si="65"/>
        <v>1</v>
      </c>
    </row>
    <row r="384" spans="1:36" ht="15.5" customHeight="1" x14ac:dyDescent="0.35">
      <c r="A384">
        <f t="shared" ca="1" si="56"/>
        <v>43</v>
      </c>
      <c r="B384" s="6" t="s">
        <v>1309</v>
      </c>
      <c r="C384" s="7">
        <v>45175</v>
      </c>
      <c r="D384" s="6" t="s">
        <v>507</v>
      </c>
      <c r="E384" s="6" t="s">
        <v>139</v>
      </c>
      <c r="F384" s="6" t="s">
        <v>658</v>
      </c>
      <c r="G384" s="6" t="s">
        <v>32</v>
      </c>
      <c r="H384" s="6">
        <v>35738174</v>
      </c>
      <c r="I384" s="6" t="s">
        <v>529</v>
      </c>
      <c r="J384" s="6" t="str">
        <f>IF(E384="KTG","KTG",(VLOOKUP(I384,'[1]list of outsource'!B:H,2,0)))</f>
        <v>ETC</v>
      </c>
      <c r="K384" s="6" t="s">
        <v>530</v>
      </c>
      <c r="L384" s="6"/>
      <c r="M384" s="6" t="s">
        <v>1310</v>
      </c>
      <c r="N384" s="6" t="s">
        <v>1311</v>
      </c>
      <c r="O384" s="6">
        <v>1265952189</v>
      </c>
      <c r="P384" s="6"/>
      <c r="Q384" s="8"/>
      <c r="R384" s="6"/>
      <c r="S384" s="6"/>
      <c r="T384" s="6"/>
      <c r="U384" s="6">
        <v>4</v>
      </c>
      <c r="V384" s="6"/>
      <c r="W384" s="6" t="s">
        <v>37</v>
      </c>
      <c r="X384" s="7">
        <v>45218</v>
      </c>
      <c r="Y384" s="7">
        <v>45218</v>
      </c>
      <c r="AB384" t="e">
        <v>#N/A</v>
      </c>
      <c r="AC384" t="e">
        <v>#N/A</v>
      </c>
      <c r="AE384" t="str">
        <f t="shared" si="57"/>
        <v>P000366</v>
      </c>
      <c r="AF384" t="str">
        <f>_xlfn.XLOOKUP(AE384, Hoja2!A:A, Hoja2!A:A)</f>
        <v>P000366</v>
      </c>
      <c r="AG384" t="str">
        <f t="shared" si="64"/>
        <v>PP00034-16</v>
      </c>
      <c r="AH384">
        <f>_xlfn.XLOOKUP(AG384, Hoja3!A:A, Hoja3!B:B)</f>
        <v>4787</v>
      </c>
      <c r="AI384">
        <f>_xlfn.XLOOKUP(AH384, Hoja4!A:A, Hoja4!B:B)</f>
        <v>35738174</v>
      </c>
      <c r="AJ384" t="b">
        <f t="shared" si="65"/>
        <v>1</v>
      </c>
    </row>
    <row r="385" spans="1:36" ht="15.5" customHeight="1" x14ac:dyDescent="0.35">
      <c r="A385">
        <f t="shared" ca="1" si="56"/>
        <v>43</v>
      </c>
      <c r="B385" s="6" t="s">
        <v>1312</v>
      </c>
      <c r="C385" s="7">
        <v>45175</v>
      </c>
      <c r="D385" s="6" t="s">
        <v>507</v>
      </c>
      <c r="E385" s="6" t="s">
        <v>139</v>
      </c>
      <c r="F385" s="6" t="s">
        <v>658</v>
      </c>
      <c r="G385" s="6" t="s">
        <v>32</v>
      </c>
      <c r="H385" s="6">
        <v>35758254</v>
      </c>
      <c r="I385" s="6" t="s">
        <v>529</v>
      </c>
      <c r="J385" s="6" t="str">
        <f>IF(E385="KTG","KTG",(VLOOKUP(I385,'[1]list of outsource'!B:H,2,0)))</f>
        <v>ETC</v>
      </c>
      <c r="K385" s="6" t="s">
        <v>530</v>
      </c>
      <c r="L385" s="6"/>
      <c r="M385" s="6" t="s">
        <v>1313</v>
      </c>
      <c r="N385" s="6" t="s">
        <v>1314</v>
      </c>
      <c r="O385" s="6">
        <v>1265952282</v>
      </c>
      <c r="P385" s="6"/>
      <c r="Q385" s="8"/>
      <c r="R385" s="6"/>
      <c r="S385" s="6"/>
      <c r="T385" s="6"/>
      <c r="U385" s="6">
        <v>4</v>
      </c>
      <c r="V385" s="6"/>
      <c r="W385" s="6" t="s">
        <v>37</v>
      </c>
      <c r="X385" s="7">
        <v>45218</v>
      </c>
      <c r="Y385" s="7">
        <v>45218</v>
      </c>
      <c r="AB385" t="e">
        <v>#N/A</v>
      </c>
      <c r="AC385" t="e">
        <v>#N/A</v>
      </c>
      <c r="AE385" t="str">
        <f t="shared" si="57"/>
        <v>P000450</v>
      </c>
      <c r="AF385" t="str">
        <f>_xlfn.XLOOKUP(AE385, Hoja2!A:A, Hoja2!A:A)</f>
        <v>P000450</v>
      </c>
      <c r="AG385" t="str">
        <f t="shared" si="64"/>
        <v>PP00034-17</v>
      </c>
      <c r="AH385">
        <f>_xlfn.XLOOKUP(AG385, Hoja3!A:A, Hoja3!B:B)</f>
        <v>5171</v>
      </c>
      <c r="AI385">
        <f>_xlfn.XLOOKUP(AH385, Hoja4!A:A, Hoja4!B:B)</f>
        <v>35758254</v>
      </c>
      <c r="AJ385" t="b">
        <f t="shared" si="65"/>
        <v>1</v>
      </c>
    </row>
    <row r="386" spans="1:36" ht="15.5" customHeight="1" x14ac:dyDescent="0.35">
      <c r="A386">
        <f t="shared" ref="A386:A449" ca="1" si="66">IF(X386="",(TODAY()-C386),(X386-C386))</f>
        <v>16</v>
      </c>
      <c r="B386" s="6" t="s">
        <v>1315</v>
      </c>
      <c r="C386" s="7">
        <v>45202</v>
      </c>
      <c r="D386" s="6" t="s">
        <v>507</v>
      </c>
      <c r="E386" s="6" t="s">
        <v>139</v>
      </c>
      <c r="F386" s="6" t="s">
        <v>658</v>
      </c>
      <c r="G386" s="6" t="s">
        <v>32</v>
      </c>
      <c r="H386" s="6">
        <v>35738192</v>
      </c>
      <c r="I386" s="6" t="s">
        <v>208</v>
      </c>
      <c r="J386" s="6" t="str">
        <f>IF(E386="KTG","KTG",(VLOOKUP(I386,'[1]list of outsource'!B:H,2,0)))</f>
        <v>ETC</v>
      </c>
      <c r="K386" s="6" t="s">
        <v>209</v>
      </c>
      <c r="L386" s="6"/>
      <c r="M386" s="6" t="s">
        <v>288</v>
      </c>
      <c r="N386" s="6" t="s">
        <v>1316</v>
      </c>
      <c r="O386" s="6">
        <v>1268459412</v>
      </c>
      <c r="P386" s="6"/>
      <c r="Q386" s="8"/>
      <c r="R386" s="6"/>
      <c r="S386" s="6"/>
      <c r="T386" s="6"/>
      <c r="U386" s="6">
        <v>4</v>
      </c>
      <c r="V386" s="6"/>
      <c r="W386" s="6" t="s">
        <v>37</v>
      </c>
      <c r="X386" s="7">
        <v>45218</v>
      </c>
      <c r="Y386" s="7">
        <v>45218</v>
      </c>
      <c r="AB386" t="e">
        <v>#N/A</v>
      </c>
      <c r="AC386" t="e">
        <v>#N/A</v>
      </c>
      <c r="AE386" t="str">
        <f t="shared" si="57"/>
        <v>P000162</v>
      </c>
      <c r="AF386" t="str">
        <f>_xlfn.XLOOKUP(AE386, Hoja2!A:A, Hoja2!A:A)</f>
        <v>P000162</v>
      </c>
      <c r="AG386" t="str">
        <f t="shared" si="64"/>
        <v>PP00034-18</v>
      </c>
      <c r="AH386">
        <f>_xlfn.XLOOKUP(AG386, Hoja3!A:A, Hoja3!B:B)</f>
        <v>4766</v>
      </c>
      <c r="AI386">
        <f>_xlfn.XLOOKUP(AH386, Hoja4!A:A, Hoja4!B:B)</f>
        <v>35738192</v>
      </c>
      <c r="AJ386" t="b">
        <f t="shared" si="65"/>
        <v>1</v>
      </c>
    </row>
    <row r="387" spans="1:36" ht="15.5" customHeight="1" x14ac:dyDescent="0.35">
      <c r="A387">
        <f t="shared" ca="1" si="66"/>
        <v>36</v>
      </c>
      <c r="B387" s="6" t="s">
        <v>1317</v>
      </c>
      <c r="C387" s="7">
        <v>45225</v>
      </c>
      <c r="D387" s="6" t="s">
        <v>507</v>
      </c>
      <c r="E387" s="6" t="s">
        <v>139</v>
      </c>
      <c r="F387" s="6" t="s">
        <v>933</v>
      </c>
      <c r="G387" s="6" t="s">
        <v>32</v>
      </c>
      <c r="H387" s="6">
        <v>35738185</v>
      </c>
      <c r="I387" s="6" t="s">
        <v>402</v>
      </c>
      <c r="J387" s="6" t="str">
        <f>IF(E387="KTG","KTG",(VLOOKUP(I387,'[1]list of outsource'!B:H,2,0)))</f>
        <v>ETC</v>
      </c>
      <c r="K387" s="6" t="s">
        <v>403</v>
      </c>
      <c r="L387" s="6"/>
      <c r="M387" s="6" t="s">
        <v>1318</v>
      </c>
      <c r="N387" s="6" t="s">
        <v>1319</v>
      </c>
      <c r="O387" s="6">
        <v>1281399800</v>
      </c>
      <c r="P387" s="6"/>
      <c r="Q387" s="8" t="s">
        <v>575</v>
      </c>
      <c r="R387" s="6" t="s">
        <v>575</v>
      </c>
      <c r="S387" s="6" t="s">
        <v>575</v>
      </c>
      <c r="T387" s="6" t="s">
        <v>575</v>
      </c>
      <c r="U387" s="6">
        <v>4</v>
      </c>
      <c r="V387" s="6"/>
      <c r="W387" s="6" t="s">
        <v>37</v>
      </c>
      <c r="X387" s="7">
        <v>45261</v>
      </c>
      <c r="Y387" s="7">
        <v>45268</v>
      </c>
      <c r="AB387" t="e">
        <v>#N/A</v>
      </c>
      <c r="AC387" t="e">
        <v>#N/A</v>
      </c>
      <c r="AE387" t="str">
        <f t="shared" ref="AE387:AE450" si="67">LEFT(M387, FIND(" ", M387 &amp; " ") - 1)</f>
        <v>P000352</v>
      </c>
      <c r="AF387" t="str">
        <f>_xlfn.XLOOKUP(AE387, Hoja2!A:A, Hoja2!A:A)</f>
        <v>P000352</v>
      </c>
      <c r="AG387" t="str">
        <f t="shared" si="64"/>
        <v>PP00042-0009</v>
      </c>
      <c r="AH387">
        <f>_xlfn.XLOOKUP(AG387, Hoja3!A:A, Hoja3!B:B)</f>
        <v>3793</v>
      </c>
      <c r="AI387">
        <f>_xlfn.XLOOKUP(AH387, Hoja4!A:A, Hoja4!B:B)</f>
        <v>35738185</v>
      </c>
      <c r="AJ387" t="b">
        <f t="shared" si="65"/>
        <v>1</v>
      </c>
    </row>
    <row r="388" spans="1:36" ht="15.5" customHeight="1" x14ac:dyDescent="0.35">
      <c r="A388">
        <f t="shared" ca="1" si="66"/>
        <v>50</v>
      </c>
      <c r="B388" s="12" t="s">
        <v>1320</v>
      </c>
      <c r="C388" s="13">
        <v>45229</v>
      </c>
      <c r="D388" s="14" t="s">
        <v>121</v>
      </c>
      <c r="E388" s="14" t="s">
        <v>83</v>
      </c>
      <c r="F388" s="14" t="s">
        <v>140</v>
      </c>
      <c r="G388" s="14" t="s">
        <v>32</v>
      </c>
      <c r="H388" s="14" t="s">
        <v>1321</v>
      </c>
      <c r="I388" s="14" t="s">
        <v>1284</v>
      </c>
      <c r="J388" s="14" t="str">
        <f>IF(E388="KTG","KTG",(VLOOKUP(I388,'[1]list of outsource'!B:H,2,0)))</f>
        <v>UPM</v>
      </c>
      <c r="K388" s="14" t="s">
        <v>1285</v>
      </c>
      <c r="L388" s="14">
        <v>4</v>
      </c>
      <c r="M388" s="14" t="s">
        <v>1322</v>
      </c>
      <c r="N388" s="14" t="s">
        <v>1323</v>
      </c>
      <c r="O388" s="14">
        <v>1286191261</v>
      </c>
      <c r="P388" s="14"/>
      <c r="Q388" s="15" t="s">
        <v>575</v>
      </c>
      <c r="R388" s="14"/>
      <c r="S388" s="16"/>
      <c r="T388" s="14"/>
      <c r="U388" s="14">
        <v>4</v>
      </c>
      <c r="V388" s="14"/>
      <c r="W388" s="14" t="s">
        <v>37</v>
      </c>
      <c r="X388" s="13">
        <v>45279</v>
      </c>
      <c r="Y388" s="13"/>
      <c r="AB388" t="e">
        <v>#N/A</v>
      </c>
      <c r="AC388" t="e">
        <v>#N/A</v>
      </c>
      <c r="AE388" t="str">
        <f t="shared" si="67"/>
        <v>P000742</v>
      </c>
      <c r="AF388" t="str">
        <f>_xlfn.XLOOKUP(AE388, Hoja2!A:A, Hoja2!A:A)</f>
        <v>P000742</v>
      </c>
      <c r="AG388" t="str">
        <f t="shared" si="64"/>
        <v>PP00036-11</v>
      </c>
      <c r="AH388">
        <f>_xlfn.XLOOKUP(AG388, Hoja3!A:A, Hoja3!B:B)</f>
        <v>5183</v>
      </c>
      <c r="AI388" t="str">
        <f>_xlfn.XLOOKUP(AH388, Hoja4!A:A, Hoja4!B:B)</f>
        <v>BRAIDP181</v>
      </c>
      <c r="AJ388" t="b">
        <f t="shared" si="65"/>
        <v>1</v>
      </c>
    </row>
    <row r="389" spans="1:36" ht="15.5" customHeight="1" x14ac:dyDescent="0.35">
      <c r="A389">
        <f t="shared" ca="1" si="66"/>
        <v>50</v>
      </c>
      <c r="B389" s="12" t="s">
        <v>1324</v>
      </c>
      <c r="C389" s="13">
        <v>45229</v>
      </c>
      <c r="D389" s="14" t="s">
        <v>121</v>
      </c>
      <c r="E389" s="14" t="s">
        <v>83</v>
      </c>
      <c r="F389" s="14" t="s">
        <v>140</v>
      </c>
      <c r="G389" s="14" t="s">
        <v>32</v>
      </c>
      <c r="H389" s="14" t="s">
        <v>1325</v>
      </c>
      <c r="I389" s="14" t="s">
        <v>1284</v>
      </c>
      <c r="J389" s="14" t="str">
        <f>IF(E389="KTG","KTG",(VLOOKUP(I389,'[1]list of outsource'!B:H,2,0)))</f>
        <v>UPM</v>
      </c>
      <c r="K389" s="14" t="s">
        <v>1285</v>
      </c>
      <c r="L389" s="14">
        <v>4</v>
      </c>
      <c r="M389" s="14" t="s">
        <v>1326</v>
      </c>
      <c r="N389" s="14" t="s">
        <v>1327</v>
      </c>
      <c r="O389" s="14">
        <v>1286196709</v>
      </c>
      <c r="P389" s="14"/>
      <c r="Q389" s="15" t="s">
        <v>575</v>
      </c>
      <c r="R389" s="14"/>
      <c r="S389" s="16"/>
      <c r="T389" s="14"/>
      <c r="U389" s="14">
        <v>4</v>
      </c>
      <c r="V389" s="14"/>
      <c r="W389" s="14" t="s">
        <v>37</v>
      </c>
      <c r="X389" s="13">
        <v>45279</v>
      </c>
      <c r="Y389" s="13"/>
      <c r="AB389" t="e">
        <v>#N/A</v>
      </c>
      <c r="AC389" t="e">
        <v>#N/A</v>
      </c>
      <c r="AE389" t="str">
        <f t="shared" si="67"/>
        <v>P000737</v>
      </c>
      <c r="AF389" t="str">
        <f>_xlfn.XLOOKUP(AE389, Hoja2!A:A, Hoja2!A:A)</f>
        <v>P000737</v>
      </c>
      <c r="AG389" t="str">
        <f t="shared" si="64"/>
        <v>PP00036-12</v>
      </c>
      <c r="AH389">
        <f>_xlfn.XLOOKUP(AG389, Hoja3!A:A, Hoja3!B:B)</f>
        <v>5184</v>
      </c>
      <c r="AI389" t="str">
        <f>_xlfn.XLOOKUP(AH389, Hoja4!A:A, Hoja4!B:B)</f>
        <v>BRAIDP185</v>
      </c>
      <c r="AJ389" t="b">
        <f t="shared" si="65"/>
        <v>1</v>
      </c>
    </row>
    <row r="390" spans="1:36" ht="15.5" customHeight="1" x14ac:dyDescent="0.35">
      <c r="A390">
        <f t="shared" ca="1" si="66"/>
        <v>50</v>
      </c>
      <c r="B390" s="12" t="s">
        <v>1328</v>
      </c>
      <c r="C390" s="13">
        <v>45229</v>
      </c>
      <c r="D390" s="14" t="s">
        <v>121</v>
      </c>
      <c r="E390" s="14" t="s">
        <v>83</v>
      </c>
      <c r="F390" s="14" t="s">
        <v>140</v>
      </c>
      <c r="G390" s="14" t="s">
        <v>32</v>
      </c>
      <c r="H390" s="14" t="s">
        <v>1329</v>
      </c>
      <c r="I390" s="14" t="s">
        <v>1284</v>
      </c>
      <c r="J390" s="14" t="str">
        <f>IF(E390="KTG","KTG",(VLOOKUP(I390,'[1]list of outsource'!B:H,2,0)))</f>
        <v>UPM</v>
      </c>
      <c r="K390" s="14" t="s">
        <v>1285</v>
      </c>
      <c r="L390" s="14">
        <v>4</v>
      </c>
      <c r="M390" s="14" t="s">
        <v>1330</v>
      </c>
      <c r="N390" s="14" t="s">
        <v>1331</v>
      </c>
      <c r="O390" s="14">
        <v>1286708271</v>
      </c>
      <c r="P390" s="14"/>
      <c r="Q390" s="15" t="s">
        <v>575</v>
      </c>
      <c r="R390" s="14"/>
      <c r="S390" s="16"/>
      <c r="T390" s="14"/>
      <c r="U390" s="14">
        <v>4</v>
      </c>
      <c r="V390" s="14"/>
      <c r="W390" s="14" t="s">
        <v>37</v>
      </c>
      <c r="X390" s="13">
        <v>45279</v>
      </c>
      <c r="Y390" s="13"/>
      <c r="AB390" t="e">
        <v>#N/A</v>
      </c>
      <c r="AC390" t="e">
        <v>#N/A</v>
      </c>
      <c r="AE390" t="str">
        <f t="shared" si="67"/>
        <v>P000739</v>
      </c>
      <c r="AF390" t="str">
        <f>_xlfn.XLOOKUP(AE390, Hoja2!A:A, Hoja2!A:A)</f>
        <v>P000739</v>
      </c>
      <c r="AG390" t="str">
        <f t="shared" si="64"/>
        <v>PP00036-13</v>
      </c>
      <c r="AH390">
        <f>_xlfn.XLOOKUP(AG390, Hoja3!A:A, Hoja3!B:B)</f>
        <v>5185</v>
      </c>
      <c r="AI390" t="str">
        <f>_xlfn.XLOOKUP(AH390, Hoja4!A:A, Hoja4!B:B)</f>
        <v>BRAIDP186</v>
      </c>
      <c r="AJ390" t="b">
        <f t="shared" si="65"/>
        <v>1</v>
      </c>
    </row>
    <row r="391" spans="1:36" ht="15.5" customHeight="1" x14ac:dyDescent="0.35">
      <c r="A391">
        <f t="shared" ca="1" si="66"/>
        <v>50</v>
      </c>
      <c r="B391" s="12" t="s">
        <v>1332</v>
      </c>
      <c r="C391" s="13">
        <v>45229</v>
      </c>
      <c r="D391" s="14" t="s">
        <v>121</v>
      </c>
      <c r="E391" s="14" t="s">
        <v>83</v>
      </c>
      <c r="F391" s="14" t="s">
        <v>140</v>
      </c>
      <c r="G391" s="14" t="s">
        <v>32</v>
      </c>
      <c r="H391" s="14" t="s">
        <v>1333</v>
      </c>
      <c r="I391" s="14" t="s">
        <v>1284</v>
      </c>
      <c r="J391" s="14" t="str">
        <f>IF(E391="KTG","KTG",(VLOOKUP(I391,'[1]list of outsource'!B:H,2,0)))</f>
        <v>UPM</v>
      </c>
      <c r="K391" s="14" t="s">
        <v>1285</v>
      </c>
      <c r="L391" s="14">
        <v>4</v>
      </c>
      <c r="M391" s="14" t="s">
        <v>1334</v>
      </c>
      <c r="N391" s="14" t="s">
        <v>1335</v>
      </c>
      <c r="O391" s="14">
        <v>1286709314</v>
      </c>
      <c r="P391" s="14"/>
      <c r="Q391" s="15" t="s">
        <v>575</v>
      </c>
      <c r="R391" s="14"/>
      <c r="S391" s="16"/>
      <c r="T391" s="14"/>
      <c r="U391" s="14">
        <v>4</v>
      </c>
      <c r="V391" s="14"/>
      <c r="W391" s="14" t="s">
        <v>37</v>
      </c>
      <c r="X391" s="13">
        <v>45279</v>
      </c>
      <c r="Y391" s="13"/>
      <c r="AB391" t="e">
        <v>#N/A</v>
      </c>
      <c r="AC391" t="e">
        <v>#N/A</v>
      </c>
      <c r="AE391" t="str">
        <f t="shared" si="67"/>
        <v>P000743</v>
      </c>
      <c r="AF391" t="str">
        <f>_xlfn.XLOOKUP(AE391, Hoja2!A:A, Hoja2!A:A)</f>
        <v>P000743</v>
      </c>
      <c r="AG391" t="str">
        <f t="shared" si="64"/>
        <v>PP00036-14</v>
      </c>
      <c r="AH391">
        <f>_xlfn.XLOOKUP(AG391, Hoja3!A:A, Hoja3!B:B)</f>
        <v>5186</v>
      </c>
      <c r="AI391" t="str">
        <f>_xlfn.XLOOKUP(AH391, Hoja4!A:A, Hoja4!B:B)</f>
        <v>BRAIDP188</v>
      </c>
      <c r="AJ391" t="b">
        <f t="shared" si="65"/>
        <v>1</v>
      </c>
    </row>
    <row r="392" spans="1:36" ht="15.5" customHeight="1" x14ac:dyDescent="0.35">
      <c r="A392">
        <f t="shared" ca="1" si="66"/>
        <v>50</v>
      </c>
      <c r="B392" s="12" t="s">
        <v>1336</v>
      </c>
      <c r="C392" s="13">
        <v>45229</v>
      </c>
      <c r="D392" s="14" t="s">
        <v>121</v>
      </c>
      <c r="E392" s="14" t="s">
        <v>83</v>
      </c>
      <c r="F392" s="14" t="s">
        <v>140</v>
      </c>
      <c r="G392" s="14" t="s">
        <v>32</v>
      </c>
      <c r="H392" s="14" t="s">
        <v>1337</v>
      </c>
      <c r="I392" s="14" t="s">
        <v>1284</v>
      </c>
      <c r="J392" s="14" t="str">
        <f>IF(E392="KTG","KTG",(VLOOKUP(I392,'[1]list of outsource'!B:H,2,0)))</f>
        <v>UPM</v>
      </c>
      <c r="K392" s="14" t="s">
        <v>1285</v>
      </c>
      <c r="L392" s="14">
        <v>4</v>
      </c>
      <c r="M392" s="14" t="s">
        <v>1338</v>
      </c>
      <c r="N392" s="14" t="s">
        <v>1339</v>
      </c>
      <c r="O392" s="14">
        <v>1286710225</v>
      </c>
      <c r="P392" s="14"/>
      <c r="Q392" s="15" t="s">
        <v>575</v>
      </c>
      <c r="R392" s="14"/>
      <c r="S392" s="16"/>
      <c r="T392" s="14"/>
      <c r="U392" s="14">
        <v>4</v>
      </c>
      <c r="V392" s="14"/>
      <c r="W392" s="14" t="s">
        <v>37</v>
      </c>
      <c r="X392" s="13">
        <v>45279</v>
      </c>
      <c r="Y392" s="13"/>
      <c r="AB392" t="e">
        <v>#N/A</v>
      </c>
      <c r="AC392" t="e">
        <v>#N/A</v>
      </c>
      <c r="AE392" t="str">
        <f t="shared" si="67"/>
        <v>P000740</v>
      </c>
      <c r="AF392" t="str">
        <f>_xlfn.XLOOKUP(AE392, Hoja2!A:A, Hoja2!A:A)</f>
        <v>P000740</v>
      </c>
      <c r="AG392" t="str">
        <f t="shared" si="64"/>
        <v>PP00036-15</v>
      </c>
      <c r="AH392">
        <f>_xlfn.XLOOKUP(AG392, Hoja3!A:A, Hoja3!B:B)</f>
        <v>5187</v>
      </c>
      <c r="AI392" t="str">
        <f>_xlfn.XLOOKUP(AH392, Hoja4!A:A, Hoja4!B:B)</f>
        <v>BRAIDP190</v>
      </c>
      <c r="AJ392" t="b">
        <f t="shared" si="65"/>
        <v>1</v>
      </c>
    </row>
    <row r="393" spans="1:36" ht="15.5" customHeight="1" x14ac:dyDescent="0.35">
      <c r="A393">
        <f t="shared" ca="1" si="66"/>
        <v>50</v>
      </c>
      <c r="B393" s="12" t="s">
        <v>1340</v>
      </c>
      <c r="C393" s="13">
        <v>45229</v>
      </c>
      <c r="D393" s="14" t="s">
        <v>121</v>
      </c>
      <c r="E393" s="14" t="s">
        <v>83</v>
      </c>
      <c r="F393" s="14" t="s">
        <v>140</v>
      </c>
      <c r="G393" s="14" t="s">
        <v>32</v>
      </c>
      <c r="H393" s="14" t="s">
        <v>1341</v>
      </c>
      <c r="I393" s="14" t="s">
        <v>1284</v>
      </c>
      <c r="J393" s="14" t="str">
        <f>IF(E393="KTG","KTG",(VLOOKUP(I393,'[1]list of outsource'!B:H,2,0)))</f>
        <v>UPM</v>
      </c>
      <c r="K393" s="14" t="s">
        <v>1285</v>
      </c>
      <c r="L393" s="14">
        <v>4</v>
      </c>
      <c r="M393" s="14" t="s">
        <v>1342</v>
      </c>
      <c r="N393" s="14" t="s">
        <v>1343</v>
      </c>
      <c r="O393" s="14">
        <v>1285187444</v>
      </c>
      <c r="P393" s="14"/>
      <c r="Q393" s="15" t="s">
        <v>575</v>
      </c>
      <c r="R393" s="14"/>
      <c r="S393" s="16"/>
      <c r="T393" s="14"/>
      <c r="U393" s="14">
        <v>4</v>
      </c>
      <c r="V393" s="14"/>
      <c r="W393" s="14" t="s">
        <v>37</v>
      </c>
      <c r="X393" s="13">
        <v>45279</v>
      </c>
      <c r="Y393" s="13"/>
      <c r="AB393" t="e">
        <v>#N/A</v>
      </c>
      <c r="AC393" t="e">
        <v>#N/A</v>
      </c>
      <c r="AE393" t="str">
        <f t="shared" si="67"/>
        <v>P000736</v>
      </c>
      <c r="AF393" t="str">
        <f>_xlfn.XLOOKUP(AE393, Hoja2!A:A, Hoja2!A:A)</f>
        <v>P000736</v>
      </c>
      <c r="AG393" t="str">
        <f t="shared" si="64"/>
        <v>PP00036-16</v>
      </c>
      <c r="AH393">
        <f>_xlfn.XLOOKUP(AG393, Hoja3!A:A, Hoja3!B:B)</f>
        <v>5188</v>
      </c>
      <c r="AI393" t="str">
        <f>_xlfn.XLOOKUP(AH393, Hoja4!A:A, Hoja4!B:B)</f>
        <v>BRAIDP191</v>
      </c>
      <c r="AJ393" t="b">
        <f t="shared" si="65"/>
        <v>1</v>
      </c>
    </row>
    <row r="394" spans="1:36" ht="15.5" customHeight="1" x14ac:dyDescent="0.35">
      <c r="A394">
        <f t="shared" ca="1" si="66"/>
        <v>50</v>
      </c>
      <c r="B394" s="12" t="s">
        <v>1344</v>
      </c>
      <c r="C394" s="13">
        <v>45229</v>
      </c>
      <c r="D394" s="14" t="s">
        <v>121</v>
      </c>
      <c r="E394" s="14" t="s">
        <v>83</v>
      </c>
      <c r="F394" s="14" t="s">
        <v>140</v>
      </c>
      <c r="G394" s="14" t="s">
        <v>32</v>
      </c>
      <c r="H394" s="14" t="s">
        <v>1345</v>
      </c>
      <c r="I394" s="14" t="s">
        <v>1284</v>
      </c>
      <c r="J394" s="14" t="str">
        <f>IF(E394="KTG","KTG",(VLOOKUP(I394,'[1]list of outsource'!B:H,2,0)))</f>
        <v>UPM</v>
      </c>
      <c r="K394" s="14" t="s">
        <v>1285</v>
      </c>
      <c r="L394" s="14">
        <v>4</v>
      </c>
      <c r="M394" s="14" t="s">
        <v>1346</v>
      </c>
      <c r="N394" s="14" t="s">
        <v>1347</v>
      </c>
      <c r="O394" s="14">
        <v>1286189209</v>
      </c>
      <c r="P394" s="14"/>
      <c r="Q394" s="15" t="s">
        <v>575</v>
      </c>
      <c r="R394" s="14"/>
      <c r="S394" s="16"/>
      <c r="T394" s="14"/>
      <c r="U394" s="14">
        <v>4</v>
      </c>
      <c r="V394" s="14"/>
      <c r="W394" s="14" t="s">
        <v>37</v>
      </c>
      <c r="X394" s="13">
        <v>45279</v>
      </c>
      <c r="Y394" s="13"/>
      <c r="AB394" t="e">
        <v>#N/A</v>
      </c>
      <c r="AC394" t="e">
        <v>#N/A</v>
      </c>
      <c r="AE394" t="str">
        <f t="shared" si="67"/>
        <v>P000738</v>
      </c>
      <c r="AF394" t="str">
        <f>_xlfn.XLOOKUP(AE394, Hoja2!A:A, Hoja2!A:A)</f>
        <v>P000738</v>
      </c>
      <c r="AG394" t="str">
        <f t="shared" si="64"/>
        <v>PP00036-17</v>
      </c>
      <c r="AH394">
        <f>_xlfn.XLOOKUP(AG394, Hoja3!A:A, Hoja3!B:B)</f>
        <v>5189</v>
      </c>
      <c r="AI394" t="str">
        <f>_xlfn.XLOOKUP(AH394, Hoja4!A:A, Hoja4!B:B)</f>
        <v>BRAIDP192</v>
      </c>
      <c r="AJ394" t="b">
        <f t="shared" si="65"/>
        <v>1</v>
      </c>
    </row>
    <row r="395" spans="1:36" ht="15.5" customHeight="1" x14ac:dyDescent="0.35">
      <c r="A395">
        <f t="shared" ca="1" si="66"/>
        <v>50</v>
      </c>
      <c r="B395" s="12" t="s">
        <v>1348</v>
      </c>
      <c r="C395" s="13">
        <v>45229</v>
      </c>
      <c r="D395" s="14" t="s">
        <v>121</v>
      </c>
      <c r="E395" s="14" t="s">
        <v>83</v>
      </c>
      <c r="F395" s="14" t="s">
        <v>140</v>
      </c>
      <c r="G395" s="14" t="s">
        <v>32</v>
      </c>
      <c r="H395" s="14" t="s">
        <v>1349</v>
      </c>
      <c r="I395" s="14" t="s">
        <v>1284</v>
      </c>
      <c r="J395" s="14" t="str">
        <f>IF(E395="KTG","KTG",(VLOOKUP(I395,'[1]list of outsource'!B:H,2,0)))</f>
        <v>UPM</v>
      </c>
      <c r="K395" s="14" t="s">
        <v>1285</v>
      </c>
      <c r="L395" s="14">
        <v>4</v>
      </c>
      <c r="M395" s="14" t="s">
        <v>1350</v>
      </c>
      <c r="N395" s="14" t="s">
        <v>1351</v>
      </c>
      <c r="O395" s="14">
        <v>1286189984</v>
      </c>
      <c r="P395" s="14"/>
      <c r="Q395" s="15" t="s">
        <v>575</v>
      </c>
      <c r="R395" s="14"/>
      <c r="S395" s="16"/>
      <c r="T395" s="14"/>
      <c r="U395" s="14">
        <v>4</v>
      </c>
      <c r="V395" s="14"/>
      <c r="W395" s="14" t="s">
        <v>37</v>
      </c>
      <c r="X395" s="13">
        <v>45279</v>
      </c>
      <c r="Y395" s="13"/>
      <c r="AB395" t="e">
        <v>#N/A</v>
      </c>
      <c r="AC395" t="e">
        <v>#N/A</v>
      </c>
      <c r="AE395" t="str">
        <f t="shared" si="67"/>
        <v>P000741</v>
      </c>
      <c r="AF395" t="str">
        <f>_xlfn.XLOOKUP(AE395, Hoja2!A:A, Hoja2!A:A)</f>
        <v>P000741</v>
      </c>
      <c r="AG395" t="str">
        <f t="shared" si="64"/>
        <v>PP00036-18</v>
      </c>
      <c r="AH395">
        <f>_xlfn.XLOOKUP(AG395, Hoja3!A:A, Hoja3!B:B)</f>
        <v>5190</v>
      </c>
      <c r="AI395" t="str">
        <f>_xlfn.XLOOKUP(AH395, Hoja4!A:A, Hoja4!B:B)</f>
        <v>BRAIDP193</v>
      </c>
      <c r="AJ395" t="b">
        <f t="shared" si="65"/>
        <v>1</v>
      </c>
    </row>
    <row r="396" spans="1:36" ht="15.5" customHeight="1" x14ac:dyDescent="0.35">
      <c r="A396">
        <f t="shared" ca="1" si="66"/>
        <v>50</v>
      </c>
      <c r="B396" s="12" t="s">
        <v>1352</v>
      </c>
      <c r="C396" s="13">
        <v>45229</v>
      </c>
      <c r="D396" s="14" t="s">
        <v>121</v>
      </c>
      <c r="E396" s="14" t="s">
        <v>83</v>
      </c>
      <c r="F396" s="14" t="s">
        <v>140</v>
      </c>
      <c r="G396" s="14" t="s">
        <v>32</v>
      </c>
      <c r="H396" s="14" t="s">
        <v>1353</v>
      </c>
      <c r="I396" s="14" t="s">
        <v>1284</v>
      </c>
      <c r="J396" s="14" t="str">
        <f>IF(E396="KTG","KTG",(VLOOKUP(I396,'[1]list of outsource'!B:H,2,0)))</f>
        <v>UPM</v>
      </c>
      <c r="K396" s="14" t="s">
        <v>1285</v>
      </c>
      <c r="L396" s="14">
        <v>4</v>
      </c>
      <c r="M396" s="14" t="s">
        <v>1354</v>
      </c>
      <c r="N396" s="14" t="s">
        <v>1355</v>
      </c>
      <c r="O396" s="14">
        <v>1286190651</v>
      </c>
      <c r="P396" s="14"/>
      <c r="Q396" s="15" t="s">
        <v>575</v>
      </c>
      <c r="R396" s="14"/>
      <c r="S396" s="16"/>
      <c r="T396" s="14"/>
      <c r="U396" s="14">
        <v>4</v>
      </c>
      <c r="V396" s="14"/>
      <c r="W396" s="14" t="s">
        <v>37</v>
      </c>
      <c r="X396" s="13">
        <v>45279</v>
      </c>
      <c r="Y396" s="13"/>
      <c r="AB396" t="e">
        <v>#N/A</v>
      </c>
      <c r="AC396" t="e">
        <v>#N/A</v>
      </c>
      <c r="AE396" t="str">
        <f t="shared" si="67"/>
        <v>P000744</v>
      </c>
      <c r="AF396" t="str">
        <f>_xlfn.XLOOKUP(AE396, Hoja2!A:A, Hoja2!A:A)</f>
        <v>P000744</v>
      </c>
      <c r="AG396" t="str">
        <f t="shared" si="64"/>
        <v>PP00036-19</v>
      </c>
      <c r="AH396">
        <f>_xlfn.XLOOKUP(AG396, Hoja3!A:A, Hoja3!B:B)</f>
        <v>5191</v>
      </c>
      <c r="AI396" t="str">
        <f>_xlfn.XLOOKUP(AH396, Hoja4!A:A, Hoja4!B:B)</f>
        <v>BRAIDP194</v>
      </c>
      <c r="AJ396" t="b">
        <f t="shared" si="65"/>
        <v>1</v>
      </c>
    </row>
    <row r="397" spans="1:36" ht="15.5" customHeight="1" x14ac:dyDescent="0.35">
      <c r="A397">
        <f t="shared" ca="1" si="66"/>
        <v>50</v>
      </c>
      <c r="B397" s="12" t="s">
        <v>1356</v>
      </c>
      <c r="C397" s="13">
        <v>45229</v>
      </c>
      <c r="D397" s="14" t="s">
        <v>121</v>
      </c>
      <c r="E397" s="14" t="s">
        <v>83</v>
      </c>
      <c r="F397" s="14" t="s">
        <v>140</v>
      </c>
      <c r="G397" s="14" t="s">
        <v>32</v>
      </c>
      <c r="H397" s="14" t="s">
        <v>1357</v>
      </c>
      <c r="I397" s="14" t="s">
        <v>1284</v>
      </c>
      <c r="J397" s="14" t="str">
        <f>IF(E397="KTG","KTG",(VLOOKUP(I397,'[1]list of outsource'!B:H,2,0)))</f>
        <v>UPM</v>
      </c>
      <c r="K397" s="14" t="s">
        <v>1285</v>
      </c>
      <c r="L397" s="14">
        <v>4</v>
      </c>
      <c r="M397" s="14" t="s">
        <v>1358</v>
      </c>
      <c r="N397" s="14" t="s">
        <v>1359</v>
      </c>
      <c r="O397" s="14">
        <v>1286191648</v>
      </c>
      <c r="P397" s="14"/>
      <c r="Q397" s="15" t="s">
        <v>575</v>
      </c>
      <c r="R397" s="14"/>
      <c r="S397" s="16"/>
      <c r="T397" s="14"/>
      <c r="U397" s="14">
        <v>4</v>
      </c>
      <c r="V397" s="14"/>
      <c r="W397" s="14" t="s">
        <v>37</v>
      </c>
      <c r="X397" s="13">
        <v>45279</v>
      </c>
      <c r="Y397" s="13"/>
      <c r="AB397" t="e">
        <v>#N/A</v>
      </c>
      <c r="AC397" t="e">
        <v>#N/A</v>
      </c>
      <c r="AE397" t="str">
        <f t="shared" si="67"/>
        <v>P000745</v>
      </c>
      <c r="AF397" t="str">
        <f>_xlfn.XLOOKUP(AE397, Hoja2!A:A, Hoja2!A:A)</f>
        <v>P000745</v>
      </c>
      <c r="AG397" t="str">
        <f t="shared" si="64"/>
        <v>PP00036-20</v>
      </c>
      <c r="AH397">
        <f>_xlfn.XLOOKUP(AG397, Hoja3!A:A, Hoja3!B:B)</f>
        <v>5192</v>
      </c>
      <c r="AI397" t="str">
        <f>_xlfn.XLOOKUP(AH397, Hoja4!A:A, Hoja4!B:B)</f>
        <v>BRAIDP195</v>
      </c>
      <c r="AJ397" t="b">
        <f t="shared" si="65"/>
        <v>1</v>
      </c>
    </row>
    <row r="398" spans="1:36" ht="15.5" customHeight="1" x14ac:dyDescent="0.35">
      <c r="A398">
        <f t="shared" ca="1" si="66"/>
        <v>50</v>
      </c>
      <c r="B398" s="12" t="s">
        <v>1360</v>
      </c>
      <c r="C398" s="13">
        <v>45229</v>
      </c>
      <c r="D398" s="14" t="s">
        <v>121</v>
      </c>
      <c r="E398" s="14" t="s">
        <v>83</v>
      </c>
      <c r="F398" s="14" t="s">
        <v>140</v>
      </c>
      <c r="G398" s="14" t="s">
        <v>32</v>
      </c>
      <c r="H398" s="14" t="s">
        <v>1361</v>
      </c>
      <c r="I398" s="14" t="s">
        <v>1284</v>
      </c>
      <c r="J398" s="14" t="str">
        <f>IF(E398="KTG","KTG",(VLOOKUP(I398,'[1]list of outsource'!B:H,2,0)))</f>
        <v>UPM</v>
      </c>
      <c r="K398" s="14" t="s">
        <v>1285</v>
      </c>
      <c r="L398" s="14">
        <v>4</v>
      </c>
      <c r="M398" s="14" t="s">
        <v>1362</v>
      </c>
      <c r="N398" s="14" t="s">
        <v>1363</v>
      </c>
      <c r="O398" s="14">
        <v>1286192312</v>
      </c>
      <c r="P398" s="14"/>
      <c r="Q398" s="15" t="s">
        <v>575</v>
      </c>
      <c r="R398" s="14"/>
      <c r="S398" s="16"/>
      <c r="T398" s="14"/>
      <c r="U398" s="14">
        <v>4</v>
      </c>
      <c r="V398" s="14"/>
      <c r="W398" s="14" t="s">
        <v>37</v>
      </c>
      <c r="X398" s="13">
        <v>45279</v>
      </c>
      <c r="Y398" s="13"/>
      <c r="AB398" t="e">
        <v>#N/A</v>
      </c>
      <c r="AC398" t="e">
        <v>#N/A</v>
      </c>
      <c r="AE398" t="str">
        <f t="shared" si="67"/>
        <v>P000735</v>
      </c>
      <c r="AF398" t="str">
        <f>_xlfn.XLOOKUP(AE398, Hoja2!A:A, Hoja2!A:A)</f>
        <v>P000735</v>
      </c>
      <c r="AG398" t="str">
        <f t="shared" si="64"/>
        <v>PP00036-21</v>
      </c>
      <c r="AH398">
        <f>_xlfn.XLOOKUP(AG398, Hoja3!A:A, Hoja3!B:B)</f>
        <v>5193</v>
      </c>
      <c r="AI398" t="str">
        <f>_xlfn.XLOOKUP(AH398, Hoja4!A:A, Hoja4!B:B)</f>
        <v>BRAIDP183</v>
      </c>
      <c r="AJ398" t="b">
        <f t="shared" si="65"/>
        <v>1</v>
      </c>
    </row>
    <row r="399" spans="1:36" ht="15.5" customHeight="1" x14ac:dyDescent="0.35">
      <c r="A399">
        <f t="shared" ca="1" si="66"/>
        <v>52</v>
      </c>
      <c r="B399" s="12" t="s">
        <v>1364</v>
      </c>
      <c r="C399" s="13">
        <v>45229</v>
      </c>
      <c r="D399" s="14" t="s">
        <v>121</v>
      </c>
      <c r="E399" s="14" t="s">
        <v>139</v>
      </c>
      <c r="F399" s="14" t="s">
        <v>921</v>
      </c>
      <c r="G399" s="14" t="s">
        <v>922</v>
      </c>
      <c r="H399" s="14" t="s">
        <v>1365</v>
      </c>
      <c r="I399" s="14" t="s">
        <v>208</v>
      </c>
      <c r="J399" s="14" t="str">
        <f>IF(E399="KTG","KTG",(VLOOKUP(I399,'[1]list of outsource'!B:H,2,0)))</f>
        <v>ETC</v>
      </c>
      <c r="K399" s="14" t="s">
        <v>209</v>
      </c>
      <c r="L399" s="14">
        <v>19</v>
      </c>
      <c r="M399" s="14" t="s">
        <v>1366</v>
      </c>
      <c r="N399" s="14" t="s">
        <v>1367</v>
      </c>
      <c r="O399" s="14">
        <v>1287010958</v>
      </c>
      <c r="P399" s="14"/>
      <c r="Q399" s="15" t="s">
        <v>575</v>
      </c>
      <c r="R399" s="14"/>
      <c r="S399" s="16"/>
      <c r="T399" s="14"/>
      <c r="U399" s="14">
        <v>4</v>
      </c>
      <c r="V399" s="14"/>
      <c r="W399" s="14" t="s">
        <v>37</v>
      </c>
      <c r="X399" s="13">
        <v>45281</v>
      </c>
      <c r="Y399" s="13"/>
      <c r="AB399" t="e">
        <v>#N/A</v>
      </c>
      <c r="AC399" t="e">
        <v>#N/A</v>
      </c>
      <c r="AE399" t="str">
        <f t="shared" si="67"/>
        <v>P000463</v>
      </c>
      <c r="AF399" t="str">
        <f>_xlfn.XLOOKUP(AE399, Hoja2!A:A, Hoja2!A:A)</f>
        <v>P000463</v>
      </c>
      <c r="AG399" t="str">
        <f t="shared" si="64"/>
        <v>PP00041-03</v>
      </c>
      <c r="AH399">
        <f>_xlfn.XLOOKUP(AG399, Hoja3!A:A, Hoja3!B:B)</f>
        <v>4327</v>
      </c>
      <c r="AI399" t="str">
        <f>_xlfn.XLOOKUP(AH399, Hoja4!A:A, Hoja4!B:B)</f>
        <v>8S3247</v>
      </c>
      <c r="AJ399" t="b">
        <f t="shared" si="65"/>
        <v>1</v>
      </c>
    </row>
    <row r="400" spans="1:36" ht="15.5" customHeight="1" x14ac:dyDescent="0.35">
      <c r="A400">
        <f t="shared" ca="1" si="66"/>
        <v>24</v>
      </c>
      <c r="B400" s="12" t="s">
        <v>1368</v>
      </c>
      <c r="C400" s="13">
        <v>45053</v>
      </c>
      <c r="D400" s="14" t="s">
        <v>121</v>
      </c>
      <c r="E400" s="14" t="s">
        <v>83</v>
      </c>
      <c r="F400" s="14" t="s">
        <v>84</v>
      </c>
      <c r="G400" s="14" t="s">
        <v>156</v>
      </c>
      <c r="H400" s="14" t="s">
        <v>223</v>
      </c>
      <c r="I400" s="14" t="s">
        <v>158</v>
      </c>
      <c r="J400" s="14" t="str">
        <f>IF(E400="KTG","KTG",(VLOOKUP(I400,'[1]list of outsource'!B:H,2,0)))</f>
        <v>UPM</v>
      </c>
      <c r="K400" s="14" t="s">
        <v>159</v>
      </c>
      <c r="L400" s="14"/>
      <c r="M400" s="14" t="s">
        <v>224</v>
      </c>
      <c r="N400" s="14" t="s">
        <v>464</v>
      </c>
      <c r="O400" s="14" t="s">
        <v>1369</v>
      </c>
      <c r="P400" s="14"/>
      <c r="Q400" s="15"/>
      <c r="R400" s="14"/>
      <c r="S400" s="16"/>
      <c r="T400" s="14"/>
      <c r="U400" s="14">
        <v>2</v>
      </c>
      <c r="V400" s="14"/>
      <c r="W400" s="14" t="s">
        <v>154</v>
      </c>
      <c r="X400" s="13">
        <v>45077</v>
      </c>
      <c r="Y400" s="13"/>
      <c r="AB400">
        <v>0</v>
      </c>
      <c r="AC400" t="e">
        <v>#N/A</v>
      </c>
      <c r="AE400" t="str">
        <f t="shared" si="67"/>
        <v>P000127</v>
      </c>
      <c r="AF400" t="str">
        <f>_xlfn.XLOOKUP(AE400, Hoja2!A:A, Hoja2!A:A)</f>
        <v>P000127</v>
      </c>
      <c r="AG400" t="str">
        <f t="shared" si="64"/>
        <v>PP00028-10</v>
      </c>
      <c r="AH400">
        <f>_xlfn.XLOOKUP(AG400, Hoja3!A:A, Hoja3!B:B)</f>
        <v>47</v>
      </c>
      <c r="AI400" t="str">
        <f>_xlfn.XLOOKUP(AH400, Hoja4!A:A, Hoja4!B:B)</f>
        <v>E34427600</v>
      </c>
      <c r="AJ400" t="b">
        <f t="shared" si="65"/>
        <v>1</v>
      </c>
    </row>
    <row r="401" spans="1:36" ht="15.5" customHeight="1" x14ac:dyDescent="0.35">
      <c r="A401">
        <f t="shared" ca="1" si="66"/>
        <v>1</v>
      </c>
      <c r="B401" s="6" t="s">
        <v>1368</v>
      </c>
      <c r="C401" s="7">
        <v>45385</v>
      </c>
      <c r="D401" s="6" t="s">
        <v>912</v>
      </c>
      <c r="E401" s="6" t="s">
        <v>83</v>
      </c>
      <c r="F401" s="6" t="s">
        <v>84</v>
      </c>
      <c r="G401" s="6" t="s">
        <v>156</v>
      </c>
      <c r="H401" s="6" t="s">
        <v>223</v>
      </c>
      <c r="I401" s="6" t="s">
        <v>158</v>
      </c>
      <c r="J401" s="6" t="str">
        <f>IF(E401="KTG","KTG",(VLOOKUP(I401,'[1]list of outsource'!B:H,2,0)))</f>
        <v>UPM</v>
      </c>
      <c r="K401" s="6" t="s">
        <v>159</v>
      </c>
      <c r="L401" s="6">
        <v>38</v>
      </c>
      <c r="M401" s="6" t="s">
        <v>224</v>
      </c>
      <c r="N401" s="6" t="s">
        <v>464</v>
      </c>
      <c r="O401" s="6" t="s">
        <v>1369</v>
      </c>
      <c r="P401" s="6"/>
      <c r="Q401" s="8" t="s">
        <v>575</v>
      </c>
      <c r="R401" s="6"/>
      <c r="S401" s="6"/>
      <c r="T401" s="6"/>
      <c r="U401" s="6">
        <v>1</v>
      </c>
      <c r="V401" s="6" t="s">
        <v>569</v>
      </c>
      <c r="W401" s="6" t="s">
        <v>576</v>
      </c>
      <c r="X401" s="7">
        <v>45386</v>
      </c>
      <c r="Y401" s="7">
        <v>45386</v>
      </c>
      <c r="AB401">
        <v>0</v>
      </c>
      <c r="AC401" t="e">
        <v>#N/A</v>
      </c>
      <c r="AE401" t="str">
        <f t="shared" si="67"/>
        <v>P000127</v>
      </c>
      <c r="AF401" t="str">
        <f>_xlfn.XLOOKUP(AE401, Hoja2!A:A, Hoja2!A:A)</f>
        <v>P000127</v>
      </c>
      <c r="AG401" t="str">
        <f t="shared" si="64"/>
        <v>PP00028-10</v>
      </c>
      <c r="AH401">
        <f>_xlfn.XLOOKUP(AG401, Hoja3!A:A, Hoja3!B:B)</f>
        <v>47</v>
      </c>
      <c r="AI401" t="str">
        <f>_xlfn.XLOOKUP(AH401, Hoja4!A:A, Hoja4!B:B)</f>
        <v>E34427600</v>
      </c>
      <c r="AJ401" t="b">
        <f t="shared" si="65"/>
        <v>1</v>
      </c>
    </row>
    <row r="402" spans="1:36" ht="15.5" customHeight="1" x14ac:dyDescent="0.35">
      <c r="A402">
        <f t="shared" ca="1" si="66"/>
        <v>18</v>
      </c>
      <c r="B402" s="12" t="s">
        <v>1370</v>
      </c>
      <c r="C402" s="13">
        <v>45233</v>
      </c>
      <c r="D402" s="14" t="s">
        <v>121</v>
      </c>
      <c r="E402" s="14" t="s">
        <v>30</v>
      </c>
      <c r="F402" s="14" t="s">
        <v>1371</v>
      </c>
      <c r="G402" s="14" t="s">
        <v>32</v>
      </c>
      <c r="H402" s="14" t="s">
        <v>1372</v>
      </c>
      <c r="I402" s="14"/>
      <c r="J402" s="14" t="str">
        <f>IF(E402="KTG","KTG",(VLOOKUP(I402,'[1]list of outsource'!B:H,2,0)))</f>
        <v>KTG</v>
      </c>
      <c r="K402" s="14"/>
      <c r="L402" s="14"/>
      <c r="M402" s="14" t="s">
        <v>1373</v>
      </c>
      <c r="N402" s="14" t="s">
        <v>1374</v>
      </c>
      <c r="O402" s="14"/>
      <c r="P402" s="14"/>
      <c r="Q402" s="15"/>
      <c r="R402" s="14"/>
      <c r="S402" s="16"/>
      <c r="T402" s="14"/>
      <c r="U402" s="14">
        <v>4</v>
      </c>
      <c r="V402" s="14"/>
      <c r="W402" s="14" t="s">
        <v>37</v>
      </c>
      <c r="X402" s="13">
        <v>45251</v>
      </c>
      <c r="Y402" s="13"/>
      <c r="AB402" t="e">
        <v>#N/A</v>
      </c>
      <c r="AC402" t="s">
        <v>4210</v>
      </c>
      <c r="AE402" t="str">
        <f t="shared" si="67"/>
        <v>E74926</v>
      </c>
      <c r="AF402" t="str">
        <f>_xlfn.XLOOKUP(AE402, Hoja2!A:A, Hoja2!A:A)</f>
        <v>E74926</v>
      </c>
      <c r="AG402" t="str">
        <f t="shared" si="64"/>
        <v>PP00047-01</v>
      </c>
      <c r="AH402">
        <f>_xlfn.XLOOKUP(AG402, Hoja3!A:A, Hoja3!B:B)</f>
        <v>5508</v>
      </c>
      <c r="AI402" t="str">
        <f>_xlfn.XLOOKUP(AH402, Hoja4!A:A, Hoja4!B:B)</f>
        <v>DWT-RO-1-50MM</v>
      </c>
      <c r="AJ402" t="b">
        <f t="shared" si="65"/>
        <v>1</v>
      </c>
    </row>
    <row r="403" spans="1:36" ht="15.5" customHeight="1" x14ac:dyDescent="0.35">
      <c r="A403">
        <f t="shared" ca="1" si="66"/>
        <v>18</v>
      </c>
      <c r="B403" s="12" t="s">
        <v>1375</v>
      </c>
      <c r="C403" s="13">
        <v>45233</v>
      </c>
      <c r="D403" s="14" t="s">
        <v>121</v>
      </c>
      <c r="E403" s="14" t="s">
        <v>30</v>
      </c>
      <c r="F403" s="14" t="s">
        <v>1371</v>
      </c>
      <c r="G403" s="14" t="s">
        <v>32</v>
      </c>
      <c r="H403" s="14" t="s">
        <v>1376</v>
      </c>
      <c r="I403" s="14"/>
      <c r="J403" s="14" t="str">
        <f>IF(E403="KTG","KTG",(VLOOKUP(I403,'[1]list of outsource'!B:H,2,0)))</f>
        <v>KTG</v>
      </c>
      <c r="K403" s="14"/>
      <c r="L403" s="14"/>
      <c r="M403" s="14" t="s">
        <v>1377</v>
      </c>
      <c r="N403" s="14" t="s">
        <v>1378</v>
      </c>
      <c r="O403" s="14"/>
      <c r="P403" s="14"/>
      <c r="Q403" s="15"/>
      <c r="R403" s="14"/>
      <c r="S403" s="16"/>
      <c r="T403" s="14"/>
      <c r="U403" s="14">
        <v>1</v>
      </c>
      <c r="V403" s="14"/>
      <c r="W403" s="14" t="s">
        <v>154</v>
      </c>
      <c r="X403" s="13">
        <v>45251</v>
      </c>
      <c r="Y403" s="13"/>
      <c r="AB403" t="e">
        <v>#N/A</v>
      </c>
      <c r="AC403" t="s">
        <v>4210</v>
      </c>
      <c r="AE403" t="str">
        <f t="shared" si="67"/>
        <v>E58346</v>
      </c>
      <c r="AF403" t="str">
        <f>_xlfn.XLOOKUP(AE403, Hoja2!A:A, Hoja2!A:A)</f>
        <v>E58346</v>
      </c>
      <c r="AG403" t="str">
        <f t="shared" si="64"/>
        <v>PP00047-02</v>
      </c>
      <c r="AH403">
        <f>_xlfn.XLOOKUP(AG403, Hoja3!A:A, Hoja3!B:B)</f>
        <v>5509</v>
      </c>
      <c r="AI403" t="str">
        <f>_xlfn.XLOOKUP(AH403, Hoja4!A:A, Hoja4!B:B)</f>
        <v>CYG-135F-1/2-50-BLK</v>
      </c>
      <c r="AJ403" t="b">
        <f t="shared" si="65"/>
        <v>1</v>
      </c>
    </row>
    <row r="404" spans="1:36" ht="15.5" customHeight="1" x14ac:dyDescent="0.35">
      <c r="A404">
        <f t="shared" ca="1" si="66"/>
        <v>18</v>
      </c>
      <c r="B404" s="12" t="s">
        <v>1379</v>
      </c>
      <c r="C404" s="13">
        <v>45233</v>
      </c>
      <c r="D404" s="14" t="s">
        <v>121</v>
      </c>
      <c r="E404" s="14" t="s">
        <v>30</v>
      </c>
      <c r="F404" s="14" t="s">
        <v>1371</v>
      </c>
      <c r="G404" s="14" t="s">
        <v>32</v>
      </c>
      <c r="H404" s="14" t="s">
        <v>1380</v>
      </c>
      <c r="I404" s="14"/>
      <c r="J404" s="14" t="str">
        <f>IF(E404="KTG","KTG",(VLOOKUP(I404,'[1]list of outsource'!B:H,2,0)))</f>
        <v>KTG</v>
      </c>
      <c r="K404" s="14"/>
      <c r="L404" s="14"/>
      <c r="M404" s="14" t="s">
        <v>1381</v>
      </c>
      <c r="N404" s="14" t="s">
        <v>1382</v>
      </c>
      <c r="O404" s="14"/>
      <c r="P404" s="14"/>
      <c r="Q404" s="15"/>
      <c r="R404" s="14"/>
      <c r="S404" s="16"/>
      <c r="T404" s="14"/>
      <c r="U404" s="14">
        <v>1</v>
      </c>
      <c r="V404" s="14"/>
      <c r="W404" s="14" t="s">
        <v>154</v>
      </c>
      <c r="X404" s="13">
        <v>45251</v>
      </c>
      <c r="Y404" s="13"/>
      <c r="AB404" t="e">
        <v>#N/A</v>
      </c>
      <c r="AC404" t="e">
        <v>#N/A</v>
      </c>
      <c r="AE404" t="str">
        <f t="shared" si="67"/>
        <v>E58350</v>
      </c>
      <c r="AF404" t="str">
        <f>_xlfn.XLOOKUP(AE404, Hoja2!A:A, Hoja2!A:A)</f>
        <v>E58350</v>
      </c>
      <c r="AG404" t="str">
        <f t="shared" si="64"/>
        <v>PP00047-03</v>
      </c>
      <c r="AH404">
        <f>_xlfn.XLOOKUP(AG404, Hoja3!A:A, Hoja3!B:B)</f>
        <v>5510</v>
      </c>
      <c r="AI404" t="str">
        <f>_xlfn.XLOOKUP(AH404, Hoja4!A:A, Hoja4!B:B)</f>
        <v>CYG-MT(HX)-3X-S3-6.4-9</v>
      </c>
      <c r="AJ404" t="b">
        <f t="shared" si="65"/>
        <v>1</v>
      </c>
    </row>
    <row r="405" spans="1:36" ht="15.5" customHeight="1" x14ac:dyDescent="0.35">
      <c r="A405">
        <f t="shared" ca="1" si="66"/>
        <v>24</v>
      </c>
      <c r="B405" s="6" t="s">
        <v>1368</v>
      </c>
      <c r="C405" s="7">
        <v>45720</v>
      </c>
      <c r="D405" s="6" t="s">
        <v>564</v>
      </c>
      <c r="E405" s="6" t="s">
        <v>83</v>
      </c>
      <c r="F405" s="6" t="s">
        <v>84</v>
      </c>
      <c r="G405" s="6" t="s">
        <v>156</v>
      </c>
      <c r="H405" s="6" t="s">
        <v>223</v>
      </c>
      <c r="I405" s="6" t="s">
        <v>158</v>
      </c>
      <c r="J405" s="6" t="str">
        <f>IF(E405="KTG","KTG",(VLOOKUP(I405,'[1]list of outsource'!B:H,2,0)))</f>
        <v>UPM</v>
      </c>
      <c r="K405" s="6" t="s">
        <v>159</v>
      </c>
      <c r="L405" s="6">
        <v>45</v>
      </c>
      <c r="M405" s="6" t="s">
        <v>224</v>
      </c>
      <c r="N405" s="6" t="s">
        <v>464</v>
      </c>
      <c r="O405" s="6" t="s">
        <v>1383</v>
      </c>
      <c r="P405" s="6"/>
      <c r="Q405" s="8"/>
      <c r="R405" s="6"/>
      <c r="S405" s="6"/>
      <c r="T405" s="6"/>
      <c r="U405" s="6">
        <v>1</v>
      </c>
      <c r="V405" s="6" t="s">
        <v>569</v>
      </c>
      <c r="W405" s="6" t="s">
        <v>576</v>
      </c>
      <c r="X405" s="7">
        <v>45744</v>
      </c>
      <c r="Y405" s="7">
        <v>45747</v>
      </c>
      <c r="AB405">
        <v>0</v>
      </c>
      <c r="AC405" t="e">
        <v>#N/A</v>
      </c>
      <c r="AE405" t="str">
        <f t="shared" si="67"/>
        <v>P000127</v>
      </c>
      <c r="AF405" t="str">
        <f>_xlfn.XLOOKUP(AE405, Hoja2!A:A, Hoja2!A:A)</f>
        <v>P000127</v>
      </c>
      <c r="AG405" t="str">
        <f t="shared" si="64"/>
        <v>PP00028-10</v>
      </c>
      <c r="AH405">
        <f>_xlfn.XLOOKUP(AG405, Hoja3!A:A, Hoja3!B:B)</f>
        <v>47</v>
      </c>
      <c r="AI405" t="str">
        <f>_xlfn.XLOOKUP(AH405, Hoja4!A:A, Hoja4!B:B)</f>
        <v>E34427600</v>
      </c>
      <c r="AJ405" t="b">
        <f t="shared" si="65"/>
        <v>1</v>
      </c>
    </row>
    <row r="406" spans="1:36" ht="15.5" customHeight="1" x14ac:dyDescent="0.35">
      <c r="A406">
        <f t="shared" ca="1" si="66"/>
        <v>23</v>
      </c>
      <c r="B406" s="6" t="s">
        <v>1384</v>
      </c>
      <c r="C406" s="7">
        <v>45054</v>
      </c>
      <c r="D406" s="6" t="s">
        <v>507</v>
      </c>
      <c r="E406" s="6" t="s">
        <v>83</v>
      </c>
      <c r="F406" s="6" t="s">
        <v>84</v>
      </c>
      <c r="G406" s="6" t="s">
        <v>156</v>
      </c>
      <c r="H406" s="6" t="s">
        <v>157</v>
      </c>
      <c r="I406" s="6" t="s">
        <v>158</v>
      </c>
      <c r="J406" s="6" t="str">
        <f>IF(E406="KTG","KTG",(VLOOKUP(I406,'[1]list of outsource'!B:H,2,0)))</f>
        <v>UPM</v>
      </c>
      <c r="K406" s="6" t="s">
        <v>159</v>
      </c>
      <c r="L406" s="6"/>
      <c r="M406" s="6" t="s">
        <v>160</v>
      </c>
      <c r="N406" s="6" t="s">
        <v>1095</v>
      </c>
      <c r="O406" s="6" t="s">
        <v>1385</v>
      </c>
      <c r="P406" s="6"/>
      <c r="Q406" s="8"/>
      <c r="R406" s="6"/>
      <c r="S406" s="6"/>
      <c r="T406" s="6"/>
      <c r="U406" s="6">
        <v>2</v>
      </c>
      <c r="V406" s="6"/>
      <c r="W406" s="6" t="s">
        <v>154</v>
      </c>
      <c r="X406" s="7">
        <v>45077</v>
      </c>
      <c r="Y406" s="7">
        <v>45225</v>
      </c>
      <c r="AB406" t="e">
        <v>#N/A</v>
      </c>
      <c r="AC406" t="e">
        <v>#N/A</v>
      </c>
      <c r="AE406" t="str">
        <f t="shared" si="67"/>
        <v>P000053</v>
      </c>
      <c r="AF406" t="str">
        <f>_xlfn.XLOOKUP(AE406, Hoja2!A:A, Hoja2!A:A)</f>
        <v>P000053</v>
      </c>
      <c r="AG406" t="str">
        <f t="shared" si="64"/>
        <v>PP00028-11</v>
      </c>
      <c r="AH406">
        <f>_xlfn.XLOOKUP(AG406, Hoja3!A:A, Hoja3!B:B)</f>
        <v>39</v>
      </c>
      <c r="AI406" t="str">
        <f>_xlfn.XLOOKUP(AH406, Hoja4!A:A, Hoja4!B:B)</f>
        <v>E33300300</v>
      </c>
      <c r="AJ406" t="b">
        <f t="shared" si="65"/>
        <v>1</v>
      </c>
    </row>
    <row r="407" spans="1:36" ht="15.5" customHeight="1" x14ac:dyDescent="0.35">
      <c r="A407">
        <f t="shared" ca="1" si="66"/>
        <v>27</v>
      </c>
      <c r="B407" s="6" t="s">
        <v>1386</v>
      </c>
      <c r="C407" s="7">
        <v>45238</v>
      </c>
      <c r="D407" s="6" t="s">
        <v>507</v>
      </c>
      <c r="E407" s="6" t="s">
        <v>139</v>
      </c>
      <c r="F407" s="6" t="s">
        <v>933</v>
      </c>
      <c r="G407" s="6" t="s">
        <v>32</v>
      </c>
      <c r="H407" s="6">
        <v>35758255</v>
      </c>
      <c r="I407" s="6" t="s">
        <v>529</v>
      </c>
      <c r="J407" s="6" t="str">
        <f>IF(E407="KTG","KTG",(VLOOKUP(I407,'[1]list of outsource'!B:H,2,0)))</f>
        <v>ETC</v>
      </c>
      <c r="K407" s="6" t="s">
        <v>530</v>
      </c>
      <c r="L407" s="6">
        <v>8</v>
      </c>
      <c r="M407" s="6" t="s">
        <v>1387</v>
      </c>
      <c r="N407" s="6" t="s">
        <v>1388</v>
      </c>
      <c r="O407" s="6">
        <v>1281712059</v>
      </c>
      <c r="P407" s="6"/>
      <c r="Q407" s="8" t="s">
        <v>575</v>
      </c>
      <c r="R407" s="6" t="s">
        <v>575</v>
      </c>
      <c r="S407" s="6" t="s">
        <v>575</v>
      </c>
      <c r="T407" s="6" t="s">
        <v>575</v>
      </c>
      <c r="U407" s="6">
        <v>4</v>
      </c>
      <c r="V407" s="6"/>
      <c r="W407" s="6" t="s">
        <v>37</v>
      </c>
      <c r="X407" s="7">
        <v>45265</v>
      </c>
      <c r="Y407" s="7">
        <v>45268</v>
      </c>
      <c r="AB407" t="e">
        <v>#N/A</v>
      </c>
      <c r="AC407" t="s">
        <v>4210</v>
      </c>
      <c r="AE407" t="str">
        <f t="shared" si="67"/>
        <v>P000451</v>
      </c>
      <c r="AF407" t="str">
        <f>_xlfn.XLOOKUP(AE407, Hoja2!A:A, Hoja2!A:A)</f>
        <v>P000451</v>
      </c>
      <c r="AG407" t="str">
        <f t="shared" si="64"/>
        <v>PP00042-0010</v>
      </c>
      <c r="AH407">
        <f>_xlfn.XLOOKUP(AG407, Hoja3!A:A, Hoja3!B:B)</f>
        <v>3798</v>
      </c>
      <c r="AI407">
        <f>_xlfn.XLOOKUP(AH407, Hoja4!A:A, Hoja4!B:B)</f>
        <v>35758255</v>
      </c>
      <c r="AJ407" t="b">
        <f t="shared" si="65"/>
        <v>1</v>
      </c>
    </row>
    <row r="408" spans="1:36" ht="15.5" customHeight="1" x14ac:dyDescent="0.35">
      <c r="A408">
        <f t="shared" ca="1" si="66"/>
        <v>26</v>
      </c>
      <c r="B408" s="6" t="s">
        <v>1389</v>
      </c>
      <c r="C408" s="7">
        <v>45238</v>
      </c>
      <c r="D408" s="6" t="s">
        <v>507</v>
      </c>
      <c r="E408" s="6" t="s">
        <v>139</v>
      </c>
      <c r="F408" s="6" t="s">
        <v>933</v>
      </c>
      <c r="G408" s="6" t="s">
        <v>32</v>
      </c>
      <c r="H408" s="6">
        <v>35738173</v>
      </c>
      <c r="I408" s="6" t="s">
        <v>529</v>
      </c>
      <c r="J408" s="6" t="str">
        <f>IF(E408="KTG","KTG",(VLOOKUP(I408,'[1]list of outsource'!B:H,2,0)))</f>
        <v>ETC</v>
      </c>
      <c r="K408" s="6" t="s">
        <v>530</v>
      </c>
      <c r="L408" s="6">
        <v>8</v>
      </c>
      <c r="M408" s="6" t="s">
        <v>1200</v>
      </c>
      <c r="N408" s="6" t="s">
        <v>1390</v>
      </c>
      <c r="O408" s="6">
        <v>1281714855</v>
      </c>
      <c r="P408" s="6"/>
      <c r="Q408" s="8" t="s">
        <v>575</v>
      </c>
      <c r="R408" s="6" t="s">
        <v>575</v>
      </c>
      <c r="S408" s="6" t="s">
        <v>575</v>
      </c>
      <c r="T408" s="6" t="s">
        <v>575</v>
      </c>
      <c r="U408" s="6">
        <v>4</v>
      </c>
      <c r="V408" s="6"/>
      <c r="W408" s="6" t="s">
        <v>37</v>
      </c>
      <c r="X408" s="7">
        <v>45264</v>
      </c>
      <c r="Y408" s="7">
        <v>45268</v>
      </c>
      <c r="AB408" t="e">
        <v>#N/A</v>
      </c>
      <c r="AC408" t="e">
        <v>#N/A</v>
      </c>
      <c r="AE408" t="str">
        <f t="shared" si="67"/>
        <v>P000365</v>
      </c>
      <c r="AF408" t="str">
        <f>_xlfn.XLOOKUP(AE408, Hoja2!A:A, Hoja2!A:A)</f>
        <v>P000365</v>
      </c>
      <c r="AG408" t="str">
        <f t="shared" si="64"/>
        <v>PP00042-0011</v>
      </c>
      <c r="AH408">
        <f>_xlfn.XLOOKUP(AG408, Hoja3!A:A, Hoja3!B:B)</f>
        <v>3796</v>
      </c>
      <c r="AI408">
        <f>_xlfn.XLOOKUP(AH408, Hoja4!A:A, Hoja4!B:B)</f>
        <v>35738173</v>
      </c>
      <c r="AJ408" t="b">
        <f t="shared" si="65"/>
        <v>1</v>
      </c>
    </row>
    <row r="409" spans="1:36" ht="15.5" customHeight="1" x14ac:dyDescent="0.35">
      <c r="A409">
        <f t="shared" ca="1" si="66"/>
        <v>6</v>
      </c>
      <c r="B409" s="6" t="s">
        <v>1384</v>
      </c>
      <c r="C409" s="7">
        <v>45791</v>
      </c>
      <c r="D409" s="6" t="s">
        <v>564</v>
      </c>
      <c r="E409" s="6" t="s">
        <v>83</v>
      </c>
      <c r="F409" s="6" t="s">
        <v>84</v>
      </c>
      <c r="G409" s="6" t="s">
        <v>156</v>
      </c>
      <c r="H409" s="6" t="s">
        <v>157</v>
      </c>
      <c r="I409" s="6" t="s">
        <v>158</v>
      </c>
      <c r="J409" s="6" t="str">
        <f>IF(E409="KTG","KTG",(VLOOKUP(I409,'[1]list of outsource'!B:H,2,0)))</f>
        <v>UPM</v>
      </c>
      <c r="K409" s="6" t="s">
        <v>159</v>
      </c>
      <c r="L409" s="6">
        <v>45</v>
      </c>
      <c r="M409" s="6" t="s">
        <v>160</v>
      </c>
      <c r="N409" s="6" t="s">
        <v>1095</v>
      </c>
      <c r="O409" s="6" t="s">
        <v>1391</v>
      </c>
      <c r="P409" s="6"/>
      <c r="Q409" s="8"/>
      <c r="R409" s="6"/>
      <c r="S409" s="6"/>
      <c r="T409" s="6"/>
      <c r="U409" s="6">
        <v>1</v>
      </c>
      <c r="V409" s="6" t="s">
        <v>569</v>
      </c>
      <c r="W409" s="6" t="s">
        <v>154</v>
      </c>
      <c r="X409" s="7">
        <v>45797</v>
      </c>
      <c r="Y409" s="7">
        <v>45798</v>
      </c>
      <c r="AB409" t="e">
        <v>#N/A</v>
      </c>
      <c r="AC409" t="e">
        <v>#N/A</v>
      </c>
      <c r="AE409" t="str">
        <f t="shared" si="67"/>
        <v>P000053</v>
      </c>
      <c r="AF409" t="str">
        <f>_xlfn.XLOOKUP(AE409, Hoja2!A:A, Hoja2!A:A)</f>
        <v>P000053</v>
      </c>
      <c r="AG409" t="str">
        <f t="shared" si="64"/>
        <v>PP00028-11</v>
      </c>
      <c r="AH409">
        <f>_xlfn.XLOOKUP(AG409, Hoja3!A:A, Hoja3!B:B)</f>
        <v>39</v>
      </c>
      <c r="AI409" t="str">
        <f>_xlfn.XLOOKUP(AH409, Hoja4!A:A, Hoja4!B:B)</f>
        <v>E33300300</v>
      </c>
      <c r="AJ409" t="b">
        <f t="shared" si="65"/>
        <v>1</v>
      </c>
    </row>
    <row r="410" spans="1:36" ht="15.5" customHeight="1" x14ac:dyDescent="0.35">
      <c r="A410">
        <f t="shared" ca="1" si="66"/>
        <v>38</v>
      </c>
      <c r="B410" s="12" t="s">
        <v>1392</v>
      </c>
      <c r="C410" s="13">
        <v>45055</v>
      </c>
      <c r="D410" s="14" t="s">
        <v>121</v>
      </c>
      <c r="E410" s="14" t="s">
        <v>83</v>
      </c>
      <c r="F410" s="14" t="s">
        <v>84</v>
      </c>
      <c r="G410" s="14" t="s">
        <v>156</v>
      </c>
      <c r="H410" s="14" t="s">
        <v>411</v>
      </c>
      <c r="I410" s="14" t="s">
        <v>95</v>
      </c>
      <c r="J410" s="14" t="str">
        <f>IF(E410="KTG","KTG",(VLOOKUP(I410,'[1]list of outsource'!B:H,2,0)))</f>
        <v>Woer</v>
      </c>
      <c r="K410" s="14" t="s">
        <v>96</v>
      </c>
      <c r="L410" s="14"/>
      <c r="M410" s="14" t="s">
        <v>412</v>
      </c>
      <c r="N410" s="14" t="s">
        <v>740</v>
      </c>
      <c r="O410" s="14" t="s">
        <v>1393</v>
      </c>
      <c r="P410" s="14"/>
      <c r="Q410" s="15"/>
      <c r="R410" s="14"/>
      <c r="S410" s="16"/>
      <c r="T410" s="14"/>
      <c r="U410" s="14">
        <v>1</v>
      </c>
      <c r="V410" s="14"/>
      <c r="W410" s="14" t="s">
        <v>154</v>
      </c>
      <c r="X410" s="13">
        <v>45093</v>
      </c>
      <c r="Y410" s="13"/>
      <c r="AB410" t="e">
        <v>#N/A</v>
      </c>
      <c r="AC410" t="e">
        <v>#N/A</v>
      </c>
      <c r="AE410" t="str">
        <f t="shared" si="67"/>
        <v>P000180</v>
      </c>
      <c r="AF410" t="str">
        <f>_xlfn.XLOOKUP(AE410, Hoja2!A:A, Hoja2!A:A)</f>
        <v>P000180</v>
      </c>
      <c r="AG410" t="str">
        <f t="shared" si="64"/>
        <v>PP00028-12</v>
      </c>
      <c r="AH410">
        <f>_xlfn.XLOOKUP(AG410, Hoja3!A:A, Hoja3!B:B)</f>
        <v>52</v>
      </c>
      <c r="AI410" t="str">
        <f>_xlfn.XLOOKUP(AH410, Hoja4!A:A, Hoja4!B:B)</f>
        <v>E35563100</v>
      </c>
      <c r="AJ410" t="b">
        <f t="shared" si="65"/>
        <v>1</v>
      </c>
    </row>
    <row r="411" spans="1:36" ht="15.5" customHeight="1" x14ac:dyDescent="0.35">
      <c r="A411">
        <f t="shared" ca="1" si="66"/>
        <v>1</v>
      </c>
      <c r="B411" s="12" t="s">
        <v>1392</v>
      </c>
      <c r="C411" s="13">
        <v>45435</v>
      </c>
      <c r="D411" s="14" t="s">
        <v>121</v>
      </c>
      <c r="E411" s="14" t="s">
        <v>83</v>
      </c>
      <c r="F411" s="14" t="s">
        <v>739</v>
      </c>
      <c r="G411" s="14" t="s">
        <v>156</v>
      </c>
      <c r="H411" s="14" t="s">
        <v>411</v>
      </c>
      <c r="I411" s="14" t="s">
        <v>95</v>
      </c>
      <c r="J411" s="14" t="str">
        <f>IF(E411="KTG","KTG",(VLOOKUP(I411,'[1]list of outsource'!B:H,2,0)))</f>
        <v>Woer</v>
      </c>
      <c r="K411" s="14" t="s">
        <v>96</v>
      </c>
      <c r="L411" s="14"/>
      <c r="M411" s="14" t="s">
        <v>412</v>
      </c>
      <c r="N411" s="14" t="s">
        <v>740</v>
      </c>
      <c r="O411" s="14" t="s">
        <v>1393</v>
      </c>
      <c r="P411" s="14"/>
      <c r="Q411" s="15">
        <v>45436</v>
      </c>
      <c r="R411" s="14"/>
      <c r="S411" s="16"/>
      <c r="T411" s="14"/>
      <c r="U411" s="14">
        <v>1</v>
      </c>
      <c r="V411" s="14" t="s">
        <v>569</v>
      </c>
      <c r="W411" s="14" t="s">
        <v>154</v>
      </c>
      <c r="X411" s="13">
        <v>45436</v>
      </c>
      <c r="Y411" s="13"/>
      <c r="AB411" t="e">
        <v>#N/A</v>
      </c>
      <c r="AC411" t="e">
        <v>#N/A</v>
      </c>
      <c r="AE411" t="str">
        <f t="shared" si="67"/>
        <v>P000180</v>
      </c>
      <c r="AF411" t="str">
        <f>_xlfn.XLOOKUP(AE411, Hoja2!A:A, Hoja2!A:A)</f>
        <v>P000180</v>
      </c>
      <c r="AG411" t="str">
        <f t="shared" si="64"/>
        <v>PP00028-12</v>
      </c>
      <c r="AH411">
        <f>_xlfn.XLOOKUP(AG411, Hoja3!A:A, Hoja3!B:B)</f>
        <v>52</v>
      </c>
      <c r="AI411" t="str">
        <f>_xlfn.XLOOKUP(AH411, Hoja4!A:A, Hoja4!B:B)</f>
        <v>E35563100</v>
      </c>
      <c r="AJ411" t="b">
        <f t="shared" si="65"/>
        <v>1</v>
      </c>
    </row>
    <row r="412" spans="1:36" ht="15.5" customHeight="1" x14ac:dyDescent="0.35">
      <c r="A412">
        <f t="shared" ca="1" si="66"/>
        <v>38</v>
      </c>
      <c r="B412" s="12" t="s">
        <v>1394</v>
      </c>
      <c r="C412" s="13">
        <v>45055</v>
      </c>
      <c r="D412" s="14" t="s">
        <v>121</v>
      </c>
      <c r="E412" s="14" t="s">
        <v>83</v>
      </c>
      <c r="F412" s="14" t="s">
        <v>84</v>
      </c>
      <c r="G412" s="14" t="s">
        <v>156</v>
      </c>
      <c r="H412" s="14" t="s">
        <v>373</v>
      </c>
      <c r="I412" s="14" t="s">
        <v>95</v>
      </c>
      <c r="J412" s="14" t="str">
        <f>IF(E412="KTG","KTG",(VLOOKUP(I412,'[1]list of outsource'!B:H,2,0)))</f>
        <v>Woer</v>
      </c>
      <c r="K412" s="14" t="s">
        <v>96</v>
      </c>
      <c r="L412" s="14"/>
      <c r="M412" s="14" t="s">
        <v>374</v>
      </c>
      <c r="N412" s="14" t="s">
        <v>752</v>
      </c>
      <c r="O412" s="14" t="s">
        <v>1395</v>
      </c>
      <c r="P412" s="14"/>
      <c r="Q412" s="15"/>
      <c r="R412" s="14"/>
      <c r="S412" s="16"/>
      <c r="T412" s="14"/>
      <c r="U412" s="14">
        <v>1</v>
      </c>
      <c r="V412" s="14"/>
      <c r="W412" s="14" t="s">
        <v>154</v>
      </c>
      <c r="X412" s="13">
        <v>45093</v>
      </c>
      <c r="Y412" s="13"/>
      <c r="AB412" t="e">
        <v>#N/A</v>
      </c>
      <c r="AC412" t="e">
        <v>#N/A</v>
      </c>
      <c r="AE412" t="str">
        <f t="shared" si="67"/>
        <v>P000179</v>
      </c>
      <c r="AF412" t="str">
        <f>_xlfn.XLOOKUP(AE412, Hoja2!A:A, Hoja2!A:A)</f>
        <v>P000179</v>
      </c>
      <c r="AG412" t="str">
        <f t="shared" si="64"/>
        <v>PP00028-13</v>
      </c>
      <c r="AH412">
        <f>_xlfn.XLOOKUP(AG412, Hoja3!A:A, Hoja3!B:B)</f>
        <v>5317</v>
      </c>
      <c r="AI412" t="str">
        <f>_xlfn.XLOOKUP(AH412, Hoja4!A:A, Hoja4!B:B)</f>
        <v>E35563000</v>
      </c>
      <c r="AJ412" t="b">
        <f t="shared" si="65"/>
        <v>1</v>
      </c>
    </row>
    <row r="413" spans="1:36" ht="15.5" customHeight="1" x14ac:dyDescent="0.35">
      <c r="A413">
        <f t="shared" ca="1" si="66"/>
        <v>52</v>
      </c>
      <c r="B413" s="6" t="s">
        <v>1396</v>
      </c>
      <c r="C413" s="7">
        <v>45244</v>
      </c>
      <c r="D413" s="6" t="s">
        <v>912</v>
      </c>
      <c r="E413" s="6" t="s">
        <v>83</v>
      </c>
      <c r="F413" s="6" t="s">
        <v>101</v>
      </c>
      <c r="G413" s="6" t="s">
        <v>299</v>
      </c>
      <c r="H413" s="6" t="s">
        <v>1397</v>
      </c>
      <c r="I413" s="6" t="s">
        <v>428</v>
      </c>
      <c r="J413" s="6" t="str">
        <f>IF(E413="KTG","KTG",(VLOOKUP(I413,'[1]list of outsource'!B:H,2,0)))</f>
        <v>UPM</v>
      </c>
      <c r="K413" s="6" t="s">
        <v>429</v>
      </c>
      <c r="L413" s="6">
        <v>17</v>
      </c>
      <c r="M413" s="6" t="s">
        <v>1398</v>
      </c>
      <c r="N413" s="6" t="s">
        <v>1399</v>
      </c>
      <c r="O413" s="6">
        <v>1287011679</v>
      </c>
      <c r="P413" s="6"/>
      <c r="Q413" s="8" t="s">
        <v>575</v>
      </c>
      <c r="R413" s="6"/>
      <c r="S413" s="6"/>
      <c r="T413" s="6"/>
      <c r="U413" s="6">
        <v>4</v>
      </c>
      <c r="V413" s="6"/>
      <c r="W413" s="6" t="s">
        <v>37</v>
      </c>
      <c r="X413" s="7">
        <v>45296</v>
      </c>
      <c r="Y413" s="7">
        <v>45299</v>
      </c>
      <c r="AB413" t="e">
        <v>#N/A</v>
      </c>
      <c r="AC413" t="e">
        <v>#N/A</v>
      </c>
      <c r="AE413" t="str">
        <f t="shared" si="67"/>
        <v>P000246</v>
      </c>
      <c r="AF413" t="str">
        <f>_xlfn.XLOOKUP(AE413, Hoja2!A:A, Hoja2!A:A)</f>
        <v>P000246</v>
      </c>
      <c r="AG413" t="str">
        <f t="shared" si="64"/>
        <v>PP00027-21</v>
      </c>
      <c r="AH413">
        <f>_xlfn.XLOOKUP(AG413, Hoja3!A:A, Hoja3!B:B)</f>
        <v>5579</v>
      </c>
      <c r="AI413" t="str">
        <f>_xlfn.XLOOKUP(AH413, Hoja4!A:A, Hoja4!B:B)</f>
        <v>GP101808</v>
      </c>
      <c r="AJ413" t="b">
        <f t="shared" si="65"/>
        <v>1</v>
      </c>
    </row>
    <row r="414" spans="1:36" ht="15.5" hidden="1" customHeight="1" x14ac:dyDescent="0.35">
      <c r="A414">
        <f t="shared" ca="1" si="66"/>
        <v>50</v>
      </c>
      <c r="B414" s="55" t="s">
        <v>1400</v>
      </c>
      <c r="C414" s="7">
        <v>45251</v>
      </c>
      <c r="D414" s="6" t="s">
        <v>912</v>
      </c>
      <c r="E414" s="6" t="s">
        <v>83</v>
      </c>
      <c r="F414" s="6" t="s">
        <v>101</v>
      </c>
      <c r="G414" s="6" t="s">
        <v>299</v>
      </c>
      <c r="H414" s="6" t="s">
        <v>1401</v>
      </c>
      <c r="I414" s="6" t="s">
        <v>133</v>
      </c>
      <c r="J414" s="6" t="str">
        <f>IF(E414="KTG","KTG",(VLOOKUP(I414,'[1]list of outsource'!B:H,2,0)))</f>
        <v>UPM</v>
      </c>
      <c r="K414" s="6" t="s">
        <v>301</v>
      </c>
      <c r="L414" s="6">
        <v>23</v>
      </c>
      <c r="M414" s="55" t="s">
        <v>1402</v>
      </c>
      <c r="N414" s="6" t="s">
        <v>1403</v>
      </c>
      <c r="O414" s="6">
        <v>1289272660</v>
      </c>
      <c r="P414" s="6"/>
      <c r="Q414" s="8" t="s">
        <v>575</v>
      </c>
      <c r="R414" s="6"/>
      <c r="S414" s="6"/>
      <c r="T414" s="6"/>
      <c r="U414" s="6">
        <v>4</v>
      </c>
      <c r="V414" s="6"/>
      <c r="W414" s="6" t="s">
        <v>37</v>
      </c>
      <c r="X414" s="7">
        <v>45301</v>
      </c>
      <c r="Y414" s="7">
        <v>45303</v>
      </c>
      <c r="AB414" t="e">
        <v>#N/A</v>
      </c>
      <c r="AC414" t="e">
        <v>#N/A</v>
      </c>
      <c r="AE414" t="str">
        <f t="shared" si="67"/>
        <v>P100269</v>
      </c>
      <c r="AF414" t="e">
        <f>_xlfn.XLOOKUP(AE414, Hoja2!A:A, Hoja2!A:A)</f>
        <v>#N/A</v>
      </c>
    </row>
    <row r="415" spans="1:36" ht="15.5" customHeight="1" x14ac:dyDescent="0.35">
      <c r="A415">
        <f t="shared" ca="1" si="66"/>
        <v>12</v>
      </c>
      <c r="B415" s="12" t="s">
        <v>1404</v>
      </c>
      <c r="C415" s="13">
        <v>45224</v>
      </c>
      <c r="D415" s="14" t="s">
        <v>121</v>
      </c>
      <c r="E415" s="14" t="s">
        <v>139</v>
      </c>
      <c r="F415" s="14" t="s">
        <v>658</v>
      </c>
      <c r="G415" s="14" t="s">
        <v>32</v>
      </c>
      <c r="H415" s="14">
        <v>35758264</v>
      </c>
      <c r="I415" s="14" t="s">
        <v>208</v>
      </c>
      <c r="J415" s="14" t="str">
        <f>IF(E415="KTG","KTG",(VLOOKUP(I415,'[1]list of outsource'!B:H,2,0)))</f>
        <v>ETC</v>
      </c>
      <c r="K415" s="14" t="s">
        <v>209</v>
      </c>
      <c r="L415" s="14"/>
      <c r="M415" s="14" t="s">
        <v>416</v>
      </c>
      <c r="N415" s="14" t="s">
        <v>579</v>
      </c>
      <c r="O415" s="14">
        <v>1272787771</v>
      </c>
      <c r="P415" s="14"/>
      <c r="Q415" s="15"/>
      <c r="R415" s="14"/>
      <c r="S415" s="16"/>
      <c r="T415" s="14"/>
      <c r="U415" s="14">
        <v>4</v>
      </c>
      <c r="V415" s="14"/>
      <c r="W415" s="14" t="s">
        <v>37</v>
      </c>
      <c r="X415" s="13">
        <v>45236</v>
      </c>
      <c r="Y415" s="13"/>
      <c r="AB415">
        <v>0</v>
      </c>
      <c r="AC415" t="e">
        <v>#N/A</v>
      </c>
      <c r="AE415" t="str">
        <f t="shared" si="67"/>
        <v>P000163</v>
      </c>
      <c r="AF415" t="str">
        <f>_xlfn.XLOOKUP(AE415, Hoja2!A:A, Hoja2!A:A)</f>
        <v>P000163</v>
      </c>
      <c r="AG415" t="str">
        <f t="shared" ref="AG415:AG474" si="68">LEFT(B415, FIND(" ", B415 &amp; " ") - 1)</f>
        <v>PP00034-19</v>
      </c>
      <c r="AH415">
        <f>_xlfn.XLOOKUP(AG415, Hoja3!A:A, Hoja3!B:B)</f>
        <v>4767</v>
      </c>
      <c r="AI415">
        <f>_xlfn.XLOOKUP(AH415, Hoja4!A:A, Hoja4!B:B)</f>
        <v>35758264</v>
      </c>
      <c r="AJ415" t="b">
        <f t="shared" ref="AJ415:AJ474" si="69">H415=AI415</f>
        <v>1</v>
      </c>
    </row>
    <row r="416" spans="1:36" ht="15.5" customHeight="1" x14ac:dyDescent="0.35">
      <c r="A416">
        <f t="shared" ca="1" si="66"/>
        <v>37</v>
      </c>
      <c r="B416" s="12" t="s">
        <v>1394</v>
      </c>
      <c r="C416" s="13">
        <v>45460</v>
      </c>
      <c r="D416" s="14" t="s">
        <v>121</v>
      </c>
      <c r="E416" s="14" t="s">
        <v>83</v>
      </c>
      <c r="F416" s="14" t="s">
        <v>84</v>
      </c>
      <c r="G416" s="14" t="s">
        <v>156</v>
      </c>
      <c r="H416" s="14" t="s">
        <v>373</v>
      </c>
      <c r="I416" s="14" t="s">
        <v>95</v>
      </c>
      <c r="J416" s="14" t="str">
        <f>IF(E416="KTG","KTG",(VLOOKUP(I416,'[1]list of outsource'!B:H,2,0)))</f>
        <v>Woer</v>
      </c>
      <c r="K416" s="14" t="s">
        <v>96</v>
      </c>
      <c r="L416" s="14">
        <v>48</v>
      </c>
      <c r="M416" s="14" t="s">
        <v>374</v>
      </c>
      <c r="N416" s="14" t="s">
        <v>752</v>
      </c>
      <c r="O416" s="14" t="s">
        <v>1395</v>
      </c>
      <c r="P416" s="14"/>
      <c r="Q416" s="15"/>
      <c r="R416" s="14"/>
      <c r="S416" s="16"/>
      <c r="T416" s="14"/>
      <c r="U416" s="14">
        <v>1</v>
      </c>
      <c r="V416" s="14" t="s">
        <v>569</v>
      </c>
      <c r="W416" s="14" t="s">
        <v>576</v>
      </c>
      <c r="X416" s="13">
        <v>45497</v>
      </c>
      <c r="Y416" s="13"/>
      <c r="AB416" t="e">
        <v>#N/A</v>
      </c>
      <c r="AC416" t="e">
        <v>#N/A</v>
      </c>
      <c r="AE416" t="str">
        <f t="shared" si="67"/>
        <v>P000179</v>
      </c>
      <c r="AF416" t="str">
        <f>_xlfn.XLOOKUP(AE416, Hoja2!A:A, Hoja2!A:A)</f>
        <v>P000179</v>
      </c>
      <c r="AG416" t="str">
        <f t="shared" si="68"/>
        <v>PP00028-13</v>
      </c>
      <c r="AH416">
        <f>_xlfn.XLOOKUP(AG416, Hoja3!A:A, Hoja3!B:B)</f>
        <v>5317</v>
      </c>
      <c r="AI416" t="str">
        <f>_xlfn.XLOOKUP(AH416, Hoja4!A:A, Hoja4!B:B)</f>
        <v>E35563000</v>
      </c>
      <c r="AJ416" t="b">
        <f t="shared" si="69"/>
        <v>1</v>
      </c>
    </row>
    <row r="417" spans="1:36" ht="15.5" customHeight="1" x14ac:dyDescent="0.35">
      <c r="A417">
        <f t="shared" ca="1" si="66"/>
        <v>49</v>
      </c>
      <c r="B417" s="6" t="s">
        <v>1405</v>
      </c>
      <c r="C417" s="7">
        <v>45252</v>
      </c>
      <c r="D417" s="6" t="s">
        <v>912</v>
      </c>
      <c r="E417" s="6" t="s">
        <v>83</v>
      </c>
      <c r="F417" s="6" t="s">
        <v>646</v>
      </c>
      <c r="G417" s="6" t="s">
        <v>32</v>
      </c>
      <c r="H417" s="6" t="s">
        <v>1406</v>
      </c>
      <c r="I417" s="6" t="s">
        <v>95</v>
      </c>
      <c r="J417" s="6" t="str">
        <f>IF(E417="KTG","KTG",(VLOOKUP(I417,'[1]list of outsource'!B:H,2,0)))</f>
        <v>Woer</v>
      </c>
      <c r="K417" s="6" t="s">
        <v>96</v>
      </c>
      <c r="L417" s="6">
        <v>39</v>
      </c>
      <c r="M417" s="6" t="s">
        <v>1407</v>
      </c>
      <c r="N417" s="6" t="s">
        <v>1408</v>
      </c>
      <c r="O417" s="6">
        <v>1289765129</v>
      </c>
      <c r="P417" s="6"/>
      <c r="Q417" s="8" t="s">
        <v>575</v>
      </c>
      <c r="R417" s="6"/>
      <c r="S417" s="6"/>
      <c r="T417" s="6"/>
      <c r="U417" s="6">
        <v>4</v>
      </c>
      <c r="V417" s="6"/>
      <c r="W417" s="6" t="s">
        <v>37</v>
      </c>
      <c r="X417" s="7">
        <v>45301</v>
      </c>
      <c r="Y417" s="7">
        <v>45414</v>
      </c>
      <c r="AB417" t="e">
        <v>#N/A</v>
      </c>
      <c r="AC417" t="s">
        <v>4210</v>
      </c>
      <c r="AE417" t="str">
        <f t="shared" si="67"/>
        <v>P000257</v>
      </c>
      <c r="AF417" t="str">
        <f>_xlfn.XLOOKUP(AE417, Hoja2!A:A, Hoja2!A:A)</f>
        <v>P000257</v>
      </c>
      <c r="AG417" t="str">
        <f t="shared" si="68"/>
        <v>PP00030-08</v>
      </c>
      <c r="AH417">
        <f>_xlfn.XLOOKUP(AG417, Hoja3!A:A, Hoja3!B:B)</f>
        <v>5228</v>
      </c>
      <c r="AI417" t="str">
        <f>_xlfn.XLOOKUP(AH417, Hoja4!A:A, Hoja4!B:B)</f>
        <v>711977 19.0 40</v>
      </c>
      <c r="AJ417" t="b">
        <f t="shared" si="69"/>
        <v>1</v>
      </c>
    </row>
    <row r="418" spans="1:36" ht="15.5" customHeight="1" x14ac:dyDescent="0.35">
      <c r="A418">
        <f t="shared" ca="1" si="66"/>
        <v>49</v>
      </c>
      <c r="B418" s="6" t="s">
        <v>1409</v>
      </c>
      <c r="C418" s="7">
        <v>45252</v>
      </c>
      <c r="D418" s="6" t="s">
        <v>912</v>
      </c>
      <c r="E418" s="6" t="s">
        <v>83</v>
      </c>
      <c r="F418" s="6" t="s">
        <v>101</v>
      </c>
      <c r="G418" s="6" t="s">
        <v>299</v>
      </c>
      <c r="H418" s="6" t="s">
        <v>1410</v>
      </c>
      <c r="I418" s="6" t="s">
        <v>428</v>
      </c>
      <c r="J418" s="6" t="str">
        <f>IF(E418="KTG","KTG",(VLOOKUP(I418,'[1]list of outsource'!B:H,2,0)))</f>
        <v>UPM</v>
      </c>
      <c r="K418" s="6" t="s">
        <v>429</v>
      </c>
      <c r="L418" s="6">
        <v>19</v>
      </c>
      <c r="M418" s="6" t="s">
        <v>1411</v>
      </c>
      <c r="N418" s="6" t="s">
        <v>1412</v>
      </c>
      <c r="O418" s="6">
        <v>1289710429</v>
      </c>
      <c r="P418" s="6"/>
      <c r="Q418" s="8" t="s">
        <v>575</v>
      </c>
      <c r="R418" s="6"/>
      <c r="S418" s="6"/>
      <c r="T418" s="6"/>
      <c r="U418" s="6">
        <v>4</v>
      </c>
      <c r="V418" s="6"/>
      <c r="W418" s="6" t="s">
        <v>37</v>
      </c>
      <c r="X418" s="7">
        <v>45301</v>
      </c>
      <c r="Y418" s="7">
        <v>45540</v>
      </c>
      <c r="AB418" t="e">
        <v>#N/A</v>
      </c>
      <c r="AC418" t="e">
        <v>#N/A</v>
      </c>
      <c r="AE418" t="str">
        <f t="shared" si="67"/>
        <v>P000683</v>
      </c>
      <c r="AF418" t="str">
        <f>_xlfn.XLOOKUP(AE418, Hoja2!A:A, Hoja2!A:A)</f>
        <v>P000683</v>
      </c>
      <c r="AG418" t="str">
        <f t="shared" si="68"/>
        <v>PP00027-23</v>
      </c>
      <c r="AH418">
        <f>_xlfn.XLOOKUP(AG418, Hoja3!A:A, Hoja3!B:B)</f>
        <v>4581</v>
      </c>
      <c r="AI418" t="str">
        <f>_xlfn.XLOOKUP(AH418, Hoja4!A:A, Hoja4!B:B)</f>
        <v>GP101858</v>
      </c>
      <c r="AJ418" t="b">
        <f t="shared" si="69"/>
        <v>1</v>
      </c>
    </row>
    <row r="419" spans="1:36" ht="15.5" customHeight="1" x14ac:dyDescent="0.35">
      <c r="A419">
        <f t="shared" ca="1" si="66"/>
        <v>49</v>
      </c>
      <c r="B419" s="6" t="s">
        <v>1413</v>
      </c>
      <c r="C419" s="7">
        <v>45252</v>
      </c>
      <c r="D419" s="6" t="s">
        <v>564</v>
      </c>
      <c r="E419" s="6" t="s">
        <v>83</v>
      </c>
      <c r="F419" s="6" t="s">
        <v>101</v>
      </c>
      <c r="G419" s="6" t="s">
        <v>299</v>
      </c>
      <c r="H419" s="6" t="s">
        <v>1414</v>
      </c>
      <c r="I419" s="6" t="s">
        <v>428</v>
      </c>
      <c r="J419" s="6" t="str">
        <f>IF(E419="KTG","KTG",(VLOOKUP(I419,'[1]list of outsource'!B:H,2,0)))</f>
        <v>UPM</v>
      </c>
      <c r="K419" s="6" t="s">
        <v>429</v>
      </c>
      <c r="L419" s="6">
        <v>17</v>
      </c>
      <c r="M419" s="6" t="s">
        <v>1415</v>
      </c>
      <c r="N419" s="6" t="s">
        <v>1416</v>
      </c>
      <c r="O419" s="6">
        <v>1289744729</v>
      </c>
      <c r="P419" s="6"/>
      <c r="Q419" s="8" t="s">
        <v>575</v>
      </c>
      <c r="R419" s="6"/>
      <c r="S419" s="6"/>
      <c r="T419" s="6"/>
      <c r="U419" s="6">
        <v>4</v>
      </c>
      <c r="V419" s="6"/>
      <c r="W419" s="6" t="s">
        <v>37</v>
      </c>
      <c r="X419" s="7">
        <v>45301</v>
      </c>
      <c r="Y419" s="7">
        <v>45684</v>
      </c>
      <c r="AB419" t="e">
        <v>#N/A</v>
      </c>
      <c r="AC419" t="e">
        <v>#N/A</v>
      </c>
      <c r="AE419" t="str">
        <f t="shared" si="67"/>
        <v>P000777</v>
      </c>
      <c r="AF419" t="str">
        <f>_xlfn.XLOOKUP(AE419, Hoja2!A:A, Hoja2!A:A)</f>
        <v>P000777</v>
      </c>
      <c r="AG419" t="str">
        <f t="shared" si="68"/>
        <v>PP00027-24</v>
      </c>
      <c r="AH419">
        <f>_xlfn.XLOOKUP(AG419, Hoja3!A:A, Hoja3!B:B)</f>
        <v>4582</v>
      </c>
      <c r="AI419" t="str">
        <f>_xlfn.XLOOKUP(AH419, Hoja4!A:A, Hoja4!B:B)</f>
        <v>GP103952</v>
      </c>
      <c r="AJ419" t="b">
        <f t="shared" si="69"/>
        <v>1</v>
      </c>
    </row>
    <row r="420" spans="1:36" ht="15.5" customHeight="1" x14ac:dyDescent="0.35">
      <c r="A420">
        <f t="shared" ca="1" si="66"/>
        <v>16</v>
      </c>
      <c r="B420" s="12" t="s">
        <v>1417</v>
      </c>
      <c r="C420" s="13">
        <v>45265</v>
      </c>
      <c r="D420" s="14" t="s">
        <v>121</v>
      </c>
      <c r="E420" s="14" t="s">
        <v>139</v>
      </c>
      <c r="F420" s="14" t="s">
        <v>1418</v>
      </c>
      <c r="G420" s="14" t="s">
        <v>299</v>
      </c>
      <c r="H420" s="14" t="s">
        <v>1419</v>
      </c>
      <c r="I420" s="14" t="s">
        <v>535</v>
      </c>
      <c r="J420" s="14" t="str">
        <f>IF(E420="KTG","KTG",(VLOOKUP(I420,'[1]list of outsource'!B:H,2,0)))</f>
        <v>ETC</v>
      </c>
      <c r="K420" s="14" t="s">
        <v>536</v>
      </c>
      <c r="L420" s="14">
        <v>7</v>
      </c>
      <c r="M420" s="14" t="s">
        <v>1420</v>
      </c>
      <c r="N420" s="14" t="s">
        <v>1421</v>
      </c>
      <c r="O420" s="14" t="s">
        <v>1422</v>
      </c>
      <c r="P420" s="14"/>
      <c r="Q420" s="15" t="s">
        <v>575</v>
      </c>
      <c r="R420" s="14"/>
      <c r="S420" s="16"/>
      <c r="T420" s="14"/>
      <c r="U420" s="14">
        <v>4</v>
      </c>
      <c r="V420" s="14"/>
      <c r="W420" s="14" t="s">
        <v>37</v>
      </c>
      <c r="X420" s="13">
        <v>45281</v>
      </c>
      <c r="Y420" s="13"/>
      <c r="AB420" t="e">
        <v>#N/A</v>
      </c>
      <c r="AC420" t="e">
        <v>#N/A</v>
      </c>
      <c r="AE420" t="str">
        <f t="shared" si="67"/>
        <v>P000760</v>
      </c>
      <c r="AF420" t="str">
        <f>_xlfn.XLOOKUP(AE420, Hoja2!A:A, Hoja2!A:A)</f>
        <v>P000760</v>
      </c>
      <c r="AG420" t="str">
        <f t="shared" si="68"/>
        <v>PP00050-01</v>
      </c>
      <c r="AH420">
        <f>_xlfn.XLOOKUP(AG420, Hoja3!A:A, Hoja3!B:B)</f>
        <v>4491</v>
      </c>
      <c r="AI420" t="str">
        <f>_xlfn.XLOOKUP(AH420, Hoja4!A:A, Hoja4!B:B)</f>
        <v>SP0029136</v>
      </c>
      <c r="AJ420" t="b">
        <f t="shared" si="69"/>
        <v>1</v>
      </c>
    </row>
    <row r="421" spans="1:36" ht="15.5" customHeight="1" x14ac:dyDescent="0.35">
      <c r="A421">
        <f t="shared" ca="1" si="66"/>
        <v>16</v>
      </c>
      <c r="B421" s="12" t="s">
        <v>1423</v>
      </c>
      <c r="C421" s="13">
        <v>45265</v>
      </c>
      <c r="D421" s="14" t="s">
        <v>121</v>
      </c>
      <c r="E421" s="14" t="s">
        <v>139</v>
      </c>
      <c r="F421" s="14" t="s">
        <v>1418</v>
      </c>
      <c r="G421" s="14" t="s">
        <v>299</v>
      </c>
      <c r="H421" s="14" t="s">
        <v>1424</v>
      </c>
      <c r="I421" s="14" t="s">
        <v>535</v>
      </c>
      <c r="J421" s="14" t="str">
        <f>IF(E421="KTG","KTG",(VLOOKUP(I421,'[1]list of outsource'!B:H,2,0)))</f>
        <v>ETC</v>
      </c>
      <c r="K421" s="14" t="s">
        <v>536</v>
      </c>
      <c r="L421" s="14">
        <v>7</v>
      </c>
      <c r="M421" s="14" t="s">
        <v>1425</v>
      </c>
      <c r="N421" s="14" t="s">
        <v>1426</v>
      </c>
      <c r="O421" s="14" t="s">
        <v>1427</v>
      </c>
      <c r="P421" s="14"/>
      <c r="Q421" s="15" t="s">
        <v>575</v>
      </c>
      <c r="R421" s="14"/>
      <c r="S421" s="16"/>
      <c r="T421" s="14"/>
      <c r="U421" s="14">
        <v>4</v>
      </c>
      <c r="V421" s="14"/>
      <c r="W421" s="14" t="s">
        <v>37</v>
      </c>
      <c r="X421" s="13">
        <v>45281</v>
      </c>
      <c r="Y421" s="13"/>
      <c r="AB421" t="e">
        <v>#N/A</v>
      </c>
      <c r="AC421" t="e">
        <v>#N/A</v>
      </c>
      <c r="AE421" t="str">
        <f t="shared" si="67"/>
        <v>P000758</v>
      </c>
      <c r="AF421" t="str">
        <f>_xlfn.XLOOKUP(AE421, Hoja2!A:A, Hoja2!A:A)</f>
        <v>P000758</v>
      </c>
      <c r="AG421" t="str">
        <f t="shared" si="68"/>
        <v>PP00050-02</v>
      </c>
      <c r="AH421">
        <f>_xlfn.XLOOKUP(AG421, Hoja3!A:A, Hoja3!B:B)</f>
        <v>4489</v>
      </c>
      <c r="AI421" t="str">
        <f>_xlfn.XLOOKUP(AH421, Hoja4!A:A, Hoja4!B:B)</f>
        <v>SP0029138</v>
      </c>
      <c r="AJ421" t="b">
        <f t="shared" si="69"/>
        <v>1</v>
      </c>
    </row>
    <row r="422" spans="1:36" ht="15.5" customHeight="1" x14ac:dyDescent="0.35">
      <c r="A422">
        <f t="shared" ca="1" si="66"/>
        <v>16</v>
      </c>
      <c r="B422" s="6" t="s">
        <v>1428</v>
      </c>
      <c r="C422" s="7">
        <v>45265</v>
      </c>
      <c r="D422" s="6" t="s">
        <v>912</v>
      </c>
      <c r="E422" s="6" t="s">
        <v>139</v>
      </c>
      <c r="F422" s="6" t="s">
        <v>1418</v>
      </c>
      <c r="G422" s="6" t="s">
        <v>299</v>
      </c>
      <c r="H422" s="6" t="s">
        <v>1429</v>
      </c>
      <c r="I422" s="6" t="s">
        <v>535</v>
      </c>
      <c r="J422" s="6" t="str">
        <f>IF(E422="KTG","KTG",(VLOOKUP(I422,'[1]list of outsource'!B:H,2,0)))</f>
        <v>ETC</v>
      </c>
      <c r="K422" s="6" t="s">
        <v>536</v>
      </c>
      <c r="L422" s="6">
        <v>7</v>
      </c>
      <c r="M422" s="6" t="s">
        <v>1430</v>
      </c>
      <c r="N422" s="6" t="s">
        <v>1431</v>
      </c>
      <c r="O422" s="6" t="s">
        <v>1432</v>
      </c>
      <c r="P422" s="6"/>
      <c r="Q422" s="8" t="s">
        <v>575</v>
      </c>
      <c r="R422" s="6"/>
      <c r="S422" s="6"/>
      <c r="T422" s="6"/>
      <c r="U422" s="6">
        <v>4</v>
      </c>
      <c r="V422" s="6"/>
      <c r="W422" s="6" t="s">
        <v>37</v>
      </c>
      <c r="X422" s="7">
        <v>45281</v>
      </c>
      <c r="Y422" s="7">
        <v>45308</v>
      </c>
      <c r="AB422" t="e">
        <v>#N/A</v>
      </c>
      <c r="AC422" t="e">
        <v>#N/A</v>
      </c>
      <c r="AE422" t="str">
        <f t="shared" si="67"/>
        <v>P000759</v>
      </c>
      <c r="AF422" t="str">
        <f>_xlfn.XLOOKUP(AE422, Hoja2!A:A, Hoja2!A:A)</f>
        <v>P000759</v>
      </c>
      <c r="AG422" t="str">
        <f t="shared" si="68"/>
        <v>PP00050-03</v>
      </c>
      <c r="AH422">
        <f>_xlfn.XLOOKUP(AG422, Hoja3!A:A, Hoja3!B:B)</f>
        <v>4490</v>
      </c>
      <c r="AI422" t="str">
        <f>_xlfn.XLOOKUP(AH422, Hoja4!A:A, Hoja4!B:B)</f>
        <v>SP0029139</v>
      </c>
      <c r="AJ422" t="b">
        <f t="shared" si="69"/>
        <v>1</v>
      </c>
    </row>
    <row r="423" spans="1:36" ht="15.5" customHeight="1" x14ac:dyDescent="0.35">
      <c r="A423">
        <f t="shared" ca="1" si="66"/>
        <v>16</v>
      </c>
      <c r="B423" s="6" t="s">
        <v>1433</v>
      </c>
      <c r="C423" s="7">
        <v>45265</v>
      </c>
      <c r="D423" s="6" t="s">
        <v>912</v>
      </c>
      <c r="E423" s="6" t="s">
        <v>139</v>
      </c>
      <c r="F423" s="6" t="s">
        <v>1418</v>
      </c>
      <c r="G423" s="6" t="s">
        <v>299</v>
      </c>
      <c r="H423" s="6" t="s">
        <v>1434</v>
      </c>
      <c r="I423" s="6" t="s">
        <v>535</v>
      </c>
      <c r="J423" s="6" t="str">
        <f>IF(E423="KTG","KTG",(VLOOKUP(I423,'[1]list of outsource'!B:H,2,0)))</f>
        <v>ETC</v>
      </c>
      <c r="K423" s="6" t="s">
        <v>536</v>
      </c>
      <c r="L423" s="6">
        <v>7</v>
      </c>
      <c r="M423" s="6" t="s">
        <v>1435</v>
      </c>
      <c r="N423" s="6" t="s">
        <v>1436</v>
      </c>
      <c r="O423" s="6" t="s">
        <v>1437</v>
      </c>
      <c r="P423" s="6"/>
      <c r="Q423" s="8" t="s">
        <v>575</v>
      </c>
      <c r="R423" s="6"/>
      <c r="S423" s="6"/>
      <c r="T423" s="6"/>
      <c r="U423" s="6">
        <v>4</v>
      </c>
      <c r="V423" s="6"/>
      <c r="W423" s="6" t="s">
        <v>37</v>
      </c>
      <c r="X423" s="7">
        <v>45281</v>
      </c>
      <c r="Y423" s="7">
        <v>45308</v>
      </c>
      <c r="AB423" t="e">
        <v>#N/A</v>
      </c>
      <c r="AC423" t="e">
        <v>#N/A</v>
      </c>
      <c r="AE423" t="str">
        <f t="shared" si="67"/>
        <v>P000761</v>
      </c>
      <c r="AF423" t="str">
        <f>_xlfn.XLOOKUP(AE423, Hoja2!A:A, Hoja2!A:A)</f>
        <v>P000761</v>
      </c>
      <c r="AG423" t="str">
        <f t="shared" si="68"/>
        <v>PP00050-04</v>
      </c>
      <c r="AH423">
        <f>_xlfn.XLOOKUP(AG423, Hoja3!A:A, Hoja3!B:B)</f>
        <v>4492</v>
      </c>
      <c r="AI423" t="str">
        <f>_xlfn.XLOOKUP(AH423, Hoja4!A:A, Hoja4!B:B)</f>
        <v>SP0029137</v>
      </c>
      <c r="AJ423" t="b">
        <f t="shared" si="69"/>
        <v>1</v>
      </c>
    </row>
    <row r="424" spans="1:36" ht="15.5" customHeight="1" x14ac:dyDescent="0.35">
      <c r="A424">
        <f t="shared" ca="1" si="66"/>
        <v>50</v>
      </c>
      <c r="B424" s="6" t="s">
        <v>1438</v>
      </c>
      <c r="C424" s="7">
        <v>45224</v>
      </c>
      <c r="D424" s="6" t="s">
        <v>912</v>
      </c>
      <c r="E424" s="6" t="s">
        <v>139</v>
      </c>
      <c r="F424" s="6" t="s">
        <v>658</v>
      </c>
      <c r="G424" s="6" t="s">
        <v>32</v>
      </c>
      <c r="H424" s="6">
        <v>35758262</v>
      </c>
      <c r="I424" s="6" t="s">
        <v>208</v>
      </c>
      <c r="J424" s="6" t="str">
        <f>IF(E424="KTG","KTG",(VLOOKUP(I424,'[1]list of outsource'!B:H,2,0)))</f>
        <v>ETC</v>
      </c>
      <c r="K424" s="6" t="s">
        <v>209</v>
      </c>
      <c r="L424" s="6">
        <v>19</v>
      </c>
      <c r="M424" s="6" t="s">
        <v>1439</v>
      </c>
      <c r="N424" s="6" t="s">
        <v>1440</v>
      </c>
      <c r="O424" s="6">
        <v>1284823804</v>
      </c>
      <c r="P424" s="6"/>
      <c r="Q424" s="8" t="s">
        <v>575</v>
      </c>
      <c r="R424" s="6"/>
      <c r="S424" s="6"/>
      <c r="T424" s="6"/>
      <c r="U424" s="6">
        <v>4</v>
      </c>
      <c r="V424" s="6"/>
      <c r="W424" s="6" t="s">
        <v>37</v>
      </c>
      <c r="X424" s="7">
        <v>45274</v>
      </c>
      <c r="Y424" s="7">
        <v>45454</v>
      </c>
      <c r="AB424" t="e">
        <v>#N/A</v>
      </c>
      <c r="AC424" t="e">
        <v>#N/A</v>
      </c>
      <c r="AE424" t="str">
        <f t="shared" si="67"/>
        <v>P000458</v>
      </c>
      <c r="AF424" t="str">
        <f>_xlfn.XLOOKUP(AE424, Hoja2!A:A, Hoja2!A:A)</f>
        <v>P000458</v>
      </c>
      <c r="AG424" t="str">
        <f t="shared" si="68"/>
        <v>PP00034-20</v>
      </c>
      <c r="AH424">
        <f>_xlfn.XLOOKUP(AG424, Hoja3!A:A, Hoja3!B:B)</f>
        <v>4798</v>
      </c>
      <c r="AI424">
        <f>_xlfn.XLOOKUP(AH424, Hoja4!A:A, Hoja4!B:B)</f>
        <v>35758262</v>
      </c>
      <c r="AJ424" t="b">
        <f t="shared" si="69"/>
        <v>1</v>
      </c>
    </row>
    <row r="425" spans="1:36" ht="15.5" customHeight="1" x14ac:dyDescent="0.35">
      <c r="A425">
        <f t="shared" ca="1" si="66"/>
        <v>72</v>
      </c>
      <c r="B425" s="6" t="s">
        <v>1441</v>
      </c>
      <c r="C425" s="7">
        <v>45224</v>
      </c>
      <c r="D425" s="6" t="s">
        <v>912</v>
      </c>
      <c r="E425" s="6" t="s">
        <v>139</v>
      </c>
      <c r="F425" s="6" t="s">
        <v>658</v>
      </c>
      <c r="G425" s="6" t="s">
        <v>32</v>
      </c>
      <c r="H425" s="6">
        <v>35738183</v>
      </c>
      <c r="I425" s="6" t="s">
        <v>1442</v>
      </c>
      <c r="J425" s="6" t="str">
        <f>IF(E425="KTG","KTG",(VLOOKUP(I425,'[1]list of outsource'!B:H,2,0)))</f>
        <v>ETC</v>
      </c>
      <c r="K425" s="6" t="s">
        <v>1443</v>
      </c>
      <c r="L425" s="6">
        <v>17</v>
      </c>
      <c r="M425" s="6" t="s">
        <v>1444</v>
      </c>
      <c r="N425" s="6" t="s">
        <v>1445</v>
      </c>
      <c r="O425" s="6">
        <v>1285148525</v>
      </c>
      <c r="P425" s="6"/>
      <c r="Q425" s="8" t="s">
        <v>575</v>
      </c>
      <c r="R425" s="6"/>
      <c r="S425" s="6"/>
      <c r="T425" s="6"/>
      <c r="U425" s="6">
        <v>4</v>
      </c>
      <c r="V425" s="6" t="s">
        <v>919</v>
      </c>
      <c r="W425" s="6" t="s">
        <v>37</v>
      </c>
      <c r="X425" s="7">
        <v>45296</v>
      </c>
      <c r="Y425" s="7">
        <v>45299</v>
      </c>
      <c r="AB425" t="e">
        <v>#N/A</v>
      </c>
      <c r="AC425" t="e">
        <v>#N/A</v>
      </c>
      <c r="AE425" t="str">
        <f t="shared" si="67"/>
        <v>P000350</v>
      </c>
      <c r="AF425" t="str">
        <f>_xlfn.XLOOKUP(AE425, Hoja2!A:A, Hoja2!A:A)</f>
        <v>P000350</v>
      </c>
      <c r="AG425" t="str">
        <f t="shared" si="68"/>
        <v>PP00034-21</v>
      </c>
      <c r="AH425">
        <f>_xlfn.XLOOKUP(AG425, Hoja3!A:A, Hoja3!B:B)</f>
        <v>4780</v>
      </c>
      <c r="AI425">
        <f>_xlfn.XLOOKUP(AH425, Hoja4!A:A, Hoja4!B:B)</f>
        <v>35738183</v>
      </c>
      <c r="AJ425" t="b">
        <f t="shared" si="69"/>
        <v>1</v>
      </c>
    </row>
    <row r="426" spans="1:36" ht="15.5" customHeight="1" x14ac:dyDescent="0.35">
      <c r="A426">
        <f t="shared" ca="1" si="66"/>
        <v>53</v>
      </c>
      <c r="B426" s="6" t="s">
        <v>1446</v>
      </c>
      <c r="C426" s="7">
        <v>45267</v>
      </c>
      <c r="D426" s="6" t="s">
        <v>912</v>
      </c>
      <c r="E426" s="6" t="s">
        <v>139</v>
      </c>
      <c r="F426" s="6" t="s">
        <v>508</v>
      </c>
      <c r="G426" s="6" t="s">
        <v>32</v>
      </c>
      <c r="H426" s="6">
        <v>69321290</v>
      </c>
      <c r="I426" s="6" t="s">
        <v>402</v>
      </c>
      <c r="J426" s="6" t="str">
        <f>IF(E426="KTG","KTG",(VLOOKUP(I426,'[1]list of outsource'!B:H,2,0)))</f>
        <v>ETC</v>
      </c>
      <c r="K426" s="6" t="s">
        <v>403</v>
      </c>
      <c r="L426" s="6">
        <v>57</v>
      </c>
      <c r="M426" s="6" t="s">
        <v>606</v>
      </c>
      <c r="N426" s="6" t="s">
        <v>1447</v>
      </c>
      <c r="O426" s="6">
        <v>1294605362</v>
      </c>
      <c r="P426" s="6"/>
      <c r="Q426" s="8" t="s">
        <v>575</v>
      </c>
      <c r="R426" s="6"/>
      <c r="S426" s="6"/>
      <c r="T426" s="6"/>
      <c r="U426" s="6">
        <v>4</v>
      </c>
      <c r="V426" s="6"/>
      <c r="W426" s="6" t="s">
        <v>37</v>
      </c>
      <c r="X426" s="7">
        <v>45320</v>
      </c>
      <c r="Y426" s="7">
        <v>45321</v>
      </c>
      <c r="AB426" t="e">
        <v>#N/A</v>
      </c>
      <c r="AC426" t="e">
        <v>#N/A</v>
      </c>
      <c r="AE426" t="str">
        <f t="shared" si="67"/>
        <v>P000306</v>
      </c>
      <c r="AF426" t="str">
        <f>_xlfn.XLOOKUP(AE426, Hoja2!A:A, Hoja2!A:A)</f>
        <v>P000306</v>
      </c>
      <c r="AG426" t="str">
        <f t="shared" si="68"/>
        <v>PP00026-28</v>
      </c>
      <c r="AH426">
        <f>_xlfn.XLOOKUP(AG426, Hoja3!A:A, Hoja3!B:B)</f>
        <v>5633</v>
      </c>
      <c r="AI426">
        <f>_xlfn.XLOOKUP(AH426, Hoja4!A:A, Hoja4!B:B)</f>
        <v>69321290</v>
      </c>
      <c r="AJ426" t="b">
        <f t="shared" si="69"/>
        <v>1</v>
      </c>
    </row>
    <row r="427" spans="1:36" ht="15.5" customHeight="1" x14ac:dyDescent="0.35">
      <c r="A427">
        <f t="shared" ca="1" si="66"/>
        <v>53</v>
      </c>
      <c r="B427" s="6" t="s">
        <v>1448</v>
      </c>
      <c r="C427" s="7">
        <v>45267</v>
      </c>
      <c r="D427" s="6" t="s">
        <v>912</v>
      </c>
      <c r="E427" s="6" t="s">
        <v>139</v>
      </c>
      <c r="F427" s="6" t="s">
        <v>508</v>
      </c>
      <c r="G427" s="6" t="s">
        <v>32</v>
      </c>
      <c r="H427" s="6">
        <v>69321291</v>
      </c>
      <c r="I427" s="6" t="s">
        <v>402</v>
      </c>
      <c r="J427" s="6" t="str">
        <f>IF(E427="KTG","KTG",(VLOOKUP(I427,'[1]list of outsource'!B:H,2,0)))</f>
        <v>ETC</v>
      </c>
      <c r="K427" s="6" t="s">
        <v>403</v>
      </c>
      <c r="L427" s="6">
        <v>57</v>
      </c>
      <c r="M427" s="6" t="s">
        <v>1449</v>
      </c>
      <c r="N427" s="6" t="s">
        <v>1450</v>
      </c>
      <c r="O427" s="6">
        <v>1294318471</v>
      </c>
      <c r="P427" s="6"/>
      <c r="Q427" s="8" t="s">
        <v>575</v>
      </c>
      <c r="R427" s="6"/>
      <c r="S427" s="6"/>
      <c r="T427" s="6"/>
      <c r="U427" s="6">
        <v>4</v>
      </c>
      <c r="V427" s="6"/>
      <c r="W427" s="6" t="s">
        <v>37</v>
      </c>
      <c r="X427" s="7">
        <v>45320</v>
      </c>
      <c r="Y427" s="7">
        <v>45321</v>
      </c>
      <c r="AB427" t="e">
        <v>#N/A</v>
      </c>
      <c r="AC427" t="e">
        <v>#N/A</v>
      </c>
      <c r="AE427" t="str">
        <f t="shared" si="67"/>
        <v>P000307</v>
      </c>
      <c r="AF427" t="str">
        <f>_xlfn.XLOOKUP(AE427, Hoja2!A:A, Hoja2!A:A)</f>
        <v>P000307</v>
      </c>
      <c r="AG427" t="str">
        <f t="shared" si="68"/>
        <v>PP00026-29</v>
      </c>
      <c r="AH427">
        <f>_xlfn.XLOOKUP(AG427, Hoja3!A:A, Hoja3!B:B)</f>
        <v>5634</v>
      </c>
      <c r="AI427">
        <f>_xlfn.XLOOKUP(AH427, Hoja4!A:A, Hoja4!B:B)</f>
        <v>69321291</v>
      </c>
      <c r="AJ427" t="b">
        <f t="shared" si="69"/>
        <v>1</v>
      </c>
    </row>
    <row r="428" spans="1:36" ht="15.5" customHeight="1" x14ac:dyDescent="0.35">
      <c r="A428">
        <f t="shared" ca="1" si="66"/>
        <v>55</v>
      </c>
      <c r="B428" s="6" t="s">
        <v>1451</v>
      </c>
      <c r="C428" s="7">
        <v>45268</v>
      </c>
      <c r="D428" s="6" t="s">
        <v>912</v>
      </c>
      <c r="E428" s="6" t="s">
        <v>139</v>
      </c>
      <c r="F428" s="6" t="s">
        <v>508</v>
      </c>
      <c r="G428" s="6" t="s">
        <v>32</v>
      </c>
      <c r="H428" s="6">
        <v>69321468</v>
      </c>
      <c r="I428" s="6" t="s">
        <v>849</v>
      </c>
      <c r="J428" s="6" t="str">
        <f>IF(E428="KTG","KTG",(VLOOKUP(I428,'[1]list of outsource'!B:H,2,0)))</f>
        <v>ETC</v>
      </c>
      <c r="K428" s="6" t="s">
        <v>850</v>
      </c>
      <c r="L428" s="6">
        <v>17</v>
      </c>
      <c r="M428" s="6" t="s">
        <v>1452</v>
      </c>
      <c r="N428" s="6" t="s">
        <v>1453</v>
      </c>
      <c r="O428" s="6" t="s">
        <v>1454</v>
      </c>
      <c r="P428" s="6"/>
      <c r="Q428" s="8" t="s">
        <v>575</v>
      </c>
      <c r="R428" s="6"/>
      <c r="S428" s="6"/>
      <c r="T428" s="6"/>
      <c r="U428" s="6">
        <v>4</v>
      </c>
      <c r="V428" s="6" t="s">
        <v>919</v>
      </c>
      <c r="W428" s="6" t="s">
        <v>37</v>
      </c>
      <c r="X428" s="7">
        <v>45323</v>
      </c>
      <c r="Y428" s="7">
        <v>45327</v>
      </c>
      <c r="AB428" t="e">
        <v>#N/A</v>
      </c>
      <c r="AC428" t="e">
        <v>#N/A</v>
      </c>
      <c r="AE428" t="str">
        <f t="shared" si="67"/>
        <v>P000371</v>
      </c>
      <c r="AF428" t="str">
        <f>_xlfn.XLOOKUP(AE428, Hoja2!A:A, Hoja2!A:A)</f>
        <v>P000371</v>
      </c>
      <c r="AG428" t="str">
        <f t="shared" si="68"/>
        <v>PP00026-30</v>
      </c>
      <c r="AH428">
        <f>_xlfn.XLOOKUP(AG428, Hoja3!A:A, Hoja3!B:B)</f>
        <v>5635</v>
      </c>
      <c r="AI428">
        <f>_xlfn.XLOOKUP(AH428, Hoja4!A:A, Hoja4!B:B)</f>
        <v>69321468</v>
      </c>
      <c r="AJ428" t="b">
        <f t="shared" si="69"/>
        <v>1</v>
      </c>
    </row>
    <row r="429" spans="1:36" ht="15.5" customHeight="1" x14ac:dyDescent="0.35">
      <c r="A429">
        <f t="shared" ca="1" si="66"/>
        <v>55</v>
      </c>
      <c r="B429" s="6" t="s">
        <v>1455</v>
      </c>
      <c r="C429" s="7">
        <v>45268</v>
      </c>
      <c r="D429" s="6" t="s">
        <v>912</v>
      </c>
      <c r="E429" s="6" t="s">
        <v>139</v>
      </c>
      <c r="F429" s="6" t="s">
        <v>508</v>
      </c>
      <c r="G429" s="6" t="s">
        <v>32</v>
      </c>
      <c r="H429" s="6">
        <v>69321469</v>
      </c>
      <c r="I429" s="6" t="s">
        <v>849</v>
      </c>
      <c r="J429" s="6" t="str">
        <f>IF(E429="KTG","KTG",(VLOOKUP(I429,'[1]list of outsource'!B:H,2,0)))</f>
        <v>ETC</v>
      </c>
      <c r="K429" s="6" t="s">
        <v>850</v>
      </c>
      <c r="L429" s="6">
        <v>17</v>
      </c>
      <c r="M429" s="6" t="s">
        <v>1456</v>
      </c>
      <c r="N429" s="6" t="s">
        <v>1457</v>
      </c>
      <c r="O429" s="6" t="s">
        <v>1458</v>
      </c>
      <c r="P429" s="6"/>
      <c r="Q429" s="8" t="s">
        <v>575</v>
      </c>
      <c r="R429" s="6"/>
      <c r="S429" s="6"/>
      <c r="T429" s="6"/>
      <c r="U429" s="6">
        <v>4</v>
      </c>
      <c r="V429" s="6" t="s">
        <v>919</v>
      </c>
      <c r="W429" s="6" t="s">
        <v>37</v>
      </c>
      <c r="X429" s="7">
        <v>45323</v>
      </c>
      <c r="Y429" s="7">
        <v>45327</v>
      </c>
      <c r="AB429" t="e">
        <v>#N/A</v>
      </c>
      <c r="AC429" t="e">
        <v>#N/A</v>
      </c>
      <c r="AE429" t="str">
        <f t="shared" si="67"/>
        <v>P000372</v>
      </c>
      <c r="AF429" t="str">
        <f>_xlfn.XLOOKUP(AE429, Hoja2!A:A, Hoja2!A:A)</f>
        <v>P000372</v>
      </c>
      <c r="AG429" t="str">
        <f t="shared" si="68"/>
        <v>PP00026-31</v>
      </c>
      <c r="AH429">
        <f>_xlfn.XLOOKUP(AG429, Hoja3!A:A, Hoja3!B:B)</f>
        <v>5636</v>
      </c>
      <c r="AI429">
        <f>_xlfn.XLOOKUP(AH429, Hoja4!A:A, Hoja4!B:B)</f>
        <v>69321469</v>
      </c>
      <c r="AJ429" t="b">
        <f t="shared" si="69"/>
        <v>1</v>
      </c>
    </row>
    <row r="430" spans="1:36" ht="15.5" customHeight="1" x14ac:dyDescent="0.35">
      <c r="A430">
        <f t="shared" ca="1" si="66"/>
        <v>55</v>
      </c>
      <c r="B430" s="6" t="s">
        <v>1459</v>
      </c>
      <c r="C430" s="7">
        <v>45268</v>
      </c>
      <c r="D430" s="6" t="s">
        <v>912</v>
      </c>
      <c r="E430" s="6" t="s">
        <v>139</v>
      </c>
      <c r="F430" s="6" t="s">
        <v>508</v>
      </c>
      <c r="G430" s="6" t="s">
        <v>32</v>
      </c>
      <c r="H430" s="6">
        <v>69321471</v>
      </c>
      <c r="I430" s="6" t="s">
        <v>849</v>
      </c>
      <c r="J430" s="6" t="str">
        <f>IF(E430="KTG","KTG",(VLOOKUP(I430,'[1]list of outsource'!B:H,2,0)))</f>
        <v>ETC</v>
      </c>
      <c r="K430" s="6" t="s">
        <v>850</v>
      </c>
      <c r="L430" s="6">
        <v>17</v>
      </c>
      <c r="M430" s="6" t="s">
        <v>1460</v>
      </c>
      <c r="N430" s="6" t="s">
        <v>1461</v>
      </c>
      <c r="O430" s="6" t="s">
        <v>1462</v>
      </c>
      <c r="P430" s="6"/>
      <c r="Q430" s="8" t="s">
        <v>575</v>
      </c>
      <c r="R430" s="6"/>
      <c r="S430" s="6"/>
      <c r="T430" s="6"/>
      <c r="U430" s="6">
        <v>4</v>
      </c>
      <c r="V430" s="6" t="s">
        <v>919</v>
      </c>
      <c r="W430" s="6" t="s">
        <v>37</v>
      </c>
      <c r="X430" s="7">
        <v>45323</v>
      </c>
      <c r="Y430" s="7">
        <v>45327</v>
      </c>
      <c r="AB430">
        <v>0</v>
      </c>
      <c r="AC430" t="e">
        <v>#N/A</v>
      </c>
      <c r="AE430" t="str">
        <f t="shared" si="67"/>
        <v>P000374</v>
      </c>
      <c r="AF430" t="str">
        <f>_xlfn.XLOOKUP(AE430, Hoja2!A:A, Hoja2!A:A)</f>
        <v>P000374</v>
      </c>
      <c r="AG430" t="str">
        <f t="shared" si="68"/>
        <v>PP00026-32</v>
      </c>
      <c r="AH430">
        <f>_xlfn.XLOOKUP(AG430, Hoja3!A:A, Hoja3!B:B)</f>
        <v>5637</v>
      </c>
      <c r="AI430">
        <f>_xlfn.XLOOKUP(AH430, Hoja4!A:A, Hoja4!B:B)</f>
        <v>69321471</v>
      </c>
      <c r="AJ430" t="b">
        <f t="shared" si="69"/>
        <v>1</v>
      </c>
    </row>
    <row r="431" spans="1:36" ht="15.5" customHeight="1" x14ac:dyDescent="0.35">
      <c r="A431">
        <f t="shared" ca="1" si="66"/>
        <v>42</v>
      </c>
      <c r="B431" s="12" t="s">
        <v>1463</v>
      </c>
      <c r="C431" s="13">
        <v>45268</v>
      </c>
      <c r="D431" s="14" t="s">
        <v>121</v>
      </c>
      <c r="E431" s="14" t="s">
        <v>30</v>
      </c>
      <c r="F431" s="14" t="s">
        <v>1371</v>
      </c>
      <c r="G431" s="14" t="s">
        <v>32</v>
      </c>
      <c r="H431" s="14" t="s">
        <v>1464</v>
      </c>
      <c r="I431" s="14"/>
      <c r="J431" s="14" t="str">
        <f>IF(E431="KTG","KTG",(VLOOKUP(I431,'[1]list of outsource'!B:H,2,0)))</f>
        <v>KTG</v>
      </c>
      <c r="K431" s="14"/>
      <c r="L431" s="14"/>
      <c r="M431" s="14" t="s">
        <v>1465</v>
      </c>
      <c r="N431" s="14" t="s">
        <v>1466</v>
      </c>
      <c r="O431" s="14"/>
      <c r="P431" s="14"/>
      <c r="Q431" s="15"/>
      <c r="R431" s="14"/>
      <c r="S431" s="16"/>
      <c r="T431" s="14"/>
      <c r="U431" s="14">
        <v>4</v>
      </c>
      <c r="V431" s="14" t="s">
        <v>569</v>
      </c>
      <c r="W431" s="14" t="s">
        <v>37</v>
      </c>
      <c r="X431" s="13">
        <v>45310</v>
      </c>
      <c r="Y431" s="13"/>
      <c r="AB431" t="e">
        <v>#N/A</v>
      </c>
      <c r="AC431" t="e">
        <v>#N/A</v>
      </c>
      <c r="AE431" t="str">
        <f t="shared" si="67"/>
        <v>E58313</v>
      </c>
      <c r="AF431" t="str">
        <f>_xlfn.XLOOKUP(AE431, Hoja2!A:A, Hoja2!A:A)</f>
        <v>E58313</v>
      </c>
      <c r="AG431" t="str">
        <f t="shared" si="68"/>
        <v>PP00047-04</v>
      </c>
      <c r="AH431">
        <f>_xlfn.XLOOKUP(AG431, Hoja3!A:A, Hoja3!B:B)</f>
        <v>5511</v>
      </c>
      <c r="AI431" t="str">
        <f>_xlfn.XLOOKUP(AH431, Hoja4!A:A, Hoja4!B:B)</f>
        <v>DWT-RO-3-40MM</v>
      </c>
      <c r="AJ431" t="b">
        <f t="shared" si="69"/>
        <v>1</v>
      </c>
    </row>
    <row r="432" spans="1:36" ht="15.5" customHeight="1" x14ac:dyDescent="0.35">
      <c r="A432">
        <f t="shared" ca="1" si="66"/>
        <v>38</v>
      </c>
      <c r="B432" s="12" t="s">
        <v>1467</v>
      </c>
      <c r="C432" s="13">
        <v>45055</v>
      </c>
      <c r="D432" s="14" t="s">
        <v>121</v>
      </c>
      <c r="E432" s="14" t="s">
        <v>83</v>
      </c>
      <c r="F432" s="14" t="s">
        <v>84</v>
      </c>
      <c r="G432" s="14" t="s">
        <v>156</v>
      </c>
      <c r="H432" s="14" t="s">
        <v>267</v>
      </c>
      <c r="I432" s="14" t="s">
        <v>95</v>
      </c>
      <c r="J432" s="14" t="str">
        <f>IF(E432="KTG","KTG",(VLOOKUP(I432,'[1]list of outsource'!B:H,2,0)))</f>
        <v>Woer</v>
      </c>
      <c r="K432" s="14" t="s">
        <v>96</v>
      </c>
      <c r="L432" s="14"/>
      <c r="M432" s="14" t="s">
        <v>268</v>
      </c>
      <c r="N432" s="14" t="s">
        <v>812</v>
      </c>
      <c r="O432" s="14" t="s">
        <v>1468</v>
      </c>
      <c r="P432" s="14"/>
      <c r="Q432" s="15"/>
      <c r="R432" s="14"/>
      <c r="S432" s="16"/>
      <c r="T432" s="14"/>
      <c r="U432" s="14">
        <v>1</v>
      </c>
      <c r="V432" s="14"/>
      <c r="W432" s="14" t="s">
        <v>154</v>
      </c>
      <c r="X432" s="13">
        <v>45093</v>
      </c>
      <c r="Y432" s="13"/>
      <c r="AB432" t="e">
        <v>#N/A</v>
      </c>
      <c r="AC432" t="s">
        <v>4210</v>
      </c>
      <c r="AE432" t="str">
        <f t="shared" si="67"/>
        <v>P000147</v>
      </c>
      <c r="AF432" t="str">
        <f>_xlfn.XLOOKUP(AE432, Hoja2!A:A, Hoja2!A:A)</f>
        <v>P000147</v>
      </c>
      <c r="AG432" t="str">
        <f t="shared" si="68"/>
        <v>PP00028-14</v>
      </c>
      <c r="AH432">
        <f>_xlfn.XLOOKUP(AG432, Hoja3!A:A, Hoja3!B:B)</f>
        <v>5318</v>
      </c>
      <c r="AI432" t="str">
        <f>_xlfn.XLOOKUP(AH432, Hoja4!A:A, Hoja4!B:B)</f>
        <v>E35100900</v>
      </c>
      <c r="AJ432" t="b">
        <f t="shared" si="69"/>
        <v>1</v>
      </c>
    </row>
    <row r="433" spans="1:36" ht="15.5" customHeight="1" x14ac:dyDescent="0.35">
      <c r="A433">
        <f t="shared" ca="1" si="66"/>
        <v>48</v>
      </c>
      <c r="B433" s="6" t="s">
        <v>1469</v>
      </c>
      <c r="C433" s="7">
        <v>45274</v>
      </c>
      <c r="D433" s="6" t="s">
        <v>912</v>
      </c>
      <c r="E433" s="6" t="s">
        <v>139</v>
      </c>
      <c r="F433" s="6" t="s">
        <v>508</v>
      </c>
      <c r="G433" s="6" t="s">
        <v>32</v>
      </c>
      <c r="H433" s="6">
        <v>69321476</v>
      </c>
      <c r="I433" s="6" t="s">
        <v>849</v>
      </c>
      <c r="J433" s="6" t="str">
        <f>IF(E433="KTG","KTG",(VLOOKUP(I433,'[1]list of outsource'!B:H,2,0)))</f>
        <v>ETC</v>
      </c>
      <c r="K433" s="6" t="s">
        <v>850</v>
      </c>
      <c r="L433" s="6">
        <v>17</v>
      </c>
      <c r="M433" s="6" t="s">
        <v>1470</v>
      </c>
      <c r="N433" s="6" t="s">
        <v>1471</v>
      </c>
      <c r="O433" s="6" t="s">
        <v>1472</v>
      </c>
      <c r="P433" s="6"/>
      <c r="Q433" s="8" t="s">
        <v>575</v>
      </c>
      <c r="R433" s="6"/>
      <c r="S433" s="6"/>
      <c r="T433" s="6"/>
      <c r="U433" s="6">
        <v>4</v>
      </c>
      <c r="V433" s="6" t="s">
        <v>569</v>
      </c>
      <c r="W433" s="6" t="s">
        <v>37</v>
      </c>
      <c r="X433" s="7">
        <v>45322</v>
      </c>
      <c r="Y433" s="7">
        <v>45327</v>
      </c>
      <c r="AB433" t="e">
        <v>#N/A</v>
      </c>
      <c r="AC433" t="e">
        <v>#N/A</v>
      </c>
      <c r="AE433" t="str">
        <f t="shared" si="67"/>
        <v>P000379</v>
      </c>
      <c r="AF433" t="str">
        <f>_xlfn.XLOOKUP(AE433, Hoja2!A:A, Hoja2!A:A)</f>
        <v>P000379</v>
      </c>
      <c r="AG433" t="str">
        <f t="shared" si="68"/>
        <v>PP00026-33</v>
      </c>
      <c r="AH433">
        <f>_xlfn.XLOOKUP(AG433, Hoja3!A:A, Hoja3!B:B)</f>
        <v>5638</v>
      </c>
      <c r="AI433">
        <f>_xlfn.XLOOKUP(AH433, Hoja4!A:A, Hoja4!B:B)</f>
        <v>69321476</v>
      </c>
      <c r="AJ433" t="b">
        <f t="shared" si="69"/>
        <v>1</v>
      </c>
    </row>
    <row r="434" spans="1:36" ht="15.5" customHeight="1" x14ac:dyDescent="0.35">
      <c r="A434">
        <f t="shared" ca="1" si="66"/>
        <v>48</v>
      </c>
      <c r="B434" s="6" t="s">
        <v>1473</v>
      </c>
      <c r="C434" s="7">
        <v>45274</v>
      </c>
      <c r="D434" s="6" t="s">
        <v>912</v>
      </c>
      <c r="E434" s="6" t="s">
        <v>139</v>
      </c>
      <c r="F434" s="6" t="s">
        <v>508</v>
      </c>
      <c r="G434" s="6" t="s">
        <v>32</v>
      </c>
      <c r="H434" s="6">
        <v>69321131</v>
      </c>
      <c r="I434" s="6" t="s">
        <v>529</v>
      </c>
      <c r="J434" s="6" t="str">
        <f>IF(E434="KTG","KTG",(VLOOKUP(I434,'[1]list of outsource'!B:H,2,0)))</f>
        <v>ETC</v>
      </c>
      <c r="K434" s="6" t="s">
        <v>530</v>
      </c>
      <c r="L434" s="6">
        <v>17</v>
      </c>
      <c r="M434" s="6" t="s">
        <v>1474</v>
      </c>
      <c r="N434" s="6" t="s">
        <v>1311</v>
      </c>
      <c r="O434" s="6" t="s">
        <v>1475</v>
      </c>
      <c r="P434" s="6"/>
      <c r="Q434" s="8" t="s">
        <v>575</v>
      </c>
      <c r="R434" s="6"/>
      <c r="S434" s="6"/>
      <c r="T434" s="6"/>
      <c r="U434" s="6">
        <v>4</v>
      </c>
      <c r="V434" s="6" t="s">
        <v>569</v>
      </c>
      <c r="W434" s="6" t="s">
        <v>37</v>
      </c>
      <c r="X434" s="7">
        <v>45322</v>
      </c>
      <c r="Y434" s="7">
        <v>45327</v>
      </c>
      <c r="AB434" t="e">
        <v>#N/A</v>
      </c>
      <c r="AC434" t="e">
        <v>#N/A</v>
      </c>
      <c r="AE434" t="str">
        <f t="shared" si="67"/>
        <v>P000264</v>
      </c>
      <c r="AF434" t="str">
        <f>_xlfn.XLOOKUP(AE434, Hoja2!A:A, Hoja2!A:A)</f>
        <v>P000264</v>
      </c>
      <c r="AG434" t="str">
        <f t="shared" si="68"/>
        <v>PP00026-35</v>
      </c>
      <c r="AH434">
        <f>_xlfn.XLOOKUP(AG434, Hoja3!A:A, Hoja3!B:B)</f>
        <v>5640</v>
      </c>
      <c r="AI434">
        <f>_xlfn.XLOOKUP(AH434, Hoja4!A:A, Hoja4!B:B)</f>
        <v>69321131</v>
      </c>
      <c r="AJ434" t="b">
        <f t="shared" si="69"/>
        <v>1</v>
      </c>
    </row>
    <row r="435" spans="1:36" ht="15.5" customHeight="1" x14ac:dyDescent="0.35">
      <c r="A435">
        <f t="shared" ca="1" si="66"/>
        <v>48</v>
      </c>
      <c r="B435" s="6" t="s">
        <v>1476</v>
      </c>
      <c r="C435" s="7">
        <v>45274</v>
      </c>
      <c r="D435" s="6" t="s">
        <v>912</v>
      </c>
      <c r="E435" s="6" t="s">
        <v>139</v>
      </c>
      <c r="F435" s="6" t="s">
        <v>508</v>
      </c>
      <c r="G435" s="6" t="s">
        <v>32</v>
      </c>
      <c r="H435" s="6">
        <v>69321145</v>
      </c>
      <c r="I435" s="6" t="s">
        <v>402</v>
      </c>
      <c r="J435" s="6" t="str">
        <f>IF(E435="KTG","KTG",(VLOOKUP(I435,'[1]list of outsource'!B:H,2,0)))</f>
        <v>ETC</v>
      </c>
      <c r="K435" s="6" t="s">
        <v>403</v>
      </c>
      <c r="L435" s="6">
        <v>57</v>
      </c>
      <c r="M435" s="6" t="s">
        <v>1477</v>
      </c>
      <c r="N435" s="6" t="s">
        <v>1478</v>
      </c>
      <c r="O435" s="6" t="s">
        <v>1479</v>
      </c>
      <c r="P435" s="6"/>
      <c r="Q435" s="8" t="s">
        <v>575</v>
      </c>
      <c r="R435" s="6"/>
      <c r="S435" s="6"/>
      <c r="T435" s="6"/>
      <c r="U435" s="6">
        <v>4</v>
      </c>
      <c r="V435" s="6" t="s">
        <v>569</v>
      </c>
      <c r="W435" s="6" t="s">
        <v>37</v>
      </c>
      <c r="X435" s="7">
        <v>45322</v>
      </c>
      <c r="Y435" s="7">
        <v>45327</v>
      </c>
      <c r="AB435" t="e">
        <v>#N/A</v>
      </c>
      <c r="AC435" t="e">
        <v>#N/A</v>
      </c>
      <c r="AE435" t="str">
        <f t="shared" si="67"/>
        <v>P000218</v>
      </c>
      <c r="AF435" t="str">
        <f>_xlfn.XLOOKUP(AE435, Hoja2!A:A, Hoja2!A:A)</f>
        <v>P000218</v>
      </c>
      <c r="AG435" t="str">
        <f t="shared" si="68"/>
        <v>PP00026-34</v>
      </c>
      <c r="AH435">
        <f>_xlfn.XLOOKUP(AG435, Hoja3!A:A, Hoja3!B:B)</f>
        <v>5639</v>
      </c>
      <c r="AI435">
        <f>_xlfn.XLOOKUP(AH435, Hoja4!A:A, Hoja4!B:B)</f>
        <v>69321145</v>
      </c>
      <c r="AJ435" t="b">
        <f t="shared" si="69"/>
        <v>1</v>
      </c>
    </row>
    <row r="436" spans="1:36" ht="15.5" customHeight="1" x14ac:dyDescent="0.35">
      <c r="A436">
        <f t="shared" ca="1" si="66"/>
        <v>1</v>
      </c>
      <c r="B436" s="12" t="s">
        <v>1467</v>
      </c>
      <c r="C436" s="13">
        <v>45435</v>
      </c>
      <c r="D436" s="14" t="s">
        <v>121</v>
      </c>
      <c r="E436" s="14" t="s">
        <v>83</v>
      </c>
      <c r="F436" s="14" t="s">
        <v>739</v>
      </c>
      <c r="G436" s="14" t="s">
        <v>156</v>
      </c>
      <c r="H436" s="14" t="s">
        <v>267</v>
      </c>
      <c r="I436" s="14" t="s">
        <v>95</v>
      </c>
      <c r="J436" s="14" t="str">
        <f>IF(E436="KTG","KTG",(VLOOKUP(I436,'[1]list of outsource'!B:H,2,0)))</f>
        <v>Woer</v>
      </c>
      <c r="K436" s="14" t="s">
        <v>96</v>
      </c>
      <c r="L436" s="14"/>
      <c r="M436" s="14" t="s">
        <v>268</v>
      </c>
      <c r="N436" s="14" t="s">
        <v>812</v>
      </c>
      <c r="O436" s="14" t="s">
        <v>1468</v>
      </c>
      <c r="P436" s="14"/>
      <c r="Q436" s="15">
        <v>45436</v>
      </c>
      <c r="R436" s="14"/>
      <c r="S436" s="16"/>
      <c r="T436" s="14"/>
      <c r="U436" s="14">
        <v>1</v>
      </c>
      <c r="V436" s="14" t="s">
        <v>569</v>
      </c>
      <c r="W436" s="14" t="s">
        <v>154</v>
      </c>
      <c r="X436" s="13">
        <v>45436</v>
      </c>
      <c r="Y436" s="13"/>
      <c r="AB436" t="e">
        <v>#N/A</v>
      </c>
      <c r="AC436" t="e">
        <v>#N/A</v>
      </c>
      <c r="AE436" t="str">
        <f t="shared" si="67"/>
        <v>P000147</v>
      </c>
      <c r="AF436" t="str">
        <f>_xlfn.XLOOKUP(AE436, Hoja2!A:A, Hoja2!A:A)</f>
        <v>P000147</v>
      </c>
      <c r="AG436" t="str">
        <f t="shared" si="68"/>
        <v>PP00028-14</v>
      </c>
      <c r="AH436">
        <f>_xlfn.XLOOKUP(AG436, Hoja3!A:A, Hoja3!B:B)</f>
        <v>5318</v>
      </c>
      <c r="AI436" t="str">
        <f>_xlfn.XLOOKUP(AH436, Hoja4!A:A, Hoja4!B:B)</f>
        <v>E35100900</v>
      </c>
      <c r="AJ436" t="b">
        <f t="shared" si="69"/>
        <v>1</v>
      </c>
    </row>
    <row r="437" spans="1:36" ht="15.5" customHeight="1" x14ac:dyDescent="0.35">
      <c r="A437">
        <f t="shared" ca="1" si="66"/>
        <v>41</v>
      </c>
      <c r="B437" s="12" t="s">
        <v>328</v>
      </c>
      <c r="C437" s="13">
        <v>45280</v>
      </c>
      <c r="D437" s="14" t="s">
        <v>121</v>
      </c>
      <c r="E437" s="14" t="s">
        <v>83</v>
      </c>
      <c r="F437" s="14" t="s">
        <v>329</v>
      </c>
      <c r="G437" s="14" t="s">
        <v>299</v>
      </c>
      <c r="H437" s="14" t="s">
        <v>330</v>
      </c>
      <c r="I437" s="14" t="s">
        <v>87</v>
      </c>
      <c r="J437" s="14" t="str">
        <f>IF(E437="KTG","KTG",(VLOOKUP(I437,'[1]list of outsource'!B:H,2,0)))</f>
        <v>UPM</v>
      </c>
      <c r="K437" s="14" t="s">
        <v>88</v>
      </c>
      <c r="L437" s="14">
        <v>14</v>
      </c>
      <c r="M437" s="14" t="s">
        <v>331</v>
      </c>
      <c r="N437" s="14" t="s">
        <v>332</v>
      </c>
      <c r="O437" s="14">
        <v>1173706697</v>
      </c>
      <c r="P437" s="14"/>
      <c r="Q437" s="15" t="s">
        <v>575</v>
      </c>
      <c r="R437" s="14"/>
      <c r="S437" s="16"/>
      <c r="T437" s="14"/>
      <c r="U437" s="14">
        <v>1</v>
      </c>
      <c r="V437" s="14" t="s">
        <v>569</v>
      </c>
      <c r="W437" s="14" t="s">
        <v>576</v>
      </c>
      <c r="X437" s="13">
        <v>45321</v>
      </c>
      <c r="Y437" s="13"/>
      <c r="AB437" t="e">
        <v>#N/A</v>
      </c>
      <c r="AC437" t="e">
        <v>#N/A</v>
      </c>
      <c r="AE437" t="str">
        <f t="shared" si="67"/>
        <v>P000198</v>
      </c>
      <c r="AF437" t="str">
        <f>_xlfn.XLOOKUP(AE437, Hoja2!A:A, Hoja2!A:A)</f>
        <v>P000198</v>
      </c>
      <c r="AG437" t="str">
        <f t="shared" si="68"/>
        <v>PP00024-01</v>
      </c>
      <c r="AH437">
        <f>_xlfn.XLOOKUP(AG437, Hoja3!A:A, Hoja3!B:B)</f>
        <v>4498</v>
      </c>
      <c r="AI437" t="str">
        <f>_xlfn.XLOOKUP(AH437, Hoja4!A:A, Hoja4!B:B)</f>
        <v>E36091300</v>
      </c>
      <c r="AJ437" t="b">
        <f t="shared" si="69"/>
        <v>1</v>
      </c>
    </row>
    <row r="438" spans="1:36" ht="15.5" customHeight="1" x14ac:dyDescent="0.35">
      <c r="A438">
        <f t="shared" ca="1" si="66"/>
        <v>29</v>
      </c>
      <c r="B438" s="6" t="s">
        <v>1480</v>
      </c>
      <c r="C438" s="7">
        <v>45281</v>
      </c>
      <c r="D438" s="6" t="s">
        <v>912</v>
      </c>
      <c r="E438" s="6" t="s">
        <v>30</v>
      </c>
      <c r="F438" s="6" t="s">
        <v>646</v>
      </c>
      <c r="G438" s="6" t="s">
        <v>32</v>
      </c>
      <c r="H438" s="6" t="s">
        <v>1481</v>
      </c>
      <c r="I438" s="6"/>
      <c r="J438" s="6" t="str">
        <f>IF(E438="KTG","KTG",(VLOOKUP(I438,'[1]list of outsource'!B:H,2,0)))</f>
        <v>KTG</v>
      </c>
      <c r="K438" s="6"/>
      <c r="L438" s="6"/>
      <c r="M438" s="6" t="s">
        <v>1482</v>
      </c>
      <c r="N438" s="6" t="s">
        <v>1483</v>
      </c>
      <c r="O438" s="6"/>
      <c r="P438" s="6"/>
      <c r="Q438" s="8"/>
      <c r="R438" s="6"/>
      <c r="S438" s="6"/>
      <c r="T438" s="6"/>
      <c r="U438" s="6"/>
      <c r="V438" s="6"/>
      <c r="W438" s="6"/>
      <c r="X438" s="7">
        <v>45310</v>
      </c>
      <c r="Y438" s="7">
        <v>45321</v>
      </c>
      <c r="AB438" t="e">
        <v>#N/A</v>
      </c>
      <c r="AC438" t="e">
        <v>#N/A</v>
      </c>
      <c r="AE438" t="str">
        <f t="shared" si="67"/>
        <v>E53117</v>
      </c>
      <c r="AF438" t="str">
        <f>_xlfn.XLOOKUP(AE438, Hoja2!A:A, Hoja2!A:A)</f>
        <v>E53117</v>
      </c>
      <c r="AG438" t="str">
        <f t="shared" si="68"/>
        <v>PP00030-09</v>
      </c>
      <c r="AH438">
        <f>_xlfn.XLOOKUP(AG438, Hoja3!A:A, Hoja3!B:B)</f>
        <v>5230</v>
      </c>
      <c r="AI438" t="str">
        <f>_xlfn.XLOOKUP(AH438, Hoja4!A:A, Hoja4!B:B)</f>
        <v>707708 3 030</v>
      </c>
      <c r="AJ438" t="b">
        <f t="shared" si="69"/>
        <v>1</v>
      </c>
    </row>
    <row r="439" spans="1:36" ht="15.5" customHeight="1" x14ac:dyDescent="0.35">
      <c r="A439">
        <f t="shared" ca="1" si="66"/>
        <v>48</v>
      </c>
      <c r="B439" s="6" t="s">
        <v>1484</v>
      </c>
      <c r="C439" s="7">
        <v>45251</v>
      </c>
      <c r="D439" s="6" t="s">
        <v>912</v>
      </c>
      <c r="E439" s="6" t="s">
        <v>30</v>
      </c>
      <c r="F439" s="6" t="s">
        <v>658</v>
      </c>
      <c r="G439" s="6" t="s">
        <v>32</v>
      </c>
      <c r="H439" s="6">
        <v>15396408</v>
      </c>
      <c r="I439" s="6"/>
      <c r="J439" s="6" t="str">
        <f>IF(E439="KTG","KTG",(VLOOKUP(I439,'[1]list of outsource'!B:H,2,0)))</f>
        <v>KTG</v>
      </c>
      <c r="K439" s="6"/>
      <c r="L439" s="6"/>
      <c r="M439" s="6" t="s">
        <v>1485</v>
      </c>
      <c r="N439" s="6" t="s">
        <v>1486</v>
      </c>
      <c r="O439" s="6">
        <v>770301744</v>
      </c>
      <c r="P439" s="6"/>
      <c r="Q439" s="8"/>
      <c r="R439" s="6"/>
      <c r="S439" s="6"/>
      <c r="T439" s="6"/>
      <c r="U439" s="6">
        <v>4</v>
      </c>
      <c r="V439" s="6"/>
      <c r="W439" s="6" t="s">
        <v>37</v>
      </c>
      <c r="X439" s="7">
        <v>45299</v>
      </c>
      <c r="Y439" s="7">
        <v>45315</v>
      </c>
      <c r="AB439" t="e">
        <v>#N/A</v>
      </c>
      <c r="AC439" t="e">
        <v>#N/A</v>
      </c>
      <c r="AE439" t="str">
        <f t="shared" si="67"/>
        <v>E47415</v>
      </c>
      <c r="AF439" t="str">
        <f>_xlfn.XLOOKUP(AE439, Hoja2!A:A, Hoja2!A:A)</f>
        <v>E47415</v>
      </c>
      <c r="AG439" t="str">
        <f t="shared" si="68"/>
        <v>PP00034-22</v>
      </c>
      <c r="AH439">
        <f>_xlfn.XLOOKUP(AG439, Hoja3!A:A, Hoja3!B:B)</f>
        <v>4755</v>
      </c>
      <c r="AI439">
        <f>_xlfn.XLOOKUP(AH439, Hoja4!A:A, Hoja4!B:B)</f>
        <v>15396408</v>
      </c>
      <c r="AJ439" t="b">
        <f t="shared" si="69"/>
        <v>1</v>
      </c>
    </row>
    <row r="440" spans="1:36" ht="15.5" customHeight="1" x14ac:dyDescent="0.35">
      <c r="A440">
        <f t="shared" ca="1" si="66"/>
        <v>36</v>
      </c>
      <c r="B440" s="6" t="s">
        <v>1487</v>
      </c>
      <c r="C440" s="7">
        <v>45295</v>
      </c>
      <c r="D440" s="6" t="s">
        <v>912</v>
      </c>
      <c r="E440" s="6" t="s">
        <v>139</v>
      </c>
      <c r="F440" s="6" t="s">
        <v>933</v>
      </c>
      <c r="G440" s="6" t="s">
        <v>32</v>
      </c>
      <c r="H440" s="6">
        <v>35738191</v>
      </c>
      <c r="I440" s="6" t="s">
        <v>208</v>
      </c>
      <c r="J440" s="6" t="str">
        <f>IF(E440="KTG","KTG",(VLOOKUP(I440,'[1]list of outsource'!B:H,2,0)))</f>
        <v>ETC</v>
      </c>
      <c r="K440" s="6" t="s">
        <v>209</v>
      </c>
      <c r="L440" s="6" t="s">
        <v>1488</v>
      </c>
      <c r="M440" s="6" t="s">
        <v>292</v>
      </c>
      <c r="N440" s="6" t="s">
        <v>1489</v>
      </c>
      <c r="O440" s="6">
        <v>1250962102</v>
      </c>
      <c r="P440" s="6"/>
      <c r="Q440" s="8" t="s">
        <v>575</v>
      </c>
      <c r="R440" s="6" t="s">
        <v>575</v>
      </c>
      <c r="S440" s="6" t="s">
        <v>575</v>
      </c>
      <c r="T440" s="6" t="s">
        <v>575</v>
      </c>
      <c r="U440" s="6">
        <v>4</v>
      </c>
      <c r="V440" s="6" t="s">
        <v>919</v>
      </c>
      <c r="W440" s="6" t="s">
        <v>37</v>
      </c>
      <c r="X440" s="7">
        <v>45331</v>
      </c>
      <c r="Y440" s="7">
        <v>45440</v>
      </c>
      <c r="AB440" t="e">
        <v>#N/A</v>
      </c>
      <c r="AC440" t="e">
        <v>#N/A</v>
      </c>
      <c r="AE440" t="str">
        <f t="shared" si="67"/>
        <v>P000158</v>
      </c>
      <c r="AF440" t="str">
        <f>_xlfn.XLOOKUP(AE440, Hoja2!A:A, Hoja2!A:A)</f>
        <v>P000158</v>
      </c>
      <c r="AG440" t="str">
        <f t="shared" si="68"/>
        <v>PP00042-0003</v>
      </c>
      <c r="AH440">
        <f>_xlfn.XLOOKUP(AG440, Hoja3!A:A, Hoja3!B:B)</f>
        <v>5138</v>
      </c>
      <c r="AI440">
        <f>_xlfn.XLOOKUP(AH440, Hoja4!A:A, Hoja4!B:B)</f>
        <v>35738191</v>
      </c>
      <c r="AJ440" t="b">
        <f t="shared" si="69"/>
        <v>1</v>
      </c>
    </row>
    <row r="441" spans="1:36" ht="15.5" customHeight="1" x14ac:dyDescent="0.35">
      <c r="A441">
        <f t="shared" ca="1" si="66"/>
        <v>36</v>
      </c>
      <c r="B441" s="6" t="s">
        <v>1490</v>
      </c>
      <c r="C441" s="7">
        <v>45295</v>
      </c>
      <c r="D441" s="6" t="s">
        <v>912</v>
      </c>
      <c r="E441" s="6" t="s">
        <v>139</v>
      </c>
      <c r="F441" s="6" t="s">
        <v>933</v>
      </c>
      <c r="G441" s="6" t="s">
        <v>32</v>
      </c>
      <c r="H441" s="6">
        <v>35758263</v>
      </c>
      <c r="I441" s="6" t="s">
        <v>208</v>
      </c>
      <c r="J441" s="6" t="str">
        <f>IF(E441="KTG","KTG",(VLOOKUP(I441,'[1]list of outsource'!B:H,2,0)))</f>
        <v>ETC</v>
      </c>
      <c r="K441" s="6" t="s">
        <v>209</v>
      </c>
      <c r="L441" s="6" t="s">
        <v>1488</v>
      </c>
      <c r="M441" s="6" t="s">
        <v>1491</v>
      </c>
      <c r="N441" s="6" t="s">
        <v>1492</v>
      </c>
      <c r="O441" s="6">
        <v>1250976542</v>
      </c>
      <c r="P441" s="6"/>
      <c r="Q441" s="8" t="s">
        <v>575</v>
      </c>
      <c r="R441" s="6" t="s">
        <v>575</v>
      </c>
      <c r="S441" s="6" t="s">
        <v>575</v>
      </c>
      <c r="T441" s="6" t="s">
        <v>575</v>
      </c>
      <c r="U441" s="6">
        <v>4</v>
      </c>
      <c r="V441" s="6" t="s">
        <v>919</v>
      </c>
      <c r="W441" s="6" t="s">
        <v>37</v>
      </c>
      <c r="X441" s="7">
        <v>45331</v>
      </c>
      <c r="Y441" s="7">
        <v>45441</v>
      </c>
      <c r="AB441" t="e">
        <v>#N/A</v>
      </c>
      <c r="AC441" t="e">
        <v>#N/A</v>
      </c>
      <c r="AE441" t="str">
        <f t="shared" si="67"/>
        <v>P000459</v>
      </c>
      <c r="AF441" t="str">
        <f>_xlfn.XLOOKUP(AE441, Hoja2!A:A, Hoja2!A:A)</f>
        <v>P000459</v>
      </c>
      <c r="AG441" t="str">
        <f t="shared" si="68"/>
        <v>PP00042-0004</v>
      </c>
      <c r="AH441">
        <f>_xlfn.XLOOKUP(AG441, Hoja3!A:A, Hoja3!B:B)</f>
        <v>3799</v>
      </c>
      <c r="AI441">
        <f>_xlfn.XLOOKUP(AH441, Hoja4!A:A, Hoja4!B:B)</f>
        <v>35758263</v>
      </c>
      <c r="AJ441" t="b">
        <f t="shared" si="69"/>
        <v>1</v>
      </c>
    </row>
    <row r="442" spans="1:36" ht="15.5" customHeight="1" x14ac:dyDescent="0.35">
      <c r="A442">
        <f t="shared" ca="1" si="66"/>
        <v>36</v>
      </c>
      <c r="B442" s="6" t="s">
        <v>1493</v>
      </c>
      <c r="C442" s="7">
        <v>45295</v>
      </c>
      <c r="D442" s="6" t="s">
        <v>912</v>
      </c>
      <c r="E442" s="6" t="s">
        <v>139</v>
      </c>
      <c r="F442" s="6" t="s">
        <v>933</v>
      </c>
      <c r="G442" s="6" t="s">
        <v>32</v>
      </c>
      <c r="H442" s="6">
        <v>35758268</v>
      </c>
      <c r="I442" s="6" t="s">
        <v>208</v>
      </c>
      <c r="J442" s="6" t="str">
        <f>IF(E442="KTG","KTG",(VLOOKUP(I442,'[1]list of outsource'!B:H,2,0)))</f>
        <v>ETC</v>
      </c>
      <c r="K442" s="6" t="s">
        <v>209</v>
      </c>
      <c r="L442" s="6" t="s">
        <v>1488</v>
      </c>
      <c r="M442" s="6" t="s">
        <v>1366</v>
      </c>
      <c r="N442" s="6" t="s">
        <v>1367</v>
      </c>
      <c r="O442" s="6">
        <v>1250980800</v>
      </c>
      <c r="P442" s="6"/>
      <c r="Q442" s="8" t="s">
        <v>575</v>
      </c>
      <c r="R442" s="6" t="s">
        <v>575</v>
      </c>
      <c r="S442" s="6" t="s">
        <v>575</v>
      </c>
      <c r="T442" s="6" t="s">
        <v>575</v>
      </c>
      <c r="U442" s="6">
        <v>4</v>
      </c>
      <c r="V442" s="6" t="s">
        <v>919</v>
      </c>
      <c r="W442" s="6" t="s">
        <v>37</v>
      </c>
      <c r="X442" s="7">
        <v>45331</v>
      </c>
      <c r="Y442" s="7">
        <v>45441</v>
      </c>
      <c r="AB442" t="e">
        <v>#N/A</v>
      </c>
      <c r="AC442" t="e">
        <v>#N/A</v>
      </c>
      <c r="AE442" t="str">
        <f t="shared" si="67"/>
        <v>P000463</v>
      </c>
      <c r="AF442" t="str">
        <f>_xlfn.XLOOKUP(AE442, Hoja2!A:A, Hoja2!A:A)</f>
        <v>P000463</v>
      </c>
      <c r="AG442" t="str">
        <f t="shared" si="68"/>
        <v>PP00042-0005</v>
      </c>
      <c r="AH442">
        <f>_xlfn.XLOOKUP(AG442, Hoja3!A:A, Hoja3!B:B)</f>
        <v>3800</v>
      </c>
      <c r="AI442">
        <f>_xlfn.XLOOKUP(AH442, Hoja4!A:A, Hoja4!B:B)</f>
        <v>35758268</v>
      </c>
      <c r="AJ442" t="b">
        <f t="shared" si="69"/>
        <v>1</v>
      </c>
    </row>
    <row r="443" spans="1:36" ht="15.5" customHeight="1" x14ac:dyDescent="0.35">
      <c r="A443">
        <f t="shared" ca="1" si="66"/>
        <v>36</v>
      </c>
      <c r="B443" s="6" t="s">
        <v>1494</v>
      </c>
      <c r="C443" s="7">
        <v>45295</v>
      </c>
      <c r="D443" s="6" t="s">
        <v>912</v>
      </c>
      <c r="E443" s="6" t="s">
        <v>139</v>
      </c>
      <c r="F443" s="6" t="s">
        <v>933</v>
      </c>
      <c r="G443" s="6" t="s">
        <v>32</v>
      </c>
      <c r="H443" s="6">
        <v>35738186</v>
      </c>
      <c r="I443" s="6" t="s">
        <v>402</v>
      </c>
      <c r="J443" s="6" t="str">
        <f>IF(E443="KTG","KTG",(VLOOKUP(I443,'[1]list of outsource'!B:H,2,0)))</f>
        <v>ETC</v>
      </c>
      <c r="K443" s="6" t="s">
        <v>403</v>
      </c>
      <c r="L443" s="6" t="s">
        <v>1488</v>
      </c>
      <c r="M443" s="6" t="s">
        <v>1495</v>
      </c>
      <c r="N443" s="6" t="s">
        <v>1496</v>
      </c>
      <c r="O443" s="6">
        <v>1251041689</v>
      </c>
      <c r="P443" s="6"/>
      <c r="Q443" s="8" t="s">
        <v>575</v>
      </c>
      <c r="R443" s="6" t="s">
        <v>575</v>
      </c>
      <c r="S443" s="6" t="s">
        <v>575</v>
      </c>
      <c r="T443" s="6" t="s">
        <v>575</v>
      </c>
      <c r="U443" s="6">
        <v>4</v>
      </c>
      <c r="V443" s="6" t="s">
        <v>919</v>
      </c>
      <c r="W443" s="6" t="s">
        <v>37</v>
      </c>
      <c r="X443" s="7">
        <v>45331</v>
      </c>
      <c r="Y443" s="7">
        <v>45400</v>
      </c>
      <c r="AB443" t="e">
        <v>#N/A</v>
      </c>
      <c r="AC443" t="e">
        <v>#N/A</v>
      </c>
      <c r="AE443" t="str">
        <f t="shared" si="67"/>
        <v>P000353</v>
      </c>
      <c r="AF443" t="str">
        <f>_xlfn.XLOOKUP(AE443, Hoja2!A:A, Hoja2!A:A)</f>
        <v>P000353</v>
      </c>
      <c r="AG443" t="str">
        <f t="shared" si="68"/>
        <v>PP00042-0006</v>
      </c>
      <c r="AH443">
        <f>_xlfn.XLOOKUP(AG443, Hoja3!A:A, Hoja3!B:B)</f>
        <v>3794</v>
      </c>
      <c r="AI443">
        <f>_xlfn.XLOOKUP(AH443, Hoja4!A:A, Hoja4!B:B)</f>
        <v>35738186</v>
      </c>
      <c r="AJ443" t="b">
        <f t="shared" si="69"/>
        <v>1</v>
      </c>
    </row>
    <row r="444" spans="1:36" ht="15.5" customHeight="1" x14ac:dyDescent="0.35">
      <c r="A444">
        <f t="shared" ca="1" si="66"/>
        <v>36</v>
      </c>
      <c r="B444" s="6" t="s">
        <v>1497</v>
      </c>
      <c r="C444" s="7">
        <v>45295</v>
      </c>
      <c r="D444" s="6" t="s">
        <v>912</v>
      </c>
      <c r="E444" s="6" t="s">
        <v>139</v>
      </c>
      <c r="F444" s="6" t="s">
        <v>933</v>
      </c>
      <c r="G444" s="6" t="s">
        <v>32</v>
      </c>
      <c r="H444" s="6">
        <v>35738187</v>
      </c>
      <c r="I444" s="6" t="s">
        <v>402</v>
      </c>
      <c r="J444" s="6" t="str">
        <f>IF(E444="KTG","KTG",(VLOOKUP(I444,'[1]list of outsource'!B:H,2,0)))</f>
        <v>ETC</v>
      </c>
      <c r="K444" s="6" t="s">
        <v>403</v>
      </c>
      <c r="L444" s="6" t="s">
        <v>1488</v>
      </c>
      <c r="M444" s="6" t="s">
        <v>1498</v>
      </c>
      <c r="N444" s="6" t="s">
        <v>1499</v>
      </c>
      <c r="O444" s="6">
        <v>1289729958</v>
      </c>
      <c r="P444" s="6"/>
      <c r="Q444" s="8" t="s">
        <v>575</v>
      </c>
      <c r="R444" s="6" t="s">
        <v>575</v>
      </c>
      <c r="S444" s="6" t="s">
        <v>575</v>
      </c>
      <c r="T444" s="6" t="s">
        <v>575</v>
      </c>
      <c r="U444" s="6">
        <v>4</v>
      </c>
      <c r="V444" s="6" t="s">
        <v>919</v>
      </c>
      <c r="W444" s="6" t="s">
        <v>37</v>
      </c>
      <c r="X444" s="7">
        <v>45331</v>
      </c>
      <c r="Y444" s="7">
        <v>45440</v>
      </c>
      <c r="AB444" t="e">
        <v>#N/A</v>
      </c>
      <c r="AC444" t="e">
        <v>#N/A</v>
      </c>
      <c r="AE444" t="str">
        <f t="shared" si="67"/>
        <v>P000338</v>
      </c>
      <c r="AF444" t="str">
        <f>_xlfn.XLOOKUP(AE444, Hoja2!A:A, Hoja2!A:A)</f>
        <v>P000338</v>
      </c>
      <c r="AG444" t="str">
        <f t="shared" si="68"/>
        <v>PP00042-0012</v>
      </c>
      <c r="AH444">
        <f>_xlfn.XLOOKUP(AG444, Hoja3!A:A, Hoja3!B:B)</f>
        <v>5139</v>
      </c>
      <c r="AI444">
        <f>_xlfn.XLOOKUP(AH444, Hoja4!A:A, Hoja4!B:B)</f>
        <v>35738187</v>
      </c>
      <c r="AJ444" t="b">
        <f t="shared" si="69"/>
        <v>1</v>
      </c>
    </row>
    <row r="445" spans="1:36" ht="15.5" customHeight="1" x14ac:dyDescent="0.35">
      <c r="A445">
        <f t="shared" ca="1" si="66"/>
        <v>36</v>
      </c>
      <c r="B445" s="6" t="s">
        <v>1500</v>
      </c>
      <c r="C445" s="7">
        <v>45295</v>
      </c>
      <c r="D445" s="6" t="s">
        <v>912</v>
      </c>
      <c r="E445" s="6" t="s">
        <v>139</v>
      </c>
      <c r="F445" s="6" t="s">
        <v>933</v>
      </c>
      <c r="G445" s="6" t="s">
        <v>32</v>
      </c>
      <c r="H445" s="6">
        <v>35758201</v>
      </c>
      <c r="I445" s="6" t="s">
        <v>402</v>
      </c>
      <c r="J445" s="6" t="str">
        <f>IF(E445="KTG","KTG",(VLOOKUP(I445,'[1]list of outsource'!B:H,2,0)))</f>
        <v>ETC</v>
      </c>
      <c r="K445" s="6" t="s">
        <v>403</v>
      </c>
      <c r="L445" s="6" t="s">
        <v>1488</v>
      </c>
      <c r="M445" s="6" t="s">
        <v>1501</v>
      </c>
      <c r="N445" s="6" t="s">
        <v>1502</v>
      </c>
      <c r="O445" s="6">
        <v>1289761217</v>
      </c>
      <c r="P445" s="6"/>
      <c r="Q445" s="8" t="s">
        <v>575</v>
      </c>
      <c r="R445" s="6" t="s">
        <v>575</v>
      </c>
      <c r="S445" s="6" t="s">
        <v>575</v>
      </c>
      <c r="T445" s="6" t="s">
        <v>575</v>
      </c>
      <c r="U445" s="6">
        <v>4</v>
      </c>
      <c r="V445" s="6" t="s">
        <v>919</v>
      </c>
      <c r="W445" s="6" t="s">
        <v>37</v>
      </c>
      <c r="X445" s="7">
        <v>45331</v>
      </c>
      <c r="Y445" s="7">
        <v>45440</v>
      </c>
      <c r="AB445" t="e">
        <v>#N/A</v>
      </c>
      <c r="AC445" t="e">
        <v>#N/A</v>
      </c>
      <c r="AE445" t="str">
        <f t="shared" si="67"/>
        <v>P000407</v>
      </c>
      <c r="AF445" t="str">
        <f>_xlfn.XLOOKUP(AE445, Hoja2!A:A, Hoja2!A:A)</f>
        <v>P000407</v>
      </c>
      <c r="AG445" t="str">
        <f t="shared" si="68"/>
        <v>PP00042-0015</v>
      </c>
      <c r="AH445">
        <f>_xlfn.XLOOKUP(AG445, Hoja3!A:A, Hoja3!B:B)</f>
        <v>5142</v>
      </c>
      <c r="AI445">
        <f>_xlfn.XLOOKUP(AH445, Hoja4!A:A, Hoja4!B:B)</f>
        <v>35758201</v>
      </c>
      <c r="AJ445" t="b">
        <f t="shared" si="69"/>
        <v>1</v>
      </c>
    </row>
    <row r="446" spans="1:36" ht="15.5" customHeight="1" x14ac:dyDescent="0.35">
      <c r="A446">
        <f t="shared" ca="1" si="66"/>
        <v>36</v>
      </c>
      <c r="B446" s="6" t="s">
        <v>1503</v>
      </c>
      <c r="C446" s="7">
        <v>45295</v>
      </c>
      <c r="D446" s="6" t="s">
        <v>912</v>
      </c>
      <c r="E446" s="6" t="s">
        <v>139</v>
      </c>
      <c r="F446" s="6" t="s">
        <v>933</v>
      </c>
      <c r="G446" s="6" t="s">
        <v>32</v>
      </c>
      <c r="H446" s="6">
        <v>35758202</v>
      </c>
      <c r="I446" s="6" t="s">
        <v>402</v>
      </c>
      <c r="J446" s="6" t="str">
        <f>IF(E446="KTG","KTG",(VLOOKUP(I446,'[1]list of outsource'!B:H,2,0)))</f>
        <v>ETC</v>
      </c>
      <c r="K446" s="6" t="s">
        <v>403</v>
      </c>
      <c r="L446" s="6" t="s">
        <v>1488</v>
      </c>
      <c r="M446" s="6" t="s">
        <v>1244</v>
      </c>
      <c r="N446" s="6" t="s">
        <v>1504</v>
      </c>
      <c r="O446" s="6">
        <v>1289761758</v>
      </c>
      <c r="P446" s="6"/>
      <c r="Q446" s="8" t="s">
        <v>575</v>
      </c>
      <c r="R446" s="6" t="s">
        <v>575</v>
      </c>
      <c r="S446" s="6" t="s">
        <v>575</v>
      </c>
      <c r="T446" s="6" t="s">
        <v>575</v>
      </c>
      <c r="U446" s="6">
        <v>4</v>
      </c>
      <c r="V446" s="6" t="s">
        <v>919</v>
      </c>
      <c r="W446" s="6" t="s">
        <v>37</v>
      </c>
      <c r="X446" s="7">
        <v>45331</v>
      </c>
      <c r="Y446" s="7">
        <v>45440</v>
      </c>
      <c r="AB446" t="e">
        <v>#N/A</v>
      </c>
      <c r="AC446" t="e">
        <v>#N/A</v>
      </c>
      <c r="AE446" t="str">
        <f t="shared" si="67"/>
        <v>P000339</v>
      </c>
      <c r="AF446" t="str">
        <f>_xlfn.XLOOKUP(AE446, Hoja2!A:A, Hoja2!A:A)</f>
        <v>P000339</v>
      </c>
      <c r="AG446" t="str">
        <f t="shared" si="68"/>
        <v>PP00042-0016</v>
      </c>
      <c r="AH446">
        <f>_xlfn.XLOOKUP(AG446, Hoja3!A:A, Hoja3!B:B)</f>
        <v>3791</v>
      </c>
      <c r="AI446">
        <f>_xlfn.XLOOKUP(AH446, Hoja4!A:A, Hoja4!B:B)</f>
        <v>35758202</v>
      </c>
      <c r="AJ446" t="b">
        <f t="shared" si="69"/>
        <v>1</v>
      </c>
    </row>
    <row r="447" spans="1:36" ht="15.5" customHeight="1" x14ac:dyDescent="0.35">
      <c r="A447">
        <f t="shared" ca="1" si="66"/>
        <v>36</v>
      </c>
      <c r="B447" s="6" t="s">
        <v>1505</v>
      </c>
      <c r="C447" s="7">
        <v>45295</v>
      </c>
      <c r="D447" s="6" t="s">
        <v>912</v>
      </c>
      <c r="E447" s="6" t="s">
        <v>139</v>
      </c>
      <c r="F447" s="6" t="s">
        <v>933</v>
      </c>
      <c r="G447" s="6" t="s">
        <v>32</v>
      </c>
      <c r="H447" s="6">
        <v>35758221</v>
      </c>
      <c r="I447" s="6" t="s">
        <v>402</v>
      </c>
      <c r="J447" s="6" t="str">
        <f>IF(E447="KTG","KTG",(VLOOKUP(I447,'[1]list of outsource'!B:H,2,0)))</f>
        <v>ETC</v>
      </c>
      <c r="K447" s="6" t="s">
        <v>403</v>
      </c>
      <c r="L447" s="6" t="s">
        <v>1488</v>
      </c>
      <c r="M447" s="6" t="s">
        <v>1506</v>
      </c>
      <c r="N447" s="6" t="s">
        <v>1507</v>
      </c>
      <c r="O447" s="6">
        <v>1289763405</v>
      </c>
      <c r="P447" s="6"/>
      <c r="Q447" s="8" t="s">
        <v>575</v>
      </c>
      <c r="R447" s="6" t="s">
        <v>575</v>
      </c>
      <c r="S447" s="6" t="s">
        <v>575</v>
      </c>
      <c r="T447" s="6" t="s">
        <v>575</v>
      </c>
      <c r="U447" s="6">
        <v>4</v>
      </c>
      <c r="V447" s="6" t="s">
        <v>919</v>
      </c>
      <c r="W447" s="6" t="s">
        <v>37</v>
      </c>
      <c r="X447" s="7">
        <v>45331</v>
      </c>
      <c r="Y447" s="7">
        <v>45400</v>
      </c>
      <c r="AB447" t="e">
        <v>#N/A</v>
      </c>
      <c r="AC447" t="e">
        <v>#N/A</v>
      </c>
      <c r="AE447" t="str">
        <f t="shared" si="67"/>
        <v>P000420</v>
      </c>
      <c r="AF447" t="str">
        <f>_xlfn.XLOOKUP(AE447, Hoja2!A:A, Hoja2!A:A)</f>
        <v>P000420</v>
      </c>
      <c r="AG447" t="str">
        <f t="shared" si="68"/>
        <v>PP00042-0018</v>
      </c>
      <c r="AH447">
        <f>_xlfn.XLOOKUP(AG447, Hoja3!A:A, Hoja3!B:B)</f>
        <v>5144</v>
      </c>
      <c r="AI447">
        <f>_xlfn.XLOOKUP(AH447, Hoja4!A:A, Hoja4!B:B)</f>
        <v>35758221</v>
      </c>
      <c r="AJ447" t="b">
        <f t="shared" si="69"/>
        <v>1</v>
      </c>
    </row>
    <row r="448" spans="1:36" ht="15.5" customHeight="1" x14ac:dyDescent="0.35">
      <c r="A448">
        <f t="shared" ca="1" si="66"/>
        <v>36</v>
      </c>
      <c r="B448" s="6" t="s">
        <v>1508</v>
      </c>
      <c r="C448" s="7">
        <v>45295</v>
      </c>
      <c r="D448" s="6" t="s">
        <v>912</v>
      </c>
      <c r="E448" s="6" t="s">
        <v>139</v>
      </c>
      <c r="F448" s="6" t="s">
        <v>933</v>
      </c>
      <c r="G448" s="6" t="s">
        <v>32</v>
      </c>
      <c r="H448" s="6">
        <v>35758281</v>
      </c>
      <c r="I448" s="6" t="s">
        <v>208</v>
      </c>
      <c r="J448" s="6" t="str">
        <f>IF(E448="KTG","KTG",(VLOOKUP(I448,'[1]list of outsource'!B:H,2,0)))</f>
        <v>ETC</v>
      </c>
      <c r="K448" s="6" t="s">
        <v>209</v>
      </c>
      <c r="L448" s="6" t="s">
        <v>1488</v>
      </c>
      <c r="M448" s="6" t="s">
        <v>1196</v>
      </c>
      <c r="N448" s="6" t="s">
        <v>1509</v>
      </c>
      <c r="O448" s="6">
        <v>1289763939</v>
      </c>
      <c r="P448" s="6"/>
      <c r="Q448" s="8" t="s">
        <v>575</v>
      </c>
      <c r="R448" s="6" t="s">
        <v>575</v>
      </c>
      <c r="S448" s="6" t="s">
        <v>575</v>
      </c>
      <c r="T448" s="6" t="s">
        <v>575</v>
      </c>
      <c r="U448" s="6">
        <v>4</v>
      </c>
      <c r="V448" s="6" t="s">
        <v>919</v>
      </c>
      <c r="W448" s="6" t="s">
        <v>37</v>
      </c>
      <c r="X448" s="7">
        <v>45331</v>
      </c>
      <c r="Y448" s="7">
        <v>45441</v>
      </c>
      <c r="AB448" t="e">
        <v>#N/A</v>
      </c>
      <c r="AC448" t="e">
        <v>#N/A</v>
      </c>
      <c r="AE448" t="str">
        <f t="shared" si="67"/>
        <v>P000471</v>
      </c>
      <c r="AF448" t="str">
        <f>_xlfn.XLOOKUP(AE448, Hoja2!A:A, Hoja2!A:A)</f>
        <v>P000471</v>
      </c>
      <c r="AG448" t="str">
        <f t="shared" si="68"/>
        <v>PP00042-0019</v>
      </c>
      <c r="AH448">
        <f>_xlfn.XLOOKUP(AG448, Hoja3!A:A, Hoja3!B:B)</f>
        <v>3801</v>
      </c>
      <c r="AI448">
        <f>_xlfn.XLOOKUP(AH448, Hoja4!A:A, Hoja4!B:B)</f>
        <v>35758281</v>
      </c>
      <c r="AJ448" t="b">
        <f t="shared" si="69"/>
        <v>1</v>
      </c>
    </row>
    <row r="449" spans="1:36" ht="15.5" customHeight="1" x14ac:dyDescent="0.35">
      <c r="A449">
        <f t="shared" ca="1" si="66"/>
        <v>36</v>
      </c>
      <c r="B449" s="6" t="s">
        <v>1510</v>
      </c>
      <c r="C449" s="7">
        <v>45295</v>
      </c>
      <c r="D449" s="6" t="s">
        <v>912</v>
      </c>
      <c r="E449" s="6" t="s">
        <v>139</v>
      </c>
      <c r="F449" s="6" t="s">
        <v>933</v>
      </c>
      <c r="G449" s="6" t="s">
        <v>32</v>
      </c>
      <c r="H449" s="6">
        <v>35758579</v>
      </c>
      <c r="I449" s="6" t="s">
        <v>402</v>
      </c>
      <c r="J449" s="6" t="str">
        <f>IF(E449="KTG","KTG",(VLOOKUP(I449,'[1]list of outsource'!B:H,2,0)))</f>
        <v>ETC</v>
      </c>
      <c r="K449" s="6" t="s">
        <v>403</v>
      </c>
      <c r="L449" s="6" t="s">
        <v>1488</v>
      </c>
      <c r="M449" s="6" t="s">
        <v>1511</v>
      </c>
      <c r="N449" s="6" t="s">
        <v>1512</v>
      </c>
      <c r="O449" s="6">
        <v>1299340101</v>
      </c>
      <c r="P449" s="6"/>
      <c r="Q449" s="8" t="s">
        <v>575</v>
      </c>
      <c r="R449" s="6" t="s">
        <v>575</v>
      </c>
      <c r="S449" s="6" t="s">
        <v>575</v>
      </c>
      <c r="T449" s="6" t="s">
        <v>575</v>
      </c>
      <c r="U449" s="6">
        <v>4</v>
      </c>
      <c r="V449" s="6" t="s">
        <v>879</v>
      </c>
      <c r="W449" s="6" t="s">
        <v>37</v>
      </c>
      <c r="X449" s="7">
        <v>45331</v>
      </c>
      <c r="Y449" s="7">
        <v>45393</v>
      </c>
      <c r="AB449" t="e">
        <v>#N/A</v>
      </c>
      <c r="AC449" t="e">
        <v>#N/A</v>
      </c>
      <c r="AE449" t="str">
        <f t="shared" si="67"/>
        <v>P000205</v>
      </c>
      <c r="AF449" t="str">
        <f>_xlfn.XLOOKUP(AE449, Hoja2!A:A, Hoja2!A:A)</f>
        <v>P000205</v>
      </c>
      <c r="AG449" t="str">
        <f t="shared" si="68"/>
        <v>PP00042-0021</v>
      </c>
      <c r="AH449">
        <f>_xlfn.XLOOKUP(AG449, Hoja3!A:A, Hoja3!B:B)</f>
        <v>3788</v>
      </c>
      <c r="AI449">
        <f>_xlfn.XLOOKUP(AH449, Hoja4!A:A, Hoja4!B:B)</f>
        <v>35758579</v>
      </c>
      <c r="AJ449" t="b">
        <f t="shared" si="69"/>
        <v>1</v>
      </c>
    </row>
    <row r="450" spans="1:36" ht="15.5" customHeight="1" x14ac:dyDescent="0.35">
      <c r="A450">
        <f t="shared" ref="A450:A513" ca="1" si="70">IF(X450="",(TODAY()-C450),(X450-C450))</f>
        <v>31</v>
      </c>
      <c r="B450" s="6" t="s">
        <v>1513</v>
      </c>
      <c r="C450" s="7">
        <v>45061</v>
      </c>
      <c r="D450" s="6" t="s">
        <v>507</v>
      </c>
      <c r="E450" s="6" t="s">
        <v>139</v>
      </c>
      <c r="F450" s="6" t="s">
        <v>84</v>
      </c>
      <c r="G450" s="6" t="s">
        <v>156</v>
      </c>
      <c r="H450" s="6" t="s">
        <v>838</v>
      </c>
      <c r="I450" s="6" t="s">
        <v>402</v>
      </c>
      <c r="J450" s="6" t="str">
        <f>IF(E450="KTG","KTG",(VLOOKUP(I450,'[1]list of outsource'!B:H,2,0)))</f>
        <v>ETC</v>
      </c>
      <c r="K450" s="6" t="s">
        <v>403</v>
      </c>
      <c r="L450" s="6"/>
      <c r="M450" s="6" t="s">
        <v>482</v>
      </c>
      <c r="N450" s="6" t="s">
        <v>839</v>
      </c>
      <c r="O450" s="6">
        <v>1231239934</v>
      </c>
      <c r="P450" s="6"/>
      <c r="Q450" s="8"/>
      <c r="R450" s="6"/>
      <c r="S450" s="6"/>
      <c r="T450" s="6"/>
      <c r="U450" s="6">
        <v>3</v>
      </c>
      <c r="V450" s="6"/>
      <c r="W450" s="6" t="s">
        <v>37</v>
      </c>
      <c r="X450" s="7">
        <v>45092</v>
      </c>
      <c r="Y450" s="7">
        <v>45166</v>
      </c>
      <c r="AB450">
        <v>0</v>
      </c>
      <c r="AC450" t="e">
        <v>#N/A</v>
      </c>
      <c r="AE450" t="str">
        <f t="shared" si="67"/>
        <v>P000253</v>
      </c>
      <c r="AF450" t="str">
        <f>_xlfn.XLOOKUP(AE450, Hoja2!A:A, Hoja2!A:A)</f>
        <v>P000253</v>
      </c>
      <c r="AG450" t="str">
        <f t="shared" si="68"/>
        <v>PP00028-15</v>
      </c>
      <c r="AH450">
        <f>_xlfn.XLOOKUP(AG450, Hoja3!A:A, Hoja3!B:B)</f>
        <v>55</v>
      </c>
      <c r="AI450" t="str">
        <f>_xlfn.XLOOKUP(AH450, Hoja4!A:A, Hoja4!B:B)</f>
        <v>E38847600</v>
      </c>
      <c r="AJ450" t="b">
        <f t="shared" si="69"/>
        <v>1</v>
      </c>
    </row>
    <row r="451" spans="1:36" ht="15.5" customHeight="1" x14ac:dyDescent="0.35">
      <c r="A451">
        <f t="shared" ca="1" si="70"/>
        <v>24</v>
      </c>
      <c r="B451" s="6" t="s">
        <v>1513</v>
      </c>
      <c r="C451" s="7">
        <v>45501</v>
      </c>
      <c r="D451" s="6" t="s">
        <v>912</v>
      </c>
      <c r="E451" s="6" t="s">
        <v>139</v>
      </c>
      <c r="F451" s="6" t="s">
        <v>84</v>
      </c>
      <c r="G451" s="6" t="s">
        <v>156</v>
      </c>
      <c r="H451" s="6" t="s">
        <v>838</v>
      </c>
      <c r="I451" s="6" t="s">
        <v>402</v>
      </c>
      <c r="J451" s="6" t="str">
        <f>IF(E451="KTG","KTG",(VLOOKUP(I451,'[1]list of outsource'!B:H,2,0)))</f>
        <v>ETC</v>
      </c>
      <c r="K451" s="6" t="s">
        <v>403</v>
      </c>
      <c r="L451" s="6">
        <v>62</v>
      </c>
      <c r="M451" s="6" t="s">
        <v>482</v>
      </c>
      <c r="N451" s="6" t="s">
        <v>839</v>
      </c>
      <c r="O451" s="6" t="s">
        <v>1514</v>
      </c>
      <c r="P451" s="6"/>
      <c r="Q451" s="8"/>
      <c r="R451" s="6"/>
      <c r="S451" s="6"/>
      <c r="T451" s="6"/>
      <c r="U451" s="6">
        <v>1</v>
      </c>
      <c r="V451" s="6" t="s">
        <v>569</v>
      </c>
      <c r="W451" s="6" t="s">
        <v>576</v>
      </c>
      <c r="X451" s="7">
        <v>45525</v>
      </c>
      <c r="Y451" s="7">
        <v>45531</v>
      </c>
      <c r="AB451">
        <v>0</v>
      </c>
      <c r="AC451" t="e">
        <v>#N/A</v>
      </c>
      <c r="AE451" t="str">
        <f t="shared" ref="AE451:AE514" si="71">LEFT(M451, FIND(" ", M451 &amp; " ") - 1)</f>
        <v>P000253</v>
      </c>
      <c r="AF451" t="str">
        <f>_xlfn.XLOOKUP(AE451, Hoja2!A:A, Hoja2!A:A)</f>
        <v>P000253</v>
      </c>
      <c r="AG451" t="str">
        <f t="shared" si="68"/>
        <v>PP00028-15</v>
      </c>
      <c r="AH451">
        <f>_xlfn.XLOOKUP(AG451, Hoja3!A:A, Hoja3!B:B)</f>
        <v>55</v>
      </c>
      <c r="AI451" t="str">
        <f>_xlfn.XLOOKUP(AH451, Hoja4!A:A, Hoja4!B:B)</f>
        <v>E38847600</v>
      </c>
      <c r="AJ451" t="b">
        <f t="shared" si="69"/>
        <v>1</v>
      </c>
    </row>
    <row r="452" spans="1:36" ht="15.5" customHeight="1" x14ac:dyDescent="0.35">
      <c r="A452">
        <f t="shared" ca="1" si="70"/>
        <v>5</v>
      </c>
      <c r="B452" s="17" t="s">
        <v>1513</v>
      </c>
      <c r="C452" s="7">
        <v>45865</v>
      </c>
      <c r="D452" s="6" t="s">
        <v>564</v>
      </c>
      <c r="E452" s="6" t="s">
        <v>139</v>
      </c>
      <c r="F452" s="6" t="s">
        <v>84</v>
      </c>
      <c r="G452" s="6" t="s">
        <v>156</v>
      </c>
      <c r="H452" s="6" t="s">
        <v>838</v>
      </c>
      <c r="I452" s="6" t="s">
        <v>402</v>
      </c>
      <c r="J452" s="6" t="str">
        <f>IF(E452="KTG","KTG",(VLOOKUP(I452,'[1]list of outsource'!B:H,2,0)))</f>
        <v>ETC</v>
      </c>
      <c r="K452" s="6" t="s">
        <v>403</v>
      </c>
      <c r="L452" s="24">
        <v>73</v>
      </c>
      <c r="M452" s="6" t="s">
        <v>482</v>
      </c>
      <c r="N452" s="6" t="s">
        <v>839</v>
      </c>
      <c r="O452" s="6" t="s">
        <v>1515</v>
      </c>
      <c r="P452" s="6"/>
      <c r="Q452" s="8"/>
      <c r="R452" s="6"/>
      <c r="S452" s="18"/>
      <c r="T452" s="6"/>
      <c r="U452" s="6">
        <v>1</v>
      </c>
      <c r="V452" s="6" t="s">
        <v>569</v>
      </c>
      <c r="W452" s="6" t="s">
        <v>576</v>
      </c>
      <c r="X452" s="7">
        <v>45870</v>
      </c>
      <c r="Y452" s="7">
        <v>45889</v>
      </c>
      <c r="AC452" t="s">
        <v>4210</v>
      </c>
      <c r="AE452" t="str">
        <f t="shared" si="71"/>
        <v>P000253</v>
      </c>
      <c r="AF452" t="str">
        <f>_xlfn.XLOOKUP(AE452, Hoja2!A:A, Hoja2!A:A)</f>
        <v>P000253</v>
      </c>
      <c r="AG452" t="str">
        <f t="shared" si="68"/>
        <v>PP00028-15</v>
      </c>
      <c r="AH452">
        <f>_xlfn.XLOOKUP(AG452, Hoja3!A:A, Hoja3!B:B)</f>
        <v>55</v>
      </c>
      <c r="AI452" t="str">
        <f>_xlfn.XLOOKUP(AH452, Hoja4!A:A, Hoja4!B:B)</f>
        <v>E38847600</v>
      </c>
      <c r="AJ452" t="b">
        <f t="shared" si="69"/>
        <v>1</v>
      </c>
    </row>
    <row r="453" spans="1:36" ht="15.5" customHeight="1" x14ac:dyDescent="0.35">
      <c r="A453">
        <f t="shared" ca="1" si="70"/>
        <v>21</v>
      </c>
      <c r="B453" s="6" t="s">
        <v>1516</v>
      </c>
      <c r="C453" s="7">
        <v>45068</v>
      </c>
      <c r="D453" s="6" t="s">
        <v>507</v>
      </c>
      <c r="E453" s="6" t="s">
        <v>139</v>
      </c>
      <c r="F453" s="6" t="s">
        <v>84</v>
      </c>
      <c r="G453" s="6" t="s">
        <v>156</v>
      </c>
      <c r="H453" s="6" t="s">
        <v>1517</v>
      </c>
      <c r="I453" s="6" t="s">
        <v>494</v>
      </c>
      <c r="J453" s="6" t="str">
        <f>IF(E453="KTG","KTG",(VLOOKUP(I453,'[1]list of outsource'!B:H,2,0)))</f>
        <v>ETC</v>
      </c>
      <c r="K453" s="6" t="s">
        <v>495</v>
      </c>
      <c r="L453" s="6"/>
      <c r="M453" s="6" t="s">
        <v>1518</v>
      </c>
      <c r="N453" s="6" t="s">
        <v>1519</v>
      </c>
      <c r="O453" s="6">
        <v>1229352086</v>
      </c>
      <c r="P453" s="6"/>
      <c r="Q453" s="8"/>
      <c r="R453" s="6"/>
      <c r="S453" s="6"/>
      <c r="T453" s="6"/>
      <c r="U453" s="6">
        <v>2</v>
      </c>
      <c r="V453" s="6"/>
      <c r="W453" s="6" t="s">
        <v>37</v>
      </c>
      <c r="X453" s="7">
        <v>45089</v>
      </c>
      <c r="Y453" s="7">
        <v>45122</v>
      </c>
      <c r="AB453" t="e">
        <v>#N/A</v>
      </c>
      <c r="AC453" t="s">
        <v>4210</v>
      </c>
      <c r="AE453" t="str">
        <f t="shared" si="71"/>
        <v>P000381</v>
      </c>
      <c r="AF453" t="str">
        <f>_xlfn.XLOOKUP(AE453, Hoja2!A:A, Hoja2!A:A)</f>
        <v>P000381</v>
      </c>
      <c r="AG453" t="str">
        <f t="shared" si="68"/>
        <v>PP00028-16</v>
      </c>
      <c r="AH453">
        <f>_xlfn.XLOOKUP(AG453, Hoja3!A:A, Hoja3!B:B)</f>
        <v>5321</v>
      </c>
      <c r="AI453" t="str">
        <f>_xlfn.XLOOKUP(AH453, Hoja4!A:A, Hoja4!B:B)</f>
        <v>E40078000</v>
      </c>
      <c r="AJ453" t="b">
        <f t="shared" si="69"/>
        <v>1</v>
      </c>
    </row>
    <row r="454" spans="1:36" ht="15.5" customHeight="1" x14ac:dyDescent="0.35">
      <c r="A454">
        <f t="shared" ca="1" si="70"/>
        <v>40</v>
      </c>
      <c r="B454" s="6" t="s">
        <v>1516</v>
      </c>
      <c r="C454" s="7">
        <v>45458</v>
      </c>
      <c r="D454" s="6" t="s">
        <v>912</v>
      </c>
      <c r="E454" s="6" t="s">
        <v>139</v>
      </c>
      <c r="F454" s="6" t="s">
        <v>84</v>
      </c>
      <c r="G454" s="6" t="s">
        <v>156</v>
      </c>
      <c r="H454" s="6" t="s">
        <v>1517</v>
      </c>
      <c r="I454" s="6" t="s">
        <v>494</v>
      </c>
      <c r="J454" s="6" t="str">
        <f>IF(E454="KTG","KTG",(VLOOKUP(I454,'[1]list of outsource'!B:H,2,0)))</f>
        <v>ETC</v>
      </c>
      <c r="K454" s="6" t="s">
        <v>495</v>
      </c>
      <c r="L454" s="6"/>
      <c r="M454" s="6" t="s">
        <v>1518</v>
      </c>
      <c r="N454" s="6" t="s">
        <v>1519</v>
      </c>
      <c r="O454" s="6">
        <v>1229352086</v>
      </c>
      <c r="P454" s="6"/>
      <c r="Q454" s="8"/>
      <c r="R454" s="6"/>
      <c r="S454" s="6"/>
      <c r="T454" s="6"/>
      <c r="U454" s="6">
        <v>1</v>
      </c>
      <c r="V454" s="6" t="s">
        <v>569</v>
      </c>
      <c r="W454" s="6" t="s">
        <v>576</v>
      </c>
      <c r="X454" s="7">
        <v>45498</v>
      </c>
      <c r="Y454" s="7">
        <v>45538</v>
      </c>
      <c r="AB454" t="e">
        <v>#N/A</v>
      </c>
      <c r="AC454"/>
      <c r="AE454" t="str">
        <f t="shared" si="71"/>
        <v>P000381</v>
      </c>
      <c r="AF454" t="str">
        <f>_xlfn.XLOOKUP(AE454, Hoja2!A:A, Hoja2!A:A)</f>
        <v>P000381</v>
      </c>
      <c r="AG454" t="str">
        <f t="shared" si="68"/>
        <v>PP00028-16</v>
      </c>
      <c r="AH454">
        <f>_xlfn.XLOOKUP(AG454, Hoja3!A:A, Hoja3!B:B)</f>
        <v>5321</v>
      </c>
      <c r="AI454" t="str">
        <f>_xlfn.XLOOKUP(AH454, Hoja4!A:A, Hoja4!B:B)</f>
        <v>E40078000</v>
      </c>
      <c r="AJ454" t="b">
        <f t="shared" si="69"/>
        <v>1</v>
      </c>
    </row>
    <row r="455" spans="1:36" ht="15.5" customHeight="1" x14ac:dyDescent="0.35">
      <c r="A455">
        <f t="shared" ca="1" si="70"/>
        <v>18</v>
      </c>
      <c r="B455" s="17" t="s">
        <v>1516</v>
      </c>
      <c r="C455" s="7">
        <v>45872</v>
      </c>
      <c r="D455" s="6" t="s">
        <v>564</v>
      </c>
      <c r="E455" s="6" t="s">
        <v>139</v>
      </c>
      <c r="F455" s="6" t="s">
        <v>84</v>
      </c>
      <c r="G455" s="6" t="s">
        <v>156</v>
      </c>
      <c r="H455" s="6" t="s">
        <v>1517</v>
      </c>
      <c r="I455" s="6" t="s">
        <v>494</v>
      </c>
      <c r="J455" s="6" t="str">
        <f>IF(E455="KTG","KTG",(VLOOKUP(I455,'[1]list of outsource'!B:H,2,0)))</f>
        <v>ETC</v>
      </c>
      <c r="K455" s="6" t="s">
        <v>495</v>
      </c>
      <c r="L455" s="24">
        <v>34</v>
      </c>
      <c r="M455" s="6" t="s">
        <v>1518</v>
      </c>
      <c r="N455" s="6" t="s">
        <v>1519</v>
      </c>
      <c r="O455" s="6" t="s">
        <v>1520</v>
      </c>
      <c r="P455" s="6"/>
      <c r="Q455" s="8"/>
      <c r="R455" s="6"/>
      <c r="S455" s="18"/>
      <c r="T455" s="6"/>
      <c r="U455" s="6">
        <v>1</v>
      </c>
      <c r="V455" s="6" t="s">
        <v>569</v>
      </c>
      <c r="W455" s="6" t="s">
        <v>576</v>
      </c>
      <c r="X455" s="7">
        <v>45890</v>
      </c>
      <c r="Y455" s="7">
        <v>45959</v>
      </c>
      <c r="AC455" t="e">
        <v>#N/A</v>
      </c>
      <c r="AE455" t="str">
        <f t="shared" si="71"/>
        <v>P000381</v>
      </c>
      <c r="AF455" t="str">
        <f>_xlfn.XLOOKUP(AE455, Hoja2!A:A, Hoja2!A:A)</f>
        <v>P000381</v>
      </c>
      <c r="AG455" t="str">
        <f t="shared" si="68"/>
        <v>PP00028-16</v>
      </c>
      <c r="AH455">
        <f>_xlfn.XLOOKUP(AG455, Hoja3!A:A, Hoja3!B:B)</f>
        <v>5321</v>
      </c>
      <c r="AI455" t="str">
        <f>_xlfn.XLOOKUP(AH455, Hoja4!A:A, Hoja4!B:B)</f>
        <v>E40078000</v>
      </c>
      <c r="AJ455" t="b">
        <f t="shared" si="69"/>
        <v>1</v>
      </c>
    </row>
    <row r="456" spans="1:36" ht="15.5" customHeight="1" x14ac:dyDescent="0.35">
      <c r="A456">
        <f t="shared" ca="1" si="70"/>
        <v>21</v>
      </c>
      <c r="B456" s="6" t="s">
        <v>1521</v>
      </c>
      <c r="C456" s="7">
        <v>45068</v>
      </c>
      <c r="D456" s="6" t="s">
        <v>507</v>
      </c>
      <c r="E456" s="6" t="s">
        <v>139</v>
      </c>
      <c r="F456" s="6" t="s">
        <v>84</v>
      </c>
      <c r="G456" s="6" t="s">
        <v>156</v>
      </c>
      <c r="H456" s="6" t="s">
        <v>1522</v>
      </c>
      <c r="I456" s="6" t="s">
        <v>494</v>
      </c>
      <c r="J456" s="6" t="str">
        <f>IF(E456="KTG","KTG",(VLOOKUP(I456,'[1]list of outsource'!B:H,2,0)))</f>
        <v>ETC</v>
      </c>
      <c r="K456" s="6" t="s">
        <v>495</v>
      </c>
      <c r="L456" s="6"/>
      <c r="M456" s="6" t="s">
        <v>502</v>
      </c>
      <c r="N456" s="6" t="s">
        <v>1523</v>
      </c>
      <c r="O456" s="6">
        <v>1229357372</v>
      </c>
      <c r="P456" s="6"/>
      <c r="Q456" s="8"/>
      <c r="R456" s="6"/>
      <c r="S456" s="6"/>
      <c r="T456" s="6"/>
      <c r="U456" s="6">
        <v>2</v>
      </c>
      <c r="V456" s="6"/>
      <c r="W456" s="6" t="s">
        <v>37</v>
      </c>
      <c r="X456" s="7">
        <v>45089</v>
      </c>
      <c r="Y456" s="7"/>
      <c r="AB456" t="e">
        <v>#N/A</v>
      </c>
      <c r="AC456" t="e">
        <v>#N/A</v>
      </c>
      <c r="AE456" t="str">
        <f t="shared" si="71"/>
        <v>P000382</v>
      </c>
      <c r="AF456" t="str">
        <f>_xlfn.XLOOKUP(AE456, Hoja2!A:A, Hoja2!A:A)</f>
        <v>P000382</v>
      </c>
      <c r="AG456" t="str">
        <f t="shared" si="68"/>
        <v>PP00028-17</v>
      </c>
      <c r="AH456">
        <f>_xlfn.XLOOKUP(AG456, Hoja3!A:A, Hoja3!B:B)</f>
        <v>5324</v>
      </c>
      <c r="AI456" t="str">
        <f>_xlfn.XLOOKUP(AH456, Hoja4!A:A, Hoja4!B:B)</f>
        <v>E40075700</v>
      </c>
      <c r="AJ456" t="b">
        <f t="shared" si="69"/>
        <v>1</v>
      </c>
    </row>
    <row r="457" spans="1:36" ht="15.5" customHeight="1" x14ac:dyDescent="0.35">
      <c r="A457">
        <f t="shared" ca="1" si="70"/>
        <v>34</v>
      </c>
      <c r="B457" s="12" t="s">
        <v>1524</v>
      </c>
      <c r="C457" s="13">
        <v>45302</v>
      </c>
      <c r="D457" s="14" t="s">
        <v>121</v>
      </c>
      <c r="E457" s="14" t="s">
        <v>83</v>
      </c>
      <c r="F457" s="14" t="s">
        <v>329</v>
      </c>
      <c r="G457" s="14" t="s">
        <v>299</v>
      </c>
      <c r="H457" s="14" t="s">
        <v>86</v>
      </c>
      <c r="I457" s="14" t="s">
        <v>87</v>
      </c>
      <c r="J457" s="14" t="str">
        <f>IF(E457="KTG","KTG",(VLOOKUP(I457,'[1]list of outsource'!B:H,2,0)))</f>
        <v>UPM</v>
      </c>
      <c r="K457" s="14" t="s">
        <v>88</v>
      </c>
      <c r="L457" s="14">
        <v>14</v>
      </c>
      <c r="M457" s="14" t="s">
        <v>89</v>
      </c>
      <c r="N457" s="14" t="s">
        <v>90</v>
      </c>
      <c r="O457" s="14">
        <v>949767217</v>
      </c>
      <c r="P457" s="14"/>
      <c r="Q457" s="15" t="s">
        <v>575</v>
      </c>
      <c r="R457" s="14"/>
      <c r="S457" s="16"/>
      <c r="T457" s="14"/>
      <c r="U457" s="14">
        <v>1</v>
      </c>
      <c r="V457" s="14" t="s">
        <v>569</v>
      </c>
      <c r="W457" s="14" t="s">
        <v>576</v>
      </c>
      <c r="X457" s="13">
        <v>45336</v>
      </c>
      <c r="Y457" s="13"/>
      <c r="AB457" t="e">
        <v>#N/A</v>
      </c>
      <c r="AC457"/>
      <c r="AE457" t="str">
        <f t="shared" si="71"/>
        <v>P000042</v>
      </c>
      <c r="AF457" t="str">
        <f>_xlfn.XLOOKUP(AE457, Hoja2!A:A, Hoja2!A:A)</f>
        <v>P000042</v>
      </c>
      <c r="AG457" t="str">
        <f t="shared" si="68"/>
        <v>PP00024-23</v>
      </c>
      <c r="AH457">
        <f>_xlfn.XLOOKUP(AG457, Hoja3!A:A, Hoja3!B:B)</f>
        <v>4496</v>
      </c>
      <c r="AI457" t="str">
        <f>_xlfn.XLOOKUP(AH457, Hoja4!A:A, Hoja4!B:B)</f>
        <v>E26424100</v>
      </c>
      <c r="AJ457" t="b">
        <f t="shared" si="69"/>
        <v>1</v>
      </c>
    </row>
    <row r="458" spans="1:36" ht="15.5" customHeight="1" x14ac:dyDescent="0.35">
      <c r="A458">
        <f t="shared" ca="1" si="70"/>
        <v>21</v>
      </c>
      <c r="B458" s="6" t="s">
        <v>1521</v>
      </c>
      <c r="C458" s="7">
        <v>45525</v>
      </c>
      <c r="D458" s="6" t="s">
        <v>912</v>
      </c>
      <c r="E458" s="6" t="s">
        <v>139</v>
      </c>
      <c r="F458" s="6" t="s">
        <v>84</v>
      </c>
      <c r="G458" s="6" t="s">
        <v>156</v>
      </c>
      <c r="H458" s="6" t="s">
        <v>1522</v>
      </c>
      <c r="I458" s="6" t="s">
        <v>494</v>
      </c>
      <c r="J458" s="6" t="str">
        <f>IF(E458="KTG","KTG",(VLOOKUP(I458,'[1]list of outsource'!B:H,2,0)))</f>
        <v>ETC</v>
      </c>
      <c r="K458" s="6" t="s">
        <v>495</v>
      </c>
      <c r="L458" s="6">
        <v>27</v>
      </c>
      <c r="M458" s="6" t="s">
        <v>502</v>
      </c>
      <c r="N458" s="6" t="s">
        <v>1523</v>
      </c>
      <c r="O458" s="6" t="s">
        <v>1525</v>
      </c>
      <c r="P458" s="6"/>
      <c r="Q458" s="8"/>
      <c r="R458" s="6"/>
      <c r="S458" s="6"/>
      <c r="T458" s="6"/>
      <c r="U458" s="6">
        <v>1</v>
      </c>
      <c r="V458" s="6" t="s">
        <v>569</v>
      </c>
      <c r="W458" s="6" t="s">
        <v>154</v>
      </c>
      <c r="X458" s="7">
        <v>45546</v>
      </c>
      <c r="Y458" s="7">
        <v>45552</v>
      </c>
      <c r="AB458" t="e">
        <v>#N/A</v>
      </c>
      <c r="AC458" t="e">
        <v>#N/A</v>
      </c>
      <c r="AE458" t="str">
        <f t="shared" si="71"/>
        <v>P000382</v>
      </c>
      <c r="AF458" t="str">
        <f>_xlfn.XLOOKUP(AE458, Hoja2!A:A, Hoja2!A:A)</f>
        <v>P000382</v>
      </c>
      <c r="AG458" t="str">
        <f t="shared" si="68"/>
        <v>PP00028-17</v>
      </c>
      <c r="AH458">
        <f>_xlfn.XLOOKUP(AG458, Hoja3!A:A, Hoja3!B:B)</f>
        <v>5324</v>
      </c>
      <c r="AI458" t="str">
        <f>_xlfn.XLOOKUP(AH458, Hoja4!A:A, Hoja4!B:B)</f>
        <v>E40075700</v>
      </c>
      <c r="AJ458" t="b">
        <f t="shared" si="69"/>
        <v>1</v>
      </c>
    </row>
    <row r="459" spans="1:36" ht="15.5" customHeight="1" x14ac:dyDescent="0.35">
      <c r="A459">
        <f t="shared" ca="1" si="70"/>
        <v>31</v>
      </c>
      <c r="B459" s="17" t="s">
        <v>1521</v>
      </c>
      <c r="C459" s="7">
        <v>45886</v>
      </c>
      <c r="D459" s="6" t="s">
        <v>564</v>
      </c>
      <c r="E459" s="6" t="s">
        <v>139</v>
      </c>
      <c r="F459" s="6" t="s">
        <v>84</v>
      </c>
      <c r="G459" s="6" t="s">
        <v>156</v>
      </c>
      <c r="H459" s="6" t="s">
        <v>1522</v>
      </c>
      <c r="I459" s="6" t="s">
        <v>494</v>
      </c>
      <c r="J459" s="6" t="str">
        <f>IF(E459="KTG","KTG",(VLOOKUP(I459,'[1]list of outsource'!B:H,2,0)))</f>
        <v>ETC</v>
      </c>
      <c r="K459" s="6" t="s">
        <v>495</v>
      </c>
      <c r="L459" s="24">
        <v>34</v>
      </c>
      <c r="M459" s="6" t="s">
        <v>502</v>
      </c>
      <c r="N459" s="6" t="s">
        <v>1523</v>
      </c>
      <c r="O459" s="6" t="s">
        <v>1526</v>
      </c>
      <c r="P459" s="6"/>
      <c r="Q459" s="8"/>
      <c r="R459" s="6"/>
      <c r="S459" s="18"/>
      <c r="T459" s="6"/>
      <c r="U459" s="6">
        <v>1</v>
      </c>
      <c r="V459" s="6" t="s">
        <v>569</v>
      </c>
      <c r="W459" s="6" t="s">
        <v>154</v>
      </c>
      <c r="X459" s="7">
        <v>45917</v>
      </c>
      <c r="Y459" s="7">
        <v>45959</v>
      </c>
      <c r="AC459" t="e">
        <v>#N/A</v>
      </c>
      <c r="AE459" t="str">
        <f t="shared" si="71"/>
        <v>P000382</v>
      </c>
      <c r="AF459" t="str">
        <f>_xlfn.XLOOKUP(AE459, Hoja2!A:A, Hoja2!A:A)</f>
        <v>P000382</v>
      </c>
      <c r="AG459" t="str">
        <f t="shared" si="68"/>
        <v>PP00028-17</v>
      </c>
      <c r="AH459">
        <f>_xlfn.XLOOKUP(AG459, Hoja3!A:A, Hoja3!B:B)</f>
        <v>5324</v>
      </c>
      <c r="AI459" t="str">
        <f>_xlfn.XLOOKUP(AH459, Hoja4!A:A, Hoja4!B:B)</f>
        <v>E40075700</v>
      </c>
      <c r="AJ459" t="b">
        <f t="shared" si="69"/>
        <v>1</v>
      </c>
    </row>
    <row r="460" spans="1:36" ht="15.5" customHeight="1" x14ac:dyDescent="0.35">
      <c r="A460">
        <f t="shared" ca="1" si="70"/>
        <v>21</v>
      </c>
      <c r="B460" s="6" t="s">
        <v>1527</v>
      </c>
      <c r="C460" s="7">
        <v>45068</v>
      </c>
      <c r="D460" s="6" t="s">
        <v>507</v>
      </c>
      <c r="E460" s="6" t="s">
        <v>139</v>
      </c>
      <c r="F460" s="6" t="s">
        <v>84</v>
      </c>
      <c r="G460" s="6" t="s">
        <v>156</v>
      </c>
      <c r="H460" s="6" t="s">
        <v>1528</v>
      </c>
      <c r="I460" s="6" t="s">
        <v>494</v>
      </c>
      <c r="J460" s="6" t="str">
        <f>IF(E460="KTG","KTG",(VLOOKUP(I460,'[1]list of outsource'!B:H,2,0)))</f>
        <v>ETC</v>
      </c>
      <c r="K460" s="6" t="s">
        <v>495</v>
      </c>
      <c r="L460" s="6"/>
      <c r="M460" s="6" t="s">
        <v>1529</v>
      </c>
      <c r="N460" s="6" t="s">
        <v>1530</v>
      </c>
      <c r="O460" s="6">
        <v>1229358998</v>
      </c>
      <c r="P460" s="6"/>
      <c r="Q460" s="8"/>
      <c r="R460" s="6"/>
      <c r="S460" s="6"/>
      <c r="T460" s="6"/>
      <c r="U460" s="6">
        <v>2</v>
      </c>
      <c r="V460" s="6"/>
      <c r="W460" s="6" t="s">
        <v>37</v>
      </c>
      <c r="X460" s="7">
        <v>45089</v>
      </c>
      <c r="Y460" s="7">
        <v>45163</v>
      </c>
      <c r="AB460" t="e">
        <v>#N/A</v>
      </c>
      <c r="AC460" t="e">
        <v>#N/A</v>
      </c>
      <c r="AE460" t="str">
        <f t="shared" si="71"/>
        <v>P000383</v>
      </c>
      <c r="AF460" t="str">
        <f>_xlfn.XLOOKUP(AE460, Hoja2!A:A, Hoja2!A:A)</f>
        <v>P000383</v>
      </c>
      <c r="AG460" t="str">
        <f t="shared" si="68"/>
        <v>PP00028-18</v>
      </c>
      <c r="AH460">
        <f>_xlfn.XLOOKUP(AG460, Hoja3!A:A, Hoja3!B:B)</f>
        <v>5327</v>
      </c>
      <c r="AI460" t="str">
        <f>_xlfn.XLOOKUP(AH460, Hoja4!A:A, Hoja4!B:B)</f>
        <v>E40078100</v>
      </c>
      <c r="AJ460" t="b">
        <f t="shared" si="69"/>
        <v>1</v>
      </c>
    </row>
    <row r="461" spans="1:36" ht="15.5" customHeight="1" x14ac:dyDescent="0.35">
      <c r="A461">
        <f t="shared" ca="1" si="70"/>
        <v>27</v>
      </c>
      <c r="B461" s="12" t="s">
        <v>1527</v>
      </c>
      <c r="C461" s="13">
        <v>45498</v>
      </c>
      <c r="D461" s="14" t="s">
        <v>121</v>
      </c>
      <c r="E461" s="14" t="s">
        <v>139</v>
      </c>
      <c r="F461" s="14" t="s">
        <v>84</v>
      </c>
      <c r="G461" s="14" t="s">
        <v>156</v>
      </c>
      <c r="H461" s="14" t="s">
        <v>1528</v>
      </c>
      <c r="I461" s="14" t="s">
        <v>494</v>
      </c>
      <c r="J461" s="14" t="str">
        <f>IF(E461="KTG","KTG",(VLOOKUP(I461,'[1]list of outsource'!B:H,2,0)))</f>
        <v>ETC</v>
      </c>
      <c r="K461" s="14" t="s">
        <v>495</v>
      </c>
      <c r="L461" s="14">
        <v>27</v>
      </c>
      <c r="M461" s="14" t="s">
        <v>1529</v>
      </c>
      <c r="N461" s="14" t="s">
        <v>1530</v>
      </c>
      <c r="O461" s="14" t="s">
        <v>1531</v>
      </c>
      <c r="P461" s="14"/>
      <c r="Q461" s="15"/>
      <c r="R461" s="14"/>
      <c r="S461" s="16"/>
      <c r="T461" s="14"/>
      <c r="U461" s="14">
        <v>1</v>
      </c>
      <c r="V461" s="14" t="s">
        <v>569</v>
      </c>
      <c r="W461" s="14" t="s">
        <v>576</v>
      </c>
      <c r="X461" s="13">
        <v>45525</v>
      </c>
      <c r="Y461" s="13"/>
      <c r="AB461" t="e">
        <v>#N/A</v>
      </c>
      <c r="AC461"/>
      <c r="AE461" t="str">
        <f t="shared" si="71"/>
        <v>P000383</v>
      </c>
      <c r="AF461" t="str">
        <f>_xlfn.XLOOKUP(AE461, Hoja2!A:A, Hoja2!A:A)</f>
        <v>P000383</v>
      </c>
      <c r="AG461" t="str">
        <f t="shared" si="68"/>
        <v>PP00028-18</v>
      </c>
      <c r="AH461">
        <f>_xlfn.XLOOKUP(AG461, Hoja3!A:A, Hoja3!B:B)</f>
        <v>5327</v>
      </c>
      <c r="AI461" t="str">
        <f>_xlfn.XLOOKUP(AH461, Hoja4!A:A, Hoja4!B:B)</f>
        <v>E40078100</v>
      </c>
      <c r="AJ461" t="b">
        <f t="shared" si="69"/>
        <v>1</v>
      </c>
    </row>
    <row r="462" spans="1:36" ht="15.5" customHeight="1" x14ac:dyDescent="0.35">
      <c r="A462">
        <f t="shared" ca="1" si="70"/>
        <v>22</v>
      </c>
      <c r="B462" s="17" t="s">
        <v>1527</v>
      </c>
      <c r="C462" s="7">
        <v>45867</v>
      </c>
      <c r="D462" s="6" t="s">
        <v>564</v>
      </c>
      <c r="E462" s="6" t="s">
        <v>139</v>
      </c>
      <c r="F462" s="6" t="s">
        <v>84</v>
      </c>
      <c r="G462" s="6" t="s">
        <v>156</v>
      </c>
      <c r="H462" s="6" t="s">
        <v>1528</v>
      </c>
      <c r="I462" s="6" t="s">
        <v>494</v>
      </c>
      <c r="J462" s="6" t="str">
        <f>IF(E462="KTG","KTG",(VLOOKUP(I462,'[1]list of outsource'!B:H,2,0)))</f>
        <v>ETC</v>
      </c>
      <c r="K462" s="6" t="s">
        <v>495</v>
      </c>
      <c r="L462" s="24">
        <v>34</v>
      </c>
      <c r="M462" s="6" t="s">
        <v>1529</v>
      </c>
      <c r="N462" s="6" t="s">
        <v>1530</v>
      </c>
      <c r="O462" s="6" t="s">
        <v>1532</v>
      </c>
      <c r="P462" s="6"/>
      <c r="Q462" s="8"/>
      <c r="R462" s="6"/>
      <c r="S462" s="18"/>
      <c r="T462" s="6"/>
      <c r="U462" s="6">
        <v>1</v>
      </c>
      <c r="V462" s="6" t="s">
        <v>569</v>
      </c>
      <c r="W462" s="6" t="s">
        <v>576</v>
      </c>
      <c r="X462" s="7">
        <v>45889</v>
      </c>
      <c r="Y462" s="7">
        <v>45959</v>
      </c>
      <c r="AC462" t="e">
        <v>#N/A</v>
      </c>
      <c r="AE462" t="str">
        <f t="shared" si="71"/>
        <v>P000383</v>
      </c>
      <c r="AF462" t="str">
        <f>_xlfn.XLOOKUP(AE462, Hoja2!A:A, Hoja2!A:A)</f>
        <v>P000383</v>
      </c>
      <c r="AG462" t="str">
        <f t="shared" si="68"/>
        <v>PP00028-18</v>
      </c>
      <c r="AH462">
        <f>_xlfn.XLOOKUP(AG462, Hoja3!A:A, Hoja3!B:B)</f>
        <v>5327</v>
      </c>
      <c r="AI462" t="str">
        <f>_xlfn.XLOOKUP(AH462, Hoja4!A:A, Hoja4!B:B)</f>
        <v>E40078100</v>
      </c>
      <c r="AJ462" t="b">
        <f t="shared" si="69"/>
        <v>1</v>
      </c>
    </row>
    <row r="463" spans="1:36" ht="15.5" customHeight="1" x14ac:dyDescent="0.35">
      <c r="A463">
        <f t="shared" ca="1" si="70"/>
        <v>21</v>
      </c>
      <c r="B463" s="6" t="s">
        <v>1533</v>
      </c>
      <c r="C463" s="7">
        <v>45068</v>
      </c>
      <c r="D463" s="6" t="s">
        <v>507</v>
      </c>
      <c r="E463" s="6" t="s">
        <v>139</v>
      </c>
      <c r="F463" s="6" t="s">
        <v>84</v>
      </c>
      <c r="G463" s="6" t="s">
        <v>156</v>
      </c>
      <c r="H463" s="6" t="s">
        <v>815</v>
      </c>
      <c r="I463" s="6" t="s">
        <v>494</v>
      </c>
      <c r="J463" s="6" t="str">
        <f>IF(E463="KTG","KTG",(VLOOKUP(I463,'[1]list of outsource'!B:H,2,0)))</f>
        <v>ETC</v>
      </c>
      <c r="K463" s="6" t="s">
        <v>495</v>
      </c>
      <c r="L463" s="6"/>
      <c r="M463" s="6" t="s">
        <v>816</v>
      </c>
      <c r="N463" s="6" t="s">
        <v>817</v>
      </c>
      <c r="O463" s="6">
        <v>1229370708</v>
      </c>
      <c r="P463" s="6"/>
      <c r="Q463" s="8"/>
      <c r="R463" s="6"/>
      <c r="S463" s="6"/>
      <c r="T463" s="6"/>
      <c r="U463" s="6">
        <v>2</v>
      </c>
      <c r="V463" s="6"/>
      <c r="W463" s="6" t="s">
        <v>37</v>
      </c>
      <c r="X463" s="7">
        <v>45089</v>
      </c>
      <c r="Y463" s="7"/>
      <c r="AB463" t="e">
        <v>#N/A</v>
      </c>
      <c r="AC463" t="e">
        <v>#N/A</v>
      </c>
      <c r="AE463" t="str">
        <f t="shared" si="71"/>
        <v>P000384</v>
      </c>
      <c r="AF463" t="str">
        <f>_xlfn.XLOOKUP(AE463, Hoja2!A:A, Hoja2!A:A)</f>
        <v>P000384</v>
      </c>
      <c r="AG463" t="str">
        <f t="shared" si="68"/>
        <v>PP00028-19</v>
      </c>
      <c r="AH463">
        <f>_xlfn.XLOOKUP(AG463, Hoja3!A:A, Hoja3!B:B)</f>
        <v>5329</v>
      </c>
      <c r="AI463" t="str">
        <f>_xlfn.XLOOKUP(AH463, Hoja4!A:A, Hoja4!B:B)</f>
        <v>E40078200</v>
      </c>
      <c r="AJ463" t="b">
        <f t="shared" si="69"/>
        <v>1</v>
      </c>
    </row>
    <row r="464" spans="1:36" ht="15.5" customHeight="1" x14ac:dyDescent="0.35">
      <c r="A464">
        <f t="shared" ca="1" si="70"/>
        <v>40</v>
      </c>
      <c r="B464" s="6" t="s">
        <v>1533</v>
      </c>
      <c r="C464" s="7">
        <v>45561</v>
      </c>
      <c r="D464" s="6" t="s">
        <v>912</v>
      </c>
      <c r="E464" s="6" t="s">
        <v>139</v>
      </c>
      <c r="F464" s="6" t="s">
        <v>84</v>
      </c>
      <c r="G464" s="6" t="s">
        <v>156</v>
      </c>
      <c r="H464" s="6" t="s">
        <v>815</v>
      </c>
      <c r="I464" s="6" t="s">
        <v>494</v>
      </c>
      <c r="J464" s="6" t="str">
        <f>IF(E464="KTG","KTG",(VLOOKUP(I464,'[1]list of outsource'!B:H,2,0)))</f>
        <v>ETC</v>
      </c>
      <c r="K464" s="6" t="s">
        <v>495</v>
      </c>
      <c r="L464" s="6">
        <v>28</v>
      </c>
      <c r="M464" s="6" t="s">
        <v>816</v>
      </c>
      <c r="N464" s="6" t="s">
        <v>817</v>
      </c>
      <c r="O464" s="6" t="s">
        <v>1534</v>
      </c>
      <c r="P464" s="6"/>
      <c r="Q464" s="8"/>
      <c r="R464" s="6"/>
      <c r="S464" s="6"/>
      <c r="T464" s="6"/>
      <c r="U464" s="6">
        <v>1</v>
      </c>
      <c r="V464" s="6" t="s">
        <v>569</v>
      </c>
      <c r="W464" s="6" t="s">
        <v>154</v>
      </c>
      <c r="X464" s="7">
        <v>45601</v>
      </c>
      <c r="Y464" s="7">
        <v>45602</v>
      </c>
      <c r="AB464" t="e">
        <v>#N/A</v>
      </c>
      <c r="AC464"/>
      <c r="AE464" t="str">
        <f t="shared" si="71"/>
        <v>P000384</v>
      </c>
      <c r="AF464" t="str">
        <f>_xlfn.XLOOKUP(AE464, Hoja2!A:A, Hoja2!A:A)</f>
        <v>P000384</v>
      </c>
      <c r="AG464" t="str">
        <f t="shared" si="68"/>
        <v>PP00028-19</v>
      </c>
      <c r="AH464">
        <f>_xlfn.XLOOKUP(AG464, Hoja3!A:A, Hoja3!B:B)</f>
        <v>5329</v>
      </c>
      <c r="AI464" t="str">
        <f>_xlfn.XLOOKUP(AH464, Hoja4!A:A, Hoja4!B:B)</f>
        <v>E40078200</v>
      </c>
      <c r="AJ464" t="b">
        <f t="shared" si="69"/>
        <v>1</v>
      </c>
    </row>
    <row r="465" spans="1:36" ht="15.5" customHeight="1" x14ac:dyDescent="0.35">
      <c r="A465">
        <f t="shared" ca="1" si="70"/>
        <v>26</v>
      </c>
      <c r="B465" s="6" t="s">
        <v>1535</v>
      </c>
      <c r="C465" s="7">
        <v>45067</v>
      </c>
      <c r="D465" s="6" t="s">
        <v>507</v>
      </c>
      <c r="E465" s="6" t="s">
        <v>139</v>
      </c>
      <c r="F465" s="6" t="s">
        <v>84</v>
      </c>
      <c r="G465" s="6" t="s">
        <v>156</v>
      </c>
      <c r="H465" s="6" t="s">
        <v>415</v>
      </c>
      <c r="I465" s="6" t="s">
        <v>208</v>
      </c>
      <c r="J465" s="6" t="str">
        <f>IF(E465="KTG","KTG",(VLOOKUP(I465,'[1]list of outsource'!B:H,2,0)))</f>
        <v>ETC</v>
      </c>
      <c r="K465" s="6" t="s">
        <v>209</v>
      </c>
      <c r="L465" s="6"/>
      <c r="M465" s="6" t="s">
        <v>416</v>
      </c>
      <c r="N465" s="6" t="s">
        <v>579</v>
      </c>
      <c r="O465" s="6" t="s">
        <v>1536</v>
      </c>
      <c r="P465" s="6"/>
      <c r="Q465" s="8"/>
      <c r="R465" s="6"/>
      <c r="S465" s="6"/>
      <c r="T465" s="6"/>
      <c r="U465" s="6">
        <v>1</v>
      </c>
      <c r="V465" s="6"/>
      <c r="W465" s="6" t="s">
        <v>154</v>
      </c>
      <c r="X465" s="7">
        <v>45093</v>
      </c>
      <c r="Y465" s="7">
        <v>45138</v>
      </c>
      <c r="AB465">
        <v>0</v>
      </c>
      <c r="AC465" t="e">
        <v>#N/A</v>
      </c>
      <c r="AE465" t="str">
        <f t="shared" si="71"/>
        <v>P000163</v>
      </c>
      <c r="AF465" t="str">
        <f>_xlfn.XLOOKUP(AE465, Hoja2!A:A, Hoja2!A:A)</f>
        <v>P000163</v>
      </c>
      <c r="AG465" t="str">
        <f t="shared" si="68"/>
        <v>PP00028-20</v>
      </c>
      <c r="AH465">
        <f>_xlfn.XLOOKUP(AG465, Hoja3!A:A, Hoja3!B:B)</f>
        <v>4016</v>
      </c>
      <c r="AI465" t="str">
        <f>_xlfn.XLOOKUP(AH465, Hoja4!A:A, Hoja4!B:B)</f>
        <v>E35100200</v>
      </c>
      <c r="AJ465" t="b">
        <f t="shared" si="69"/>
        <v>1</v>
      </c>
    </row>
    <row r="466" spans="1:36" ht="15.5" customHeight="1" x14ac:dyDescent="0.35">
      <c r="A466">
        <f t="shared" ca="1" si="70"/>
        <v>39</v>
      </c>
      <c r="B466" s="6" t="s">
        <v>1535</v>
      </c>
      <c r="C466" s="7">
        <v>45474</v>
      </c>
      <c r="D466" s="6" t="s">
        <v>912</v>
      </c>
      <c r="E466" s="6" t="s">
        <v>139</v>
      </c>
      <c r="F466" s="6" t="s">
        <v>84</v>
      </c>
      <c r="G466" s="6" t="s">
        <v>156</v>
      </c>
      <c r="H466" s="6" t="s">
        <v>415</v>
      </c>
      <c r="I466" s="6" t="s">
        <v>208</v>
      </c>
      <c r="J466" s="6" t="str">
        <f>IF(E466="KTG","KTG",(VLOOKUP(I466,'[1]list of outsource'!B:H,2,0)))</f>
        <v>ETC</v>
      </c>
      <c r="K466" s="6" t="s">
        <v>209</v>
      </c>
      <c r="L466" s="6">
        <v>21</v>
      </c>
      <c r="M466" s="6" t="s">
        <v>416</v>
      </c>
      <c r="N466" s="6" t="s">
        <v>579</v>
      </c>
      <c r="O466" s="6" t="s">
        <v>1537</v>
      </c>
      <c r="P466" s="6"/>
      <c r="Q466" s="8"/>
      <c r="R466" s="6"/>
      <c r="S466" s="6"/>
      <c r="T466" s="6"/>
      <c r="U466" s="6">
        <v>1</v>
      </c>
      <c r="V466" s="6" t="s">
        <v>569</v>
      </c>
      <c r="W466" s="6" t="s">
        <v>576</v>
      </c>
      <c r="X466" s="7">
        <v>45513</v>
      </c>
      <c r="Y466" s="7">
        <v>45534</v>
      </c>
      <c r="AB466">
        <v>0</v>
      </c>
      <c r="AC466" t="e">
        <v>#N/A</v>
      </c>
      <c r="AE466" t="str">
        <f t="shared" si="71"/>
        <v>P000163</v>
      </c>
      <c r="AF466" t="str">
        <f>_xlfn.XLOOKUP(AE466, Hoja2!A:A, Hoja2!A:A)</f>
        <v>P000163</v>
      </c>
      <c r="AG466" t="str">
        <f t="shared" si="68"/>
        <v>PP00028-20</v>
      </c>
      <c r="AH466">
        <f>_xlfn.XLOOKUP(AG466, Hoja3!A:A, Hoja3!B:B)</f>
        <v>4016</v>
      </c>
      <c r="AI466" t="str">
        <f>_xlfn.XLOOKUP(AH466, Hoja4!A:A, Hoja4!B:B)</f>
        <v>E35100200</v>
      </c>
      <c r="AJ466" t="b">
        <f t="shared" si="69"/>
        <v>1</v>
      </c>
    </row>
    <row r="467" spans="1:36" ht="15.5" customHeight="1" x14ac:dyDescent="0.35">
      <c r="A467">
        <f t="shared" ca="1" si="70"/>
        <v>18</v>
      </c>
      <c r="B467" s="6" t="s">
        <v>1538</v>
      </c>
      <c r="C467" s="7">
        <v>45082</v>
      </c>
      <c r="D467" s="6" t="s">
        <v>507</v>
      </c>
      <c r="E467" s="6" t="s">
        <v>139</v>
      </c>
      <c r="F467" s="6" t="s">
        <v>84</v>
      </c>
      <c r="G467" s="6" t="s">
        <v>156</v>
      </c>
      <c r="H467" s="6" t="s">
        <v>419</v>
      </c>
      <c r="I467" s="6" t="s">
        <v>208</v>
      </c>
      <c r="J467" s="6" t="str">
        <f>IF(E467="KTG","KTG",(VLOOKUP(I467,'[1]list of outsource'!B:H,2,0)))</f>
        <v>ETC</v>
      </c>
      <c r="K467" s="6" t="s">
        <v>209</v>
      </c>
      <c r="L467" s="6"/>
      <c r="M467" s="6" t="s">
        <v>420</v>
      </c>
      <c r="N467" s="6" t="s">
        <v>1539</v>
      </c>
      <c r="O467" s="6" t="s">
        <v>1540</v>
      </c>
      <c r="P467" s="6"/>
      <c r="Q467" s="8"/>
      <c r="R467" s="6"/>
      <c r="S467" s="6"/>
      <c r="T467" s="6"/>
      <c r="U467" s="6">
        <v>1</v>
      </c>
      <c r="V467" s="6"/>
      <c r="W467" s="6" t="s">
        <v>154</v>
      </c>
      <c r="X467" s="7">
        <v>45100</v>
      </c>
      <c r="Y467" s="7">
        <v>45147</v>
      </c>
      <c r="AB467" t="e">
        <v>#N/A</v>
      </c>
      <c r="AC467" t="s">
        <v>4210</v>
      </c>
      <c r="AE467" t="str">
        <f t="shared" si="71"/>
        <v>P000165</v>
      </c>
      <c r="AF467" t="str">
        <f>_xlfn.XLOOKUP(AE467, Hoja2!A:A, Hoja2!A:A)</f>
        <v>P000165</v>
      </c>
      <c r="AG467" t="str">
        <f t="shared" si="68"/>
        <v>PP00028-21</v>
      </c>
      <c r="AH467">
        <f>_xlfn.XLOOKUP(AG467, Hoja3!A:A, Hoja3!B:B)</f>
        <v>5332</v>
      </c>
      <c r="AI467" t="str">
        <f>_xlfn.XLOOKUP(AH467, Hoja4!A:A, Hoja4!B:B)</f>
        <v>E35100400</v>
      </c>
      <c r="AJ467" t="b">
        <f t="shared" si="69"/>
        <v>1</v>
      </c>
    </row>
    <row r="468" spans="1:36" ht="15.5" customHeight="1" x14ac:dyDescent="0.35">
      <c r="A468">
        <f t="shared" ca="1" si="70"/>
        <v>31</v>
      </c>
      <c r="B468" s="6" t="s">
        <v>1538</v>
      </c>
      <c r="C468" s="7">
        <v>45482</v>
      </c>
      <c r="D468" s="6" t="s">
        <v>912</v>
      </c>
      <c r="E468" s="6" t="s">
        <v>139</v>
      </c>
      <c r="F468" s="6" t="s">
        <v>84</v>
      </c>
      <c r="G468" s="6" t="s">
        <v>156</v>
      </c>
      <c r="H468" s="6" t="s">
        <v>419</v>
      </c>
      <c r="I468" s="6" t="s">
        <v>208</v>
      </c>
      <c r="J468" s="6" t="str">
        <f>IF(E468="KTG","KTG",(VLOOKUP(I468,'[1]list of outsource'!B:H,2,0)))</f>
        <v>ETC</v>
      </c>
      <c r="K468" s="6" t="s">
        <v>209</v>
      </c>
      <c r="L468" s="6">
        <v>21</v>
      </c>
      <c r="M468" s="6" t="s">
        <v>420</v>
      </c>
      <c r="N468" s="6" t="s">
        <v>1539</v>
      </c>
      <c r="O468" s="6" t="s">
        <v>1541</v>
      </c>
      <c r="P468" s="6"/>
      <c r="Q468" s="8"/>
      <c r="R468" s="6"/>
      <c r="S468" s="6"/>
      <c r="T468" s="6"/>
      <c r="U468" s="6">
        <v>1</v>
      </c>
      <c r="V468" s="6" t="s">
        <v>569</v>
      </c>
      <c r="W468" s="6" t="s">
        <v>576</v>
      </c>
      <c r="X468" s="7">
        <v>45513</v>
      </c>
      <c r="Y468" s="7">
        <v>45518</v>
      </c>
      <c r="AB468" t="e">
        <v>#N/A</v>
      </c>
      <c r="AC468" t="s">
        <v>4210</v>
      </c>
      <c r="AE468" t="str">
        <f t="shared" si="71"/>
        <v>P000165</v>
      </c>
      <c r="AF468" t="str">
        <f>_xlfn.XLOOKUP(AE468, Hoja2!A:A, Hoja2!A:A)</f>
        <v>P000165</v>
      </c>
      <c r="AG468" t="str">
        <f t="shared" si="68"/>
        <v>PP00028-21</v>
      </c>
      <c r="AH468">
        <f>_xlfn.XLOOKUP(AG468, Hoja3!A:A, Hoja3!B:B)</f>
        <v>5332</v>
      </c>
      <c r="AI468" t="str">
        <f>_xlfn.XLOOKUP(AH468, Hoja4!A:A, Hoja4!B:B)</f>
        <v>E35100400</v>
      </c>
      <c r="AJ468" t="b">
        <f t="shared" si="69"/>
        <v>1</v>
      </c>
    </row>
    <row r="469" spans="1:36" ht="15.5" customHeight="1" x14ac:dyDescent="0.35">
      <c r="A469" s="32">
        <f t="shared" ca="1" si="70"/>
        <v>18</v>
      </c>
      <c r="B469" s="17" t="s">
        <v>1538</v>
      </c>
      <c r="C469" s="20">
        <v>45852</v>
      </c>
      <c r="D469" s="17" t="s">
        <v>564</v>
      </c>
      <c r="E469" s="17" t="s">
        <v>139</v>
      </c>
      <c r="F469" s="17" t="s">
        <v>84</v>
      </c>
      <c r="G469" s="17" t="s">
        <v>156</v>
      </c>
      <c r="H469" s="17" t="s">
        <v>419</v>
      </c>
      <c r="I469" s="17" t="s">
        <v>208</v>
      </c>
      <c r="J469" s="17" t="str">
        <f>IF(E469="KTG","KTG",(VLOOKUP(I469,'[1]list of outsource'!B:H,2,0)))</f>
        <v>ETC</v>
      </c>
      <c r="K469" s="17" t="s">
        <v>209</v>
      </c>
      <c r="L469" s="34">
        <v>23</v>
      </c>
      <c r="M469" s="17" t="s">
        <v>420</v>
      </c>
      <c r="N469" s="17" t="s">
        <v>1539</v>
      </c>
      <c r="O469" s="17" t="s">
        <v>1542</v>
      </c>
      <c r="P469" s="17"/>
      <c r="Q469" s="33"/>
      <c r="R469" s="17"/>
      <c r="S469" s="35"/>
      <c r="T469" s="17"/>
      <c r="U469" s="17">
        <v>1</v>
      </c>
      <c r="V469" s="17" t="s">
        <v>569</v>
      </c>
      <c r="W469" s="17" t="s">
        <v>576</v>
      </c>
      <c r="X469" s="20">
        <v>45870</v>
      </c>
      <c r="Y469" s="20">
        <v>45882</v>
      </c>
      <c r="Z469" s="32"/>
      <c r="AA469" s="32"/>
      <c r="AB469" s="32" t="e">
        <v>#N/A</v>
      </c>
      <c r="AC469" t="e">
        <v>#N/A</v>
      </c>
      <c r="AE469" t="str">
        <f t="shared" si="71"/>
        <v>P000165</v>
      </c>
      <c r="AF469" t="str">
        <f>_xlfn.XLOOKUP(AE469, Hoja2!A:A, Hoja2!A:A)</f>
        <v>P000165</v>
      </c>
      <c r="AG469" t="str">
        <f t="shared" si="68"/>
        <v>PP00028-21</v>
      </c>
      <c r="AH469">
        <f>_xlfn.XLOOKUP(AG469, Hoja3!A:A, Hoja3!B:B)</f>
        <v>5332</v>
      </c>
      <c r="AI469" t="str">
        <f>_xlfn.XLOOKUP(AH469, Hoja4!A:A, Hoja4!B:B)</f>
        <v>E35100400</v>
      </c>
      <c r="AJ469" t="b">
        <f t="shared" si="69"/>
        <v>1</v>
      </c>
    </row>
    <row r="470" spans="1:36" ht="15.5" customHeight="1" x14ac:dyDescent="0.35">
      <c r="A470">
        <f t="shared" ca="1" si="70"/>
        <v>25</v>
      </c>
      <c r="B470" s="6" t="s">
        <v>1543</v>
      </c>
      <c r="C470" s="7">
        <v>45124</v>
      </c>
      <c r="D470" s="6" t="s">
        <v>507</v>
      </c>
      <c r="E470" s="6" t="s">
        <v>139</v>
      </c>
      <c r="F470" s="6" t="s">
        <v>84</v>
      </c>
      <c r="G470" s="6" t="s">
        <v>156</v>
      </c>
      <c r="H470" s="6" t="s">
        <v>625</v>
      </c>
      <c r="I470" s="6" t="s">
        <v>494</v>
      </c>
      <c r="J470" s="6" t="str">
        <f>IF(E470="KTG","KTG",(VLOOKUP(I470,'[1]list of outsource'!B:H,2,0)))</f>
        <v>ETC</v>
      </c>
      <c r="K470" s="6" t="s">
        <v>495</v>
      </c>
      <c r="L470" s="6"/>
      <c r="M470" s="6" t="s">
        <v>496</v>
      </c>
      <c r="N470" s="6" t="s">
        <v>626</v>
      </c>
      <c r="O470" s="6">
        <v>1202139545</v>
      </c>
      <c r="P470" s="6"/>
      <c r="Q470" s="8"/>
      <c r="R470" s="6"/>
      <c r="S470" s="6"/>
      <c r="T470" s="6"/>
      <c r="U470" s="6">
        <v>3</v>
      </c>
      <c r="V470" s="6"/>
      <c r="W470" s="6" t="s">
        <v>37</v>
      </c>
      <c r="X470" s="7">
        <v>45149</v>
      </c>
      <c r="Y470" s="7">
        <v>45166</v>
      </c>
      <c r="AC470" t="e">
        <v>#N/A</v>
      </c>
      <c r="AE470" t="str">
        <f t="shared" si="71"/>
        <v>P000235</v>
      </c>
      <c r="AF470" t="str">
        <f>_xlfn.XLOOKUP(AE470, Hoja2!A:A, Hoja2!A:A)</f>
        <v>P000235</v>
      </c>
      <c r="AG470" t="str">
        <f t="shared" si="68"/>
        <v>PP00028-22</v>
      </c>
      <c r="AH470">
        <f>_xlfn.XLOOKUP(AG470, Hoja3!A:A, Hoja3!B:B)</f>
        <v>5335</v>
      </c>
      <c r="AI470" t="str">
        <f>_xlfn.XLOOKUP(AH470, Hoja4!A:A, Hoja4!B:B)</f>
        <v>E39045200</v>
      </c>
      <c r="AJ470" t="b">
        <f t="shared" si="69"/>
        <v>1</v>
      </c>
    </row>
    <row r="471" spans="1:36" ht="15.5" customHeight="1" x14ac:dyDescent="0.35">
      <c r="A471">
        <f t="shared" ca="1" si="70"/>
        <v>25</v>
      </c>
      <c r="B471" s="6" t="s">
        <v>1543</v>
      </c>
      <c r="C471" s="7">
        <v>45501</v>
      </c>
      <c r="D471" s="6" t="s">
        <v>912</v>
      </c>
      <c r="E471" s="6" t="s">
        <v>139</v>
      </c>
      <c r="F471" s="6" t="s">
        <v>84</v>
      </c>
      <c r="G471" s="6" t="s">
        <v>156</v>
      </c>
      <c r="H471" s="6" t="s">
        <v>625</v>
      </c>
      <c r="I471" s="6" t="s">
        <v>494</v>
      </c>
      <c r="J471" s="6" t="str">
        <f>IF(E471="KTG","KTG",(VLOOKUP(I471,'[1]list of outsource'!B:H,2,0)))</f>
        <v>ETC</v>
      </c>
      <c r="K471" s="6" t="s">
        <v>495</v>
      </c>
      <c r="L471" s="6">
        <v>27</v>
      </c>
      <c r="M471" s="6" t="s">
        <v>496</v>
      </c>
      <c r="N471" s="6" t="s">
        <v>626</v>
      </c>
      <c r="O471" s="6" t="s">
        <v>1544</v>
      </c>
      <c r="P471" s="6"/>
      <c r="Q471" s="8"/>
      <c r="R471" s="6"/>
      <c r="S471" s="6"/>
      <c r="T471" s="6"/>
      <c r="U471" s="6">
        <v>1</v>
      </c>
      <c r="V471" s="6" t="s">
        <v>569</v>
      </c>
      <c r="W471" s="6" t="s">
        <v>576</v>
      </c>
      <c r="X471" s="7">
        <v>45526</v>
      </c>
      <c r="Y471" s="7">
        <v>45534</v>
      </c>
      <c r="AB471" t="e">
        <v>#N/A</v>
      </c>
      <c r="AC471" s="32" t="e">
        <v>#N/A</v>
      </c>
      <c r="AE471" t="str">
        <f t="shared" si="71"/>
        <v>P000235</v>
      </c>
      <c r="AF471" t="str">
        <f>_xlfn.XLOOKUP(AE471, Hoja2!A:A, Hoja2!A:A)</f>
        <v>P000235</v>
      </c>
      <c r="AG471" t="str">
        <f t="shared" si="68"/>
        <v>PP00028-22</v>
      </c>
      <c r="AH471">
        <f>_xlfn.XLOOKUP(AG471, Hoja3!A:A, Hoja3!B:B)</f>
        <v>5335</v>
      </c>
      <c r="AI471" t="str">
        <f>_xlfn.XLOOKUP(AH471, Hoja4!A:A, Hoja4!B:B)</f>
        <v>E39045200</v>
      </c>
      <c r="AJ471" t="b">
        <f t="shared" si="69"/>
        <v>1</v>
      </c>
    </row>
    <row r="472" spans="1:36" ht="15.5" customHeight="1" x14ac:dyDescent="0.35">
      <c r="A472">
        <f t="shared" ca="1" si="70"/>
        <v>21</v>
      </c>
      <c r="B472" s="17" t="s">
        <v>1543</v>
      </c>
      <c r="C472" s="7">
        <v>45868</v>
      </c>
      <c r="D472" s="6" t="s">
        <v>564</v>
      </c>
      <c r="E472" s="6" t="s">
        <v>139</v>
      </c>
      <c r="F472" s="6" t="s">
        <v>84</v>
      </c>
      <c r="G472" s="6" t="s">
        <v>156</v>
      </c>
      <c r="H472" s="6" t="s">
        <v>625</v>
      </c>
      <c r="I472" s="6" t="s">
        <v>494</v>
      </c>
      <c r="J472" s="6" t="str">
        <f>IF(E472="KTG","KTG",(VLOOKUP(I472,'[1]list of outsource'!B:H,2,0)))</f>
        <v>ETC</v>
      </c>
      <c r="K472" s="6" t="s">
        <v>495</v>
      </c>
      <c r="L472" s="24">
        <v>34</v>
      </c>
      <c r="M472" s="6" t="s">
        <v>496</v>
      </c>
      <c r="N472" s="6" t="s">
        <v>626</v>
      </c>
      <c r="O472" s="6" t="s">
        <v>1545</v>
      </c>
      <c r="P472" s="6">
        <v>0</v>
      </c>
      <c r="Q472" s="8">
        <v>0</v>
      </c>
      <c r="R472" s="6">
        <v>0</v>
      </c>
      <c r="S472" s="18">
        <v>0</v>
      </c>
      <c r="T472" s="6">
        <v>0</v>
      </c>
      <c r="U472" s="6">
        <v>1</v>
      </c>
      <c r="V472" s="6" t="s">
        <v>569</v>
      </c>
      <c r="W472" s="6" t="s">
        <v>576</v>
      </c>
      <c r="X472" s="7">
        <v>45889</v>
      </c>
      <c r="Y472" s="7">
        <v>45957</v>
      </c>
      <c r="AC472"/>
      <c r="AE472" t="str">
        <f t="shared" si="71"/>
        <v>P000235</v>
      </c>
      <c r="AF472" t="str">
        <f>_xlfn.XLOOKUP(AE472, Hoja2!A:A, Hoja2!A:A)</f>
        <v>P000235</v>
      </c>
      <c r="AG472" t="str">
        <f t="shared" si="68"/>
        <v>PP00028-22</v>
      </c>
      <c r="AH472">
        <f>_xlfn.XLOOKUP(AG472, Hoja3!A:A, Hoja3!B:B)</f>
        <v>5335</v>
      </c>
      <c r="AI472" t="str">
        <f>_xlfn.XLOOKUP(AH472, Hoja4!A:A, Hoja4!B:B)</f>
        <v>E39045200</v>
      </c>
      <c r="AJ472" t="b">
        <f t="shared" si="69"/>
        <v>1</v>
      </c>
    </row>
    <row r="473" spans="1:36" ht="15.5" customHeight="1" x14ac:dyDescent="0.35">
      <c r="A473">
        <f t="shared" ca="1" si="70"/>
        <v>40</v>
      </c>
      <c r="B473" s="6" t="s">
        <v>1546</v>
      </c>
      <c r="C473" s="7">
        <v>45143</v>
      </c>
      <c r="D473" s="6" t="s">
        <v>507</v>
      </c>
      <c r="E473" s="6" t="s">
        <v>139</v>
      </c>
      <c r="F473" s="6" t="s">
        <v>84</v>
      </c>
      <c r="G473" s="6" t="s">
        <v>156</v>
      </c>
      <c r="H473" s="6" t="s">
        <v>207</v>
      </c>
      <c r="I473" s="6" t="s">
        <v>208</v>
      </c>
      <c r="J473" s="6" t="str">
        <f>IF(E473="KTG","KTG",(VLOOKUP(I473,'[1]list of outsource'!B:H,2,0)))</f>
        <v>ETC</v>
      </c>
      <c r="K473" s="6" t="s">
        <v>209</v>
      </c>
      <c r="L473" s="6"/>
      <c r="M473" s="6" t="s">
        <v>210</v>
      </c>
      <c r="N473" s="6" t="s">
        <v>1547</v>
      </c>
      <c r="O473" s="6">
        <v>1139569800</v>
      </c>
      <c r="P473" s="6"/>
      <c r="Q473" s="8"/>
      <c r="R473" s="6"/>
      <c r="S473" s="6"/>
      <c r="T473" s="6"/>
      <c r="U473" s="6">
        <v>1</v>
      </c>
      <c r="V473" s="6"/>
      <c r="W473" s="6" t="s">
        <v>154</v>
      </c>
      <c r="X473" s="7">
        <v>45183</v>
      </c>
      <c r="Y473" s="7">
        <v>45281</v>
      </c>
      <c r="AB473" t="e">
        <v>#N/A</v>
      </c>
      <c r="AC473" t="e">
        <v>#N/A</v>
      </c>
      <c r="AE473" t="str">
        <f t="shared" si="71"/>
        <v>P000160</v>
      </c>
      <c r="AF473" t="str">
        <f>_xlfn.XLOOKUP(AE473, Hoja2!A:A, Hoja2!A:A)</f>
        <v>P000160</v>
      </c>
      <c r="AG473" t="str">
        <f t="shared" si="68"/>
        <v>PP00028-23</v>
      </c>
      <c r="AH473">
        <f>_xlfn.XLOOKUP(AG473, Hoja3!A:A, Hoja3!B:B)</f>
        <v>5337</v>
      </c>
      <c r="AI473" t="str">
        <f>_xlfn.XLOOKUP(AH473, Hoja4!A:A, Hoja4!B:B)</f>
        <v>E35099800</v>
      </c>
      <c r="AJ473" t="b">
        <f t="shared" si="69"/>
        <v>1</v>
      </c>
    </row>
    <row r="474" spans="1:36" ht="15.5" customHeight="1" x14ac:dyDescent="0.35">
      <c r="A474">
        <f t="shared" ca="1" si="70"/>
        <v>21</v>
      </c>
      <c r="B474" s="6" t="s">
        <v>1546</v>
      </c>
      <c r="C474" s="7">
        <v>45617</v>
      </c>
      <c r="D474" s="6" t="s">
        <v>912</v>
      </c>
      <c r="E474" s="6" t="s">
        <v>139</v>
      </c>
      <c r="F474" s="6" t="s">
        <v>84</v>
      </c>
      <c r="G474" s="6" t="s">
        <v>156</v>
      </c>
      <c r="H474" s="6" t="s">
        <v>207</v>
      </c>
      <c r="I474" s="6" t="s">
        <v>208</v>
      </c>
      <c r="J474" s="6" t="str">
        <f>IF(E474="KTG","KTG",(VLOOKUP(I474,'[1]list of outsource'!B:H,2,0)))</f>
        <v>ETC</v>
      </c>
      <c r="K474" s="6" t="s">
        <v>209</v>
      </c>
      <c r="L474" s="6">
        <v>21</v>
      </c>
      <c r="M474" s="6" t="s">
        <v>210</v>
      </c>
      <c r="N474" s="6" t="s">
        <v>1547</v>
      </c>
      <c r="O474" s="6" t="s">
        <v>1548</v>
      </c>
      <c r="P474" s="6" t="s">
        <v>574</v>
      </c>
      <c r="Q474" s="8"/>
      <c r="R474" s="6"/>
      <c r="S474" s="6"/>
      <c r="T474" s="6"/>
      <c r="U474" s="6">
        <v>1</v>
      </c>
      <c r="V474" s="6" t="s">
        <v>569</v>
      </c>
      <c r="W474" s="6" t="s">
        <v>576</v>
      </c>
      <c r="X474" s="7">
        <v>45638</v>
      </c>
      <c r="Y474" s="7">
        <v>45639</v>
      </c>
      <c r="AB474" t="e">
        <v>#N/A</v>
      </c>
      <c r="AC474"/>
      <c r="AE474" t="str">
        <f t="shared" si="71"/>
        <v>P000160</v>
      </c>
      <c r="AF474" t="str">
        <f>_xlfn.XLOOKUP(AE474, Hoja2!A:A, Hoja2!A:A)</f>
        <v>P000160</v>
      </c>
      <c r="AG474" t="str">
        <f t="shared" si="68"/>
        <v>PP00028-23</v>
      </c>
      <c r="AH474">
        <f>_xlfn.XLOOKUP(AG474, Hoja3!A:A, Hoja3!B:B)</f>
        <v>5337</v>
      </c>
      <c r="AI474" t="str">
        <f>_xlfn.XLOOKUP(AH474, Hoja4!A:A, Hoja4!B:B)</f>
        <v>E35099800</v>
      </c>
      <c r="AJ474" t="b">
        <f t="shared" si="69"/>
        <v>1</v>
      </c>
    </row>
    <row r="475" spans="1:36" ht="15.5" hidden="1" customHeight="1" x14ac:dyDescent="0.35">
      <c r="A475">
        <f t="shared" ca="1" si="70"/>
        <v>55</v>
      </c>
      <c r="B475" s="56" t="s">
        <v>552</v>
      </c>
      <c r="C475" s="13">
        <v>45308</v>
      </c>
      <c r="D475" s="14" t="s">
        <v>121</v>
      </c>
      <c r="E475" s="14" t="s">
        <v>83</v>
      </c>
      <c r="F475" s="14" t="s">
        <v>329</v>
      </c>
      <c r="G475" s="14" t="s">
        <v>299</v>
      </c>
      <c r="H475" s="14" t="s">
        <v>553</v>
      </c>
      <c r="I475" s="14" t="s">
        <v>176</v>
      </c>
      <c r="J475" s="14" t="str">
        <f>IF(E475="KTG","KTG",(VLOOKUP(I475,'[1]list of outsource'!B:H,2,0)))</f>
        <v>UPM</v>
      </c>
      <c r="K475" s="14" t="s">
        <v>177</v>
      </c>
      <c r="L475" s="14">
        <v>12</v>
      </c>
      <c r="M475" s="55" t="s">
        <v>554</v>
      </c>
      <c r="N475" s="14" t="s">
        <v>1549</v>
      </c>
      <c r="O475" s="14">
        <v>1177309185</v>
      </c>
      <c r="P475" s="14"/>
      <c r="Q475" s="15" t="s">
        <v>575</v>
      </c>
      <c r="R475" s="14"/>
      <c r="S475" s="16"/>
      <c r="T475" s="14"/>
      <c r="U475" s="14">
        <v>1</v>
      </c>
      <c r="V475" s="14" t="s">
        <v>569</v>
      </c>
      <c r="W475" s="14" t="s">
        <v>154</v>
      </c>
      <c r="X475" s="13">
        <v>45363</v>
      </c>
      <c r="Y475" s="13"/>
      <c r="AB475" t="e">
        <v>#N/A</v>
      </c>
      <c r="AC475" t="e">
        <v>#N/A</v>
      </c>
      <c r="AE475" t="str">
        <f t="shared" si="71"/>
        <v>P000260</v>
      </c>
      <c r="AF475" t="e">
        <f>_xlfn.XLOOKUP(AE475, Hoja2!A:A, Hoja2!A:A)</f>
        <v>#N/A</v>
      </c>
    </row>
    <row r="476" spans="1:36" ht="15.5" customHeight="1" x14ac:dyDescent="0.35">
      <c r="A476">
        <f t="shared" ca="1" si="70"/>
        <v>28</v>
      </c>
      <c r="B476" s="6" t="s">
        <v>1550</v>
      </c>
      <c r="C476" s="7">
        <v>45153</v>
      </c>
      <c r="D476" s="6" t="s">
        <v>507</v>
      </c>
      <c r="E476" s="6" t="s">
        <v>83</v>
      </c>
      <c r="F476" s="6" t="s">
        <v>84</v>
      </c>
      <c r="G476" s="6" t="s">
        <v>156</v>
      </c>
      <c r="H476" s="6" t="s">
        <v>1551</v>
      </c>
      <c r="I476" s="6" t="s">
        <v>198</v>
      </c>
      <c r="J476" s="6" t="str">
        <f>IF(E476="KTG","KTG",(VLOOKUP(I476,'[1]list of outsource'!B:H,2,0)))</f>
        <v>UPM</v>
      </c>
      <c r="K476" s="6" t="s">
        <v>199</v>
      </c>
      <c r="L476" s="6"/>
      <c r="M476" s="6" t="s">
        <v>1552</v>
      </c>
      <c r="N476" s="6" t="s">
        <v>1553</v>
      </c>
      <c r="O476" s="6">
        <v>1256829549</v>
      </c>
      <c r="P476" s="6"/>
      <c r="Q476" s="8"/>
      <c r="R476" s="6"/>
      <c r="S476" s="6"/>
      <c r="T476" s="6"/>
      <c r="U476" s="6">
        <v>4</v>
      </c>
      <c r="V476" s="6"/>
      <c r="W476" s="6" t="s">
        <v>154</v>
      </c>
      <c r="X476" s="7">
        <v>45181</v>
      </c>
      <c r="Y476" s="7">
        <v>45191</v>
      </c>
      <c r="AB476" t="e">
        <v>#N/A</v>
      </c>
      <c r="AC476" t="e">
        <v>#N/A</v>
      </c>
      <c r="AE476" t="str">
        <f t="shared" si="71"/>
        <v>P000139</v>
      </c>
      <c r="AF476" t="str">
        <f>_xlfn.XLOOKUP(AE476, Hoja2!A:A, Hoja2!A:A)</f>
        <v>P000139</v>
      </c>
      <c r="AG476" t="str">
        <f t="shared" ref="AG476:AG477" si="72">LEFT(B476, FIND(" ", B476 &amp; " ") - 1)</f>
        <v>PP00028-24</v>
      </c>
      <c r="AH476">
        <f>_xlfn.XLOOKUP(AG476, Hoja3!A:A, Hoja3!B:B)</f>
        <v>5339</v>
      </c>
      <c r="AI476" t="str">
        <f>_xlfn.XLOOKUP(AH476, Hoja4!A:A, Hoja4!B:B)</f>
        <v>E34896500</v>
      </c>
      <c r="AJ476" t="b">
        <f t="shared" ref="AJ476:AJ477" si="73">H476=AI476</f>
        <v>1</v>
      </c>
    </row>
    <row r="477" spans="1:36" ht="15.5" customHeight="1" x14ac:dyDescent="0.35">
      <c r="A477">
        <f t="shared" ca="1" si="70"/>
        <v>22</v>
      </c>
      <c r="B477" s="6" t="s">
        <v>1554</v>
      </c>
      <c r="C477" s="7">
        <v>45315</v>
      </c>
      <c r="D477" s="6" t="s">
        <v>912</v>
      </c>
      <c r="E477" s="6" t="s">
        <v>30</v>
      </c>
      <c r="F477" s="6" t="s">
        <v>651</v>
      </c>
      <c r="G477" s="6" t="s">
        <v>299</v>
      </c>
      <c r="H477" s="6" t="s">
        <v>1555</v>
      </c>
      <c r="I477" s="6"/>
      <c r="J477" s="6" t="str">
        <f>IF(E477="KTG","KTG",(VLOOKUP(I477,'[1]list of outsource'!B:H,2,0)))</f>
        <v>KTG</v>
      </c>
      <c r="K477" s="6"/>
      <c r="L477" s="6" t="s">
        <v>1556</v>
      </c>
      <c r="M477" s="6" t="s">
        <v>1557</v>
      </c>
      <c r="N477" s="6" t="s">
        <v>1558</v>
      </c>
      <c r="O477" s="6">
        <v>1294638633</v>
      </c>
      <c r="P477" s="6"/>
      <c r="Q477" s="8" t="s">
        <v>575</v>
      </c>
      <c r="R477" s="6"/>
      <c r="S477" s="6"/>
      <c r="T477" s="6"/>
      <c r="U477" s="6">
        <v>1</v>
      </c>
      <c r="V477" s="6"/>
      <c r="W477" s="6" t="s">
        <v>154</v>
      </c>
      <c r="X477" s="7">
        <v>45337</v>
      </c>
      <c r="Y477" s="7">
        <v>45338</v>
      </c>
      <c r="AB477" t="e">
        <v>#N/A</v>
      </c>
      <c r="AC477" t="e">
        <v>#N/A</v>
      </c>
      <c r="AE477" t="str">
        <f t="shared" si="71"/>
        <v>E10523</v>
      </c>
      <c r="AF477" t="str">
        <f>_xlfn.XLOOKUP(AE477, Hoja2!A:A, Hoja2!A:A)</f>
        <v>E10523</v>
      </c>
      <c r="AG477" t="str">
        <f t="shared" si="72"/>
        <v>PP00033-02</v>
      </c>
      <c r="AH477">
        <f>_xlfn.XLOOKUP(AG477, Hoja3!A:A, Hoja3!B:B)</f>
        <v>134</v>
      </c>
      <c r="AI477" t="str">
        <f>_xlfn.XLOOKUP(AH477, Hoja4!A:A, Hoja4!B:B)</f>
        <v>120G0-001763-01</v>
      </c>
      <c r="AJ477" t="b">
        <f t="shared" si="73"/>
        <v>1</v>
      </c>
    </row>
    <row r="478" spans="1:36" ht="15.5" hidden="1" customHeight="1" x14ac:dyDescent="0.35">
      <c r="A478">
        <f t="shared" ca="1" si="70"/>
        <v>22</v>
      </c>
      <c r="B478" s="56" t="s">
        <v>556</v>
      </c>
      <c r="C478" s="13">
        <v>45316</v>
      </c>
      <c r="D478" s="14" t="s">
        <v>121</v>
      </c>
      <c r="E478" s="14" t="s">
        <v>139</v>
      </c>
      <c r="F478" s="14" t="s">
        <v>329</v>
      </c>
      <c r="G478" s="14" t="s">
        <v>299</v>
      </c>
      <c r="H478" s="14" t="s">
        <v>557</v>
      </c>
      <c r="I478" s="14" t="s">
        <v>402</v>
      </c>
      <c r="J478" s="14" t="str">
        <f>IF(E478="KTG","KTG",(VLOOKUP(I478,'[1]list of outsource'!B:H,2,0)))</f>
        <v>ETC</v>
      </c>
      <c r="K478" s="14" t="s">
        <v>403</v>
      </c>
      <c r="L478" s="14">
        <v>57</v>
      </c>
      <c r="M478" s="55" t="s">
        <v>558</v>
      </c>
      <c r="N478" s="14" t="s">
        <v>559</v>
      </c>
      <c r="O478" s="14">
        <v>1187233533</v>
      </c>
      <c r="P478" s="14"/>
      <c r="Q478" s="15" t="s">
        <v>575</v>
      </c>
      <c r="R478" s="14"/>
      <c r="S478" s="16"/>
      <c r="T478" s="14"/>
      <c r="U478" s="14">
        <v>1</v>
      </c>
      <c r="V478" s="14" t="s">
        <v>569</v>
      </c>
      <c r="W478" s="14" t="s">
        <v>154</v>
      </c>
      <c r="X478" s="13">
        <v>45338</v>
      </c>
      <c r="Y478" s="13"/>
      <c r="AB478" t="e">
        <v>#N/A</v>
      </c>
      <c r="AC478" t="e">
        <v>#N/A</v>
      </c>
      <c r="AE478" t="str">
        <f t="shared" si="71"/>
        <v>P000318</v>
      </c>
      <c r="AF478" t="e">
        <f>_xlfn.XLOOKUP(AE478, Hoja2!A:A, Hoja2!A:A)</f>
        <v>#N/A</v>
      </c>
    </row>
    <row r="479" spans="1:36" ht="15.5" customHeight="1" x14ac:dyDescent="0.35">
      <c r="A479">
        <f t="shared" ca="1" si="70"/>
        <v>32</v>
      </c>
      <c r="B479" s="6" t="s">
        <v>1550</v>
      </c>
      <c r="C479" s="7">
        <v>45526</v>
      </c>
      <c r="D479" s="6" t="s">
        <v>564</v>
      </c>
      <c r="E479" s="6" t="s">
        <v>83</v>
      </c>
      <c r="F479" s="6" t="s">
        <v>84</v>
      </c>
      <c r="G479" s="6" t="s">
        <v>156</v>
      </c>
      <c r="H479" s="6" t="s">
        <v>1551</v>
      </c>
      <c r="I479" s="6" t="s">
        <v>198</v>
      </c>
      <c r="J479" s="6" t="str">
        <f>IF(E479="KTG","KTG",(VLOOKUP(I479,'[1]list of outsource'!B:H,2,0)))</f>
        <v>UPM</v>
      </c>
      <c r="K479" s="6" t="s">
        <v>199</v>
      </c>
      <c r="L479" s="6">
        <v>10</v>
      </c>
      <c r="M479" s="6" t="s">
        <v>1552</v>
      </c>
      <c r="N479" s="6" t="s">
        <v>1553</v>
      </c>
      <c r="O479" s="6" t="s">
        <v>1559</v>
      </c>
      <c r="P479" s="6"/>
      <c r="Q479" s="8"/>
      <c r="R479" s="6"/>
      <c r="S479" s="6"/>
      <c r="T479" s="6"/>
      <c r="U479" s="6">
        <v>1</v>
      </c>
      <c r="V479" s="6" t="s">
        <v>569</v>
      </c>
      <c r="W479" s="6" t="s">
        <v>154</v>
      </c>
      <c r="X479" s="7">
        <v>45558</v>
      </c>
      <c r="Y479" s="7">
        <v>45699</v>
      </c>
      <c r="AB479" t="e">
        <v>#N/A</v>
      </c>
      <c r="AC479" t="e">
        <v>#N/A</v>
      </c>
      <c r="AE479" t="str">
        <f t="shared" si="71"/>
        <v>P000139</v>
      </c>
      <c r="AF479" t="str">
        <f>_xlfn.XLOOKUP(AE479, Hoja2!A:A, Hoja2!A:A)</f>
        <v>P000139</v>
      </c>
      <c r="AG479" t="str">
        <f t="shared" ref="AG479:AG509" si="74">LEFT(B479, FIND(" ", B479 &amp; " ") - 1)</f>
        <v>PP00028-24</v>
      </c>
      <c r="AH479">
        <f>_xlfn.XLOOKUP(AG479, Hoja3!A:A, Hoja3!B:B)</f>
        <v>5339</v>
      </c>
      <c r="AI479" t="str">
        <f>_xlfn.XLOOKUP(AH479, Hoja4!A:A, Hoja4!B:B)</f>
        <v>E34896500</v>
      </c>
      <c r="AJ479" t="b">
        <f t="shared" ref="AJ479:AJ509" si="75">H479=AI479</f>
        <v>1</v>
      </c>
    </row>
    <row r="480" spans="1:36" ht="15.5" customHeight="1" x14ac:dyDescent="0.35">
      <c r="A480">
        <f t="shared" ca="1" si="70"/>
        <v>41</v>
      </c>
      <c r="B480" s="6" t="s">
        <v>1560</v>
      </c>
      <c r="C480" s="7">
        <v>45321</v>
      </c>
      <c r="D480" s="6" t="s">
        <v>912</v>
      </c>
      <c r="E480" s="6" t="s">
        <v>83</v>
      </c>
      <c r="F480" s="6" t="s">
        <v>646</v>
      </c>
      <c r="G480" s="6" t="s">
        <v>32</v>
      </c>
      <c r="H480" s="6" t="s">
        <v>1561</v>
      </c>
      <c r="I480" s="6" t="s">
        <v>158</v>
      </c>
      <c r="J480" s="6" t="str">
        <f>IF(E480="KTG","KTG",(VLOOKUP(I480,'[1]list of outsource'!B:H,2,0)))</f>
        <v>UPM</v>
      </c>
      <c r="K480" s="6" t="s">
        <v>159</v>
      </c>
      <c r="L480" s="6">
        <v>38</v>
      </c>
      <c r="M480" s="6" t="s">
        <v>186</v>
      </c>
      <c r="N480" s="6" t="s">
        <v>187</v>
      </c>
      <c r="O480" s="6">
        <v>1307226947</v>
      </c>
      <c r="P480" s="6"/>
      <c r="Q480" s="8" t="s">
        <v>575</v>
      </c>
      <c r="R480" s="6"/>
      <c r="S480" s="6"/>
      <c r="T480" s="6"/>
      <c r="U480" s="6">
        <v>4</v>
      </c>
      <c r="V480" s="6" t="s">
        <v>569</v>
      </c>
      <c r="W480" s="6" t="s">
        <v>37</v>
      </c>
      <c r="X480" s="7">
        <v>45362</v>
      </c>
      <c r="Y480" s="7">
        <v>45464</v>
      </c>
      <c r="AB480" t="e">
        <v>#N/A</v>
      </c>
      <c r="AC480" t="e">
        <v>#N/A</v>
      </c>
      <c r="AE480" t="str">
        <f t="shared" si="71"/>
        <v>P000126</v>
      </c>
      <c r="AF480" t="str">
        <f>_xlfn.XLOOKUP(AE480, Hoja2!A:A, Hoja2!A:A)</f>
        <v>P000126</v>
      </c>
      <c r="AG480" t="str">
        <f t="shared" si="74"/>
        <v>PP00030-10</v>
      </c>
      <c r="AH480">
        <f>_xlfn.XLOOKUP(AG480, Hoja3!A:A, Hoja3!B:B)</f>
        <v>4285</v>
      </c>
      <c r="AI480" t="str">
        <f>_xlfn.XLOOKUP(AH480, Hoja4!A:A, Hoja4!B:B)</f>
        <v>711798 4.0 0050</v>
      </c>
      <c r="AJ480" t="b">
        <f t="shared" si="75"/>
        <v>1</v>
      </c>
    </row>
    <row r="481" spans="1:36" ht="15.5" customHeight="1" x14ac:dyDescent="0.35">
      <c r="A481">
        <f t="shared" ca="1" si="70"/>
        <v>41</v>
      </c>
      <c r="B481" s="6" t="s">
        <v>1562</v>
      </c>
      <c r="C481" s="7">
        <v>45321</v>
      </c>
      <c r="D481" s="6" t="s">
        <v>912</v>
      </c>
      <c r="E481" s="6" t="s">
        <v>83</v>
      </c>
      <c r="F481" s="6" t="s">
        <v>646</v>
      </c>
      <c r="G481" s="6" t="s">
        <v>32</v>
      </c>
      <c r="H481" s="6" t="s">
        <v>1563</v>
      </c>
      <c r="I481" s="6" t="s">
        <v>158</v>
      </c>
      <c r="J481" s="6" t="str">
        <f>IF(E481="KTG","KTG",(VLOOKUP(I481,'[1]list of outsource'!B:H,2,0)))</f>
        <v>UPM</v>
      </c>
      <c r="K481" s="6" t="s">
        <v>159</v>
      </c>
      <c r="L481" s="6">
        <v>38</v>
      </c>
      <c r="M481" s="6" t="s">
        <v>272</v>
      </c>
      <c r="N481" s="6" t="s">
        <v>1564</v>
      </c>
      <c r="O481" s="6">
        <v>1307227460</v>
      </c>
      <c r="P481" s="6"/>
      <c r="Q481" s="8" t="s">
        <v>575</v>
      </c>
      <c r="R481" s="6"/>
      <c r="S481" s="6"/>
      <c r="T481" s="6"/>
      <c r="U481" s="6">
        <v>4</v>
      </c>
      <c r="V481" s="6" t="s">
        <v>569</v>
      </c>
      <c r="W481" s="6" t="s">
        <v>37</v>
      </c>
      <c r="X481" s="7">
        <v>45362</v>
      </c>
      <c r="Y481" s="7">
        <v>45464</v>
      </c>
      <c r="AB481" t="e">
        <v>#N/A</v>
      </c>
      <c r="AC481" t="e">
        <v>#N/A</v>
      </c>
      <c r="AE481" t="str">
        <f t="shared" si="71"/>
        <v>P000156</v>
      </c>
      <c r="AF481" t="str">
        <f>_xlfn.XLOOKUP(AE481, Hoja2!A:A, Hoja2!A:A)</f>
        <v>P000156</v>
      </c>
      <c r="AG481" t="str">
        <f t="shared" si="74"/>
        <v>PP00030-11</v>
      </c>
      <c r="AH481">
        <f>_xlfn.XLOOKUP(AG481, Hoja3!A:A, Hoja3!B:B)</f>
        <v>5231</v>
      </c>
      <c r="AI481" t="str">
        <f>_xlfn.XLOOKUP(AH481, Hoja4!A:A, Hoja4!B:B)</f>
        <v>711798 11.0 030</v>
      </c>
      <c r="AJ481" t="b">
        <f t="shared" si="75"/>
        <v>1</v>
      </c>
    </row>
    <row r="482" spans="1:36" ht="15.5" customHeight="1" x14ac:dyDescent="0.35">
      <c r="A482">
        <f t="shared" ca="1" si="70"/>
        <v>41</v>
      </c>
      <c r="B482" s="6" t="s">
        <v>1565</v>
      </c>
      <c r="C482" s="7">
        <v>45321</v>
      </c>
      <c r="D482" s="6" t="s">
        <v>912</v>
      </c>
      <c r="E482" s="6" t="s">
        <v>83</v>
      </c>
      <c r="F482" s="6" t="s">
        <v>646</v>
      </c>
      <c r="G482" s="6" t="s">
        <v>32</v>
      </c>
      <c r="H482" s="6" t="s">
        <v>1566</v>
      </c>
      <c r="I482" s="6" t="s">
        <v>158</v>
      </c>
      <c r="J482" s="6" t="str">
        <f>IF(E482="KTG","KTG",(VLOOKUP(I482,'[1]list of outsource'!B:H,2,0)))</f>
        <v>UPM</v>
      </c>
      <c r="K482" s="6" t="s">
        <v>159</v>
      </c>
      <c r="L482" s="6">
        <v>38</v>
      </c>
      <c r="M482" s="6" t="s">
        <v>244</v>
      </c>
      <c r="N482" s="6" t="s">
        <v>245</v>
      </c>
      <c r="O482" s="6">
        <v>1306693339</v>
      </c>
      <c r="P482" s="6"/>
      <c r="Q482" s="8" t="s">
        <v>575</v>
      </c>
      <c r="R482" s="6"/>
      <c r="S482" s="6"/>
      <c r="T482" s="6"/>
      <c r="U482" s="6">
        <v>4</v>
      </c>
      <c r="V482" s="6" t="s">
        <v>879</v>
      </c>
      <c r="W482" s="6" t="s">
        <v>37</v>
      </c>
      <c r="X482" s="7">
        <v>45362</v>
      </c>
      <c r="Y482" s="7">
        <v>45456</v>
      </c>
      <c r="AB482" t="e">
        <v>#N/A</v>
      </c>
      <c r="AC482" t="e">
        <v>#N/A</v>
      </c>
      <c r="AE482" t="str">
        <f t="shared" si="71"/>
        <v>P000138</v>
      </c>
      <c r="AF482" t="str">
        <f>_xlfn.XLOOKUP(AE482, Hoja2!A:A, Hoja2!A:A)</f>
        <v>P000138</v>
      </c>
      <c r="AG482" t="str">
        <f t="shared" si="74"/>
        <v>PP00030-12</v>
      </c>
      <c r="AH482">
        <f>_xlfn.XLOOKUP(AG482, Hoja3!A:A, Hoja3!B:B)</f>
        <v>4287</v>
      </c>
      <c r="AI482" t="str">
        <f>_xlfn.XLOOKUP(AH482, Hoja4!A:A, Hoja4!B:B)</f>
        <v>711798 7.5 0030</v>
      </c>
      <c r="AJ482" t="b">
        <f t="shared" si="75"/>
        <v>1</v>
      </c>
    </row>
    <row r="483" spans="1:36" ht="15.5" customHeight="1" x14ac:dyDescent="0.35">
      <c r="A483">
        <f t="shared" ca="1" si="70"/>
        <v>41</v>
      </c>
      <c r="B483" s="6" t="s">
        <v>1567</v>
      </c>
      <c r="C483" s="7">
        <v>45321</v>
      </c>
      <c r="D483" s="6" t="s">
        <v>912</v>
      </c>
      <c r="E483" s="6" t="s">
        <v>83</v>
      </c>
      <c r="F483" s="6" t="s">
        <v>646</v>
      </c>
      <c r="G483" s="6" t="s">
        <v>32</v>
      </c>
      <c r="H483" s="6" t="s">
        <v>1568</v>
      </c>
      <c r="I483" s="6" t="s">
        <v>158</v>
      </c>
      <c r="J483" s="6" t="str">
        <f>IF(E483="KTG","KTG",(VLOOKUP(I483,'[1]list of outsource'!B:H,2,0)))</f>
        <v>UPM</v>
      </c>
      <c r="K483" s="6" t="s">
        <v>159</v>
      </c>
      <c r="L483" s="6">
        <v>38</v>
      </c>
      <c r="M483" s="6" t="s">
        <v>224</v>
      </c>
      <c r="N483" s="6" t="s">
        <v>464</v>
      </c>
      <c r="O483" s="6">
        <v>1307236998</v>
      </c>
      <c r="P483" s="6"/>
      <c r="Q483" s="8" t="s">
        <v>575</v>
      </c>
      <c r="R483" s="6"/>
      <c r="S483" s="6"/>
      <c r="T483" s="6"/>
      <c r="U483" s="6">
        <v>4</v>
      </c>
      <c r="V483" s="6" t="s">
        <v>879</v>
      </c>
      <c r="W483" s="6" t="s">
        <v>37</v>
      </c>
      <c r="X483" s="7">
        <v>45362</v>
      </c>
      <c r="Y483" s="7">
        <v>45456</v>
      </c>
      <c r="AB483">
        <v>0</v>
      </c>
      <c r="AC483" t="e">
        <v>#N/A</v>
      </c>
      <c r="AE483" t="str">
        <f t="shared" si="71"/>
        <v>P000127</v>
      </c>
      <c r="AF483" t="str">
        <f>_xlfn.XLOOKUP(AE483, Hoja2!A:A, Hoja2!A:A)</f>
        <v>P000127</v>
      </c>
      <c r="AG483" t="str">
        <f t="shared" si="74"/>
        <v>PP00030-13</v>
      </c>
      <c r="AH483">
        <f>_xlfn.XLOOKUP(AG483, Hoja3!A:A, Hoja3!B:B)</f>
        <v>4286</v>
      </c>
      <c r="AI483" t="str">
        <f>_xlfn.XLOOKUP(AH483, Hoja4!A:A, Hoja4!B:B)</f>
        <v>711798 5.7 0030</v>
      </c>
      <c r="AJ483" t="b">
        <f t="shared" si="75"/>
        <v>1</v>
      </c>
    </row>
    <row r="484" spans="1:36" ht="15.5" customHeight="1" x14ac:dyDescent="0.35">
      <c r="A484">
        <f t="shared" ca="1" si="70"/>
        <v>42</v>
      </c>
      <c r="B484" s="6" t="s">
        <v>1569</v>
      </c>
      <c r="C484" s="7">
        <v>45324</v>
      </c>
      <c r="D484" s="6" t="s">
        <v>912</v>
      </c>
      <c r="E484" s="6" t="s">
        <v>139</v>
      </c>
      <c r="F484" s="6" t="s">
        <v>933</v>
      </c>
      <c r="G484" s="6" t="s">
        <v>32</v>
      </c>
      <c r="H484" s="6">
        <v>35758282</v>
      </c>
      <c r="I484" s="6" t="s">
        <v>494</v>
      </c>
      <c r="J484" s="6" t="str">
        <f>IF(E484="KTG","KTG",(VLOOKUP(I484,'[1]list of outsource'!B:H,2,0)))</f>
        <v>ETC</v>
      </c>
      <c r="K484" s="6" t="s">
        <v>495</v>
      </c>
      <c r="L484" s="6">
        <v>12</v>
      </c>
      <c r="M484" s="6" t="s">
        <v>496</v>
      </c>
      <c r="N484" s="6" t="s">
        <v>626</v>
      </c>
      <c r="O484" s="6">
        <v>1309592244</v>
      </c>
      <c r="P484" s="6"/>
      <c r="Q484" s="8" t="s">
        <v>575</v>
      </c>
      <c r="R484" s="6" t="s">
        <v>575</v>
      </c>
      <c r="S484" s="6" t="s">
        <v>575</v>
      </c>
      <c r="T484" s="6" t="s">
        <v>575</v>
      </c>
      <c r="U484" s="6">
        <v>4</v>
      </c>
      <c r="V484" s="6" t="s">
        <v>919</v>
      </c>
      <c r="W484" s="6" t="s">
        <v>37</v>
      </c>
      <c r="X484" s="7">
        <v>45366</v>
      </c>
      <c r="Y484" s="7">
        <v>45394</v>
      </c>
      <c r="AB484" t="e">
        <v>#N/A</v>
      </c>
      <c r="AC484" t="e">
        <v>#N/A</v>
      </c>
      <c r="AE484" t="str">
        <f t="shared" si="71"/>
        <v>P000235</v>
      </c>
      <c r="AF484" t="str">
        <f>_xlfn.XLOOKUP(AE484, Hoja2!A:A, Hoja2!A:A)</f>
        <v>P000235</v>
      </c>
      <c r="AG484" t="str">
        <f t="shared" si="74"/>
        <v>PP00042-0022</v>
      </c>
      <c r="AH484">
        <f>_xlfn.XLOOKUP(AG484, Hoja3!A:A, Hoja3!B:B)</f>
        <v>3789</v>
      </c>
      <c r="AI484">
        <f>_xlfn.XLOOKUP(AH484, Hoja4!A:A, Hoja4!B:B)</f>
        <v>35758282</v>
      </c>
      <c r="AJ484" t="b">
        <f t="shared" si="75"/>
        <v>1</v>
      </c>
    </row>
    <row r="485" spans="1:36" ht="15.5" customHeight="1" x14ac:dyDescent="0.35">
      <c r="A485">
        <f t="shared" ca="1" si="70"/>
        <v>34</v>
      </c>
      <c r="B485" s="6" t="s">
        <v>1093</v>
      </c>
      <c r="C485" s="7">
        <v>45328</v>
      </c>
      <c r="D485" s="6" t="s">
        <v>912</v>
      </c>
      <c r="E485" s="6" t="s">
        <v>83</v>
      </c>
      <c r="F485" s="6" t="s">
        <v>646</v>
      </c>
      <c r="G485" s="6" t="s">
        <v>32</v>
      </c>
      <c r="H485" s="6" t="s">
        <v>1094</v>
      </c>
      <c r="I485" s="6" t="s">
        <v>158</v>
      </c>
      <c r="J485" s="6" t="str">
        <f>IF(E485="KTG","KTG",(VLOOKUP(I485,'[1]list of outsource'!B:H,2,0)))</f>
        <v>UPM</v>
      </c>
      <c r="K485" s="6" t="s">
        <v>159</v>
      </c>
      <c r="L485" s="6">
        <v>38</v>
      </c>
      <c r="M485" s="6" t="s">
        <v>160</v>
      </c>
      <c r="N485" s="6" t="s">
        <v>1095</v>
      </c>
      <c r="O485" s="6">
        <v>1253010950</v>
      </c>
      <c r="P485" s="6"/>
      <c r="Q485" s="8" t="s">
        <v>575</v>
      </c>
      <c r="R485" s="6"/>
      <c r="S485" s="6"/>
      <c r="T485" s="6"/>
      <c r="U485" s="6">
        <v>4</v>
      </c>
      <c r="V485" s="6" t="s">
        <v>879</v>
      </c>
      <c r="W485" s="6" t="s">
        <v>37</v>
      </c>
      <c r="X485" s="7">
        <v>45362</v>
      </c>
      <c r="Y485" s="7">
        <v>45464</v>
      </c>
      <c r="AB485" t="e">
        <v>#N/A</v>
      </c>
      <c r="AC485" t="s">
        <v>4210</v>
      </c>
      <c r="AE485" t="str">
        <f t="shared" si="71"/>
        <v>P000053</v>
      </c>
      <c r="AF485" t="str">
        <f>_xlfn.XLOOKUP(AE485, Hoja2!A:A, Hoja2!A:A)</f>
        <v>P000053</v>
      </c>
      <c r="AG485" t="str">
        <f t="shared" si="74"/>
        <v>PP00030-05</v>
      </c>
      <c r="AH485">
        <f>_xlfn.XLOOKUP(AG485, Hoja3!A:A, Hoja3!B:B)</f>
        <v>4277</v>
      </c>
      <c r="AI485" t="str">
        <f>_xlfn.XLOOKUP(AH485, Hoja4!A:A, Hoja4!B:B)</f>
        <v>711798 18.3 050</v>
      </c>
      <c r="AJ485" t="b">
        <f t="shared" si="75"/>
        <v>1</v>
      </c>
    </row>
    <row r="486" spans="1:36" ht="15.5" customHeight="1" x14ac:dyDescent="0.35">
      <c r="A486">
        <f t="shared" ca="1" si="70"/>
        <v>33</v>
      </c>
      <c r="B486" s="6" t="s">
        <v>1570</v>
      </c>
      <c r="C486" s="7">
        <v>45329</v>
      </c>
      <c r="D486" s="6" t="s">
        <v>912</v>
      </c>
      <c r="E486" s="6" t="s">
        <v>83</v>
      </c>
      <c r="F486" s="6" t="s">
        <v>101</v>
      </c>
      <c r="G486" s="6" t="s">
        <v>32</v>
      </c>
      <c r="H486" s="6">
        <v>3149739</v>
      </c>
      <c r="I486" s="6" t="s">
        <v>158</v>
      </c>
      <c r="J486" s="6" t="str">
        <f>IF(E486="KTG","KTG",(VLOOKUP(I486,'[1]list of outsource'!B:H,2,0)))</f>
        <v>UPM</v>
      </c>
      <c r="K486" s="6" t="s">
        <v>159</v>
      </c>
      <c r="L486" s="6"/>
      <c r="M486" s="6" t="s">
        <v>1571</v>
      </c>
      <c r="N486" s="6" t="s">
        <v>1572</v>
      </c>
      <c r="O486" s="6">
        <v>1308726296</v>
      </c>
      <c r="P486" s="6"/>
      <c r="Q486" s="8" t="s">
        <v>575</v>
      </c>
      <c r="R486" s="6"/>
      <c r="S486" s="6"/>
      <c r="T486" s="6"/>
      <c r="U486" s="6">
        <v>4</v>
      </c>
      <c r="V486" s="6" t="s">
        <v>879</v>
      </c>
      <c r="W486" s="6" t="s">
        <v>37</v>
      </c>
      <c r="X486" s="7">
        <v>45362</v>
      </c>
      <c r="Y486" s="7">
        <v>45366</v>
      </c>
      <c r="AB486" t="e">
        <v>#N/A</v>
      </c>
      <c r="AC486" t="e">
        <v>#N/A</v>
      </c>
      <c r="AE486" t="str">
        <f t="shared" si="71"/>
        <v>P000298</v>
      </c>
      <c r="AF486" t="str">
        <f>_xlfn.XLOOKUP(AE486, Hoja2!A:A, Hoja2!A:A)</f>
        <v>P000298</v>
      </c>
      <c r="AG486" t="str">
        <f t="shared" si="74"/>
        <v>PP00053-02</v>
      </c>
      <c r="AH486">
        <f>_xlfn.XLOOKUP(AG486, Hoja3!A:A, Hoja3!B:B)</f>
        <v>3958</v>
      </c>
      <c r="AI486">
        <f>_xlfn.XLOOKUP(AH486, Hoja4!A:A, Hoja4!B:B)</f>
        <v>3149739</v>
      </c>
      <c r="AJ486" t="b">
        <f t="shared" si="75"/>
        <v>1</v>
      </c>
    </row>
    <row r="487" spans="1:36" ht="15.5" customHeight="1" x14ac:dyDescent="0.35">
      <c r="A487">
        <f t="shared" ca="1" si="70"/>
        <v>43</v>
      </c>
      <c r="B487" s="6" t="s">
        <v>1573</v>
      </c>
      <c r="C487" s="7">
        <v>45329</v>
      </c>
      <c r="D487" s="6" t="s">
        <v>912</v>
      </c>
      <c r="E487" s="6" t="s">
        <v>83</v>
      </c>
      <c r="F487" s="6" t="s">
        <v>101</v>
      </c>
      <c r="G487" s="6" t="s">
        <v>32</v>
      </c>
      <c r="H487" s="6">
        <v>3149738</v>
      </c>
      <c r="I487" s="6" t="s">
        <v>158</v>
      </c>
      <c r="J487" s="6" t="str">
        <f>IF(E487="KTG","KTG",(VLOOKUP(I487,'[1]list of outsource'!B:H,2,0)))</f>
        <v>UPM</v>
      </c>
      <c r="K487" s="6" t="s">
        <v>159</v>
      </c>
      <c r="L487" s="6">
        <v>38</v>
      </c>
      <c r="M487" s="6" t="s">
        <v>1574</v>
      </c>
      <c r="N487" s="6" t="s">
        <v>1575</v>
      </c>
      <c r="O487" s="6">
        <v>1309592682</v>
      </c>
      <c r="P487" s="6"/>
      <c r="Q487" s="8" t="s">
        <v>575</v>
      </c>
      <c r="R487" s="6"/>
      <c r="S487" s="6"/>
      <c r="T487" s="6"/>
      <c r="U487" s="6">
        <v>4</v>
      </c>
      <c r="V487" s="6" t="s">
        <v>879</v>
      </c>
      <c r="W487" s="6" t="s">
        <v>37</v>
      </c>
      <c r="X487" s="7">
        <v>45372</v>
      </c>
      <c r="Y487" s="7">
        <v>45373</v>
      </c>
      <c r="AB487" t="e">
        <v>#N/A</v>
      </c>
      <c r="AC487" t="e">
        <v>#N/A</v>
      </c>
      <c r="AE487" t="str">
        <f t="shared" si="71"/>
        <v>P000299</v>
      </c>
      <c r="AF487" t="str">
        <f>_xlfn.XLOOKUP(AE487, Hoja2!A:A, Hoja2!A:A)</f>
        <v>P000299</v>
      </c>
      <c r="AG487" t="str">
        <f t="shared" si="74"/>
        <v>PP00053-03</v>
      </c>
      <c r="AH487">
        <f>_xlfn.XLOOKUP(AG487, Hoja3!A:A, Hoja3!B:B)</f>
        <v>3960</v>
      </c>
      <c r="AI487">
        <f>_xlfn.XLOOKUP(AH487, Hoja4!A:A, Hoja4!B:B)</f>
        <v>3149738</v>
      </c>
      <c r="AJ487" t="b">
        <f t="shared" si="75"/>
        <v>1</v>
      </c>
    </row>
    <row r="488" spans="1:36" ht="15.5" customHeight="1" x14ac:dyDescent="0.35">
      <c r="A488">
        <f t="shared" ca="1" si="70"/>
        <v>43</v>
      </c>
      <c r="B488" s="6" t="s">
        <v>1576</v>
      </c>
      <c r="C488" s="7">
        <v>45329</v>
      </c>
      <c r="D488" s="6" t="s">
        <v>912</v>
      </c>
      <c r="E488" s="6" t="s">
        <v>83</v>
      </c>
      <c r="F488" s="6" t="s">
        <v>101</v>
      </c>
      <c r="G488" s="6" t="s">
        <v>32</v>
      </c>
      <c r="H488" s="6">
        <v>3149736</v>
      </c>
      <c r="I488" s="6" t="s">
        <v>158</v>
      </c>
      <c r="J488" s="6" t="str">
        <f>IF(E488="KTG","KTG",(VLOOKUP(I488,'[1]list of outsource'!B:H,2,0)))</f>
        <v>UPM</v>
      </c>
      <c r="K488" s="6" t="s">
        <v>159</v>
      </c>
      <c r="L488" s="6">
        <v>38</v>
      </c>
      <c r="M488" s="6" t="s">
        <v>1577</v>
      </c>
      <c r="N488" s="6" t="s">
        <v>1578</v>
      </c>
      <c r="O488" s="6">
        <v>1310257208</v>
      </c>
      <c r="P488" s="6"/>
      <c r="Q488" s="8" t="s">
        <v>575</v>
      </c>
      <c r="R488" s="6"/>
      <c r="S488" s="6"/>
      <c r="T488" s="6"/>
      <c r="U488" s="6">
        <v>4</v>
      </c>
      <c r="V488" s="6" t="s">
        <v>879</v>
      </c>
      <c r="W488" s="6" t="s">
        <v>37</v>
      </c>
      <c r="X488" s="7">
        <v>45372</v>
      </c>
      <c r="Y488" s="7">
        <v>45373</v>
      </c>
      <c r="AB488" t="e">
        <v>#N/A</v>
      </c>
      <c r="AC488" t="e">
        <v>#N/A</v>
      </c>
      <c r="AE488" t="str">
        <f t="shared" si="71"/>
        <v>P000301</v>
      </c>
      <c r="AF488" t="str">
        <f>_xlfn.XLOOKUP(AE488, Hoja2!A:A, Hoja2!A:A)</f>
        <v>P000301</v>
      </c>
      <c r="AG488" t="str">
        <f t="shared" si="74"/>
        <v>PP00053-04</v>
      </c>
      <c r="AH488">
        <f>_xlfn.XLOOKUP(AG488, Hoja3!A:A, Hoja3!B:B)</f>
        <v>3962</v>
      </c>
      <c r="AI488">
        <f>_xlfn.XLOOKUP(AH488, Hoja4!A:A, Hoja4!B:B)</f>
        <v>3149736</v>
      </c>
      <c r="AJ488" t="b">
        <f t="shared" si="75"/>
        <v>1</v>
      </c>
    </row>
    <row r="489" spans="1:36" ht="15.5" customHeight="1" x14ac:dyDescent="0.35">
      <c r="A489">
        <f t="shared" ca="1" si="70"/>
        <v>33</v>
      </c>
      <c r="B489" s="6" t="s">
        <v>1579</v>
      </c>
      <c r="C489" s="7">
        <v>45329</v>
      </c>
      <c r="D489" s="6" t="s">
        <v>912</v>
      </c>
      <c r="E489" s="6" t="s">
        <v>83</v>
      </c>
      <c r="F489" s="6" t="s">
        <v>101</v>
      </c>
      <c r="G489" s="6" t="s">
        <v>32</v>
      </c>
      <c r="H489" s="6">
        <v>3149732</v>
      </c>
      <c r="I489" s="6" t="s">
        <v>158</v>
      </c>
      <c r="J489" s="6" t="str">
        <f>IF(E489="KTG","KTG",(VLOOKUP(I489,'[1]list of outsource'!B:H,2,0)))</f>
        <v>UPM</v>
      </c>
      <c r="K489" s="6" t="s">
        <v>159</v>
      </c>
      <c r="L489" s="6"/>
      <c r="M489" s="6" t="s">
        <v>1580</v>
      </c>
      <c r="N489" s="6" t="s">
        <v>1581</v>
      </c>
      <c r="O489" s="6">
        <v>1308726701</v>
      </c>
      <c r="P489" s="6"/>
      <c r="Q489" s="8" t="s">
        <v>575</v>
      </c>
      <c r="R489" s="6"/>
      <c r="S489" s="6"/>
      <c r="T489" s="6"/>
      <c r="U489" s="6">
        <v>4</v>
      </c>
      <c r="V489" s="6" t="s">
        <v>879</v>
      </c>
      <c r="W489" s="6" t="s">
        <v>37</v>
      </c>
      <c r="X489" s="7">
        <v>45362</v>
      </c>
      <c r="Y489" s="7">
        <v>45366</v>
      </c>
      <c r="AB489" t="e">
        <v>#N/A</v>
      </c>
      <c r="AC489" t="e">
        <v>#N/A</v>
      </c>
      <c r="AE489" t="str">
        <f t="shared" si="71"/>
        <v>P000302</v>
      </c>
      <c r="AF489" t="str">
        <f>_xlfn.XLOOKUP(AE489, Hoja2!A:A, Hoja2!A:A)</f>
        <v>P000302</v>
      </c>
      <c r="AG489" t="str">
        <f t="shared" si="74"/>
        <v>PP00053-05</v>
      </c>
      <c r="AH489">
        <f>_xlfn.XLOOKUP(AG489, Hoja3!A:A, Hoja3!B:B)</f>
        <v>3963</v>
      </c>
      <c r="AI489">
        <f>_xlfn.XLOOKUP(AH489, Hoja4!A:A, Hoja4!B:B)</f>
        <v>3149732</v>
      </c>
      <c r="AJ489" t="b">
        <f t="shared" si="75"/>
        <v>1</v>
      </c>
    </row>
    <row r="490" spans="1:36" ht="15.5" customHeight="1" x14ac:dyDescent="0.35">
      <c r="A490">
        <f t="shared" ca="1" si="70"/>
        <v>43</v>
      </c>
      <c r="B490" s="6" t="s">
        <v>1582</v>
      </c>
      <c r="C490" s="7">
        <v>45329</v>
      </c>
      <c r="D490" s="6" t="s">
        <v>912</v>
      </c>
      <c r="E490" s="6" t="s">
        <v>83</v>
      </c>
      <c r="F490" s="6" t="s">
        <v>101</v>
      </c>
      <c r="G490" s="6" t="s">
        <v>32</v>
      </c>
      <c r="H490" s="6">
        <v>3149735</v>
      </c>
      <c r="I490" s="6" t="s">
        <v>158</v>
      </c>
      <c r="J490" s="6" t="str">
        <f>IF(E490="KTG","KTG",(VLOOKUP(I490,'[1]list of outsource'!B:H,2,0)))</f>
        <v>UPM</v>
      </c>
      <c r="K490" s="6" t="s">
        <v>159</v>
      </c>
      <c r="L490" s="6">
        <v>38</v>
      </c>
      <c r="M490" s="6" t="s">
        <v>1583</v>
      </c>
      <c r="N490" s="6" t="s">
        <v>1584</v>
      </c>
      <c r="O490" s="6">
        <v>1310258846</v>
      </c>
      <c r="P490" s="6"/>
      <c r="Q490" s="8" t="s">
        <v>575</v>
      </c>
      <c r="R490" s="6"/>
      <c r="S490" s="6"/>
      <c r="T490" s="6"/>
      <c r="U490" s="6">
        <v>4</v>
      </c>
      <c r="V490" s="6" t="s">
        <v>879</v>
      </c>
      <c r="W490" s="6" t="s">
        <v>37</v>
      </c>
      <c r="X490" s="7">
        <v>45372</v>
      </c>
      <c r="Y490" s="7">
        <v>45373</v>
      </c>
      <c r="AB490" t="e">
        <v>#N/A</v>
      </c>
      <c r="AC490" t="e">
        <v>#N/A</v>
      </c>
      <c r="AE490" t="str">
        <f t="shared" si="71"/>
        <v>P000303</v>
      </c>
      <c r="AF490" t="str">
        <f>_xlfn.XLOOKUP(AE490, Hoja2!A:A, Hoja2!A:A)</f>
        <v>P000303</v>
      </c>
      <c r="AG490" t="str">
        <f t="shared" si="74"/>
        <v>PP00053-06</v>
      </c>
      <c r="AH490">
        <f>_xlfn.XLOOKUP(AG490, Hoja3!A:A, Hoja3!B:B)</f>
        <v>3965</v>
      </c>
      <c r="AI490">
        <f>_xlfn.XLOOKUP(AH490, Hoja4!A:A, Hoja4!B:B)</f>
        <v>3149735</v>
      </c>
      <c r="AJ490" t="b">
        <f t="shared" si="75"/>
        <v>1</v>
      </c>
    </row>
    <row r="491" spans="1:36" ht="15.5" customHeight="1" x14ac:dyDescent="0.35">
      <c r="A491">
        <f t="shared" ca="1" si="70"/>
        <v>33</v>
      </c>
      <c r="B491" s="6" t="s">
        <v>1585</v>
      </c>
      <c r="C491" s="7">
        <v>45329</v>
      </c>
      <c r="D491" s="6" t="s">
        <v>912</v>
      </c>
      <c r="E491" s="6" t="s">
        <v>83</v>
      </c>
      <c r="F491" s="6" t="s">
        <v>101</v>
      </c>
      <c r="G491" s="6" t="s">
        <v>32</v>
      </c>
      <c r="H491" s="6">
        <v>3149734</v>
      </c>
      <c r="I491" s="6" t="s">
        <v>158</v>
      </c>
      <c r="J491" s="6" t="str">
        <f>IF(E491="KTG","KTG",(VLOOKUP(I491,'[1]list of outsource'!B:H,2,0)))</f>
        <v>UPM</v>
      </c>
      <c r="K491" s="6" t="s">
        <v>159</v>
      </c>
      <c r="L491" s="6"/>
      <c r="M491" s="6" t="s">
        <v>761</v>
      </c>
      <c r="N491" s="6" t="s">
        <v>762</v>
      </c>
      <c r="O491" s="6">
        <v>1308727395</v>
      </c>
      <c r="P491" s="6"/>
      <c r="Q491" s="8" t="s">
        <v>575</v>
      </c>
      <c r="R491" s="6"/>
      <c r="S491" s="6"/>
      <c r="T491" s="6"/>
      <c r="U491" s="6">
        <v>4</v>
      </c>
      <c r="V491" s="6" t="s">
        <v>879</v>
      </c>
      <c r="W491" s="6" t="s">
        <v>37</v>
      </c>
      <c r="X491" s="7">
        <v>45362</v>
      </c>
      <c r="Y491" s="7">
        <v>45366</v>
      </c>
      <c r="AB491" t="e">
        <v>#N/A</v>
      </c>
      <c r="AC491" t="e">
        <v>#N/A</v>
      </c>
      <c r="AE491" t="str">
        <f t="shared" si="71"/>
        <v>P000304</v>
      </c>
      <c r="AF491" t="str">
        <f>_xlfn.XLOOKUP(AE491, Hoja2!A:A, Hoja2!A:A)</f>
        <v>P000304</v>
      </c>
      <c r="AG491" t="str">
        <f t="shared" si="74"/>
        <v>PP00053-07</v>
      </c>
      <c r="AH491">
        <f>_xlfn.XLOOKUP(AG491, Hoja3!A:A, Hoja3!B:B)</f>
        <v>3966</v>
      </c>
      <c r="AI491">
        <f>_xlfn.XLOOKUP(AH491, Hoja4!A:A, Hoja4!B:B)</f>
        <v>3149734</v>
      </c>
      <c r="AJ491" t="b">
        <f t="shared" si="75"/>
        <v>1</v>
      </c>
    </row>
    <row r="492" spans="1:36" ht="15.5" customHeight="1" x14ac:dyDescent="0.35">
      <c r="A492">
        <f t="shared" ca="1" si="70"/>
        <v>26</v>
      </c>
      <c r="B492" s="6" t="s">
        <v>1586</v>
      </c>
      <c r="C492" s="7">
        <v>45329</v>
      </c>
      <c r="D492" s="6" t="s">
        <v>912</v>
      </c>
      <c r="E492" s="6" t="s">
        <v>83</v>
      </c>
      <c r="F492" s="6" t="s">
        <v>101</v>
      </c>
      <c r="G492" s="6" t="s">
        <v>32</v>
      </c>
      <c r="H492" s="6">
        <v>3149737</v>
      </c>
      <c r="I492" s="6" t="s">
        <v>158</v>
      </c>
      <c r="J492" s="6" t="str">
        <f>IF(E492="KTG","KTG",(VLOOKUP(I492,'[1]list of outsource'!B:H,2,0)))</f>
        <v>UPM</v>
      </c>
      <c r="K492" s="6" t="s">
        <v>159</v>
      </c>
      <c r="L492" s="6"/>
      <c r="M492" s="6" t="s">
        <v>1587</v>
      </c>
      <c r="N492" s="6" t="s">
        <v>1588</v>
      </c>
      <c r="O492" s="6">
        <v>1306225177</v>
      </c>
      <c r="P492" s="6"/>
      <c r="Q492" s="8" t="s">
        <v>575</v>
      </c>
      <c r="R492" s="6"/>
      <c r="S492" s="6"/>
      <c r="T492" s="6"/>
      <c r="U492" s="6">
        <v>4</v>
      </c>
      <c r="V492" s="6" t="s">
        <v>879</v>
      </c>
      <c r="W492" s="6" t="s">
        <v>37</v>
      </c>
      <c r="X492" s="7">
        <v>45355</v>
      </c>
      <c r="Y492" s="7">
        <v>45359</v>
      </c>
      <c r="AB492" t="e">
        <v>#N/A</v>
      </c>
      <c r="AC492" t="e">
        <v>#N/A</v>
      </c>
      <c r="AE492" t="str">
        <f t="shared" si="71"/>
        <v>P000300</v>
      </c>
      <c r="AF492" t="str">
        <f>_xlfn.XLOOKUP(AE492, Hoja2!A:A, Hoja2!A:A)</f>
        <v>P000300</v>
      </c>
      <c r="AG492" t="str">
        <f t="shared" si="74"/>
        <v>PP00053-01</v>
      </c>
      <c r="AH492">
        <f>_xlfn.XLOOKUP(AG492, Hoja3!A:A, Hoja3!B:B)</f>
        <v>3961</v>
      </c>
      <c r="AI492">
        <f>_xlfn.XLOOKUP(AH492, Hoja4!A:A, Hoja4!B:B)</f>
        <v>3149737</v>
      </c>
      <c r="AJ492" t="b">
        <f t="shared" si="75"/>
        <v>1</v>
      </c>
    </row>
    <row r="493" spans="1:36" ht="15.5" customHeight="1" x14ac:dyDescent="0.35">
      <c r="A493">
        <f t="shared" ca="1" si="70"/>
        <v>36</v>
      </c>
      <c r="B493" s="6" t="s">
        <v>1589</v>
      </c>
      <c r="C493" s="7">
        <v>45330</v>
      </c>
      <c r="D493" s="6" t="s">
        <v>912</v>
      </c>
      <c r="E493" s="6" t="s">
        <v>30</v>
      </c>
      <c r="F493" s="6" t="s">
        <v>508</v>
      </c>
      <c r="G493" s="6" t="s">
        <v>32</v>
      </c>
      <c r="H493" s="6">
        <v>69321269</v>
      </c>
      <c r="I493" s="6"/>
      <c r="J493" s="6" t="str">
        <f>IF(E493="KTG","KTG",(VLOOKUP(I493,'[1]list of outsource'!B:H,2,0)))</f>
        <v>KTG</v>
      </c>
      <c r="K493" s="6"/>
      <c r="L493" s="6"/>
      <c r="M493" s="6" t="s">
        <v>1590</v>
      </c>
      <c r="N493" s="6" t="s">
        <v>1591</v>
      </c>
      <c r="O493" s="6" t="s">
        <v>1592</v>
      </c>
      <c r="P493" s="6"/>
      <c r="Q493" s="8" t="s">
        <v>575</v>
      </c>
      <c r="R493" s="6"/>
      <c r="S493" s="6"/>
      <c r="T493" s="6"/>
      <c r="U493" s="6">
        <v>1</v>
      </c>
      <c r="V493" s="6" t="s">
        <v>569</v>
      </c>
      <c r="W493" s="6" t="s">
        <v>154</v>
      </c>
      <c r="X493" s="7">
        <v>45366</v>
      </c>
      <c r="Y493" s="7">
        <v>45376</v>
      </c>
      <c r="AB493" t="e">
        <v>#N/A</v>
      </c>
      <c r="AC493" t="e">
        <v>#N/A</v>
      </c>
      <c r="AE493" t="str">
        <f t="shared" si="71"/>
        <v>E62428</v>
      </c>
      <c r="AF493" t="str">
        <f>_xlfn.XLOOKUP(AE493, Hoja2!A:A, Hoja2!A:A)</f>
        <v>E62428</v>
      </c>
      <c r="AG493" t="str">
        <f t="shared" si="74"/>
        <v>PP00026-36</v>
      </c>
      <c r="AH493">
        <f>_xlfn.XLOOKUP(AG493, Hoja3!A:A, Hoja3!B:B)</f>
        <v>5642</v>
      </c>
      <c r="AI493">
        <f>_xlfn.XLOOKUP(AH493, Hoja4!A:A, Hoja4!B:B)</f>
        <v>69321269</v>
      </c>
      <c r="AJ493" t="b">
        <f t="shared" si="75"/>
        <v>1</v>
      </c>
    </row>
    <row r="494" spans="1:36" ht="15.5" customHeight="1" x14ac:dyDescent="0.35">
      <c r="A494">
        <f t="shared" ca="1" si="70"/>
        <v>36</v>
      </c>
      <c r="B494" s="6" t="s">
        <v>1593</v>
      </c>
      <c r="C494" s="7">
        <v>45330</v>
      </c>
      <c r="D494" s="6" t="s">
        <v>912</v>
      </c>
      <c r="E494" s="6" t="s">
        <v>30</v>
      </c>
      <c r="F494" s="6" t="s">
        <v>508</v>
      </c>
      <c r="G494" s="6" t="s">
        <v>32</v>
      </c>
      <c r="H494" s="6">
        <v>69321257</v>
      </c>
      <c r="I494" s="6"/>
      <c r="J494" s="6" t="str">
        <f>IF(E494="KTG","KTG",(VLOOKUP(I494,'[1]list of outsource'!B:H,2,0)))</f>
        <v>KTG</v>
      </c>
      <c r="K494" s="6"/>
      <c r="L494" s="6"/>
      <c r="M494" s="6" t="s">
        <v>1594</v>
      </c>
      <c r="N494" s="6" t="s">
        <v>1595</v>
      </c>
      <c r="O494" s="6" t="s">
        <v>1596</v>
      </c>
      <c r="P494" s="6"/>
      <c r="Q494" s="8" t="s">
        <v>575</v>
      </c>
      <c r="R494" s="6"/>
      <c r="S494" s="6"/>
      <c r="T494" s="6"/>
      <c r="U494" s="6">
        <v>1</v>
      </c>
      <c r="V494" s="6" t="s">
        <v>569</v>
      </c>
      <c r="W494" s="6" t="s">
        <v>154</v>
      </c>
      <c r="X494" s="7">
        <v>45366</v>
      </c>
      <c r="Y494" s="7">
        <v>45376</v>
      </c>
      <c r="AB494" t="e">
        <v>#N/A</v>
      </c>
      <c r="AC494" t="e">
        <v>#N/A</v>
      </c>
      <c r="AE494" t="str">
        <f t="shared" si="71"/>
        <v>E62426</v>
      </c>
      <c r="AF494" t="str">
        <f>_xlfn.XLOOKUP(AE494, Hoja2!A:A, Hoja2!A:A)</f>
        <v>E62426</v>
      </c>
      <c r="AG494" t="str">
        <f t="shared" si="74"/>
        <v>PP00026-37</v>
      </c>
      <c r="AH494">
        <f>_xlfn.XLOOKUP(AG494, Hoja3!A:A, Hoja3!B:B)</f>
        <v>5644</v>
      </c>
      <c r="AI494">
        <f>_xlfn.XLOOKUP(AH494, Hoja4!A:A, Hoja4!B:B)</f>
        <v>69321257</v>
      </c>
      <c r="AJ494" t="b">
        <f t="shared" si="75"/>
        <v>1</v>
      </c>
    </row>
    <row r="495" spans="1:36" ht="15.5" customHeight="1" x14ac:dyDescent="0.35">
      <c r="A495">
        <f t="shared" ca="1" si="70"/>
        <v>51</v>
      </c>
      <c r="B495" s="6" t="s">
        <v>1597</v>
      </c>
      <c r="C495" s="7">
        <v>45153</v>
      </c>
      <c r="D495" s="6" t="s">
        <v>507</v>
      </c>
      <c r="E495" s="6" t="s">
        <v>83</v>
      </c>
      <c r="F495" s="6" t="s">
        <v>84</v>
      </c>
      <c r="G495" s="6" t="s">
        <v>156</v>
      </c>
      <c r="H495" s="6" t="s">
        <v>1598</v>
      </c>
      <c r="I495" s="6" t="s">
        <v>158</v>
      </c>
      <c r="J495" s="6" t="str">
        <f>IF(E495="KTG","KTG",(VLOOKUP(I495,'[1]list of outsource'!B:H,2,0)))</f>
        <v>UPM</v>
      </c>
      <c r="K495" s="6" t="s">
        <v>159</v>
      </c>
      <c r="L495" s="6">
        <v>35</v>
      </c>
      <c r="M495" s="6" t="s">
        <v>1599</v>
      </c>
      <c r="N495" s="6" t="s">
        <v>1600</v>
      </c>
      <c r="O495" s="6">
        <v>1257752602</v>
      </c>
      <c r="P495" s="6"/>
      <c r="Q495" s="8"/>
      <c r="R495" s="6"/>
      <c r="S495" s="6"/>
      <c r="T495" s="6"/>
      <c r="U495" s="6">
        <v>4</v>
      </c>
      <c r="V495" s="6"/>
      <c r="W495" s="6" t="s">
        <v>37</v>
      </c>
      <c r="X495" s="7">
        <v>45204</v>
      </c>
      <c r="Y495" s="7">
        <v>45205</v>
      </c>
      <c r="AB495" t="e">
        <v>#N/A</v>
      </c>
      <c r="AC495" t="e">
        <v>#N/A</v>
      </c>
      <c r="AE495" t="str">
        <f t="shared" si="71"/>
        <v>P000191</v>
      </c>
      <c r="AF495" t="str">
        <f>_xlfn.XLOOKUP(AE495, Hoja2!A:A, Hoja2!A:A)</f>
        <v>P000191</v>
      </c>
      <c r="AG495" t="str">
        <f t="shared" si="74"/>
        <v>PP00028-25</v>
      </c>
      <c r="AH495">
        <f>_xlfn.XLOOKUP(AG495, Hoja3!A:A, Hoja3!B:B)</f>
        <v>5340</v>
      </c>
      <c r="AI495" t="str">
        <f>_xlfn.XLOOKUP(AH495, Hoja4!A:A, Hoja4!B:B)</f>
        <v>E35764600</v>
      </c>
      <c r="AJ495" t="b">
        <f t="shared" si="75"/>
        <v>1</v>
      </c>
    </row>
    <row r="496" spans="1:36" ht="15.5" customHeight="1" x14ac:dyDescent="0.35">
      <c r="A496">
        <f t="shared" ca="1" si="70"/>
        <v>29</v>
      </c>
      <c r="B496" s="6" t="s">
        <v>1601</v>
      </c>
      <c r="C496" s="7">
        <v>45341</v>
      </c>
      <c r="D496" s="6" t="s">
        <v>912</v>
      </c>
      <c r="E496" s="6" t="s">
        <v>83</v>
      </c>
      <c r="F496" s="6" t="s">
        <v>101</v>
      </c>
      <c r="G496" s="6" t="s">
        <v>299</v>
      </c>
      <c r="H496" s="6" t="s">
        <v>1410</v>
      </c>
      <c r="I496" s="6" t="s">
        <v>428</v>
      </c>
      <c r="J496" s="6" t="str">
        <f>IF(E496="KTG","KTG",(VLOOKUP(I496,'[1]list of outsource'!B:H,2,0)))</f>
        <v>UPM</v>
      </c>
      <c r="K496" s="6" t="s">
        <v>429</v>
      </c>
      <c r="L496" s="6">
        <v>19</v>
      </c>
      <c r="M496" s="6" t="s">
        <v>1411</v>
      </c>
      <c r="N496" s="6" t="s">
        <v>1412</v>
      </c>
      <c r="O496" s="6">
        <v>1289710429</v>
      </c>
      <c r="P496" s="6"/>
      <c r="Q496" s="8" t="s">
        <v>575</v>
      </c>
      <c r="R496" s="6"/>
      <c r="S496" s="6"/>
      <c r="T496" s="6"/>
      <c r="U496" s="6">
        <v>4</v>
      </c>
      <c r="V496" s="6" t="s">
        <v>919</v>
      </c>
      <c r="W496" s="6" t="s">
        <v>37</v>
      </c>
      <c r="X496" s="7">
        <v>45370</v>
      </c>
      <c r="Y496" s="7">
        <v>45540</v>
      </c>
      <c r="AB496" t="e">
        <v>#N/A</v>
      </c>
      <c r="AC496" t="e">
        <v>#N/A</v>
      </c>
      <c r="AE496" t="str">
        <f t="shared" si="71"/>
        <v>P000683</v>
      </c>
      <c r="AF496" t="str">
        <f>_xlfn.XLOOKUP(AE496, Hoja2!A:A, Hoja2!A:A)</f>
        <v>P000683</v>
      </c>
      <c r="AG496" t="str">
        <f t="shared" si="74"/>
        <v>PP00027-25</v>
      </c>
      <c r="AH496">
        <f>_xlfn.XLOOKUP(AG496, Hoja3!A:A, Hoja3!B:B)</f>
        <v>4581</v>
      </c>
      <c r="AI496" t="str">
        <f>_xlfn.XLOOKUP(AH496, Hoja4!A:A, Hoja4!B:B)</f>
        <v>GP101858</v>
      </c>
      <c r="AJ496" t="b">
        <f t="shared" si="75"/>
        <v>1</v>
      </c>
    </row>
    <row r="497" spans="1:36" ht="15.5" customHeight="1" x14ac:dyDescent="0.35">
      <c r="A497">
        <f t="shared" ca="1" si="70"/>
        <v>28</v>
      </c>
      <c r="B497" s="6" t="s">
        <v>1597</v>
      </c>
      <c r="C497" s="7">
        <v>45541</v>
      </c>
      <c r="D497" s="6" t="s">
        <v>564</v>
      </c>
      <c r="E497" s="6" t="s">
        <v>83</v>
      </c>
      <c r="F497" s="6" t="s">
        <v>84</v>
      </c>
      <c r="G497" s="6" t="s">
        <v>156</v>
      </c>
      <c r="H497" s="6" t="s">
        <v>1598</v>
      </c>
      <c r="I497" s="6" t="s">
        <v>158</v>
      </c>
      <c r="J497" s="6" t="str">
        <f>IF(E497="KTG","KTG",(VLOOKUP(I497,'[1]list of outsource'!B:H,2,0)))</f>
        <v>UPM</v>
      </c>
      <c r="K497" s="6" t="s">
        <v>159</v>
      </c>
      <c r="L497" s="6">
        <v>45</v>
      </c>
      <c r="M497" s="6" t="s">
        <v>1599</v>
      </c>
      <c r="N497" s="6" t="s">
        <v>1600</v>
      </c>
      <c r="O497" s="6" t="s">
        <v>1602</v>
      </c>
      <c r="P497" s="6"/>
      <c r="Q497" s="8"/>
      <c r="R497" s="6"/>
      <c r="S497" s="6"/>
      <c r="T497" s="6"/>
      <c r="U497" s="6">
        <v>1</v>
      </c>
      <c r="V497" s="6" t="s">
        <v>569</v>
      </c>
      <c r="W497" s="6" t="s">
        <v>154</v>
      </c>
      <c r="X497" s="7">
        <v>45569</v>
      </c>
      <c r="Y497" s="7">
        <v>45699</v>
      </c>
      <c r="AB497" t="e">
        <v>#N/A</v>
      </c>
      <c r="AC497" t="e">
        <v>#N/A</v>
      </c>
      <c r="AE497" t="str">
        <f t="shared" si="71"/>
        <v>P000191</v>
      </c>
      <c r="AF497" t="str">
        <f>_xlfn.XLOOKUP(AE497, Hoja2!A:A, Hoja2!A:A)</f>
        <v>P000191</v>
      </c>
      <c r="AG497" t="str">
        <f t="shared" si="74"/>
        <v>PP00028-25</v>
      </c>
      <c r="AH497">
        <f>_xlfn.XLOOKUP(AG497, Hoja3!A:A, Hoja3!B:B)</f>
        <v>5340</v>
      </c>
      <c r="AI497" t="str">
        <f>_xlfn.XLOOKUP(AH497, Hoja4!A:A, Hoja4!B:B)</f>
        <v>E35764600</v>
      </c>
      <c r="AJ497" t="b">
        <f t="shared" si="75"/>
        <v>1</v>
      </c>
    </row>
    <row r="498" spans="1:36" ht="15.5" customHeight="1" x14ac:dyDescent="0.35">
      <c r="A498">
        <f t="shared" ca="1" si="70"/>
        <v>29</v>
      </c>
      <c r="B498" s="6" t="s">
        <v>1603</v>
      </c>
      <c r="C498" s="7">
        <v>45342</v>
      </c>
      <c r="D498" s="6" t="s">
        <v>912</v>
      </c>
      <c r="E498" s="6" t="s">
        <v>139</v>
      </c>
      <c r="F498" s="6" t="s">
        <v>933</v>
      </c>
      <c r="G498" s="6" t="s">
        <v>32</v>
      </c>
      <c r="H498" s="6">
        <v>35848727</v>
      </c>
      <c r="I498" s="6" t="s">
        <v>402</v>
      </c>
      <c r="J498" s="6" t="str">
        <f>IF(E498="KTG","KTG",(VLOOKUP(I498,'[1]list of outsource'!B:H,2,0)))</f>
        <v>ETC</v>
      </c>
      <c r="K498" s="6" t="s">
        <v>403</v>
      </c>
      <c r="L498" s="6" t="s">
        <v>1488</v>
      </c>
      <c r="M498" s="6" t="s">
        <v>488</v>
      </c>
      <c r="N498" s="6" t="s">
        <v>1604</v>
      </c>
      <c r="O498" s="6">
        <v>1311500752</v>
      </c>
      <c r="P498" s="6"/>
      <c r="Q498" s="8" t="s">
        <v>575</v>
      </c>
      <c r="R498" s="6" t="s">
        <v>575</v>
      </c>
      <c r="S498" s="6" t="s">
        <v>575</v>
      </c>
      <c r="T498" s="6" t="s">
        <v>575</v>
      </c>
      <c r="U498" s="6">
        <v>4</v>
      </c>
      <c r="V498" s="6" t="s">
        <v>879</v>
      </c>
      <c r="W498" s="6" t="s">
        <v>37</v>
      </c>
      <c r="X498" s="7">
        <v>45371</v>
      </c>
      <c r="Y498" s="7">
        <v>45393</v>
      </c>
      <c r="AB498" t="e">
        <v>#N/A</v>
      </c>
      <c r="AC498" t="e">
        <v>#N/A</v>
      </c>
      <c r="AE498" t="str">
        <f t="shared" si="71"/>
        <v>P000277</v>
      </c>
      <c r="AF498" t="str">
        <f>_xlfn.XLOOKUP(AE498, Hoja2!A:A, Hoja2!A:A)</f>
        <v>P000277</v>
      </c>
      <c r="AG498" t="str">
        <f t="shared" si="74"/>
        <v>PP00042-0023</v>
      </c>
      <c r="AH498">
        <f>_xlfn.XLOOKUP(AG498, Hoja3!A:A, Hoja3!B:B)</f>
        <v>3790</v>
      </c>
      <c r="AI498">
        <f>_xlfn.XLOOKUP(AH498, Hoja4!A:A, Hoja4!B:B)</f>
        <v>35848727</v>
      </c>
      <c r="AJ498" t="b">
        <f t="shared" si="75"/>
        <v>1</v>
      </c>
    </row>
    <row r="499" spans="1:36" ht="15.5" customHeight="1" x14ac:dyDescent="0.35">
      <c r="A499">
        <f t="shared" ca="1" si="70"/>
        <v>0</v>
      </c>
      <c r="B499" s="6" t="s">
        <v>1605</v>
      </c>
      <c r="C499" s="7">
        <v>45348</v>
      </c>
      <c r="D499" s="6" t="s">
        <v>1606</v>
      </c>
      <c r="E499" s="6" t="s">
        <v>139</v>
      </c>
      <c r="F499" s="6" t="s">
        <v>646</v>
      </c>
      <c r="G499" s="6" t="s">
        <v>32</v>
      </c>
      <c r="H499" s="6" t="s">
        <v>1607</v>
      </c>
      <c r="I499" s="6" t="s">
        <v>494</v>
      </c>
      <c r="J499" s="6" t="str">
        <f>IF(E499="KTG","KTG",(VLOOKUP(I499,'[1]list of outsource'!B:H,2,0)))</f>
        <v>ETC</v>
      </c>
      <c r="K499" s="6" t="s">
        <v>495</v>
      </c>
      <c r="L499" s="6"/>
      <c r="M499" s="6" t="s">
        <v>894</v>
      </c>
      <c r="N499" s="6" t="s">
        <v>895</v>
      </c>
      <c r="O499" s="6">
        <v>1304247396</v>
      </c>
      <c r="P499" s="6"/>
      <c r="Q499" s="8"/>
      <c r="R499" s="6"/>
      <c r="S499" s="6"/>
      <c r="T499" s="6"/>
      <c r="U499" s="6"/>
      <c r="V499" s="6" t="s">
        <v>569</v>
      </c>
      <c r="W499" s="6" t="s">
        <v>1608</v>
      </c>
      <c r="X499" s="7">
        <v>45348</v>
      </c>
      <c r="Y499" s="7"/>
      <c r="AB499" t="e">
        <v>#N/A</v>
      </c>
      <c r="AC499" t="e">
        <v>#N/A</v>
      </c>
      <c r="AE499" t="str">
        <f t="shared" si="71"/>
        <v>P000236</v>
      </c>
      <c r="AF499" t="str">
        <f>_xlfn.XLOOKUP(AE499, Hoja2!A:A, Hoja2!A:A)</f>
        <v>P000236</v>
      </c>
      <c r="AG499" t="str">
        <f t="shared" si="74"/>
        <v>PP00030-14</v>
      </c>
      <c r="AH499">
        <f>_xlfn.XLOOKUP(AG499, Hoja3!A:A, Hoja3!B:B)</f>
        <v>4288</v>
      </c>
      <c r="AI499" t="str">
        <f>_xlfn.XLOOKUP(AH499, Hoja4!A:A, Hoja4!B:B)</f>
        <v>714041 11.0 050</v>
      </c>
      <c r="AJ499" t="b">
        <f t="shared" si="75"/>
        <v>1</v>
      </c>
    </row>
    <row r="500" spans="1:36" ht="15.5" customHeight="1" x14ac:dyDescent="0.35">
      <c r="A500">
        <f t="shared" ca="1" si="70"/>
        <v>51</v>
      </c>
      <c r="B500" s="6" t="s">
        <v>1609</v>
      </c>
      <c r="C500" s="7">
        <v>45265</v>
      </c>
      <c r="D500" s="6" t="s">
        <v>912</v>
      </c>
      <c r="E500" s="6" t="s">
        <v>139</v>
      </c>
      <c r="F500" s="6" t="s">
        <v>658</v>
      </c>
      <c r="G500" s="6" t="s">
        <v>32</v>
      </c>
      <c r="H500" s="6">
        <v>35758263</v>
      </c>
      <c r="I500" s="6" t="s">
        <v>208</v>
      </c>
      <c r="J500" s="6" t="str">
        <f>IF(E500="KTG","KTG",(VLOOKUP(I500,'[1]list of outsource'!B:H,2,0)))</f>
        <v>ETC</v>
      </c>
      <c r="K500" s="6" t="s">
        <v>209</v>
      </c>
      <c r="L500" s="6">
        <v>19</v>
      </c>
      <c r="M500" s="6" t="s">
        <v>1491</v>
      </c>
      <c r="N500" s="6" t="s">
        <v>1492</v>
      </c>
      <c r="O500" s="6">
        <v>1294598668</v>
      </c>
      <c r="P500" s="6"/>
      <c r="Q500" s="8" t="s">
        <v>575</v>
      </c>
      <c r="R500" s="6"/>
      <c r="S500" s="6"/>
      <c r="T500" s="6"/>
      <c r="U500" s="6">
        <v>4</v>
      </c>
      <c r="V500" s="6" t="s">
        <v>919</v>
      </c>
      <c r="W500" s="6" t="s">
        <v>37</v>
      </c>
      <c r="X500" s="7">
        <v>45316</v>
      </c>
      <c r="Y500" s="7">
        <v>45320</v>
      </c>
      <c r="AB500" t="e">
        <v>#N/A</v>
      </c>
      <c r="AC500" t="e">
        <v>#N/A</v>
      </c>
      <c r="AE500" t="str">
        <f t="shared" si="71"/>
        <v>P000459</v>
      </c>
      <c r="AF500" t="str">
        <f>_xlfn.XLOOKUP(AE500, Hoja2!A:A, Hoja2!A:A)</f>
        <v>P000459</v>
      </c>
      <c r="AG500" t="str">
        <f t="shared" si="74"/>
        <v>PP00034-23</v>
      </c>
      <c r="AH500">
        <f>_xlfn.XLOOKUP(AG500, Hoja3!A:A, Hoja3!B:B)</f>
        <v>4799</v>
      </c>
      <c r="AI500">
        <f>_xlfn.XLOOKUP(AH500, Hoja4!A:A, Hoja4!B:B)</f>
        <v>35758263</v>
      </c>
      <c r="AJ500" t="b">
        <f t="shared" si="75"/>
        <v>1</v>
      </c>
    </row>
    <row r="501" spans="1:36" ht="15.5" customHeight="1" x14ac:dyDescent="0.35">
      <c r="A501">
        <f t="shared" ca="1" si="70"/>
        <v>31</v>
      </c>
      <c r="B501" s="6" t="s">
        <v>1610</v>
      </c>
      <c r="C501" s="7">
        <v>45165</v>
      </c>
      <c r="D501" s="6" t="s">
        <v>564</v>
      </c>
      <c r="E501" s="6" t="s">
        <v>83</v>
      </c>
      <c r="F501" s="6" t="s">
        <v>84</v>
      </c>
      <c r="G501" s="6" t="s">
        <v>156</v>
      </c>
      <c r="H501" s="6" t="s">
        <v>197</v>
      </c>
      <c r="I501" s="6" t="s">
        <v>198</v>
      </c>
      <c r="J501" s="6" t="str">
        <f>IF(E501="KTG","KTG",(VLOOKUP(I501,'[1]list of outsource'!B:H,2,0)))</f>
        <v>UPM</v>
      </c>
      <c r="K501" s="6" t="s">
        <v>199</v>
      </c>
      <c r="L501" s="6">
        <v>9</v>
      </c>
      <c r="M501" s="6" t="s">
        <v>200</v>
      </c>
      <c r="N501" s="6" t="s">
        <v>201</v>
      </c>
      <c r="O501" s="6">
        <v>1149845642</v>
      </c>
      <c r="P501" s="6"/>
      <c r="Q501" s="8"/>
      <c r="R501" s="6"/>
      <c r="S501" s="6"/>
      <c r="T501" s="6"/>
      <c r="U501" s="6">
        <v>1</v>
      </c>
      <c r="V501" s="6"/>
      <c r="W501" s="6" t="s">
        <v>154</v>
      </c>
      <c r="X501" s="7">
        <v>45196</v>
      </c>
      <c r="Y501" s="7">
        <v>45964</v>
      </c>
      <c r="AB501" t="e">
        <v>#N/A</v>
      </c>
      <c r="AC501" t="e">
        <v>#N/A</v>
      </c>
      <c r="AE501" t="str">
        <f t="shared" si="71"/>
        <v>P000143</v>
      </c>
      <c r="AF501" t="str">
        <f>_xlfn.XLOOKUP(AE501, Hoja2!A:A, Hoja2!A:A)</f>
        <v>P000143</v>
      </c>
      <c r="AG501" t="str">
        <f t="shared" si="74"/>
        <v>PP00028-26</v>
      </c>
      <c r="AH501">
        <f>_xlfn.XLOOKUP(AG501, Hoja3!A:A, Hoja3!B:B)</f>
        <v>5342</v>
      </c>
      <c r="AI501" t="str">
        <f>_xlfn.XLOOKUP(AH501, Hoja4!A:A, Hoja4!B:B)</f>
        <v>E34875500</v>
      </c>
      <c r="AJ501" t="b">
        <f t="shared" si="75"/>
        <v>1</v>
      </c>
    </row>
    <row r="502" spans="1:36" ht="15.5" customHeight="1" x14ac:dyDescent="0.35">
      <c r="A502">
        <f t="shared" ca="1" si="70"/>
        <v>26</v>
      </c>
      <c r="B502" s="12" t="s">
        <v>1611</v>
      </c>
      <c r="C502" s="13">
        <v>45351</v>
      </c>
      <c r="D502" s="14" t="s">
        <v>912</v>
      </c>
      <c r="E502" s="14" t="s">
        <v>139</v>
      </c>
      <c r="F502" s="14" t="s">
        <v>1612</v>
      </c>
      <c r="G502" s="14" t="s">
        <v>32</v>
      </c>
      <c r="H502" s="14">
        <v>249390</v>
      </c>
      <c r="I502" s="14" t="s">
        <v>402</v>
      </c>
      <c r="J502" s="14" t="str">
        <f>IF(E502="KTG","KTG",(VLOOKUP(I502,'[1]list of outsource'!B:H,2,0)))</f>
        <v>ETC</v>
      </c>
      <c r="K502" s="14" t="s">
        <v>403</v>
      </c>
      <c r="L502" s="14">
        <v>58</v>
      </c>
      <c r="M502" s="14" t="s">
        <v>1613</v>
      </c>
      <c r="N502" s="14" t="s">
        <v>1614</v>
      </c>
      <c r="O502" s="14" t="s">
        <v>1615</v>
      </c>
      <c r="P502" s="14"/>
      <c r="Q502" s="15">
        <v>45373</v>
      </c>
      <c r="R502" s="14"/>
      <c r="S502" s="16"/>
      <c r="T502" s="14"/>
      <c r="U502" s="14">
        <v>4</v>
      </c>
      <c r="V502" s="14" t="s">
        <v>879</v>
      </c>
      <c r="W502" s="14" t="s">
        <v>37</v>
      </c>
      <c r="X502" s="13">
        <v>45377</v>
      </c>
      <c r="Y502" s="13">
        <v>45384</v>
      </c>
      <c r="AB502" t="e">
        <v>#N/A</v>
      </c>
      <c r="AC502" t="e">
        <v>#N/A</v>
      </c>
      <c r="AE502" t="str">
        <f t="shared" si="71"/>
        <v>P000341</v>
      </c>
      <c r="AF502" t="str">
        <f>_xlfn.XLOOKUP(AE502, Hoja2!A:A, Hoja2!A:A)</f>
        <v>P000341</v>
      </c>
      <c r="AG502" t="str">
        <f t="shared" si="74"/>
        <v>PP00054-01</v>
      </c>
      <c r="AH502">
        <f>_xlfn.XLOOKUP(AG502, Hoja3!A:A, Hoja3!B:B)</f>
        <v>82</v>
      </c>
      <c r="AI502">
        <f>_xlfn.XLOOKUP(AH502, Hoja4!A:A, Hoja4!B:B)</f>
        <v>249390</v>
      </c>
      <c r="AJ502" t="b">
        <f t="shared" si="75"/>
        <v>1</v>
      </c>
    </row>
    <row r="503" spans="1:36" ht="15.5" customHeight="1" x14ac:dyDescent="0.35">
      <c r="A503">
        <f t="shared" ca="1" si="70"/>
        <v>28</v>
      </c>
      <c r="B503" s="6" t="s">
        <v>1616</v>
      </c>
      <c r="C503" s="7">
        <v>45351</v>
      </c>
      <c r="D503" s="6" t="s">
        <v>564</v>
      </c>
      <c r="E503" s="6" t="s">
        <v>139</v>
      </c>
      <c r="F503" s="6" t="s">
        <v>1117</v>
      </c>
      <c r="G503" s="6" t="s">
        <v>32</v>
      </c>
      <c r="H503" s="6">
        <v>57225</v>
      </c>
      <c r="I503" s="6" t="s">
        <v>494</v>
      </c>
      <c r="J503" s="6" t="str">
        <f>IF(E503="KTG","KTG",(VLOOKUP(I503,'[1]list of outsource'!B:H,2,0)))</f>
        <v>ETC</v>
      </c>
      <c r="K503" s="6" t="s">
        <v>495</v>
      </c>
      <c r="L503" s="6">
        <v>22</v>
      </c>
      <c r="M503" s="6" t="s">
        <v>1617</v>
      </c>
      <c r="N503" s="6" t="s">
        <v>1618</v>
      </c>
      <c r="O503" s="6">
        <v>1313989235</v>
      </c>
      <c r="P503" s="6"/>
      <c r="Q503" s="8">
        <v>45373</v>
      </c>
      <c r="R503" s="6"/>
      <c r="S503" s="6"/>
      <c r="T503" s="6"/>
      <c r="U503" s="6">
        <v>4</v>
      </c>
      <c r="V503" s="6" t="s">
        <v>879</v>
      </c>
      <c r="W503" s="6" t="s">
        <v>37</v>
      </c>
      <c r="X503" s="7">
        <v>45379</v>
      </c>
      <c r="Y503" s="7">
        <v>45869</v>
      </c>
      <c r="AB503" t="e">
        <v>#N/A</v>
      </c>
      <c r="AC503" t="e">
        <v>#N/A</v>
      </c>
      <c r="AE503" t="str">
        <f t="shared" si="71"/>
        <v>P000238</v>
      </c>
      <c r="AF503" t="str">
        <f>_xlfn.XLOOKUP(AE503, Hoja2!A:A, Hoja2!A:A)</f>
        <v>P000238</v>
      </c>
      <c r="AG503" t="str">
        <f t="shared" si="74"/>
        <v>PP00045-03</v>
      </c>
      <c r="AH503">
        <f>_xlfn.XLOOKUP(AG503, Hoja3!A:A, Hoja3!B:B)</f>
        <v>4726</v>
      </c>
      <c r="AI503">
        <f>_xlfn.XLOOKUP(AH503, Hoja4!A:A, Hoja4!B:B)</f>
        <v>57225</v>
      </c>
      <c r="AJ503" t="b">
        <f t="shared" si="75"/>
        <v>1</v>
      </c>
    </row>
    <row r="504" spans="1:36" ht="15.5" customHeight="1" x14ac:dyDescent="0.35">
      <c r="A504">
        <f t="shared" ca="1" si="70"/>
        <v>28</v>
      </c>
      <c r="B504" s="6" t="s">
        <v>1619</v>
      </c>
      <c r="C504" s="7">
        <v>45351</v>
      </c>
      <c r="D504" s="6" t="s">
        <v>564</v>
      </c>
      <c r="E504" s="6" t="s">
        <v>139</v>
      </c>
      <c r="F504" s="6" t="s">
        <v>1117</v>
      </c>
      <c r="G504" s="6" t="s">
        <v>32</v>
      </c>
      <c r="H504" s="6">
        <v>57226</v>
      </c>
      <c r="I504" s="6" t="s">
        <v>494</v>
      </c>
      <c r="J504" s="6" t="str">
        <f>IF(E504="KTG","KTG",(VLOOKUP(I504,'[1]list of outsource'!B:H,2,0)))</f>
        <v>ETC</v>
      </c>
      <c r="K504" s="6" t="s">
        <v>495</v>
      </c>
      <c r="L504" s="6">
        <v>22</v>
      </c>
      <c r="M504" s="6" t="s">
        <v>1620</v>
      </c>
      <c r="N504" s="6" t="s">
        <v>1621</v>
      </c>
      <c r="O504" s="6">
        <v>1313992454</v>
      </c>
      <c r="P504" s="6"/>
      <c r="Q504" s="8">
        <v>45373</v>
      </c>
      <c r="R504" s="6"/>
      <c r="S504" s="6"/>
      <c r="T504" s="6"/>
      <c r="U504" s="6">
        <v>4</v>
      </c>
      <c r="V504" s="6" t="s">
        <v>879</v>
      </c>
      <c r="W504" s="6" t="s">
        <v>37</v>
      </c>
      <c r="X504" s="7">
        <v>45379</v>
      </c>
      <c r="Y504" s="7">
        <v>45869</v>
      </c>
      <c r="AB504" t="s">
        <v>1622</v>
      </c>
      <c r="AC504" t="e">
        <v>#N/A</v>
      </c>
      <c r="AE504" t="str">
        <f t="shared" si="71"/>
        <v>P000779</v>
      </c>
      <c r="AF504" t="str">
        <f>_xlfn.XLOOKUP(AE504, Hoja2!A:A, Hoja2!A:A)</f>
        <v>P000779</v>
      </c>
      <c r="AG504" t="str">
        <f t="shared" si="74"/>
        <v>PP00045-04</v>
      </c>
      <c r="AH504">
        <f>_xlfn.XLOOKUP(AG504, Hoja3!A:A, Hoja3!B:B)</f>
        <v>4728</v>
      </c>
      <c r="AI504">
        <f>_xlfn.XLOOKUP(AH504, Hoja4!A:A, Hoja4!B:B)</f>
        <v>57226</v>
      </c>
      <c r="AJ504" t="b">
        <f t="shared" si="75"/>
        <v>1</v>
      </c>
    </row>
    <row r="505" spans="1:36" ht="15.5" customHeight="1" x14ac:dyDescent="0.35">
      <c r="A505">
        <f t="shared" ca="1" si="70"/>
        <v>27</v>
      </c>
      <c r="B505" s="6" t="s">
        <v>1623</v>
      </c>
      <c r="C505" s="7">
        <v>45351</v>
      </c>
      <c r="D505" s="6" t="s">
        <v>912</v>
      </c>
      <c r="E505" s="6" t="s">
        <v>30</v>
      </c>
      <c r="F505" s="6" t="s">
        <v>508</v>
      </c>
      <c r="G505" s="6" t="s">
        <v>32</v>
      </c>
      <c r="H505" s="6">
        <v>69321264</v>
      </c>
      <c r="I505" s="6"/>
      <c r="J505" s="6" t="str">
        <f>IF(E505="KTG","KTG",(VLOOKUP(I505,'[1]list of outsource'!B:H,2,0)))</f>
        <v>KTG</v>
      </c>
      <c r="K505" s="6"/>
      <c r="L505" s="6"/>
      <c r="M505" s="6" t="s">
        <v>1624</v>
      </c>
      <c r="N505" s="6" t="s">
        <v>1625</v>
      </c>
      <c r="O505" s="6"/>
      <c r="P505" s="6"/>
      <c r="Q505" s="8">
        <v>45373</v>
      </c>
      <c r="R505" s="6"/>
      <c r="S505" s="6"/>
      <c r="T505" s="6"/>
      <c r="U505" s="6">
        <v>1</v>
      </c>
      <c r="V505" s="6" t="s">
        <v>569</v>
      </c>
      <c r="W505" s="6" t="s">
        <v>154</v>
      </c>
      <c r="X505" s="7">
        <v>45378</v>
      </c>
      <c r="Y505" s="7">
        <v>45384</v>
      </c>
      <c r="AB505" t="e">
        <v>#N/A</v>
      </c>
      <c r="AC505" t="e">
        <v>#N/A</v>
      </c>
      <c r="AE505" t="str">
        <f t="shared" si="71"/>
        <v>E62427</v>
      </c>
      <c r="AF505" t="str">
        <f>_xlfn.XLOOKUP(AE505, Hoja2!A:A, Hoja2!A:A)</f>
        <v>E62427</v>
      </c>
      <c r="AG505" t="str">
        <f t="shared" si="74"/>
        <v>PP00026-38</v>
      </c>
      <c r="AH505">
        <f>_xlfn.XLOOKUP(AG505, Hoja3!A:A, Hoja3!B:B)</f>
        <v>5646</v>
      </c>
      <c r="AI505">
        <f>_xlfn.XLOOKUP(AH505, Hoja4!A:A, Hoja4!B:B)</f>
        <v>69321264</v>
      </c>
      <c r="AJ505" t="b">
        <f t="shared" si="75"/>
        <v>1</v>
      </c>
    </row>
    <row r="506" spans="1:36" ht="15.5" customHeight="1" x14ac:dyDescent="0.35">
      <c r="A506">
        <f t="shared" ca="1" si="70"/>
        <v>27</v>
      </c>
      <c r="B506" s="6" t="s">
        <v>1626</v>
      </c>
      <c r="C506" s="7">
        <v>45351</v>
      </c>
      <c r="D506" s="6" t="s">
        <v>912</v>
      </c>
      <c r="E506" s="6" t="s">
        <v>30</v>
      </c>
      <c r="F506" s="6" t="s">
        <v>508</v>
      </c>
      <c r="G506" s="6" t="s">
        <v>32</v>
      </c>
      <c r="H506" s="6">
        <v>69321271</v>
      </c>
      <c r="I506" s="6"/>
      <c r="J506" s="6" t="str">
        <f>IF(E506="KTG","KTG",(VLOOKUP(I506,'[1]list of outsource'!B:H,2,0)))</f>
        <v>KTG</v>
      </c>
      <c r="K506" s="6"/>
      <c r="L506" s="6"/>
      <c r="M506" s="6" t="s">
        <v>1627</v>
      </c>
      <c r="N506" s="6" t="s">
        <v>1628</v>
      </c>
      <c r="O506" s="6"/>
      <c r="P506" s="6"/>
      <c r="Q506" s="8">
        <v>45373</v>
      </c>
      <c r="R506" s="6"/>
      <c r="S506" s="6"/>
      <c r="T506" s="6"/>
      <c r="U506" s="6">
        <v>1</v>
      </c>
      <c r="V506" s="6" t="s">
        <v>569</v>
      </c>
      <c r="W506" s="6" t="s">
        <v>154</v>
      </c>
      <c r="X506" s="7">
        <v>45378</v>
      </c>
      <c r="Y506" s="7">
        <v>45384</v>
      </c>
      <c r="AB506" t="e">
        <v>#N/A</v>
      </c>
      <c r="AC506">
        <v>0</v>
      </c>
      <c r="AE506" t="str">
        <f t="shared" si="71"/>
        <v>E62429</v>
      </c>
      <c r="AF506" t="str">
        <f>_xlfn.XLOOKUP(AE506, Hoja2!A:A, Hoja2!A:A)</f>
        <v>E62429</v>
      </c>
      <c r="AG506" t="str">
        <f t="shared" si="74"/>
        <v>PP00026-39</v>
      </c>
      <c r="AH506">
        <f>_xlfn.XLOOKUP(AG506, Hoja3!A:A, Hoja3!B:B)</f>
        <v>5648</v>
      </c>
      <c r="AI506">
        <f>_xlfn.XLOOKUP(AH506, Hoja4!A:A, Hoja4!B:B)</f>
        <v>69321271</v>
      </c>
      <c r="AJ506" t="b">
        <f t="shared" si="75"/>
        <v>1</v>
      </c>
    </row>
    <row r="507" spans="1:36" ht="15.5" customHeight="1" x14ac:dyDescent="0.35">
      <c r="A507">
        <f t="shared" ca="1" si="70"/>
        <v>30</v>
      </c>
      <c r="B507" s="12" t="s">
        <v>1629</v>
      </c>
      <c r="C507" s="13">
        <v>45356</v>
      </c>
      <c r="D507" s="14" t="s">
        <v>121</v>
      </c>
      <c r="E507" s="14" t="s">
        <v>139</v>
      </c>
      <c r="F507" s="14" t="s">
        <v>933</v>
      </c>
      <c r="G507" s="14" t="s">
        <v>32</v>
      </c>
      <c r="H507" s="14">
        <v>35777315</v>
      </c>
      <c r="I507" s="14" t="s">
        <v>402</v>
      </c>
      <c r="J507" s="14" t="str">
        <f>IF(E507="KTG","KTG",(VLOOKUP(I507,'[1]list of outsource'!B:H,2,0)))</f>
        <v>ETC</v>
      </c>
      <c r="K507" s="14" t="s">
        <v>403</v>
      </c>
      <c r="L507" s="14" t="s">
        <v>1488</v>
      </c>
      <c r="M507" s="14" t="s">
        <v>1630</v>
      </c>
      <c r="N507" s="14" t="s">
        <v>1631</v>
      </c>
      <c r="O507" s="14">
        <v>1290147080</v>
      </c>
      <c r="P507" s="14"/>
      <c r="Q507" s="15">
        <v>45300</v>
      </c>
      <c r="R507" s="14" t="s">
        <v>575</v>
      </c>
      <c r="S507" s="16" t="s">
        <v>575</v>
      </c>
      <c r="T507" s="14" t="s">
        <v>575</v>
      </c>
      <c r="U507" s="14">
        <v>4</v>
      </c>
      <c r="V507" s="14" t="s">
        <v>919</v>
      </c>
      <c r="W507" s="14" t="s">
        <v>37</v>
      </c>
      <c r="X507" s="13">
        <v>45386</v>
      </c>
      <c r="Y507" s="13"/>
      <c r="AB507" t="e">
        <v>#N/A</v>
      </c>
      <c r="AC507" t="e">
        <v>#N/A</v>
      </c>
      <c r="AE507" t="str">
        <f t="shared" si="71"/>
        <v>P000649</v>
      </c>
      <c r="AF507" t="str">
        <f>_xlfn.XLOOKUP(AE507, Hoja2!A:A, Hoja2!A:A)</f>
        <v>P000649</v>
      </c>
      <c r="AG507" t="str">
        <f t="shared" si="74"/>
        <v>PP00042-0020</v>
      </c>
      <c r="AH507">
        <f>_xlfn.XLOOKUP(AG507, Hoja3!A:A, Hoja3!B:B)</f>
        <v>3805</v>
      </c>
      <c r="AI507">
        <f>_xlfn.XLOOKUP(AH507, Hoja4!A:A, Hoja4!B:B)</f>
        <v>35777315</v>
      </c>
      <c r="AJ507" t="b">
        <f t="shared" si="75"/>
        <v>1</v>
      </c>
    </row>
    <row r="508" spans="1:36" ht="15.5" customHeight="1" x14ac:dyDescent="0.35">
      <c r="A508">
        <f t="shared" ca="1" si="70"/>
        <v>51</v>
      </c>
      <c r="B508" s="6" t="s">
        <v>1632</v>
      </c>
      <c r="C508" s="7">
        <v>45265</v>
      </c>
      <c r="D508" s="6" t="s">
        <v>912</v>
      </c>
      <c r="E508" s="6" t="s">
        <v>139</v>
      </c>
      <c r="F508" s="6" t="s">
        <v>658</v>
      </c>
      <c r="G508" s="6" t="s">
        <v>32</v>
      </c>
      <c r="H508" s="6">
        <v>35758269</v>
      </c>
      <c r="I508" s="6" t="s">
        <v>208</v>
      </c>
      <c r="J508" s="6" t="str">
        <f>IF(E508="KTG","KTG",(VLOOKUP(I508,'[1]list of outsource'!B:H,2,0)))</f>
        <v>ETC</v>
      </c>
      <c r="K508" s="6" t="s">
        <v>209</v>
      </c>
      <c r="L508" s="6"/>
      <c r="M508" s="6" t="s">
        <v>424</v>
      </c>
      <c r="N508" s="6" t="s">
        <v>1633</v>
      </c>
      <c r="O508" s="6">
        <v>1293953227</v>
      </c>
      <c r="P508" s="6"/>
      <c r="Q508" s="8"/>
      <c r="R508" s="6"/>
      <c r="S508" s="6"/>
      <c r="T508" s="6"/>
      <c r="U508" s="6">
        <v>4</v>
      </c>
      <c r="V508" s="6"/>
      <c r="W508" s="6" t="s">
        <v>37</v>
      </c>
      <c r="X508" s="7">
        <v>45316</v>
      </c>
      <c r="Y508" s="7">
        <v>45351</v>
      </c>
      <c r="AB508">
        <v>0</v>
      </c>
      <c r="AC508" t="e">
        <v>#N/A</v>
      </c>
      <c r="AE508" t="str">
        <f t="shared" si="71"/>
        <v>P000166</v>
      </c>
      <c r="AF508" t="str">
        <f>_xlfn.XLOOKUP(AE508, Hoja2!A:A, Hoja2!A:A)</f>
        <v>P000166</v>
      </c>
      <c r="AG508" t="str">
        <f t="shared" si="74"/>
        <v>PP00034-24</v>
      </c>
      <c r="AH508">
        <f>_xlfn.XLOOKUP(AG508, Hoja3!A:A, Hoja3!B:B)</f>
        <v>4770</v>
      </c>
      <c r="AI508">
        <f>_xlfn.XLOOKUP(AH508, Hoja4!A:A, Hoja4!B:B)</f>
        <v>35758269</v>
      </c>
      <c r="AJ508" t="b">
        <f t="shared" si="75"/>
        <v>1</v>
      </c>
    </row>
    <row r="509" spans="1:36" ht="15.5" customHeight="1" x14ac:dyDescent="0.35">
      <c r="A509">
        <f t="shared" ca="1" si="70"/>
        <v>42</v>
      </c>
      <c r="B509" s="6" t="s">
        <v>1634</v>
      </c>
      <c r="C509" s="7">
        <v>45182</v>
      </c>
      <c r="D509" s="6" t="s">
        <v>507</v>
      </c>
      <c r="E509" s="6" t="s">
        <v>83</v>
      </c>
      <c r="F509" s="6" t="s">
        <v>84</v>
      </c>
      <c r="G509" s="6" t="s">
        <v>156</v>
      </c>
      <c r="H509" s="6" t="s">
        <v>259</v>
      </c>
      <c r="I509" s="6" t="s">
        <v>198</v>
      </c>
      <c r="J509" s="6" t="str">
        <f>IF(E509="KTG","KTG",(VLOOKUP(I509,'[1]list of outsource'!B:H,2,0)))</f>
        <v>UPM</v>
      </c>
      <c r="K509" s="6" t="s">
        <v>199</v>
      </c>
      <c r="L509" s="6">
        <v>9</v>
      </c>
      <c r="M509" s="6" t="s">
        <v>260</v>
      </c>
      <c r="N509" s="6" t="s">
        <v>1635</v>
      </c>
      <c r="O509" s="6">
        <v>1149845539</v>
      </c>
      <c r="P509" s="6"/>
      <c r="Q509" s="8"/>
      <c r="R509" s="6"/>
      <c r="S509" s="6"/>
      <c r="T509" s="6"/>
      <c r="U509" s="6">
        <v>1</v>
      </c>
      <c r="V509" s="6"/>
      <c r="W509" s="6" t="s">
        <v>154</v>
      </c>
      <c r="X509" s="7">
        <v>45224</v>
      </c>
      <c r="Y509" s="7">
        <v>45225</v>
      </c>
      <c r="AB509" t="e">
        <v>#N/A</v>
      </c>
      <c r="AC509" t="e">
        <v>#N/A</v>
      </c>
      <c r="AE509" t="str">
        <f t="shared" si="71"/>
        <v>P000141</v>
      </c>
      <c r="AF509" t="str">
        <f>_xlfn.XLOOKUP(AE509, Hoja2!A:A, Hoja2!A:A)</f>
        <v>P000141</v>
      </c>
      <c r="AG509" t="str">
        <f t="shared" si="74"/>
        <v>PP00028-27</v>
      </c>
      <c r="AH509">
        <f>_xlfn.XLOOKUP(AG509, Hoja3!A:A, Hoja3!B:B)</f>
        <v>5345</v>
      </c>
      <c r="AI509" t="str">
        <f>_xlfn.XLOOKUP(AH509, Hoja4!A:A, Hoja4!B:B)</f>
        <v>E34875600</v>
      </c>
      <c r="AJ509" t="b">
        <f t="shared" si="75"/>
        <v>1</v>
      </c>
    </row>
    <row r="510" spans="1:36" ht="15.5" hidden="1" customHeight="1" x14ac:dyDescent="0.35">
      <c r="A510">
        <f t="shared" ca="1" si="70"/>
        <v>23</v>
      </c>
      <c r="B510" s="55" t="s">
        <v>1636</v>
      </c>
      <c r="C510" s="7">
        <v>45376</v>
      </c>
      <c r="D510" s="6" t="s">
        <v>912</v>
      </c>
      <c r="E510" s="6" t="s">
        <v>83</v>
      </c>
      <c r="F510" s="6" t="s">
        <v>101</v>
      </c>
      <c r="G510" s="6" t="s">
        <v>299</v>
      </c>
      <c r="H510" s="6" t="s">
        <v>1637</v>
      </c>
      <c r="I510" s="6" t="s">
        <v>133</v>
      </c>
      <c r="J510" s="6" t="str">
        <f>IF(E510="KTG","KTG",(VLOOKUP(I510,'[1]list of outsource'!B:H,2,0)))</f>
        <v>UPM</v>
      </c>
      <c r="K510" s="6" t="s">
        <v>301</v>
      </c>
      <c r="L510" s="6">
        <v>25</v>
      </c>
      <c r="M510" s="55" t="s">
        <v>1638</v>
      </c>
      <c r="N510" s="6" t="s">
        <v>1639</v>
      </c>
      <c r="O510" s="6">
        <v>1319040878</v>
      </c>
      <c r="P510" s="6"/>
      <c r="Q510" s="8">
        <v>45383</v>
      </c>
      <c r="R510" s="6"/>
      <c r="S510" s="6"/>
      <c r="T510" s="6"/>
      <c r="U510" s="6">
        <v>4</v>
      </c>
      <c r="V510" s="6" t="s">
        <v>879</v>
      </c>
      <c r="W510" s="6" t="s">
        <v>37</v>
      </c>
      <c r="X510" s="7">
        <v>45399</v>
      </c>
      <c r="Y510" s="7">
        <v>45419</v>
      </c>
      <c r="AB510" t="e">
        <v>#N/A</v>
      </c>
      <c r="AC510" t="s">
        <v>4210</v>
      </c>
      <c r="AE510" t="str">
        <f t="shared" si="71"/>
        <v>P000691</v>
      </c>
      <c r="AF510" t="e">
        <f>_xlfn.XLOOKUP(AE510, Hoja2!A:A, Hoja2!A:A)</f>
        <v>#N/A</v>
      </c>
    </row>
    <row r="511" spans="1:36" ht="15.5" customHeight="1" x14ac:dyDescent="0.35">
      <c r="A511">
        <f t="shared" ca="1" si="70"/>
        <v>40</v>
      </c>
      <c r="B511" s="6" t="s">
        <v>1634</v>
      </c>
      <c r="C511" s="7">
        <v>45561</v>
      </c>
      <c r="D511" s="6" t="s">
        <v>912</v>
      </c>
      <c r="E511" s="6" t="s">
        <v>83</v>
      </c>
      <c r="F511" s="6" t="s">
        <v>84</v>
      </c>
      <c r="G511" s="6" t="s">
        <v>156</v>
      </c>
      <c r="H511" s="6" t="s">
        <v>259</v>
      </c>
      <c r="I511" s="6" t="s">
        <v>198</v>
      </c>
      <c r="J511" s="6" t="str">
        <f>IF(E511="KTG","KTG",(VLOOKUP(I511,'[1]list of outsource'!B:H,2,0)))</f>
        <v>UPM</v>
      </c>
      <c r="K511" s="6" t="s">
        <v>199</v>
      </c>
      <c r="L511" s="6">
        <v>10</v>
      </c>
      <c r="M511" s="6" t="s">
        <v>260</v>
      </c>
      <c r="N511" s="6" t="s">
        <v>1635</v>
      </c>
      <c r="O511" s="6" t="s">
        <v>1640</v>
      </c>
      <c r="P511" s="6"/>
      <c r="Q511" s="8"/>
      <c r="R511" s="6"/>
      <c r="S511" s="6"/>
      <c r="T511" s="6"/>
      <c r="U511" s="6">
        <v>1</v>
      </c>
      <c r="V511" s="6" t="s">
        <v>569</v>
      </c>
      <c r="W511" s="6" t="s">
        <v>154</v>
      </c>
      <c r="X511" s="7">
        <v>45601</v>
      </c>
      <c r="Y511" s="7">
        <v>45602</v>
      </c>
      <c r="AB511" t="e">
        <v>#N/A</v>
      </c>
      <c r="AC511" t="e">
        <v>#N/A</v>
      </c>
      <c r="AE511" t="str">
        <f t="shared" si="71"/>
        <v>P000141</v>
      </c>
      <c r="AF511" t="str">
        <f>_xlfn.XLOOKUP(AE511, Hoja2!A:A, Hoja2!A:A)</f>
        <v>P000141</v>
      </c>
      <c r="AG511" t="str">
        <f t="shared" ref="AG511:AG561" si="76">LEFT(B511, FIND(" ", B511 &amp; " ") - 1)</f>
        <v>PP00028-27</v>
      </c>
      <c r="AH511">
        <f>_xlfn.XLOOKUP(AG511, Hoja3!A:A, Hoja3!B:B)</f>
        <v>5345</v>
      </c>
      <c r="AI511" t="str">
        <f>_xlfn.XLOOKUP(AH511, Hoja4!A:A, Hoja4!B:B)</f>
        <v>E34875600</v>
      </c>
      <c r="AJ511" t="b">
        <f t="shared" ref="AJ511:AJ561" si="77">H511=AI511</f>
        <v>1</v>
      </c>
    </row>
    <row r="512" spans="1:36" ht="15.5" customHeight="1" x14ac:dyDescent="0.35">
      <c r="A512">
        <f t="shared" ca="1" si="70"/>
        <v>3</v>
      </c>
      <c r="B512" s="12" t="s">
        <v>1634</v>
      </c>
      <c r="C512" s="13">
        <v>45936</v>
      </c>
      <c r="D512" s="14" t="s">
        <v>121</v>
      </c>
      <c r="E512" s="14" t="s">
        <v>83</v>
      </c>
      <c r="F512" s="14" t="s">
        <v>84</v>
      </c>
      <c r="G512" s="14" t="s">
        <v>156</v>
      </c>
      <c r="H512" s="14" t="s">
        <v>259</v>
      </c>
      <c r="I512" s="14" t="s">
        <v>198</v>
      </c>
      <c r="J512" s="14" t="str">
        <f>IF(E512="KTG","KTG",(VLOOKUP(I512,'[1]list of outsource'!B:H,2,0)))</f>
        <v>UPM</v>
      </c>
      <c r="K512" s="14" t="s">
        <v>199</v>
      </c>
      <c r="L512" s="14">
        <v>10</v>
      </c>
      <c r="M512" s="14" t="s">
        <v>260</v>
      </c>
      <c r="N512" s="14" t="s">
        <v>1635</v>
      </c>
      <c r="O512" s="14" t="s">
        <v>1640</v>
      </c>
      <c r="P512" s="14"/>
      <c r="Q512" s="15"/>
      <c r="R512" s="14"/>
      <c r="S512" s="16"/>
      <c r="T512" s="14"/>
      <c r="U512" s="14">
        <v>1</v>
      </c>
      <c r="V512" s="14" t="s">
        <v>569</v>
      </c>
      <c r="W512" s="14" t="s">
        <v>154</v>
      </c>
      <c r="X512" s="13">
        <v>45939</v>
      </c>
      <c r="Y512" s="13"/>
      <c r="AC512" t="e">
        <v>#N/A</v>
      </c>
      <c r="AE512" t="str">
        <f t="shared" si="71"/>
        <v>P000141</v>
      </c>
      <c r="AF512" t="str">
        <f>_xlfn.XLOOKUP(AE512, Hoja2!A:A, Hoja2!A:A)</f>
        <v>P000141</v>
      </c>
      <c r="AG512" t="str">
        <f t="shared" si="76"/>
        <v>PP00028-27</v>
      </c>
      <c r="AH512">
        <f>_xlfn.XLOOKUP(AG512, Hoja3!A:A, Hoja3!B:B)</f>
        <v>5345</v>
      </c>
      <c r="AI512" t="str">
        <f>_xlfn.XLOOKUP(AH512, Hoja4!A:A, Hoja4!B:B)</f>
        <v>E34875600</v>
      </c>
      <c r="AJ512" t="b">
        <f t="shared" si="77"/>
        <v>1</v>
      </c>
    </row>
    <row r="513" spans="1:36" ht="15.5" customHeight="1" x14ac:dyDescent="0.35">
      <c r="A513">
        <f t="shared" ca="1" si="70"/>
        <v>93</v>
      </c>
      <c r="B513" s="6" t="s">
        <v>1641</v>
      </c>
      <c r="C513" s="7">
        <v>45391</v>
      </c>
      <c r="D513" s="6" t="s">
        <v>912</v>
      </c>
      <c r="E513" s="6" t="s">
        <v>139</v>
      </c>
      <c r="F513" s="6" t="s">
        <v>101</v>
      </c>
      <c r="G513" s="6" t="s">
        <v>32</v>
      </c>
      <c r="H513" s="6">
        <v>3254101</v>
      </c>
      <c r="I513" s="6" t="s">
        <v>529</v>
      </c>
      <c r="J513" s="6" t="str">
        <f>IF(E513="KTG","KTG",(VLOOKUP(I513,'[1]list of outsource'!B:H,2,0)))</f>
        <v>ETC</v>
      </c>
      <c r="K513" s="6" t="s">
        <v>530</v>
      </c>
      <c r="L513" s="6">
        <v>19</v>
      </c>
      <c r="M513" s="6" t="s">
        <v>1642</v>
      </c>
      <c r="N513" s="6" t="s">
        <v>1643</v>
      </c>
      <c r="O513" s="6" t="s">
        <v>1644</v>
      </c>
      <c r="P513" s="6" t="s">
        <v>1645</v>
      </c>
      <c r="Q513" s="8">
        <v>45397</v>
      </c>
      <c r="R513" s="6"/>
      <c r="S513" s="6"/>
      <c r="T513" s="6"/>
      <c r="U513" s="6">
        <v>4</v>
      </c>
      <c r="V513" s="6" t="s">
        <v>879</v>
      </c>
      <c r="W513" s="6" t="s">
        <v>37</v>
      </c>
      <c r="X513" s="7">
        <v>45484</v>
      </c>
      <c r="Y513" s="7">
        <v>45496</v>
      </c>
      <c r="AB513" t="e">
        <v>#N/A</v>
      </c>
      <c r="AC513" t="e">
        <v>#N/A</v>
      </c>
      <c r="AE513" t="str">
        <f t="shared" si="71"/>
        <v>P000369</v>
      </c>
      <c r="AF513" t="str">
        <f>_xlfn.XLOOKUP(AE513, Hoja2!A:A, Hoja2!A:A)</f>
        <v>P000369</v>
      </c>
      <c r="AG513" t="str">
        <f t="shared" si="76"/>
        <v>PP00053-08</v>
      </c>
      <c r="AH513">
        <f>_xlfn.XLOOKUP(AG513, Hoja3!A:A, Hoja3!B:B)</f>
        <v>3967</v>
      </c>
      <c r="AI513">
        <f>_xlfn.XLOOKUP(AH513, Hoja4!A:A, Hoja4!B:B)</f>
        <v>3254101</v>
      </c>
      <c r="AJ513" t="b">
        <f t="shared" si="77"/>
        <v>1</v>
      </c>
    </row>
    <row r="514" spans="1:36" ht="15.5" customHeight="1" x14ac:dyDescent="0.35">
      <c r="A514">
        <f t="shared" ref="A514:A577" ca="1" si="78">IF(X514="",(TODAY()-C514),(X514-C514))</f>
        <v>93</v>
      </c>
      <c r="B514" s="6" t="s">
        <v>1646</v>
      </c>
      <c r="C514" s="7">
        <v>45391</v>
      </c>
      <c r="D514" s="6" t="s">
        <v>912</v>
      </c>
      <c r="E514" s="6" t="s">
        <v>83</v>
      </c>
      <c r="F514" s="6" t="s">
        <v>101</v>
      </c>
      <c r="G514" s="6" t="s">
        <v>32</v>
      </c>
      <c r="H514" s="6">
        <v>3463258</v>
      </c>
      <c r="I514" s="6" t="s">
        <v>95</v>
      </c>
      <c r="J514" s="6" t="str">
        <f>IF(E514="KTG","KTG",(VLOOKUP(I514,'[1]list of outsource'!B:H,2,0)))</f>
        <v>Woer</v>
      </c>
      <c r="K514" s="6" t="s">
        <v>96</v>
      </c>
      <c r="L514" s="6">
        <v>48</v>
      </c>
      <c r="M514" s="6" t="s">
        <v>1647</v>
      </c>
      <c r="N514" s="6" t="s">
        <v>1648</v>
      </c>
      <c r="O514" s="6" t="s">
        <v>1649</v>
      </c>
      <c r="P514" s="6" t="s">
        <v>1645</v>
      </c>
      <c r="Q514" s="8">
        <v>45481</v>
      </c>
      <c r="R514" s="6"/>
      <c r="S514" s="6"/>
      <c r="T514" s="6"/>
      <c r="U514" s="6">
        <v>4</v>
      </c>
      <c r="V514" s="6" t="s">
        <v>919</v>
      </c>
      <c r="W514" s="6" t="s">
        <v>37</v>
      </c>
      <c r="X514" s="7">
        <v>45484</v>
      </c>
      <c r="Y514" s="7">
        <v>45496</v>
      </c>
      <c r="AB514" t="e">
        <v>#N/A</v>
      </c>
      <c r="AC514"/>
      <c r="AE514" t="str">
        <f t="shared" si="71"/>
        <v>P000837</v>
      </c>
      <c r="AF514" t="str">
        <f>_xlfn.XLOOKUP(AE514, Hoja2!A:A, Hoja2!A:A)</f>
        <v>P000837</v>
      </c>
      <c r="AG514" t="str">
        <f t="shared" si="76"/>
        <v>PP00053-09</v>
      </c>
      <c r="AH514">
        <f>_xlfn.XLOOKUP(AG514, Hoja3!A:A, Hoja3!B:B)</f>
        <v>3972</v>
      </c>
      <c r="AI514">
        <f>_xlfn.XLOOKUP(AH514, Hoja4!A:A, Hoja4!B:B)</f>
        <v>3463258</v>
      </c>
      <c r="AJ514" t="b">
        <f t="shared" si="77"/>
        <v>1</v>
      </c>
    </row>
    <row r="515" spans="1:36" ht="15.5" customHeight="1" x14ac:dyDescent="0.35">
      <c r="A515">
        <f t="shared" ca="1" si="78"/>
        <v>48</v>
      </c>
      <c r="B515" s="6" t="s">
        <v>1650</v>
      </c>
      <c r="C515" s="7">
        <v>45182</v>
      </c>
      <c r="D515" s="6" t="s">
        <v>507</v>
      </c>
      <c r="E515" s="6" t="s">
        <v>83</v>
      </c>
      <c r="F515" s="6" t="s">
        <v>84</v>
      </c>
      <c r="G515" s="6" t="s">
        <v>156</v>
      </c>
      <c r="H515" s="6" t="s">
        <v>239</v>
      </c>
      <c r="I515" s="6" t="s">
        <v>198</v>
      </c>
      <c r="J515" s="6" t="str">
        <f>IF(E515="KTG","KTG",(VLOOKUP(I515,'[1]list of outsource'!B:H,2,0)))</f>
        <v>UPM</v>
      </c>
      <c r="K515" s="6" t="s">
        <v>199</v>
      </c>
      <c r="L515" s="6">
        <v>9</v>
      </c>
      <c r="M515" s="6" t="s">
        <v>240</v>
      </c>
      <c r="N515" s="6" t="s">
        <v>241</v>
      </c>
      <c r="O515" s="6">
        <v>1149845452</v>
      </c>
      <c r="P515" s="6"/>
      <c r="Q515" s="8"/>
      <c r="R515" s="6"/>
      <c r="S515" s="6"/>
      <c r="T515" s="6"/>
      <c r="U515" s="6">
        <v>1</v>
      </c>
      <c r="V515" s="6"/>
      <c r="W515" s="6" t="s">
        <v>154</v>
      </c>
      <c r="X515" s="7">
        <v>45230</v>
      </c>
      <c r="Y515" s="7">
        <v>45236</v>
      </c>
      <c r="AB515" t="e">
        <v>#N/A</v>
      </c>
      <c r="AC515" t="e">
        <v>#N/A</v>
      </c>
      <c r="AE515" t="str">
        <f t="shared" ref="AE515:AE578" si="79">LEFT(M515, FIND(" ", M515 &amp; " ") - 1)</f>
        <v>P000140</v>
      </c>
      <c r="AF515" t="str">
        <f>_xlfn.XLOOKUP(AE515, Hoja2!A:A, Hoja2!A:A)</f>
        <v>P000140</v>
      </c>
      <c r="AG515" t="str">
        <f t="shared" si="76"/>
        <v>PP00028-28</v>
      </c>
      <c r="AH515">
        <f>_xlfn.XLOOKUP(AG515, Hoja3!A:A, Hoja3!B:B)</f>
        <v>5348</v>
      </c>
      <c r="AI515" t="str">
        <f>_xlfn.XLOOKUP(AH515, Hoja4!A:A, Hoja4!B:B)</f>
        <v>E34875700</v>
      </c>
      <c r="AJ515" t="b">
        <f t="shared" si="77"/>
        <v>1</v>
      </c>
    </row>
    <row r="516" spans="1:36" ht="15.5" customHeight="1" x14ac:dyDescent="0.35">
      <c r="A516">
        <f t="shared" ca="1" si="78"/>
        <v>31</v>
      </c>
      <c r="B516" s="6" t="s">
        <v>1650</v>
      </c>
      <c r="C516" s="7">
        <v>45571</v>
      </c>
      <c r="D516" s="6" t="s">
        <v>912</v>
      </c>
      <c r="E516" s="6" t="s">
        <v>83</v>
      </c>
      <c r="F516" s="6" t="s">
        <v>84</v>
      </c>
      <c r="G516" s="6" t="s">
        <v>156</v>
      </c>
      <c r="H516" s="6" t="s">
        <v>239</v>
      </c>
      <c r="I516" s="6" t="s">
        <v>198</v>
      </c>
      <c r="J516" s="6" t="str">
        <f>IF(E516="KTG","KTG",(VLOOKUP(I516,'[1]list of outsource'!B:H,2,0)))</f>
        <v>UPM</v>
      </c>
      <c r="K516" s="6" t="s">
        <v>199</v>
      </c>
      <c r="L516" s="6">
        <v>10</v>
      </c>
      <c r="M516" s="6" t="s">
        <v>240</v>
      </c>
      <c r="N516" s="6" t="s">
        <v>241</v>
      </c>
      <c r="O516" s="6" t="s">
        <v>1651</v>
      </c>
      <c r="P516" s="6"/>
      <c r="Q516" s="8"/>
      <c r="R516" s="6"/>
      <c r="S516" s="6"/>
      <c r="T516" s="6"/>
      <c r="U516" s="6">
        <v>1</v>
      </c>
      <c r="V516" s="6" t="s">
        <v>569</v>
      </c>
      <c r="W516" s="6" t="s">
        <v>154</v>
      </c>
      <c r="X516" s="7">
        <v>45602</v>
      </c>
      <c r="Y516" s="7">
        <v>45602</v>
      </c>
      <c r="AB516" t="e">
        <v>#N/A</v>
      </c>
      <c r="AC516" t="e">
        <v>#N/A</v>
      </c>
      <c r="AE516" t="str">
        <f t="shared" si="79"/>
        <v>P000140</v>
      </c>
      <c r="AF516" t="str">
        <f>_xlfn.XLOOKUP(AE516, Hoja2!A:A, Hoja2!A:A)</f>
        <v>P000140</v>
      </c>
      <c r="AG516" t="str">
        <f t="shared" si="76"/>
        <v>PP00028-28</v>
      </c>
      <c r="AH516">
        <f>_xlfn.XLOOKUP(AG516, Hoja3!A:A, Hoja3!B:B)</f>
        <v>5348</v>
      </c>
      <c r="AI516" t="str">
        <f>_xlfn.XLOOKUP(AH516, Hoja4!A:A, Hoja4!B:B)</f>
        <v>E34875700</v>
      </c>
      <c r="AJ516" t="b">
        <f t="shared" si="77"/>
        <v>1</v>
      </c>
    </row>
    <row r="517" spans="1:36" ht="15.5" customHeight="1" x14ac:dyDescent="0.35">
      <c r="A517">
        <f t="shared" ca="1" si="78"/>
        <v>3</v>
      </c>
      <c r="B517" s="12" t="s">
        <v>1650</v>
      </c>
      <c r="C517" s="13">
        <v>45936</v>
      </c>
      <c r="D517" s="14" t="s">
        <v>121</v>
      </c>
      <c r="E517" s="14" t="s">
        <v>83</v>
      </c>
      <c r="F517" s="14" t="s">
        <v>84</v>
      </c>
      <c r="G517" s="14" t="s">
        <v>156</v>
      </c>
      <c r="H517" s="14" t="s">
        <v>239</v>
      </c>
      <c r="I517" s="14" t="s">
        <v>198</v>
      </c>
      <c r="J517" s="14" t="str">
        <f>IF(E517="KTG","KTG",(VLOOKUP(I517,'[1]list of outsource'!B:H,2,0)))</f>
        <v>UPM</v>
      </c>
      <c r="K517" s="14" t="s">
        <v>199</v>
      </c>
      <c r="L517" s="14">
        <v>10</v>
      </c>
      <c r="M517" s="14" t="s">
        <v>240</v>
      </c>
      <c r="N517" s="14" t="s">
        <v>241</v>
      </c>
      <c r="O517" s="14" t="s">
        <v>1651</v>
      </c>
      <c r="P517" s="14"/>
      <c r="Q517" s="15"/>
      <c r="R517" s="14"/>
      <c r="S517" s="16"/>
      <c r="T517" s="14"/>
      <c r="U517" s="14">
        <v>1</v>
      </c>
      <c r="V517" s="14" t="s">
        <v>569</v>
      </c>
      <c r="W517" s="14" t="s">
        <v>154</v>
      </c>
      <c r="X517" s="13">
        <v>45939</v>
      </c>
      <c r="Y517" s="13"/>
      <c r="AC517" t="e">
        <v>#N/A</v>
      </c>
      <c r="AE517" t="str">
        <f t="shared" si="79"/>
        <v>P000140</v>
      </c>
      <c r="AF517" t="str">
        <f>_xlfn.XLOOKUP(AE517, Hoja2!A:A, Hoja2!A:A)</f>
        <v>P000140</v>
      </c>
      <c r="AG517" t="str">
        <f t="shared" si="76"/>
        <v>PP00028-28</v>
      </c>
      <c r="AH517">
        <f>_xlfn.XLOOKUP(AG517, Hoja3!A:A, Hoja3!B:B)</f>
        <v>5348</v>
      </c>
      <c r="AI517" t="str">
        <f>_xlfn.XLOOKUP(AH517, Hoja4!A:A, Hoja4!B:B)</f>
        <v>E34875700</v>
      </c>
      <c r="AJ517" t="b">
        <f t="shared" si="77"/>
        <v>1</v>
      </c>
    </row>
    <row r="518" spans="1:36" ht="15.5" customHeight="1" x14ac:dyDescent="0.35">
      <c r="A518">
        <f t="shared" ca="1" si="78"/>
        <v>56</v>
      </c>
      <c r="B518" s="6" t="s">
        <v>1652</v>
      </c>
      <c r="C518" s="7">
        <v>45189</v>
      </c>
      <c r="D518" s="6" t="s">
        <v>564</v>
      </c>
      <c r="E518" s="6" t="s">
        <v>83</v>
      </c>
      <c r="F518" s="6" t="s">
        <v>84</v>
      </c>
      <c r="G518" s="6" t="s">
        <v>156</v>
      </c>
      <c r="H518" s="6" t="s">
        <v>271</v>
      </c>
      <c r="I518" s="6" t="s">
        <v>158</v>
      </c>
      <c r="J518" s="6" t="str">
        <f>IF(E518="KTG","KTG",(VLOOKUP(I518,'[1]list of outsource'!B:H,2,0)))</f>
        <v>UPM</v>
      </c>
      <c r="K518" s="6" t="s">
        <v>159</v>
      </c>
      <c r="L518" s="6">
        <v>37</v>
      </c>
      <c r="M518" s="6" t="s">
        <v>272</v>
      </c>
      <c r="N518" s="6" t="s">
        <v>1564</v>
      </c>
      <c r="O518" s="6"/>
      <c r="P518" s="6"/>
      <c r="Q518" s="8"/>
      <c r="R518" s="6"/>
      <c r="S518" s="6"/>
      <c r="T518" s="6"/>
      <c r="U518" s="6">
        <v>1</v>
      </c>
      <c r="V518" s="6"/>
      <c r="W518" s="6" t="s">
        <v>154</v>
      </c>
      <c r="X518" s="7">
        <v>45245</v>
      </c>
      <c r="Y518" s="7">
        <v>45964</v>
      </c>
      <c r="AB518" t="e">
        <v>#N/A</v>
      </c>
      <c r="AC518" t="e">
        <v>#N/A</v>
      </c>
      <c r="AE518" t="str">
        <f t="shared" si="79"/>
        <v>P000156</v>
      </c>
      <c r="AF518" t="str">
        <f>_xlfn.XLOOKUP(AE518, Hoja2!A:A, Hoja2!A:A)</f>
        <v>P000156</v>
      </c>
      <c r="AG518" t="str">
        <f t="shared" si="76"/>
        <v>PP00028-29</v>
      </c>
      <c r="AH518">
        <f>_xlfn.XLOOKUP(AG518, Hoja3!A:A, Hoja3!B:B)</f>
        <v>5350</v>
      </c>
      <c r="AI518" t="str">
        <f>_xlfn.XLOOKUP(AH518, Hoja4!A:A, Hoja4!B:B)</f>
        <v>E35113000</v>
      </c>
      <c r="AJ518" t="b">
        <f t="shared" si="77"/>
        <v>1</v>
      </c>
    </row>
    <row r="519" spans="1:36" ht="15.5" customHeight="1" x14ac:dyDescent="0.35">
      <c r="A519">
        <f t="shared" ca="1" si="78"/>
        <v>4</v>
      </c>
      <c r="B519" s="6" t="s">
        <v>1652</v>
      </c>
      <c r="C519" s="7">
        <v>45394</v>
      </c>
      <c r="D519" s="6" t="s">
        <v>912</v>
      </c>
      <c r="E519" s="6" t="s">
        <v>83</v>
      </c>
      <c r="F519" s="6" t="s">
        <v>84</v>
      </c>
      <c r="G519" s="6" t="s">
        <v>156</v>
      </c>
      <c r="H519" s="6" t="s">
        <v>271</v>
      </c>
      <c r="I519" s="6" t="s">
        <v>158</v>
      </c>
      <c r="J519" s="6" t="str">
        <f>IF(E519="KTG","KTG",(VLOOKUP(I519,'[1]list of outsource'!B:H,2,0)))</f>
        <v>UPM</v>
      </c>
      <c r="K519" s="6" t="s">
        <v>159</v>
      </c>
      <c r="L519" s="6">
        <v>38</v>
      </c>
      <c r="M519" s="6" t="s">
        <v>272</v>
      </c>
      <c r="N519" s="6" t="s">
        <v>1564</v>
      </c>
      <c r="O519" s="6">
        <v>1165241549</v>
      </c>
      <c r="P519" s="6"/>
      <c r="Q519" s="8" t="s">
        <v>575</v>
      </c>
      <c r="R519" s="6"/>
      <c r="S519" s="6"/>
      <c r="T519" s="6"/>
      <c r="U519" s="6">
        <v>1</v>
      </c>
      <c r="V519" s="6" t="s">
        <v>569</v>
      </c>
      <c r="W519" s="6" t="s">
        <v>154</v>
      </c>
      <c r="X519" s="7">
        <v>45398</v>
      </c>
      <c r="Y519" s="7">
        <v>45401</v>
      </c>
      <c r="AB519" t="e">
        <v>#N/A</v>
      </c>
      <c r="AC519"/>
      <c r="AE519" t="str">
        <f t="shared" si="79"/>
        <v>P000156</v>
      </c>
      <c r="AF519" t="str">
        <f>_xlfn.XLOOKUP(AE519, Hoja2!A:A, Hoja2!A:A)</f>
        <v>P000156</v>
      </c>
      <c r="AG519" t="str">
        <f t="shared" si="76"/>
        <v>PP00028-29</v>
      </c>
      <c r="AH519">
        <f>_xlfn.XLOOKUP(AG519, Hoja3!A:A, Hoja3!B:B)</f>
        <v>5350</v>
      </c>
      <c r="AI519" t="str">
        <f>_xlfn.XLOOKUP(AH519, Hoja4!A:A, Hoja4!B:B)</f>
        <v>E35113000</v>
      </c>
      <c r="AJ519" t="b">
        <f t="shared" si="77"/>
        <v>1</v>
      </c>
    </row>
    <row r="520" spans="1:36" ht="15.5" customHeight="1" x14ac:dyDescent="0.35">
      <c r="A520">
        <f t="shared" ca="1" si="78"/>
        <v>55</v>
      </c>
      <c r="B520" s="6" t="s">
        <v>1653</v>
      </c>
      <c r="C520" s="7">
        <v>45190</v>
      </c>
      <c r="D520" s="6" t="s">
        <v>507</v>
      </c>
      <c r="E520" s="6" t="s">
        <v>83</v>
      </c>
      <c r="F520" s="6" t="s">
        <v>84</v>
      </c>
      <c r="G520" s="6" t="s">
        <v>156</v>
      </c>
      <c r="H520" s="6" t="s">
        <v>275</v>
      </c>
      <c r="I520" s="6" t="s">
        <v>176</v>
      </c>
      <c r="J520" s="6" t="str">
        <f>IF(E520="KTG","KTG",(VLOOKUP(I520,'[1]list of outsource'!B:H,2,0)))</f>
        <v>UPM</v>
      </c>
      <c r="K520" s="6" t="s">
        <v>177</v>
      </c>
      <c r="L520" s="6"/>
      <c r="M520" s="6" t="s">
        <v>276</v>
      </c>
      <c r="N520" s="6" t="s">
        <v>277</v>
      </c>
      <c r="O520" s="6"/>
      <c r="P520" s="6"/>
      <c r="Q520" s="8"/>
      <c r="R520" s="6"/>
      <c r="S520" s="6"/>
      <c r="T520" s="6"/>
      <c r="U520" s="6">
        <v>1</v>
      </c>
      <c r="V520" s="6"/>
      <c r="W520" s="6" t="s">
        <v>154</v>
      </c>
      <c r="X520" s="7">
        <v>45245</v>
      </c>
      <c r="Y520" s="7">
        <v>45281</v>
      </c>
      <c r="AB520" t="e">
        <v>#N/A</v>
      </c>
      <c r="AC520" t="e">
        <v>#N/A</v>
      </c>
      <c r="AE520" t="str">
        <f t="shared" si="79"/>
        <v>P000125</v>
      </c>
      <c r="AF520" t="str">
        <f>_xlfn.XLOOKUP(AE520, Hoja2!A:A, Hoja2!A:A)</f>
        <v>P000125</v>
      </c>
      <c r="AG520" t="str">
        <f t="shared" si="76"/>
        <v>PP00028-30</v>
      </c>
      <c r="AH520">
        <f>_xlfn.XLOOKUP(AG520, Hoja3!A:A, Hoja3!B:B)</f>
        <v>45</v>
      </c>
      <c r="AI520" t="str">
        <f>_xlfn.XLOOKUP(AH520, Hoja4!A:A, Hoja4!B:B)</f>
        <v>E35081900</v>
      </c>
      <c r="AJ520" t="b">
        <f t="shared" si="77"/>
        <v>1</v>
      </c>
    </row>
    <row r="521" spans="1:36" ht="15.5" customHeight="1" x14ac:dyDescent="0.35">
      <c r="A521">
        <f t="shared" ca="1" si="78"/>
        <v>21</v>
      </c>
      <c r="B521" s="6" t="s">
        <v>1653</v>
      </c>
      <c r="C521" s="7">
        <v>45617</v>
      </c>
      <c r="D521" s="6" t="s">
        <v>912</v>
      </c>
      <c r="E521" s="6" t="s">
        <v>83</v>
      </c>
      <c r="F521" s="6" t="s">
        <v>84</v>
      </c>
      <c r="G521" s="6" t="s">
        <v>156</v>
      </c>
      <c r="H521" s="6" t="s">
        <v>275</v>
      </c>
      <c r="I521" s="6" t="s">
        <v>176</v>
      </c>
      <c r="J521" s="6" t="str">
        <f>IF(E521="KTG","KTG",(VLOOKUP(I521,'[1]list of outsource'!B:H,2,0)))</f>
        <v>UPM</v>
      </c>
      <c r="K521" s="6" t="s">
        <v>177</v>
      </c>
      <c r="L521" s="6">
        <v>13</v>
      </c>
      <c r="M521" s="6" t="s">
        <v>276</v>
      </c>
      <c r="N521" s="6" t="s">
        <v>277</v>
      </c>
      <c r="O521" s="6" t="s">
        <v>1654</v>
      </c>
      <c r="P521" s="6" t="s">
        <v>574</v>
      </c>
      <c r="Q521" s="8"/>
      <c r="R521" s="6"/>
      <c r="S521" s="6"/>
      <c r="T521" s="6"/>
      <c r="U521" s="6">
        <v>1</v>
      </c>
      <c r="V521" s="6" t="s">
        <v>569</v>
      </c>
      <c r="W521" s="6" t="s">
        <v>576</v>
      </c>
      <c r="X521" s="7">
        <v>45638</v>
      </c>
      <c r="Y521" s="7">
        <v>45642</v>
      </c>
      <c r="AB521" t="e">
        <v>#N/A</v>
      </c>
      <c r="AC521" t="e">
        <v>#N/A</v>
      </c>
      <c r="AE521" t="str">
        <f t="shared" si="79"/>
        <v>P000125</v>
      </c>
      <c r="AF521" t="str">
        <f>_xlfn.XLOOKUP(AE521, Hoja2!A:A, Hoja2!A:A)</f>
        <v>P000125</v>
      </c>
      <c r="AG521" t="str">
        <f t="shared" si="76"/>
        <v>PP00028-30</v>
      </c>
      <c r="AH521">
        <f>_xlfn.XLOOKUP(AG521, Hoja3!A:A, Hoja3!B:B)</f>
        <v>45</v>
      </c>
      <c r="AI521" t="str">
        <f>_xlfn.XLOOKUP(AH521, Hoja4!A:A, Hoja4!B:B)</f>
        <v>E35081900</v>
      </c>
      <c r="AJ521" t="b">
        <f t="shared" si="77"/>
        <v>1</v>
      </c>
    </row>
    <row r="522" spans="1:36" ht="15.5" customHeight="1" x14ac:dyDescent="0.35">
      <c r="A522">
        <f t="shared" ca="1" si="78"/>
        <v>1</v>
      </c>
      <c r="B522" s="6" t="s">
        <v>1655</v>
      </c>
      <c r="C522" s="7">
        <v>45197</v>
      </c>
      <c r="D522" s="6" t="s">
        <v>507</v>
      </c>
      <c r="E522" s="6" t="s">
        <v>83</v>
      </c>
      <c r="F522" s="6" t="s">
        <v>84</v>
      </c>
      <c r="G522" s="6" t="s">
        <v>156</v>
      </c>
      <c r="H522" s="6" t="s">
        <v>185</v>
      </c>
      <c r="I522" s="6" t="s">
        <v>158</v>
      </c>
      <c r="J522" s="6" t="str">
        <f>IF(E522="KTG","KTG",(VLOOKUP(I522,'[1]list of outsource'!B:H,2,0)))</f>
        <v>UPM</v>
      </c>
      <c r="K522" s="6" t="s">
        <v>159</v>
      </c>
      <c r="L522" s="6">
        <v>35</v>
      </c>
      <c r="M522" s="6" t="s">
        <v>186</v>
      </c>
      <c r="N522" s="6" t="s">
        <v>187</v>
      </c>
      <c r="O522" s="6"/>
      <c r="P522" s="6"/>
      <c r="Q522" s="8"/>
      <c r="R522" s="6"/>
      <c r="S522" s="6"/>
      <c r="T522" s="6"/>
      <c r="U522" s="6">
        <v>1</v>
      </c>
      <c r="V522" s="6"/>
      <c r="W522" s="6" t="s">
        <v>154</v>
      </c>
      <c r="X522" s="7">
        <v>45198</v>
      </c>
      <c r="Y522" s="7">
        <v>45204</v>
      </c>
      <c r="AB522" t="e">
        <v>#N/A</v>
      </c>
      <c r="AC522" t="e">
        <v>#N/A</v>
      </c>
      <c r="AE522" t="str">
        <f t="shared" si="79"/>
        <v>P000126</v>
      </c>
      <c r="AF522" t="str">
        <f>_xlfn.XLOOKUP(AE522, Hoja2!A:A, Hoja2!A:A)</f>
        <v>P000126</v>
      </c>
      <c r="AG522" t="str">
        <f t="shared" si="76"/>
        <v>PP00028-31</v>
      </c>
      <c r="AH522">
        <f>_xlfn.XLOOKUP(AG522, Hoja3!A:A, Hoja3!B:B)</f>
        <v>46</v>
      </c>
      <c r="AI522" t="str">
        <f>_xlfn.XLOOKUP(AH522, Hoja4!A:A, Hoja4!B:B)</f>
        <v>E34427900</v>
      </c>
      <c r="AJ522" t="b">
        <f t="shared" si="77"/>
        <v>1</v>
      </c>
    </row>
    <row r="523" spans="1:36" ht="15.5" customHeight="1" x14ac:dyDescent="0.35">
      <c r="A523">
        <f t="shared" ca="1" si="78"/>
        <v>4</v>
      </c>
      <c r="B523" s="6" t="s">
        <v>1655</v>
      </c>
      <c r="C523" s="7">
        <v>45394</v>
      </c>
      <c r="D523" s="6" t="s">
        <v>912</v>
      </c>
      <c r="E523" s="6" t="s">
        <v>83</v>
      </c>
      <c r="F523" s="6" t="s">
        <v>84</v>
      </c>
      <c r="G523" s="6" t="s">
        <v>156</v>
      </c>
      <c r="H523" s="6" t="s">
        <v>185</v>
      </c>
      <c r="I523" s="6" t="s">
        <v>158</v>
      </c>
      <c r="J523" s="6" t="str">
        <f>IF(E523="KTG","KTG",(VLOOKUP(I523,'[1]list of outsource'!B:H,2,0)))</f>
        <v>UPM</v>
      </c>
      <c r="K523" s="6" t="s">
        <v>159</v>
      </c>
      <c r="L523" s="6">
        <v>38</v>
      </c>
      <c r="M523" s="6" t="s">
        <v>186</v>
      </c>
      <c r="N523" s="6" t="s">
        <v>187</v>
      </c>
      <c r="O523" s="6">
        <v>1151962414</v>
      </c>
      <c r="P523" s="6"/>
      <c r="Q523" s="8" t="s">
        <v>575</v>
      </c>
      <c r="R523" s="6"/>
      <c r="S523" s="6"/>
      <c r="T523" s="6"/>
      <c r="U523" s="6">
        <v>1</v>
      </c>
      <c r="V523" s="6" t="s">
        <v>569</v>
      </c>
      <c r="W523" s="6" t="s">
        <v>154</v>
      </c>
      <c r="X523" s="7">
        <v>45398</v>
      </c>
      <c r="Y523" s="7">
        <v>45401</v>
      </c>
      <c r="AB523" t="e">
        <v>#N/A</v>
      </c>
      <c r="AC523" t="e">
        <v>#N/A</v>
      </c>
      <c r="AE523" t="str">
        <f t="shared" si="79"/>
        <v>P000126</v>
      </c>
      <c r="AF523" t="str">
        <f>_xlfn.XLOOKUP(AE523, Hoja2!A:A, Hoja2!A:A)</f>
        <v>P000126</v>
      </c>
      <c r="AG523" t="str">
        <f t="shared" si="76"/>
        <v>PP00028-31</v>
      </c>
      <c r="AH523">
        <f>_xlfn.XLOOKUP(AG523, Hoja3!A:A, Hoja3!B:B)</f>
        <v>46</v>
      </c>
      <c r="AI523" t="str">
        <f>_xlfn.XLOOKUP(AH523, Hoja4!A:A, Hoja4!B:B)</f>
        <v>E34427900</v>
      </c>
      <c r="AJ523" t="b">
        <f t="shared" si="77"/>
        <v>1</v>
      </c>
    </row>
    <row r="524" spans="1:36" ht="15.5" customHeight="1" x14ac:dyDescent="0.35">
      <c r="A524">
        <f t="shared" ca="1" si="78"/>
        <v>22</v>
      </c>
      <c r="B524" s="6" t="s">
        <v>1655</v>
      </c>
      <c r="C524" s="7">
        <v>45735</v>
      </c>
      <c r="D524" s="6" t="s">
        <v>564</v>
      </c>
      <c r="E524" s="6" t="s">
        <v>83</v>
      </c>
      <c r="F524" s="6" t="s">
        <v>84</v>
      </c>
      <c r="G524" s="6" t="s">
        <v>156</v>
      </c>
      <c r="H524" s="6" t="s">
        <v>185</v>
      </c>
      <c r="I524" s="6" t="s">
        <v>158</v>
      </c>
      <c r="J524" s="6" t="str">
        <f>IF(E524="KTG","KTG",(VLOOKUP(I524,'[1]list of outsource'!B:H,2,0)))</f>
        <v>UPM</v>
      </c>
      <c r="K524" s="6" t="s">
        <v>159</v>
      </c>
      <c r="L524" s="6">
        <v>45</v>
      </c>
      <c r="M524" s="6" t="s">
        <v>186</v>
      </c>
      <c r="N524" s="6" t="s">
        <v>187</v>
      </c>
      <c r="O524" s="6" t="s">
        <v>1656</v>
      </c>
      <c r="P524" s="6"/>
      <c r="Q524" s="8"/>
      <c r="R524" s="6"/>
      <c r="S524" s="6"/>
      <c r="T524" s="6"/>
      <c r="U524" s="6">
        <v>1</v>
      </c>
      <c r="V524" s="6" t="s">
        <v>569</v>
      </c>
      <c r="W524" s="6" t="s">
        <v>154</v>
      </c>
      <c r="X524" s="7">
        <v>45757</v>
      </c>
      <c r="Y524" s="7">
        <v>45776</v>
      </c>
      <c r="AB524" t="e">
        <v>#N/A</v>
      </c>
      <c r="AC524" t="e">
        <v>#N/A</v>
      </c>
      <c r="AE524" t="str">
        <f t="shared" si="79"/>
        <v>P000126</v>
      </c>
      <c r="AF524" t="str">
        <f>_xlfn.XLOOKUP(AE524, Hoja2!A:A, Hoja2!A:A)</f>
        <v>P000126</v>
      </c>
      <c r="AG524" t="str">
        <f t="shared" si="76"/>
        <v>PP00028-31</v>
      </c>
      <c r="AH524">
        <f>_xlfn.XLOOKUP(AG524, Hoja3!A:A, Hoja3!B:B)</f>
        <v>46</v>
      </c>
      <c r="AI524" t="str">
        <f>_xlfn.XLOOKUP(AH524, Hoja4!A:A, Hoja4!B:B)</f>
        <v>E34427900</v>
      </c>
      <c r="AJ524" t="b">
        <f t="shared" si="77"/>
        <v>1</v>
      </c>
    </row>
    <row r="525" spans="1:36" ht="15.5" customHeight="1" x14ac:dyDescent="0.35">
      <c r="A525">
        <f t="shared" ca="1" si="78"/>
        <v>3</v>
      </c>
      <c r="B525" s="12" t="s">
        <v>1657</v>
      </c>
      <c r="C525" s="13">
        <v>45205</v>
      </c>
      <c r="D525" s="14" t="s">
        <v>121</v>
      </c>
      <c r="E525" s="14" t="s">
        <v>83</v>
      </c>
      <c r="F525" s="14" t="s">
        <v>84</v>
      </c>
      <c r="G525" s="14" t="s">
        <v>156</v>
      </c>
      <c r="H525" s="14" t="s">
        <v>175</v>
      </c>
      <c r="I525" s="14" t="s">
        <v>176</v>
      </c>
      <c r="J525" s="14" t="str">
        <f>IF(E525="KTG","KTG",(VLOOKUP(I525,'[1]list of outsource'!B:H,2,0)))</f>
        <v>UPM</v>
      </c>
      <c r="K525" s="14" t="s">
        <v>177</v>
      </c>
      <c r="L525" s="14"/>
      <c r="M525" s="14" t="s">
        <v>178</v>
      </c>
      <c r="N525" s="14" t="s">
        <v>179</v>
      </c>
      <c r="O525" s="14"/>
      <c r="P525" s="14"/>
      <c r="Q525" s="15"/>
      <c r="R525" s="14"/>
      <c r="S525" s="16"/>
      <c r="T525" s="14"/>
      <c r="U525" s="14">
        <v>1</v>
      </c>
      <c r="V525" s="14"/>
      <c r="W525" s="14" t="s">
        <v>154</v>
      </c>
      <c r="X525" s="13">
        <v>45208</v>
      </c>
      <c r="Y525" s="13"/>
      <c r="AB525" t="s">
        <v>1658</v>
      </c>
      <c r="AC525" t="e">
        <v>#N/A</v>
      </c>
      <c r="AE525" t="str">
        <f t="shared" si="79"/>
        <v>P000049</v>
      </c>
      <c r="AF525" t="str">
        <f>_xlfn.XLOOKUP(AE525, Hoja2!A:A, Hoja2!A:A)</f>
        <v>P000049</v>
      </c>
      <c r="AG525" t="str">
        <f t="shared" si="76"/>
        <v>PP00028-32</v>
      </c>
      <c r="AH525">
        <f>_xlfn.XLOOKUP(AG525, Hoja3!A:A, Hoja3!B:B)</f>
        <v>37</v>
      </c>
      <c r="AI525" t="str">
        <f>_xlfn.XLOOKUP(AH525, Hoja4!A:A, Hoja4!B:B)</f>
        <v>E35081800</v>
      </c>
      <c r="AJ525" t="b">
        <f t="shared" si="77"/>
        <v>1</v>
      </c>
    </row>
    <row r="526" spans="1:36" ht="15.5" customHeight="1" x14ac:dyDescent="0.35">
      <c r="A526">
        <f t="shared" ca="1" si="78"/>
        <v>18</v>
      </c>
      <c r="B526" s="6" t="s">
        <v>1657</v>
      </c>
      <c r="C526" s="7">
        <v>45303</v>
      </c>
      <c r="D526" s="6" t="s">
        <v>912</v>
      </c>
      <c r="E526" s="6" t="s">
        <v>83</v>
      </c>
      <c r="F526" s="6" t="s">
        <v>84</v>
      </c>
      <c r="G526" s="6" t="s">
        <v>156</v>
      </c>
      <c r="H526" s="6" t="s">
        <v>175</v>
      </c>
      <c r="I526" s="6" t="s">
        <v>176</v>
      </c>
      <c r="J526" s="6" t="str">
        <f>IF(E526="KTG","KTG",(VLOOKUP(I526,'[1]list of outsource'!B:H,2,0)))</f>
        <v>UPM</v>
      </c>
      <c r="K526" s="6" t="s">
        <v>177</v>
      </c>
      <c r="L526" s="6">
        <v>12</v>
      </c>
      <c r="M526" s="6" t="s">
        <v>178</v>
      </c>
      <c r="N526" s="6" t="s">
        <v>179</v>
      </c>
      <c r="O526" s="6" t="s">
        <v>867</v>
      </c>
      <c r="P526" s="6"/>
      <c r="Q526" s="8" t="s">
        <v>575</v>
      </c>
      <c r="R526" s="6"/>
      <c r="S526" s="6"/>
      <c r="T526" s="6"/>
      <c r="U526" s="6">
        <v>1</v>
      </c>
      <c r="V526" s="6" t="s">
        <v>569</v>
      </c>
      <c r="W526" s="6" t="s">
        <v>154</v>
      </c>
      <c r="X526" s="7">
        <v>45321</v>
      </c>
      <c r="Y526" s="7">
        <v>45357</v>
      </c>
      <c r="AB526" t="s">
        <v>1658</v>
      </c>
      <c r="AC526" t="e">
        <v>#N/A</v>
      </c>
      <c r="AE526" t="str">
        <f t="shared" si="79"/>
        <v>P000049</v>
      </c>
      <c r="AF526" t="str">
        <f>_xlfn.XLOOKUP(AE526, Hoja2!A:A, Hoja2!A:A)</f>
        <v>P000049</v>
      </c>
      <c r="AG526" t="str">
        <f t="shared" si="76"/>
        <v>PP00028-32</v>
      </c>
      <c r="AH526">
        <f>_xlfn.XLOOKUP(AG526, Hoja3!A:A, Hoja3!B:B)</f>
        <v>37</v>
      </c>
      <c r="AI526" t="str">
        <f>_xlfn.XLOOKUP(AH526, Hoja4!A:A, Hoja4!B:B)</f>
        <v>E35081800</v>
      </c>
      <c r="AJ526" t="b">
        <f t="shared" si="77"/>
        <v>1</v>
      </c>
    </row>
    <row r="527" spans="1:36" ht="15.5" customHeight="1" x14ac:dyDescent="0.35">
      <c r="A527">
        <f t="shared" ca="1" si="78"/>
        <v>6</v>
      </c>
      <c r="B527" s="17" t="s">
        <v>1657</v>
      </c>
      <c r="C527" s="7">
        <v>45791</v>
      </c>
      <c r="D527" s="6" t="s">
        <v>564</v>
      </c>
      <c r="E527" s="6" t="s">
        <v>83</v>
      </c>
      <c r="F527" s="6" t="s">
        <v>84</v>
      </c>
      <c r="G527" s="6" t="s">
        <v>156</v>
      </c>
      <c r="H527" s="6" t="s">
        <v>175</v>
      </c>
      <c r="I527" s="6" t="s">
        <v>176</v>
      </c>
      <c r="J527" s="6" t="str">
        <f>IF(E527="KTG","KTG",(VLOOKUP(I527,'[1]list of outsource'!B:H,2,0)))</f>
        <v>UPM</v>
      </c>
      <c r="K527" s="6" t="s">
        <v>177</v>
      </c>
      <c r="L527" s="6">
        <v>14</v>
      </c>
      <c r="M527" s="6" t="s">
        <v>178</v>
      </c>
      <c r="N527" s="6" t="s">
        <v>179</v>
      </c>
      <c r="O527" s="6" t="s">
        <v>867</v>
      </c>
      <c r="P527" s="6"/>
      <c r="Q527" s="8"/>
      <c r="R527" s="6"/>
      <c r="S527" s="18"/>
      <c r="T527" s="6"/>
      <c r="U527" s="6">
        <v>1</v>
      </c>
      <c r="V527" s="6" t="s">
        <v>569</v>
      </c>
      <c r="W527" s="6" t="s">
        <v>154</v>
      </c>
      <c r="X527" s="7">
        <v>45797</v>
      </c>
      <c r="Y527" s="7">
        <v>45803</v>
      </c>
      <c r="AB527" t="s">
        <v>1658</v>
      </c>
      <c r="AC527" t="s">
        <v>4210</v>
      </c>
      <c r="AE527" t="str">
        <f t="shared" si="79"/>
        <v>P000049</v>
      </c>
      <c r="AF527" t="str">
        <f>_xlfn.XLOOKUP(AE527, Hoja2!A:A, Hoja2!A:A)</f>
        <v>P000049</v>
      </c>
      <c r="AG527" t="str">
        <f t="shared" si="76"/>
        <v>PP00028-32</v>
      </c>
      <c r="AH527">
        <f>_xlfn.XLOOKUP(AG527, Hoja3!A:A, Hoja3!B:B)</f>
        <v>37</v>
      </c>
      <c r="AI527" t="str">
        <f>_xlfn.XLOOKUP(AH527, Hoja4!A:A, Hoja4!B:B)</f>
        <v>E35081800</v>
      </c>
      <c r="AJ527" t="b">
        <f t="shared" si="77"/>
        <v>1</v>
      </c>
    </row>
    <row r="528" spans="1:36" ht="15.5" customHeight="1" x14ac:dyDescent="0.35">
      <c r="A528">
        <f t="shared" ca="1" si="78"/>
        <v>1</v>
      </c>
      <c r="B528" s="12" t="s">
        <v>1659</v>
      </c>
      <c r="C528" s="13">
        <v>45208</v>
      </c>
      <c r="D528" s="14" t="s">
        <v>121</v>
      </c>
      <c r="E528" s="14" t="s">
        <v>83</v>
      </c>
      <c r="F528" s="14" t="s">
        <v>84</v>
      </c>
      <c r="G528" s="14" t="s">
        <v>156</v>
      </c>
      <c r="H528" s="14" t="s">
        <v>283</v>
      </c>
      <c r="I528" s="14" t="s">
        <v>95</v>
      </c>
      <c r="J528" s="14" t="str">
        <f>IF(E528="KTG","KTG",(VLOOKUP(I528,'[1]list of outsource'!B:H,2,0)))</f>
        <v>Woer</v>
      </c>
      <c r="K528" s="14" t="s">
        <v>96</v>
      </c>
      <c r="L528" s="14">
        <v>39</v>
      </c>
      <c r="M528" s="14" t="s">
        <v>284</v>
      </c>
      <c r="N528" s="14" t="s">
        <v>285</v>
      </c>
      <c r="O528" s="14" t="s">
        <v>1660</v>
      </c>
      <c r="P528" s="14"/>
      <c r="Q528" s="15"/>
      <c r="R528" s="14"/>
      <c r="S528" s="16"/>
      <c r="T528" s="14"/>
      <c r="U528" s="14">
        <v>1</v>
      </c>
      <c r="V528" s="14"/>
      <c r="W528" s="14" t="s">
        <v>154</v>
      </c>
      <c r="X528" s="13">
        <v>45209</v>
      </c>
      <c r="Y528" s="13"/>
      <c r="AB528" t="e">
        <v>#N/A</v>
      </c>
      <c r="AC528" t="s">
        <v>4210</v>
      </c>
      <c r="AE528" t="str">
        <f t="shared" si="79"/>
        <v>P000170</v>
      </c>
      <c r="AF528" t="str">
        <f>_xlfn.XLOOKUP(AE528, Hoja2!A:A, Hoja2!A:A)</f>
        <v>P000170</v>
      </c>
      <c r="AG528" t="str">
        <f t="shared" si="76"/>
        <v>PP00028-33</v>
      </c>
      <c r="AH528">
        <f>_xlfn.XLOOKUP(AG528, Hoja3!A:A, Hoja3!B:B)</f>
        <v>5351</v>
      </c>
      <c r="AI528" t="str">
        <f>_xlfn.XLOOKUP(AH528, Hoja4!A:A, Hoja4!B:B)</f>
        <v>E35246300</v>
      </c>
      <c r="AJ528" t="b">
        <f t="shared" si="77"/>
        <v>1</v>
      </c>
    </row>
    <row r="529" spans="1:36" ht="15.5" customHeight="1" x14ac:dyDescent="0.35">
      <c r="A529">
        <f t="shared" ca="1" si="78"/>
        <v>0</v>
      </c>
      <c r="B529" s="12" t="s">
        <v>1661</v>
      </c>
      <c r="C529" s="13">
        <v>45209</v>
      </c>
      <c r="D529" s="14" t="s">
        <v>121</v>
      </c>
      <c r="E529" s="14" t="s">
        <v>139</v>
      </c>
      <c r="F529" s="14" t="s">
        <v>84</v>
      </c>
      <c r="G529" s="14" t="s">
        <v>156</v>
      </c>
      <c r="H529" s="14" t="s">
        <v>291</v>
      </c>
      <c r="I529" s="14" t="s">
        <v>208</v>
      </c>
      <c r="J529" s="14" t="str">
        <f>IF(E529="KTG","KTG",(VLOOKUP(I529,'[1]list of outsource'!B:H,2,0)))</f>
        <v>ETC</v>
      </c>
      <c r="K529" s="14" t="s">
        <v>209</v>
      </c>
      <c r="L529" s="14">
        <v>18</v>
      </c>
      <c r="M529" s="14" t="s">
        <v>292</v>
      </c>
      <c r="N529" s="14" t="s">
        <v>293</v>
      </c>
      <c r="O529" s="14" t="s">
        <v>1662</v>
      </c>
      <c r="P529" s="14"/>
      <c r="Q529" s="15"/>
      <c r="R529" s="14"/>
      <c r="S529" s="16"/>
      <c r="T529" s="14"/>
      <c r="U529" s="14">
        <v>1</v>
      </c>
      <c r="V529" s="14"/>
      <c r="W529" s="14" t="s">
        <v>154</v>
      </c>
      <c r="X529" s="13">
        <v>45209</v>
      </c>
      <c r="Y529" s="13"/>
      <c r="AB529" t="e">
        <v>#N/A</v>
      </c>
      <c r="AC529" t="s">
        <v>4210</v>
      </c>
      <c r="AE529" t="str">
        <f t="shared" si="79"/>
        <v>P000158</v>
      </c>
      <c r="AF529" t="str">
        <f>_xlfn.XLOOKUP(AE529, Hoja2!A:A, Hoja2!A:A)</f>
        <v>P000158</v>
      </c>
      <c r="AG529" t="str">
        <f t="shared" si="76"/>
        <v>PP00028-34</v>
      </c>
      <c r="AH529">
        <f>_xlfn.XLOOKUP(AG529, Hoja3!A:A, Hoja3!B:B)</f>
        <v>5353</v>
      </c>
      <c r="AI529" t="str">
        <f>_xlfn.XLOOKUP(AH529, Hoja4!A:A, Hoja4!B:B)</f>
        <v>E35099600</v>
      </c>
      <c r="AJ529" t="b">
        <f t="shared" si="77"/>
        <v>1</v>
      </c>
    </row>
    <row r="530" spans="1:36" ht="15.5" customHeight="1" x14ac:dyDescent="0.35">
      <c r="A530">
        <f t="shared" ca="1" si="78"/>
        <v>2</v>
      </c>
      <c r="B530" s="17" t="s">
        <v>1661</v>
      </c>
      <c r="C530" s="7">
        <v>45791</v>
      </c>
      <c r="D530" s="6" t="s">
        <v>564</v>
      </c>
      <c r="E530" s="6" t="s">
        <v>139</v>
      </c>
      <c r="F530" s="6" t="s">
        <v>84</v>
      </c>
      <c r="G530" s="6" t="s">
        <v>156</v>
      </c>
      <c r="H530" s="6" t="s">
        <v>291</v>
      </c>
      <c r="I530" s="6" t="s">
        <v>208</v>
      </c>
      <c r="J530" s="6" t="str">
        <f>IF(E530="KTG","KTG",(VLOOKUP(I530,'[1]list of outsource'!B:H,2,0)))</f>
        <v>ETC</v>
      </c>
      <c r="K530" s="6" t="s">
        <v>209</v>
      </c>
      <c r="L530" s="6">
        <v>23</v>
      </c>
      <c r="M530" s="6" t="s">
        <v>292</v>
      </c>
      <c r="N530" s="6" t="s">
        <v>293</v>
      </c>
      <c r="O530" s="6" t="s">
        <v>1663</v>
      </c>
      <c r="P530" s="6"/>
      <c r="Q530" s="8"/>
      <c r="R530" s="6"/>
      <c r="S530" s="18"/>
      <c r="T530" s="6"/>
      <c r="U530" s="6">
        <v>1</v>
      </c>
      <c r="V530" s="6" t="s">
        <v>569</v>
      </c>
      <c r="W530" s="6" t="s">
        <v>154</v>
      </c>
      <c r="X530" s="7">
        <v>45793</v>
      </c>
      <c r="Y530" s="7">
        <v>45806</v>
      </c>
      <c r="AB530" t="e">
        <v>#N/A</v>
      </c>
      <c r="AC530" t="e">
        <v>#N/A</v>
      </c>
      <c r="AE530" t="str">
        <f t="shared" si="79"/>
        <v>P000158</v>
      </c>
      <c r="AF530" t="str">
        <f>_xlfn.XLOOKUP(AE530, Hoja2!A:A, Hoja2!A:A)</f>
        <v>P000158</v>
      </c>
      <c r="AG530" t="str">
        <f t="shared" si="76"/>
        <v>PP00028-34</v>
      </c>
      <c r="AH530">
        <f>_xlfn.XLOOKUP(AG530, Hoja3!A:A, Hoja3!B:B)</f>
        <v>5353</v>
      </c>
      <c r="AI530" t="str">
        <f>_xlfn.XLOOKUP(AH530, Hoja4!A:A, Hoja4!B:B)</f>
        <v>E35099600</v>
      </c>
      <c r="AJ530" t="b">
        <f t="shared" si="77"/>
        <v>1</v>
      </c>
    </row>
    <row r="531" spans="1:36" ht="15.5" customHeight="1" x14ac:dyDescent="0.35">
      <c r="A531">
        <f t="shared" ca="1" si="78"/>
        <v>35</v>
      </c>
      <c r="B531" s="6" t="s">
        <v>1664</v>
      </c>
      <c r="C531" s="7">
        <v>45408</v>
      </c>
      <c r="D531" s="6" t="s">
        <v>912</v>
      </c>
      <c r="E531" s="6" t="s">
        <v>83</v>
      </c>
      <c r="F531" s="6" t="s">
        <v>101</v>
      </c>
      <c r="G531" s="6" t="s">
        <v>299</v>
      </c>
      <c r="H531" s="6" t="s">
        <v>1665</v>
      </c>
      <c r="I531" s="6" t="s">
        <v>133</v>
      </c>
      <c r="J531" s="6" t="str">
        <f>IF(E531="KTG","KTG",(VLOOKUP(I531,'[1]list of outsource'!B:H,2,0)))</f>
        <v>UPM</v>
      </c>
      <c r="K531" s="6" t="s">
        <v>301</v>
      </c>
      <c r="L531" s="6">
        <v>25</v>
      </c>
      <c r="M531" s="6" t="s">
        <v>1666</v>
      </c>
      <c r="N531" s="6" t="s">
        <v>1667</v>
      </c>
      <c r="O531" s="6" t="s">
        <v>1668</v>
      </c>
      <c r="P531" s="6" t="s">
        <v>574</v>
      </c>
      <c r="Q531" s="8">
        <v>45413</v>
      </c>
      <c r="R531" s="6"/>
      <c r="S531" s="6"/>
      <c r="T531" s="6"/>
      <c r="U531" s="6">
        <v>4</v>
      </c>
      <c r="V531" s="6" t="s">
        <v>879</v>
      </c>
      <c r="W531" s="6" t="s">
        <v>37</v>
      </c>
      <c r="X531" s="7">
        <v>45443</v>
      </c>
      <c r="Y531" s="7">
        <v>45531</v>
      </c>
      <c r="AB531" t="e">
        <v>#N/A</v>
      </c>
      <c r="AC531" t="e">
        <v>#N/A</v>
      </c>
      <c r="AE531" t="str">
        <f t="shared" si="79"/>
        <v>P000716</v>
      </c>
      <c r="AF531" t="str">
        <f>_xlfn.XLOOKUP(AE531, Hoja2!A:A, Hoja2!A:A)</f>
        <v>P000716</v>
      </c>
      <c r="AG531" t="str">
        <f t="shared" si="76"/>
        <v>PP00027-27</v>
      </c>
      <c r="AH531">
        <f>_xlfn.XLOOKUP(AG531, Hoja3!A:A, Hoja3!B:B)</f>
        <v>5580</v>
      </c>
      <c r="AI531" t="str">
        <f>_xlfn.XLOOKUP(AH531, Hoja4!A:A, Hoja4!B:B)</f>
        <v>GP109573</v>
      </c>
      <c r="AJ531" t="b">
        <f t="shared" si="77"/>
        <v>1</v>
      </c>
    </row>
    <row r="532" spans="1:36" ht="15.5" customHeight="1" x14ac:dyDescent="0.35">
      <c r="A532">
        <f t="shared" ca="1" si="78"/>
        <v>28</v>
      </c>
      <c r="B532" s="6" t="s">
        <v>1669</v>
      </c>
      <c r="C532" s="7">
        <v>45414</v>
      </c>
      <c r="D532" s="6" t="s">
        <v>912</v>
      </c>
      <c r="E532" s="6" t="s">
        <v>139</v>
      </c>
      <c r="F532" s="6" t="s">
        <v>508</v>
      </c>
      <c r="G532" s="6" t="s">
        <v>32</v>
      </c>
      <c r="H532" s="6">
        <v>69321579</v>
      </c>
      <c r="I532" s="6" t="s">
        <v>402</v>
      </c>
      <c r="J532" s="6" t="str">
        <f>IF(E532="KTG","KTG",(VLOOKUP(I532,'[1]list of outsource'!B:H,2,0)))</f>
        <v>ETC</v>
      </c>
      <c r="K532" s="6" t="s">
        <v>403</v>
      </c>
      <c r="L532" s="6">
        <v>60</v>
      </c>
      <c r="M532" s="6" t="s">
        <v>1670</v>
      </c>
      <c r="N532" s="6" t="s">
        <v>1671</v>
      </c>
      <c r="O532" s="6">
        <v>1328900853</v>
      </c>
      <c r="P532" s="6"/>
      <c r="Q532" s="8">
        <v>45422</v>
      </c>
      <c r="R532" s="6"/>
      <c r="S532" s="6"/>
      <c r="T532" s="6"/>
      <c r="U532" s="6">
        <v>4</v>
      </c>
      <c r="V532" s="6" t="s">
        <v>879</v>
      </c>
      <c r="W532" s="6" t="s">
        <v>37</v>
      </c>
      <c r="X532" s="7">
        <v>45442</v>
      </c>
      <c r="Y532" s="7">
        <v>45443</v>
      </c>
      <c r="AB532" t="e">
        <v>#N/A</v>
      </c>
      <c r="AC532" t="e">
        <v>#N/A</v>
      </c>
      <c r="AE532" t="str">
        <f t="shared" si="79"/>
        <v>P000538</v>
      </c>
      <c r="AF532" t="str">
        <f>_xlfn.XLOOKUP(AE532, Hoja2!A:A, Hoja2!A:A)</f>
        <v>P000538</v>
      </c>
      <c r="AG532" t="str">
        <f t="shared" si="76"/>
        <v>PP00026-40</v>
      </c>
      <c r="AH532">
        <f>_xlfn.XLOOKUP(AG532, Hoja3!A:A, Hoja3!B:B)</f>
        <v>5649</v>
      </c>
      <c r="AI532">
        <f>_xlfn.XLOOKUP(AH532, Hoja4!A:A, Hoja4!B:B)</f>
        <v>69321579</v>
      </c>
      <c r="AJ532" t="b">
        <f t="shared" si="77"/>
        <v>1</v>
      </c>
    </row>
    <row r="533" spans="1:36" ht="15.5" customHeight="1" x14ac:dyDescent="0.35">
      <c r="A533">
        <f t="shared" ca="1" si="78"/>
        <v>42</v>
      </c>
      <c r="B533" s="12" t="s">
        <v>1672</v>
      </c>
      <c r="C533" s="13">
        <v>45176</v>
      </c>
      <c r="D533" s="14" t="s">
        <v>121</v>
      </c>
      <c r="E533" s="14" t="s">
        <v>30</v>
      </c>
      <c r="F533" s="14" t="s">
        <v>84</v>
      </c>
      <c r="G533" s="14" t="s">
        <v>156</v>
      </c>
      <c r="H533" s="14" t="s">
        <v>1673</v>
      </c>
      <c r="I533" s="14"/>
      <c r="J533" s="14" t="str">
        <f>IF(E533="KTG","KTG",(VLOOKUP(I533,'[1]list of outsource'!B:H,2,0)))</f>
        <v>KTG</v>
      </c>
      <c r="K533" s="14"/>
      <c r="L533" s="14"/>
      <c r="M533" s="14" t="s">
        <v>1373</v>
      </c>
      <c r="N533" s="14" t="s">
        <v>1674</v>
      </c>
      <c r="O533" s="14"/>
      <c r="P533" s="14"/>
      <c r="Q533" s="15"/>
      <c r="R533" s="14"/>
      <c r="S533" s="16"/>
      <c r="T533" s="14"/>
      <c r="U533" s="14">
        <v>1</v>
      </c>
      <c r="V533" s="14"/>
      <c r="W533" s="14" t="s">
        <v>154</v>
      </c>
      <c r="X533" s="13">
        <v>45218</v>
      </c>
      <c r="Y533" s="13"/>
      <c r="AB533" t="e">
        <v>#N/A</v>
      </c>
      <c r="AC533" t="e">
        <v>#N/A</v>
      </c>
      <c r="AE533" t="str">
        <f t="shared" si="79"/>
        <v>E74926</v>
      </c>
      <c r="AF533" t="str">
        <f>_xlfn.XLOOKUP(AE533, Hoja2!A:A, Hoja2!A:A)</f>
        <v>E74926</v>
      </c>
      <c r="AG533" t="str">
        <f t="shared" si="76"/>
        <v>PP00028-35</v>
      </c>
      <c r="AH533">
        <f>_xlfn.XLOOKUP(AG533, Hoja3!A:A, Hoja3!B:B)</f>
        <v>4012</v>
      </c>
      <c r="AI533" t="str">
        <f>_xlfn.XLOOKUP(AH533, Hoja4!A:A, Hoja4!B:B)</f>
        <v>E16718500</v>
      </c>
      <c r="AJ533" t="b">
        <f t="shared" si="77"/>
        <v>1</v>
      </c>
    </row>
    <row r="534" spans="1:36" ht="15.5" customHeight="1" x14ac:dyDescent="0.35">
      <c r="A534">
        <f t="shared" ca="1" si="78"/>
        <v>48</v>
      </c>
      <c r="B534" s="12" t="s">
        <v>1675</v>
      </c>
      <c r="C534" s="13">
        <v>45288</v>
      </c>
      <c r="D534" s="14" t="s">
        <v>121</v>
      </c>
      <c r="E534" s="14" t="s">
        <v>30</v>
      </c>
      <c r="F534" s="14" t="s">
        <v>658</v>
      </c>
      <c r="G534" s="14" t="s">
        <v>32</v>
      </c>
      <c r="H534" s="14">
        <v>15324257</v>
      </c>
      <c r="I534" s="14"/>
      <c r="J534" s="14" t="str">
        <f>IF(E534="KTG","KTG",(VLOOKUP(I534,'[1]list of outsource'!B:H,2,0)))</f>
        <v>KTG</v>
      </c>
      <c r="K534" s="14"/>
      <c r="L534" s="14" t="s">
        <v>1676</v>
      </c>
      <c r="M534" s="14" t="s">
        <v>1677</v>
      </c>
      <c r="N534" s="14" t="s">
        <v>1678</v>
      </c>
      <c r="O534" s="14">
        <v>835915899</v>
      </c>
      <c r="P534" s="14"/>
      <c r="Q534" s="15" t="s">
        <v>575</v>
      </c>
      <c r="R534" s="14"/>
      <c r="S534" s="16"/>
      <c r="T534" s="14"/>
      <c r="U534" s="14">
        <v>4</v>
      </c>
      <c r="V534" s="14" t="s">
        <v>569</v>
      </c>
      <c r="W534" s="14" t="s">
        <v>37</v>
      </c>
      <c r="X534" s="13">
        <v>45336</v>
      </c>
      <c r="Y534" s="13"/>
      <c r="AB534" t="e">
        <v>#N/A</v>
      </c>
      <c r="AC534" t="e">
        <v>#N/A</v>
      </c>
      <c r="AE534" t="str">
        <f t="shared" si="79"/>
        <v>E47408</v>
      </c>
      <c r="AF534" t="str">
        <f>_xlfn.XLOOKUP(AE534, Hoja2!A:A, Hoja2!A:A)</f>
        <v>E47408</v>
      </c>
      <c r="AG534" t="str">
        <f t="shared" si="76"/>
        <v>PP00034-26</v>
      </c>
      <c r="AH534">
        <f>_xlfn.XLOOKUP(AG534, Hoja3!A:A, Hoja3!B:B)</f>
        <v>4747</v>
      </c>
      <c r="AI534">
        <f>_xlfn.XLOOKUP(AH534, Hoja4!A:A, Hoja4!B:B)</f>
        <v>15324257</v>
      </c>
      <c r="AJ534" t="b">
        <f t="shared" si="77"/>
        <v>1</v>
      </c>
    </row>
    <row r="535" spans="1:36" ht="15.5" customHeight="1" x14ac:dyDescent="0.35">
      <c r="A535">
        <f t="shared" ca="1" si="78"/>
        <v>28</v>
      </c>
      <c r="B535" s="6" t="s">
        <v>1679</v>
      </c>
      <c r="C535" s="7">
        <v>45350</v>
      </c>
      <c r="D535" s="6" t="s">
        <v>912</v>
      </c>
      <c r="E535" s="6" t="s">
        <v>139</v>
      </c>
      <c r="F535" s="6" t="s">
        <v>658</v>
      </c>
      <c r="G535" s="6" t="s">
        <v>32</v>
      </c>
      <c r="H535" s="6">
        <v>35758275</v>
      </c>
      <c r="I535" s="6" t="s">
        <v>208</v>
      </c>
      <c r="J535" s="6" t="str">
        <f>IF(E535="KTG","KTG",(VLOOKUP(I535,'[1]list of outsource'!B:H,2,0)))</f>
        <v>ETC</v>
      </c>
      <c r="K535" s="6" t="s">
        <v>209</v>
      </c>
      <c r="L535" s="6">
        <v>20</v>
      </c>
      <c r="M535" s="6" t="s">
        <v>296</v>
      </c>
      <c r="N535" s="6" t="s">
        <v>589</v>
      </c>
      <c r="O535" s="6">
        <v>1313310200</v>
      </c>
      <c r="P535" s="6"/>
      <c r="Q535" s="8" t="s">
        <v>575</v>
      </c>
      <c r="R535" s="6"/>
      <c r="S535" s="6"/>
      <c r="T535" s="6"/>
      <c r="U535" s="6">
        <v>4</v>
      </c>
      <c r="V535" s="6" t="s">
        <v>569</v>
      </c>
      <c r="W535" s="6" t="s">
        <v>37</v>
      </c>
      <c r="X535" s="7">
        <v>45378</v>
      </c>
      <c r="Y535" s="7">
        <v>45378</v>
      </c>
      <c r="AB535" t="e">
        <v>#N/A</v>
      </c>
      <c r="AC535" t="e">
        <v>#N/A</v>
      </c>
      <c r="AE535" t="str">
        <f t="shared" si="79"/>
        <v>P000159</v>
      </c>
      <c r="AF535" t="str">
        <f>_xlfn.XLOOKUP(AE535, Hoja2!A:A, Hoja2!A:A)</f>
        <v>P000159</v>
      </c>
      <c r="AG535" t="str">
        <f t="shared" si="76"/>
        <v>PP00034-27</v>
      </c>
      <c r="AH535">
        <f>_xlfn.XLOOKUP(AG535, Hoja3!A:A, Hoja3!B:B)</f>
        <v>4765</v>
      </c>
      <c r="AI535">
        <f>_xlfn.XLOOKUP(AH535, Hoja4!A:A, Hoja4!B:B)</f>
        <v>35758275</v>
      </c>
      <c r="AJ535" t="b">
        <f t="shared" si="77"/>
        <v>1</v>
      </c>
    </row>
    <row r="536" spans="1:36" ht="15.5" customHeight="1" x14ac:dyDescent="0.35">
      <c r="A536">
        <f t="shared" ca="1" si="78"/>
        <v>27</v>
      </c>
      <c r="B536" s="12" t="s">
        <v>1680</v>
      </c>
      <c r="C536" s="13">
        <v>45429</v>
      </c>
      <c r="D536" s="14" t="s">
        <v>121</v>
      </c>
      <c r="E536" s="14" t="s">
        <v>139</v>
      </c>
      <c r="F536" s="14" t="s">
        <v>1371</v>
      </c>
      <c r="G536" s="14" t="s">
        <v>32</v>
      </c>
      <c r="H536" s="14" t="s">
        <v>781</v>
      </c>
      <c r="I536" s="14" t="s">
        <v>494</v>
      </c>
      <c r="J536" s="14" t="str">
        <f>IF(E536="KTG","KTG",(VLOOKUP(I536,'[1]list of outsource'!B:H,2,0)))</f>
        <v>ETC</v>
      </c>
      <c r="K536" s="14" t="s">
        <v>495</v>
      </c>
      <c r="L536" s="14">
        <v>24</v>
      </c>
      <c r="M536" s="14" t="s">
        <v>781</v>
      </c>
      <c r="N536" s="14" t="s">
        <v>782</v>
      </c>
      <c r="O536" s="14">
        <v>1331804020</v>
      </c>
      <c r="P536" s="14"/>
      <c r="Q536" s="15"/>
      <c r="R536" s="14"/>
      <c r="S536" s="16"/>
      <c r="T536" s="14"/>
      <c r="U536" s="14">
        <v>4</v>
      </c>
      <c r="V536" s="14" t="s">
        <v>879</v>
      </c>
      <c r="W536" s="14" t="s">
        <v>37</v>
      </c>
      <c r="X536" s="13">
        <v>45456</v>
      </c>
      <c r="Y536" s="13"/>
      <c r="AB536" t="e">
        <v>#N/A</v>
      </c>
      <c r="AC536" t="e">
        <v>#N/A</v>
      </c>
      <c r="AE536" t="str">
        <f t="shared" si="79"/>
        <v>P000485</v>
      </c>
      <c r="AF536" t="str">
        <f>_xlfn.XLOOKUP(AE536, Hoja2!A:A, Hoja2!A:A)</f>
        <v>P000485</v>
      </c>
      <c r="AG536" t="str">
        <f t="shared" si="76"/>
        <v>PP00047-05</v>
      </c>
      <c r="AH536">
        <f>_xlfn.XLOOKUP(AG536, Hoja3!A:A, Hoja3!B:B)</f>
        <v>5512</v>
      </c>
      <c r="AI536" t="str">
        <f>_xlfn.XLOOKUP(AH536, Hoja4!A:A, Hoja4!B:B)</f>
        <v>P000485</v>
      </c>
      <c r="AJ536" t="b">
        <f t="shared" si="77"/>
        <v>1</v>
      </c>
    </row>
    <row r="537" spans="1:36" ht="15.5" customHeight="1" x14ac:dyDescent="0.35">
      <c r="A537">
        <f t="shared" ca="1" si="78"/>
        <v>27</v>
      </c>
      <c r="B537" s="12" t="s">
        <v>1681</v>
      </c>
      <c r="C537" s="13">
        <v>45429</v>
      </c>
      <c r="D537" s="14" t="s">
        <v>121</v>
      </c>
      <c r="E537" s="14" t="s">
        <v>139</v>
      </c>
      <c r="F537" s="14" t="s">
        <v>1371</v>
      </c>
      <c r="G537" s="14" t="s">
        <v>32</v>
      </c>
      <c r="H537" s="14" t="s">
        <v>1682</v>
      </c>
      <c r="I537" s="14" t="s">
        <v>494</v>
      </c>
      <c r="J537" s="14" t="str">
        <f>IF(E537="KTG","KTG",(VLOOKUP(I537,'[1]list of outsource'!B:H,2,0)))</f>
        <v>ETC</v>
      </c>
      <c r="K537" s="14" t="s">
        <v>495</v>
      </c>
      <c r="L537" s="14">
        <v>24</v>
      </c>
      <c r="M537" s="14" t="s">
        <v>1682</v>
      </c>
      <c r="N537" s="14" t="s">
        <v>1683</v>
      </c>
      <c r="O537" s="14">
        <v>1331806528</v>
      </c>
      <c r="P537" s="14"/>
      <c r="Q537" s="15">
        <v>45446</v>
      </c>
      <c r="R537" s="14"/>
      <c r="S537" s="16"/>
      <c r="T537" s="14"/>
      <c r="U537" s="14">
        <v>4</v>
      </c>
      <c r="V537" s="14" t="s">
        <v>879</v>
      </c>
      <c r="W537" s="14" t="s">
        <v>37</v>
      </c>
      <c r="X537" s="13">
        <v>45456</v>
      </c>
      <c r="Y537" s="13"/>
      <c r="AB537" t="e">
        <v>#N/A</v>
      </c>
      <c r="AC537" t="e">
        <v>#N/A</v>
      </c>
      <c r="AE537" t="str">
        <f t="shared" si="79"/>
        <v>P000764</v>
      </c>
      <c r="AF537" t="str">
        <f>_xlfn.XLOOKUP(AE537, Hoja2!A:A, Hoja2!A:A)</f>
        <v>P000764</v>
      </c>
      <c r="AG537" t="str">
        <f t="shared" si="76"/>
        <v>PP00047-06</v>
      </c>
      <c r="AH537">
        <f>_xlfn.XLOOKUP(AG537, Hoja3!A:A, Hoja3!B:B)</f>
        <v>5513</v>
      </c>
      <c r="AI537" t="str">
        <f>_xlfn.XLOOKUP(AH537, Hoja4!A:A, Hoja4!B:B)</f>
        <v>P000764</v>
      </c>
      <c r="AJ537" t="b">
        <f t="shared" si="77"/>
        <v>1</v>
      </c>
    </row>
    <row r="538" spans="1:36" ht="15.5" customHeight="1" x14ac:dyDescent="0.35">
      <c r="A538">
        <f t="shared" ca="1" si="78"/>
        <v>27</v>
      </c>
      <c r="B538" s="12" t="s">
        <v>1684</v>
      </c>
      <c r="C538" s="13">
        <v>45429</v>
      </c>
      <c r="D538" s="14" t="s">
        <v>121</v>
      </c>
      <c r="E538" s="14" t="s">
        <v>139</v>
      </c>
      <c r="F538" s="14" t="s">
        <v>1371</v>
      </c>
      <c r="G538" s="14" t="s">
        <v>32</v>
      </c>
      <c r="H538" s="14" t="s">
        <v>1685</v>
      </c>
      <c r="I538" s="14" t="s">
        <v>494</v>
      </c>
      <c r="J538" s="14" t="str">
        <f>IF(E538="KTG","KTG",(VLOOKUP(I538,'[1]list of outsource'!B:H,2,0)))</f>
        <v>ETC</v>
      </c>
      <c r="K538" s="14" t="s">
        <v>495</v>
      </c>
      <c r="L538" s="14">
        <v>24</v>
      </c>
      <c r="M538" s="14" t="s">
        <v>1685</v>
      </c>
      <c r="N538" s="14" t="s">
        <v>1686</v>
      </c>
      <c r="O538" s="14">
        <v>1331819393</v>
      </c>
      <c r="P538" s="14"/>
      <c r="Q538" s="15">
        <v>45446</v>
      </c>
      <c r="R538" s="14"/>
      <c r="S538" s="16"/>
      <c r="T538" s="14"/>
      <c r="U538" s="14">
        <v>4</v>
      </c>
      <c r="V538" s="14" t="s">
        <v>879</v>
      </c>
      <c r="W538" s="14" t="s">
        <v>37</v>
      </c>
      <c r="X538" s="13">
        <v>45456</v>
      </c>
      <c r="Y538" s="13"/>
      <c r="AB538" t="e">
        <v>#N/A</v>
      </c>
      <c r="AC538" t="e">
        <v>#N/A</v>
      </c>
      <c r="AE538" t="str">
        <f t="shared" si="79"/>
        <v>P000766</v>
      </c>
      <c r="AF538" t="str">
        <f>_xlfn.XLOOKUP(AE538, Hoja2!A:A, Hoja2!A:A)</f>
        <v>P000766</v>
      </c>
      <c r="AG538" t="str">
        <f t="shared" si="76"/>
        <v>PP00047-07</v>
      </c>
      <c r="AH538">
        <f>_xlfn.XLOOKUP(AG538, Hoja3!A:A, Hoja3!B:B)</f>
        <v>5514</v>
      </c>
      <c r="AI538" t="str">
        <f>_xlfn.XLOOKUP(AH538, Hoja4!A:A, Hoja4!B:B)</f>
        <v>P000766</v>
      </c>
      <c r="AJ538" t="b">
        <f t="shared" si="77"/>
        <v>1</v>
      </c>
    </row>
    <row r="539" spans="1:36" ht="15.5" customHeight="1" x14ac:dyDescent="0.35">
      <c r="A539">
        <f t="shared" ca="1" si="78"/>
        <v>27</v>
      </c>
      <c r="B539" s="12" t="s">
        <v>1687</v>
      </c>
      <c r="C539" s="13">
        <v>45429</v>
      </c>
      <c r="D539" s="14" t="s">
        <v>121</v>
      </c>
      <c r="E539" s="14" t="s">
        <v>139</v>
      </c>
      <c r="F539" s="14" t="s">
        <v>1371</v>
      </c>
      <c r="G539" s="14" t="s">
        <v>32</v>
      </c>
      <c r="H539" s="14" t="s">
        <v>1688</v>
      </c>
      <c r="I539" s="14" t="s">
        <v>494</v>
      </c>
      <c r="J539" s="14" t="str">
        <f>IF(E539="KTG","KTG",(VLOOKUP(I539,'[1]list of outsource'!B:H,2,0)))</f>
        <v>ETC</v>
      </c>
      <c r="K539" s="14" t="s">
        <v>495</v>
      </c>
      <c r="L539" s="14">
        <v>24</v>
      </c>
      <c r="M539" s="14" t="s">
        <v>1688</v>
      </c>
      <c r="N539" s="14" t="s">
        <v>1689</v>
      </c>
      <c r="O539" s="14">
        <v>1331819907</v>
      </c>
      <c r="P539" s="14"/>
      <c r="Q539" s="15">
        <v>45446</v>
      </c>
      <c r="R539" s="14"/>
      <c r="S539" s="16"/>
      <c r="T539" s="14"/>
      <c r="U539" s="14">
        <v>4</v>
      </c>
      <c r="V539" s="14" t="s">
        <v>879</v>
      </c>
      <c r="W539" s="14" t="s">
        <v>37</v>
      </c>
      <c r="X539" s="13">
        <v>45456</v>
      </c>
      <c r="Y539" s="13"/>
      <c r="AB539" t="e">
        <v>#N/A</v>
      </c>
      <c r="AC539" t="e">
        <v>#N/A</v>
      </c>
      <c r="AE539" t="str">
        <f t="shared" si="79"/>
        <v>P000770</v>
      </c>
      <c r="AF539" t="str">
        <f>_xlfn.XLOOKUP(AE539, Hoja2!A:A, Hoja2!A:A)</f>
        <v>P000770</v>
      </c>
      <c r="AG539" t="str">
        <f t="shared" si="76"/>
        <v>PP00047-08</v>
      </c>
      <c r="AH539">
        <f>_xlfn.XLOOKUP(AG539, Hoja3!A:A, Hoja3!B:B)</f>
        <v>5515</v>
      </c>
      <c r="AI539" t="str">
        <f>_xlfn.XLOOKUP(AH539, Hoja4!A:A, Hoja4!B:B)</f>
        <v>P000770</v>
      </c>
      <c r="AJ539" t="b">
        <f t="shared" si="77"/>
        <v>1</v>
      </c>
    </row>
    <row r="540" spans="1:36" ht="15.5" customHeight="1" x14ac:dyDescent="0.35">
      <c r="A540">
        <f t="shared" ca="1" si="78"/>
        <v>27</v>
      </c>
      <c r="B540" s="12" t="s">
        <v>1690</v>
      </c>
      <c r="C540" s="13">
        <v>45429</v>
      </c>
      <c r="D540" s="14" t="s">
        <v>121</v>
      </c>
      <c r="E540" s="14" t="s">
        <v>139</v>
      </c>
      <c r="F540" s="14" t="s">
        <v>1371</v>
      </c>
      <c r="G540" s="14" t="s">
        <v>32</v>
      </c>
      <c r="H540" s="14" t="s">
        <v>1691</v>
      </c>
      <c r="I540" s="14" t="s">
        <v>494</v>
      </c>
      <c r="J540" s="14" t="str">
        <f>IF(E540="KTG","KTG",(VLOOKUP(I540,'[1]list of outsource'!B:H,2,0)))</f>
        <v>ETC</v>
      </c>
      <c r="K540" s="14" t="s">
        <v>495</v>
      </c>
      <c r="L540" s="14">
        <v>24</v>
      </c>
      <c r="M540" s="14" t="s">
        <v>1691</v>
      </c>
      <c r="N540" s="14" t="s">
        <v>1692</v>
      </c>
      <c r="O540" s="14">
        <v>1331822362</v>
      </c>
      <c r="P540" s="14"/>
      <c r="Q540" s="15">
        <v>45446</v>
      </c>
      <c r="R540" s="14"/>
      <c r="S540" s="16"/>
      <c r="T540" s="14"/>
      <c r="U540" s="14">
        <v>4</v>
      </c>
      <c r="V540" s="14" t="s">
        <v>879</v>
      </c>
      <c r="W540" s="14" t="s">
        <v>37</v>
      </c>
      <c r="X540" s="13">
        <v>45456</v>
      </c>
      <c r="Y540" s="13"/>
      <c r="AB540" t="e">
        <v>#N/A</v>
      </c>
      <c r="AC540" t="e">
        <v>#N/A</v>
      </c>
      <c r="AE540" t="str">
        <f t="shared" si="79"/>
        <v>P000772</v>
      </c>
      <c r="AF540" t="str">
        <f>_xlfn.XLOOKUP(AE540, Hoja2!A:A, Hoja2!A:A)</f>
        <v>P000772</v>
      </c>
      <c r="AG540" t="str">
        <f t="shared" si="76"/>
        <v>PP00047-09</v>
      </c>
      <c r="AH540">
        <f>_xlfn.XLOOKUP(AG540, Hoja3!A:A, Hoja3!B:B)</f>
        <v>5516</v>
      </c>
      <c r="AI540" t="str">
        <f>_xlfn.XLOOKUP(AH540, Hoja4!A:A, Hoja4!B:B)</f>
        <v>P000772</v>
      </c>
      <c r="AJ540" t="b">
        <f t="shared" si="77"/>
        <v>1</v>
      </c>
    </row>
    <row r="541" spans="1:36" ht="15.5" customHeight="1" x14ac:dyDescent="0.35">
      <c r="A541">
        <f t="shared" ca="1" si="78"/>
        <v>27</v>
      </c>
      <c r="B541" s="12" t="s">
        <v>1693</v>
      </c>
      <c r="C541" s="13">
        <v>45429</v>
      </c>
      <c r="D541" s="14" t="s">
        <v>121</v>
      </c>
      <c r="E541" s="14" t="s">
        <v>30</v>
      </c>
      <c r="F541" s="14" t="s">
        <v>1371</v>
      </c>
      <c r="G541" s="14" t="s">
        <v>32</v>
      </c>
      <c r="H541" s="14" t="s">
        <v>1694</v>
      </c>
      <c r="I541" s="14"/>
      <c r="J541" s="14" t="str">
        <f>IF(E541="KTG","KTG",(VLOOKUP(I541,'[1]list of outsource'!B:H,2,0)))</f>
        <v>KTG</v>
      </c>
      <c r="K541" s="14"/>
      <c r="L541" s="14"/>
      <c r="M541" s="14" t="s">
        <v>1695</v>
      </c>
      <c r="N541" s="14" t="s">
        <v>1694</v>
      </c>
      <c r="O541" s="14"/>
      <c r="P541" s="14"/>
      <c r="Q541" s="15">
        <v>45449</v>
      </c>
      <c r="R541" s="14"/>
      <c r="S541" s="16"/>
      <c r="T541" s="14"/>
      <c r="U541" s="14">
        <v>4</v>
      </c>
      <c r="V541" s="14" t="s">
        <v>879</v>
      </c>
      <c r="W541" s="14" t="s">
        <v>37</v>
      </c>
      <c r="X541" s="13">
        <v>45456</v>
      </c>
      <c r="Y541" s="13"/>
      <c r="AB541" t="e">
        <v>#N/A</v>
      </c>
      <c r="AC541" t="e">
        <v>#N/A</v>
      </c>
      <c r="AE541" t="str">
        <f t="shared" si="79"/>
        <v>E58343</v>
      </c>
      <c r="AF541" t="str">
        <f>_xlfn.XLOOKUP(AE541, Hoja2!A:A, Hoja2!A:A)</f>
        <v>E58343</v>
      </c>
      <c r="AG541" t="str">
        <f t="shared" si="76"/>
        <v>PP00047-10</v>
      </c>
      <c r="AH541">
        <f>_xlfn.XLOOKUP(AG541, Hoja3!A:A, Hoja3!B:B)</f>
        <v>5517</v>
      </c>
      <c r="AI541" t="str">
        <f>_xlfn.XLOOKUP(AH541, Hoja4!A:A, Hoja4!B:B)</f>
        <v>CYG-135F-6/2-50-BLK</v>
      </c>
      <c r="AJ541" t="b">
        <f t="shared" si="77"/>
        <v>1</v>
      </c>
    </row>
    <row r="542" spans="1:36" ht="15.5" customHeight="1" x14ac:dyDescent="0.35">
      <c r="A542">
        <f t="shared" ca="1" si="78"/>
        <v>129</v>
      </c>
      <c r="B542" s="6" t="s">
        <v>1696</v>
      </c>
      <c r="C542" s="7">
        <v>45432</v>
      </c>
      <c r="D542" s="6" t="s">
        <v>564</v>
      </c>
      <c r="E542" s="6" t="s">
        <v>139</v>
      </c>
      <c r="F542" s="6" t="s">
        <v>1697</v>
      </c>
      <c r="G542" s="6" t="s">
        <v>1698</v>
      </c>
      <c r="H542" s="6" t="s">
        <v>1699</v>
      </c>
      <c r="I542" s="6" t="s">
        <v>402</v>
      </c>
      <c r="J542" s="6" t="str">
        <f>IF(E542="KTG","KTG",(VLOOKUP(I542,'[1]list of outsource'!B:H,2,0)))</f>
        <v>ETC</v>
      </c>
      <c r="K542" s="6" t="s">
        <v>403</v>
      </c>
      <c r="L542" s="6">
        <v>61</v>
      </c>
      <c r="M542" s="6" t="s">
        <v>1700</v>
      </c>
      <c r="N542" s="6" t="s">
        <v>1701</v>
      </c>
      <c r="O542" s="6" t="s">
        <v>1702</v>
      </c>
      <c r="P542" s="6" t="s">
        <v>574</v>
      </c>
      <c r="Q542" s="8">
        <v>45447</v>
      </c>
      <c r="R542" s="6"/>
      <c r="S542" s="18">
        <v>45518</v>
      </c>
      <c r="T542" s="6"/>
      <c r="U542" s="6">
        <v>4</v>
      </c>
      <c r="V542" s="6" t="s">
        <v>665</v>
      </c>
      <c r="W542" s="6" t="s">
        <v>37</v>
      </c>
      <c r="X542" s="7">
        <v>45561</v>
      </c>
      <c r="Y542" s="7">
        <v>45561</v>
      </c>
      <c r="AB542" t="e">
        <v>#N/A</v>
      </c>
      <c r="AC542" t="e">
        <v>#N/A</v>
      </c>
      <c r="AE542" t="str">
        <f t="shared" si="79"/>
        <v>P000634</v>
      </c>
      <c r="AF542" t="str">
        <f>_xlfn.XLOOKUP(AE542, Hoja2!A:A, Hoja2!A:A)</f>
        <v>P000634</v>
      </c>
      <c r="AG542" t="str">
        <f t="shared" si="76"/>
        <v>PP00055-01</v>
      </c>
      <c r="AH542">
        <f>_xlfn.XLOOKUP(AG542, Hoja3!A:A, Hoja3!B:B)</f>
        <v>5664</v>
      </c>
      <c r="AI542" t="str">
        <f>_xlfn.XLOOKUP(AH542, Hoja4!A:A, Hoja4!B:B)</f>
        <v>7094175030 Document ID 2578671</v>
      </c>
      <c r="AJ542" t="b">
        <f t="shared" si="77"/>
        <v>1</v>
      </c>
    </row>
    <row r="543" spans="1:36" ht="15.5" customHeight="1" x14ac:dyDescent="0.35">
      <c r="A543">
        <f t="shared" ca="1" si="78"/>
        <v>129</v>
      </c>
      <c r="B543" s="6" t="s">
        <v>1703</v>
      </c>
      <c r="C543" s="7">
        <v>45432</v>
      </c>
      <c r="D543" s="6" t="s">
        <v>564</v>
      </c>
      <c r="E543" s="6" t="s">
        <v>139</v>
      </c>
      <c r="F543" s="6" t="s">
        <v>1697</v>
      </c>
      <c r="G543" s="6" t="s">
        <v>1698</v>
      </c>
      <c r="H543" s="6" t="s">
        <v>1704</v>
      </c>
      <c r="I543" s="6" t="s">
        <v>402</v>
      </c>
      <c r="J543" s="6" t="str">
        <f>IF(E543="KTG","KTG",(VLOOKUP(I543,'[1]list of outsource'!B:H,2,0)))</f>
        <v>ETC</v>
      </c>
      <c r="K543" s="6" t="s">
        <v>403</v>
      </c>
      <c r="L543" s="6">
        <v>61</v>
      </c>
      <c r="M543" s="6" t="s">
        <v>1318</v>
      </c>
      <c r="N543" s="6" t="s">
        <v>1705</v>
      </c>
      <c r="O543" s="6" t="s">
        <v>1706</v>
      </c>
      <c r="P543" s="6" t="s">
        <v>574</v>
      </c>
      <c r="Q543" s="8">
        <v>45453</v>
      </c>
      <c r="R543" s="6"/>
      <c r="S543" s="18">
        <v>45518</v>
      </c>
      <c r="T543" s="6"/>
      <c r="U543" s="6">
        <v>4</v>
      </c>
      <c r="V543" s="6" t="s">
        <v>665</v>
      </c>
      <c r="W543" s="6" t="s">
        <v>37</v>
      </c>
      <c r="X543" s="7">
        <v>45561</v>
      </c>
      <c r="Y543" s="7">
        <v>45561</v>
      </c>
      <c r="AB543" t="e">
        <v>#N/A</v>
      </c>
      <c r="AC543" t="e">
        <v>#N/A</v>
      </c>
      <c r="AE543" t="str">
        <f t="shared" si="79"/>
        <v>P000352</v>
      </c>
      <c r="AF543" t="str">
        <f>_xlfn.XLOOKUP(AE543, Hoja2!A:A, Hoja2!A:A)</f>
        <v>P000352</v>
      </c>
      <c r="AG543" t="str">
        <f t="shared" si="76"/>
        <v>PP00055-02</v>
      </c>
      <c r="AH543">
        <f>_xlfn.XLOOKUP(AG543, Hoja3!A:A, Hoja3!B:B)</f>
        <v>5665</v>
      </c>
      <c r="AI543" t="str">
        <f>_xlfn.XLOOKUP(AH543, Hoja4!A:A, Hoja4!B:B)</f>
        <v>7094175130 Document ID 2578971</v>
      </c>
      <c r="AJ543" t="b">
        <f t="shared" si="77"/>
        <v>1</v>
      </c>
    </row>
    <row r="544" spans="1:36" ht="15.5" customHeight="1" x14ac:dyDescent="0.35">
      <c r="A544">
        <f t="shared" ca="1" si="78"/>
        <v>105</v>
      </c>
      <c r="B544" s="6" t="s">
        <v>1707</v>
      </c>
      <c r="C544" s="7">
        <v>45432</v>
      </c>
      <c r="D544" s="6" t="s">
        <v>564</v>
      </c>
      <c r="E544" s="6" t="s">
        <v>139</v>
      </c>
      <c r="F544" s="6" t="s">
        <v>1697</v>
      </c>
      <c r="G544" s="6" t="s">
        <v>1698</v>
      </c>
      <c r="H544" s="6" t="s">
        <v>1708</v>
      </c>
      <c r="I544" s="6" t="s">
        <v>402</v>
      </c>
      <c r="J544" s="6" t="str">
        <f>IF(E544="KTG","KTG",(VLOOKUP(I544,'[1]list of outsource'!B:H,2,0)))</f>
        <v>ETC</v>
      </c>
      <c r="K544" s="6" t="s">
        <v>403</v>
      </c>
      <c r="L544" s="6">
        <v>61</v>
      </c>
      <c r="M544" s="6" t="s">
        <v>1709</v>
      </c>
      <c r="N544" s="6" t="s">
        <v>1710</v>
      </c>
      <c r="O544" s="6" t="s">
        <v>1711</v>
      </c>
      <c r="P544" s="6" t="s">
        <v>574</v>
      </c>
      <c r="Q544" s="8">
        <v>45447</v>
      </c>
      <c r="R544" s="6"/>
      <c r="S544" s="18">
        <v>45518</v>
      </c>
      <c r="T544" s="6"/>
      <c r="U544" s="6">
        <v>4</v>
      </c>
      <c r="V544" s="6" t="s">
        <v>665</v>
      </c>
      <c r="W544" s="6" t="s">
        <v>37</v>
      </c>
      <c r="X544" s="7">
        <v>45537</v>
      </c>
      <c r="Y544" s="7">
        <v>45635</v>
      </c>
      <c r="AB544" t="s">
        <v>1712</v>
      </c>
      <c r="AC544" t="e">
        <v>#N/A</v>
      </c>
      <c r="AE544" t="str">
        <f t="shared" si="79"/>
        <v>P000337</v>
      </c>
      <c r="AF544" t="str">
        <f>_xlfn.XLOOKUP(AE544, Hoja2!A:A, Hoja2!A:A)</f>
        <v>P000337</v>
      </c>
      <c r="AG544" t="str">
        <f t="shared" si="76"/>
        <v>PP00055-03</v>
      </c>
      <c r="AH544">
        <f>_xlfn.XLOOKUP(AG544, Hoja3!A:A, Hoja3!B:B)</f>
        <v>5666</v>
      </c>
      <c r="AI544" t="str">
        <f>_xlfn.XLOOKUP(AH544, Hoja4!A:A, Hoja4!B:B)</f>
        <v>7094171830 Document ID 2549661</v>
      </c>
      <c r="AJ544" t="b">
        <f t="shared" si="77"/>
        <v>1</v>
      </c>
    </row>
    <row r="545" spans="1:36" ht="15.5" customHeight="1" x14ac:dyDescent="0.35">
      <c r="A545">
        <f t="shared" ca="1" si="78"/>
        <v>105</v>
      </c>
      <c r="B545" s="6" t="s">
        <v>1713</v>
      </c>
      <c r="C545" s="7">
        <v>45432</v>
      </c>
      <c r="D545" s="6" t="s">
        <v>564</v>
      </c>
      <c r="E545" s="6" t="s">
        <v>139</v>
      </c>
      <c r="F545" s="6" t="s">
        <v>1697</v>
      </c>
      <c r="G545" s="6" t="s">
        <v>1698</v>
      </c>
      <c r="H545" s="6" t="s">
        <v>1714</v>
      </c>
      <c r="I545" s="6" t="s">
        <v>402</v>
      </c>
      <c r="J545" s="6" t="str">
        <f>IF(E545="KTG","KTG",(VLOOKUP(I545,'[1]list of outsource'!B:H,2,0)))</f>
        <v>ETC</v>
      </c>
      <c r="K545" s="6" t="s">
        <v>403</v>
      </c>
      <c r="L545" s="6">
        <v>61</v>
      </c>
      <c r="M545" s="6" t="s">
        <v>1495</v>
      </c>
      <c r="N545" s="6" t="s">
        <v>1715</v>
      </c>
      <c r="O545" s="6" t="s">
        <v>1716</v>
      </c>
      <c r="P545" s="6" t="s">
        <v>574</v>
      </c>
      <c r="Q545" s="8">
        <v>45306</v>
      </c>
      <c r="R545" s="6"/>
      <c r="S545" s="18">
        <v>45518</v>
      </c>
      <c r="T545" s="6"/>
      <c r="U545" s="6">
        <v>4</v>
      </c>
      <c r="V545" s="6" t="s">
        <v>665</v>
      </c>
      <c r="W545" s="6" t="s">
        <v>37</v>
      </c>
      <c r="X545" s="7">
        <v>45537</v>
      </c>
      <c r="Y545" s="7">
        <v>45635</v>
      </c>
      <c r="AB545" t="e">
        <v>#N/A</v>
      </c>
      <c r="AC545" t="e">
        <v>#N/A</v>
      </c>
      <c r="AE545" t="str">
        <f t="shared" si="79"/>
        <v>P000353</v>
      </c>
      <c r="AF545" t="str">
        <f>_xlfn.XLOOKUP(AE545, Hoja2!A:A, Hoja2!A:A)</f>
        <v>P000353</v>
      </c>
      <c r="AG545" t="str">
        <f t="shared" si="76"/>
        <v>PP00055-04</v>
      </c>
      <c r="AH545">
        <f>_xlfn.XLOOKUP(AG545, Hoja3!A:A, Hoja3!B:B)</f>
        <v>5667</v>
      </c>
      <c r="AI545" t="str">
        <f>_xlfn.XLOOKUP(AH545, Hoja4!A:A, Hoja4!B:B)</f>
        <v>7094175230 Docuemt ID 2549661</v>
      </c>
      <c r="AJ545" t="b">
        <f t="shared" si="77"/>
        <v>1</v>
      </c>
    </row>
    <row r="546" spans="1:36" ht="15.5" customHeight="1" x14ac:dyDescent="0.35">
      <c r="A546">
        <f t="shared" ca="1" si="78"/>
        <v>105</v>
      </c>
      <c r="B546" s="6" t="s">
        <v>1717</v>
      </c>
      <c r="C546" s="7">
        <v>45432</v>
      </c>
      <c r="D546" s="6" t="s">
        <v>564</v>
      </c>
      <c r="E546" s="6" t="s">
        <v>139</v>
      </c>
      <c r="F546" s="6" t="s">
        <v>1697</v>
      </c>
      <c r="G546" s="6" t="s">
        <v>1698</v>
      </c>
      <c r="H546" s="6" t="s">
        <v>1718</v>
      </c>
      <c r="I546" s="6" t="s">
        <v>402</v>
      </c>
      <c r="J546" s="6" t="str">
        <f>IF(E546="KTG","KTG",(VLOOKUP(I546,'[1]list of outsource'!B:H,2,0)))</f>
        <v>ETC</v>
      </c>
      <c r="K546" s="6" t="s">
        <v>403</v>
      </c>
      <c r="L546" s="6">
        <v>61</v>
      </c>
      <c r="M546" s="6" t="s">
        <v>1719</v>
      </c>
      <c r="N546" s="6" t="s">
        <v>1720</v>
      </c>
      <c r="O546" s="6" t="s">
        <v>1721</v>
      </c>
      <c r="P546" s="6" t="s">
        <v>574</v>
      </c>
      <c r="Q546" s="8">
        <v>45447</v>
      </c>
      <c r="R546" s="6"/>
      <c r="S546" s="18">
        <v>45519</v>
      </c>
      <c r="T546" s="6"/>
      <c r="U546" s="6">
        <v>4</v>
      </c>
      <c r="V546" s="6" t="s">
        <v>665</v>
      </c>
      <c r="W546" s="6" t="s">
        <v>37</v>
      </c>
      <c r="X546" s="7">
        <v>45537</v>
      </c>
      <c r="Y546" s="7">
        <v>45635</v>
      </c>
      <c r="AB546" t="e">
        <v>#N/A</v>
      </c>
      <c r="AC546" t="s">
        <v>4210</v>
      </c>
      <c r="AE546" t="str">
        <f t="shared" si="79"/>
        <v>P000342</v>
      </c>
      <c r="AF546" t="str">
        <f>_xlfn.XLOOKUP(AE546, Hoja2!A:A, Hoja2!A:A)</f>
        <v>P000342</v>
      </c>
      <c r="AG546" t="str">
        <f t="shared" si="76"/>
        <v>PP00055-05</v>
      </c>
      <c r="AH546">
        <f>_xlfn.XLOOKUP(AG546, Hoja3!A:A, Hoja3!B:B)</f>
        <v>5668</v>
      </c>
      <c r="AI546" t="str">
        <f>_xlfn.XLOOKUP(AH546, Hoja4!A:A, Hoja4!B:B)</f>
        <v>7094171430 Document ID 2508069</v>
      </c>
      <c r="AJ546" t="b">
        <f t="shared" si="77"/>
        <v>1</v>
      </c>
    </row>
    <row r="547" spans="1:36" ht="15.5" customHeight="1" x14ac:dyDescent="0.35">
      <c r="A547">
        <f t="shared" ca="1" si="78"/>
        <v>105</v>
      </c>
      <c r="B547" s="6" t="s">
        <v>1722</v>
      </c>
      <c r="C547" s="7">
        <v>45432</v>
      </c>
      <c r="D547" s="6" t="s">
        <v>564</v>
      </c>
      <c r="E547" s="6" t="s">
        <v>139</v>
      </c>
      <c r="F547" s="6" t="s">
        <v>1697</v>
      </c>
      <c r="G547" s="6" t="s">
        <v>1698</v>
      </c>
      <c r="H547" s="6" t="s">
        <v>1723</v>
      </c>
      <c r="I547" s="6" t="s">
        <v>402</v>
      </c>
      <c r="J547" s="6" t="str">
        <f>IF(E547="KTG","KTG",(VLOOKUP(I547,'[1]list of outsource'!B:H,2,0)))</f>
        <v>ETC</v>
      </c>
      <c r="K547" s="6" t="s">
        <v>403</v>
      </c>
      <c r="L547" s="6">
        <v>61</v>
      </c>
      <c r="M547" s="6" t="s">
        <v>1498</v>
      </c>
      <c r="N547" s="6" t="s">
        <v>1499</v>
      </c>
      <c r="O547" s="6" t="s">
        <v>1724</v>
      </c>
      <c r="P547" s="6" t="s">
        <v>574</v>
      </c>
      <c r="Q547" s="8">
        <v>45306</v>
      </c>
      <c r="R547" s="6"/>
      <c r="S547" s="18">
        <v>45519</v>
      </c>
      <c r="T547" s="6"/>
      <c r="U547" s="6">
        <v>4</v>
      </c>
      <c r="V547" s="6" t="s">
        <v>665</v>
      </c>
      <c r="W547" s="6" t="s">
        <v>37</v>
      </c>
      <c r="X547" s="7">
        <v>45537</v>
      </c>
      <c r="Y547" s="7">
        <v>45635</v>
      </c>
      <c r="AB547" t="e">
        <v>#N/A</v>
      </c>
      <c r="AC547" t="e">
        <v>#N/A</v>
      </c>
      <c r="AE547" t="str">
        <f t="shared" si="79"/>
        <v>P000338</v>
      </c>
      <c r="AF547" t="str">
        <f>_xlfn.XLOOKUP(AE547, Hoja2!A:A, Hoja2!A:A)</f>
        <v>P000338</v>
      </c>
      <c r="AG547" t="str">
        <f t="shared" si="76"/>
        <v>PP00055-06</v>
      </c>
      <c r="AH547">
        <f>_xlfn.XLOOKUP(AG547, Hoja3!A:A, Hoja3!B:B)</f>
        <v>5669</v>
      </c>
      <c r="AI547" t="str">
        <f>_xlfn.XLOOKUP(AH547, Hoja4!A:A, Hoja4!B:B)</f>
        <v>7094175330 Document ID 2508069</v>
      </c>
      <c r="AJ547" t="b">
        <f t="shared" si="77"/>
        <v>1</v>
      </c>
    </row>
    <row r="548" spans="1:36" ht="15.5" customHeight="1" x14ac:dyDescent="0.35">
      <c r="A548">
        <f t="shared" ca="1" si="78"/>
        <v>129</v>
      </c>
      <c r="B548" s="6" t="s">
        <v>1725</v>
      </c>
      <c r="C548" s="7">
        <v>45432</v>
      </c>
      <c r="D548" s="6" t="s">
        <v>564</v>
      </c>
      <c r="E548" s="6" t="s">
        <v>139</v>
      </c>
      <c r="F548" s="6" t="s">
        <v>1697</v>
      </c>
      <c r="G548" s="6" t="s">
        <v>1698</v>
      </c>
      <c r="H548" s="6" t="s">
        <v>1726</v>
      </c>
      <c r="I548" s="6" t="s">
        <v>402</v>
      </c>
      <c r="J548" s="6" t="str">
        <f>IF(E548="KTG","KTG",(VLOOKUP(I548,'[1]list of outsource'!B:H,2,0)))</f>
        <v>ETC</v>
      </c>
      <c r="K548" s="6" t="s">
        <v>403</v>
      </c>
      <c r="L548" s="6">
        <v>61</v>
      </c>
      <c r="M548" s="6" t="s">
        <v>1727</v>
      </c>
      <c r="N548" s="6" t="s">
        <v>1728</v>
      </c>
      <c r="O548" s="6" t="s">
        <v>1729</v>
      </c>
      <c r="P548" s="6" t="s">
        <v>574</v>
      </c>
      <c r="Q548" s="8">
        <v>45450</v>
      </c>
      <c r="R548" s="6"/>
      <c r="S548" s="18"/>
      <c r="T548" s="6"/>
      <c r="U548" s="6">
        <v>4</v>
      </c>
      <c r="V548" s="6" t="s">
        <v>665</v>
      </c>
      <c r="W548" s="6" t="s">
        <v>37</v>
      </c>
      <c r="X548" s="7">
        <v>45561</v>
      </c>
      <c r="Y548" s="7">
        <v>45561</v>
      </c>
      <c r="AB548" t="e">
        <v>#N/A</v>
      </c>
      <c r="AC548" t="e">
        <v>#N/A</v>
      </c>
      <c r="AE548" t="str">
        <f t="shared" si="79"/>
        <v>P000424</v>
      </c>
      <c r="AF548" t="str">
        <f>_xlfn.XLOOKUP(AE548, Hoja2!A:A, Hoja2!A:A)</f>
        <v>P000424</v>
      </c>
      <c r="AG548" t="str">
        <f t="shared" si="76"/>
        <v>PP00055-07</v>
      </c>
      <c r="AH548">
        <f>_xlfn.XLOOKUP(AG548, Hoja3!A:A, Hoja3!B:B)</f>
        <v>5670</v>
      </c>
      <c r="AI548" t="str">
        <f>_xlfn.XLOOKUP(AH548, Hoja4!A:A, Hoja4!B:B)</f>
        <v>7094175430 Document ID 2579977</v>
      </c>
      <c r="AJ548" t="b">
        <f t="shared" si="77"/>
        <v>1</v>
      </c>
    </row>
    <row r="549" spans="1:36" ht="15.5" customHeight="1" x14ac:dyDescent="0.35">
      <c r="A549">
        <f t="shared" ca="1" si="78"/>
        <v>129</v>
      </c>
      <c r="B549" s="6" t="s">
        <v>1730</v>
      </c>
      <c r="C549" s="7">
        <v>45432</v>
      </c>
      <c r="D549" s="6" t="s">
        <v>564</v>
      </c>
      <c r="E549" s="6" t="s">
        <v>139</v>
      </c>
      <c r="F549" s="6" t="s">
        <v>1697</v>
      </c>
      <c r="G549" s="6" t="s">
        <v>1698</v>
      </c>
      <c r="H549" s="6" t="s">
        <v>1731</v>
      </c>
      <c r="I549" s="6" t="s">
        <v>402</v>
      </c>
      <c r="J549" s="6" t="str">
        <f>IF(E549="KTG","KTG",(VLOOKUP(I549,'[1]list of outsource'!B:H,2,0)))</f>
        <v>ETC</v>
      </c>
      <c r="K549" s="6" t="s">
        <v>403</v>
      </c>
      <c r="L549" s="6">
        <v>61</v>
      </c>
      <c r="M549" s="6" t="s">
        <v>1732</v>
      </c>
      <c r="N549" s="6" t="s">
        <v>1733</v>
      </c>
      <c r="O549" s="6" t="s">
        <v>1734</v>
      </c>
      <c r="P549" s="6" t="s">
        <v>574</v>
      </c>
      <c r="Q549" s="8">
        <v>45450</v>
      </c>
      <c r="R549" s="6"/>
      <c r="S549" s="18"/>
      <c r="T549" s="6"/>
      <c r="U549" s="6">
        <v>4</v>
      </c>
      <c r="V549" s="6" t="s">
        <v>665</v>
      </c>
      <c r="W549" s="6" t="s">
        <v>37</v>
      </c>
      <c r="X549" s="7">
        <v>45561</v>
      </c>
      <c r="Y549" s="7">
        <v>45561</v>
      </c>
      <c r="AB549" t="e">
        <v>#N/A</v>
      </c>
      <c r="AC549" t="e">
        <v>#N/A</v>
      </c>
      <c r="AE549" t="str">
        <f t="shared" si="79"/>
        <v>P000354</v>
      </c>
      <c r="AF549" t="str">
        <f>_xlfn.XLOOKUP(AE549, Hoja2!A:A, Hoja2!A:A)</f>
        <v>P000354</v>
      </c>
      <c r="AG549" t="str">
        <f t="shared" si="76"/>
        <v>PP00055-08</v>
      </c>
      <c r="AH549">
        <f>_xlfn.XLOOKUP(AG549, Hoja3!A:A, Hoja3!B:B)</f>
        <v>5671</v>
      </c>
      <c r="AI549" t="str">
        <f>_xlfn.XLOOKUP(AH549, Hoja4!A:A, Hoja4!B:B)</f>
        <v>7094175530 Document ID 2579977</v>
      </c>
      <c r="AJ549" t="b">
        <f t="shared" si="77"/>
        <v>1</v>
      </c>
    </row>
    <row r="550" spans="1:36" ht="15.5" customHeight="1" x14ac:dyDescent="0.35">
      <c r="A550">
        <f t="shared" ca="1" si="78"/>
        <v>105</v>
      </c>
      <c r="B550" s="6" t="s">
        <v>1735</v>
      </c>
      <c r="C550" s="7">
        <v>45432</v>
      </c>
      <c r="D550" s="6" t="s">
        <v>564</v>
      </c>
      <c r="E550" s="6" t="s">
        <v>139</v>
      </c>
      <c r="F550" s="6" t="s">
        <v>1697</v>
      </c>
      <c r="G550" s="6" t="s">
        <v>1698</v>
      </c>
      <c r="H550" s="6" t="s">
        <v>1736</v>
      </c>
      <c r="I550" s="6" t="s">
        <v>402</v>
      </c>
      <c r="J550" s="6" t="str">
        <f>IF(E550="KTG","KTG",(VLOOKUP(I550,'[1]list of outsource'!B:H,2,0)))</f>
        <v>ETC</v>
      </c>
      <c r="K550" s="6" t="s">
        <v>403</v>
      </c>
      <c r="L550" s="6">
        <v>61</v>
      </c>
      <c r="M550" s="6" t="s">
        <v>1244</v>
      </c>
      <c r="N550" s="6" t="s">
        <v>1504</v>
      </c>
      <c r="O550" s="6" t="s">
        <v>1737</v>
      </c>
      <c r="P550" s="6" t="s">
        <v>574</v>
      </c>
      <c r="Q550" s="8">
        <v>45453</v>
      </c>
      <c r="R550" s="6"/>
      <c r="S550" s="18">
        <v>45518</v>
      </c>
      <c r="T550" s="6"/>
      <c r="U550" s="6">
        <v>4</v>
      </c>
      <c r="V550" s="6" t="s">
        <v>665</v>
      </c>
      <c r="W550" s="6" t="s">
        <v>37</v>
      </c>
      <c r="X550" s="7">
        <v>45537</v>
      </c>
      <c r="Y550" s="7">
        <v>45537</v>
      </c>
      <c r="AB550" t="e">
        <v>#N/A</v>
      </c>
      <c r="AC550" t="e">
        <v>#N/A</v>
      </c>
      <c r="AE550" t="str">
        <f t="shared" si="79"/>
        <v>P000339</v>
      </c>
      <c r="AF550" t="str">
        <f>_xlfn.XLOOKUP(AE550, Hoja2!A:A, Hoja2!A:A)</f>
        <v>P000339</v>
      </c>
      <c r="AG550" t="str">
        <f t="shared" si="76"/>
        <v>PP00055-09</v>
      </c>
      <c r="AH550">
        <f>_xlfn.XLOOKUP(AG550, Hoja3!A:A, Hoja3!B:B)</f>
        <v>5672</v>
      </c>
      <c r="AI550" t="str">
        <f>_xlfn.XLOOKUP(AH550, Hoja4!A:A, Hoja4!B:B)</f>
        <v>7094171330 Document ID 2554077</v>
      </c>
      <c r="AJ550" t="b">
        <f t="shared" si="77"/>
        <v>1</v>
      </c>
    </row>
    <row r="551" spans="1:36" ht="15.5" customHeight="1" x14ac:dyDescent="0.35">
      <c r="A551">
        <f t="shared" ca="1" si="78"/>
        <v>105</v>
      </c>
      <c r="B551" s="6" t="s">
        <v>1738</v>
      </c>
      <c r="C551" s="7">
        <v>45432</v>
      </c>
      <c r="D551" s="6" t="s">
        <v>564</v>
      </c>
      <c r="E551" s="6" t="s">
        <v>139</v>
      </c>
      <c r="F551" s="6" t="s">
        <v>1697</v>
      </c>
      <c r="G551" s="6" t="s">
        <v>1698</v>
      </c>
      <c r="H551" s="6" t="s">
        <v>1739</v>
      </c>
      <c r="I551" s="6" t="s">
        <v>402</v>
      </c>
      <c r="J551" s="6" t="str">
        <f>IF(E551="KTG","KTG",(VLOOKUP(I551,'[1]list of outsource'!B:H,2,0)))</f>
        <v>ETC</v>
      </c>
      <c r="K551" s="6" t="s">
        <v>403</v>
      </c>
      <c r="L551" s="6">
        <v>61</v>
      </c>
      <c r="M551" s="6" t="s">
        <v>1740</v>
      </c>
      <c r="N551" s="6" t="s">
        <v>1741</v>
      </c>
      <c r="O551" s="6" t="s">
        <v>1742</v>
      </c>
      <c r="P551" s="6" t="s">
        <v>574</v>
      </c>
      <c r="Q551" s="8">
        <v>45450</v>
      </c>
      <c r="R551" s="6"/>
      <c r="S551" s="18">
        <v>45518</v>
      </c>
      <c r="T551" s="6"/>
      <c r="U551" s="6">
        <v>4</v>
      </c>
      <c r="V551" s="6" t="s">
        <v>665</v>
      </c>
      <c r="W551" s="6" t="s">
        <v>37</v>
      </c>
      <c r="X551" s="7">
        <v>45537</v>
      </c>
      <c r="Y551" s="7">
        <v>45537</v>
      </c>
      <c r="AB551" t="e">
        <v>#N/A</v>
      </c>
      <c r="AC551" t="e">
        <v>#N/A</v>
      </c>
      <c r="AE551" t="str">
        <f t="shared" si="79"/>
        <v>P000340</v>
      </c>
      <c r="AF551" t="str">
        <f>_xlfn.XLOOKUP(AE551, Hoja2!A:A, Hoja2!A:A)</f>
        <v>P000340</v>
      </c>
      <c r="AG551" t="str">
        <f t="shared" si="76"/>
        <v>PP00055-10</v>
      </c>
      <c r="AH551">
        <f>_xlfn.XLOOKUP(AG551, Hoja3!A:A, Hoja3!B:B)</f>
        <v>5673</v>
      </c>
      <c r="AI551" t="str">
        <f>_xlfn.XLOOKUP(AH551, Hoja4!A:A, Hoja4!B:B)</f>
        <v>7094175630 Document ID 2554077</v>
      </c>
      <c r="AJ551" t="b">
        <f t="shared" si="77"/>
        <v>1</v>
      </c>
    </row>
    <row r="552" spans="1:36" ht="15.5" customHeight="1" x14ac:dyDescent="0.35">
      <c r="A552">
        <f t="shared" ca="1" si="78"/>
        <v>129</v>
      </c>
      <c r="B552" s="6" t="s">
        <v>1743</v>
      </c>
      <c r="C552" s="7">
        <v>45432</v>
      </c>
      <c r="D552" s="6" t="s">
        <v>564</v>
      </c>
      <c r="E552" s="6" t="s">
        <v>139</v>
      </c>
      <c r="F552" s="6" t="s">
        <v>1697</v>
      </c>
      <c r="G552" s="6" t="s">
        <v>1698</v>
      </c>
      <c r="H552" s="6" t="s">
        <v>1744</v>
      </c>
      <c r="I552" s="6" t="s">
        <v>402</v>
      </c>
      <c r="J552" s="6" t="str">
        <f>IF(E552="KTG","KTG",(VLOOKUP(I552,'[1]list of outsource'!B:H,2,0)))</f>
        <v>ETC</v>
      </c>
      <c r="K552" s="6" t="s">
        <v>403</v>
      </c>
      <c r="L552" s="6">
        <v>61</v>
      </c>
      <c r="M552" s="6" t="s">
        <v>1745</v>
      </c>
      <c r="N552" s="6" t="s">
        <v>1746</v>
      </c>
      <c r="O552" s="6" t="s">
        <v>1747</v>
      </c>
      <c r="P552" s="6" t="s">
        <v>574</v>
      </c>
      <c r="Q552" s="8">
        <v>45450</v>
      </c>
      <c r="R552" s="6"/>
      <c r="S552" s="18"/>
      <c r="T552" s="6"/>
      <c r="U552" s="6">
        <v>4</v>
      </c>
      <c r="V552" s="6" t="s">
        <v>665</v>
      </c>
      <c r="W552" s="6" t="s">
        <v>37</v>
      </c>
      <c r="X552" s="7">
        <v>45561</v>
      </c>
      <c r="Y552" s="7">
        <v>45635</v>
      </c>
      <c r="AB552" t="e">
        <v>#N/A</v>
      </c>
      <c r="AC552" t="e">
        <v>#N/A</v>
      </c>
      <c r="AE552" t="str">
        <f t="shared" si="79"/>
        <v>P200304</v>
      </c>
      <c r="AF552" t="str">
        <f>_xlfn.XLOOKUP(AE552, Hoja2!A:A, Hoja2!A:A)</f>
        <v>P200304</v>
      </c>
      <c r="AG552" t="str">
        <f t="shared" si="76"/>
        <v>PP00055-11</v>
      </c>
      <c r="AH552">
        <f>_xlfn.XLOOKUP(AG552, Hoja3!A:A, Hoja3!B:B)</f>
        <v>5674</v>
      </c>
      <c r="AI552" t="str">
        <f>_xlfn.XLOOKUP(AH552, Hoja4!A:A, Hoja4!B:B)</f>
        <v>7094175730 Document ID 2579948</v>
      </c>
      <c r="AJ552" t="b">
        <f t="shared" si="77"/>
        <v>1</v>
      </c>
    </row>
    <row r="553" spans="1:36" ht="15.5" customHeight="1" x14ac:dyDescent="0.35">
      <c r="A553">
        <f t="shared" ca="1" si="78"/>
        <v>129</v>
      </c>
      <c r="B553" s="6" t="s">
        <v>1748</v>
      </c>
      <c r="C553" s="7">
        <v>45432</v>
      </c>
      <c r="D553" s="6" t="s">
        <v>564</v>
      </c>
      <c r="E553" s="6" t="s">
        <v>139</v>
      </c>
      <c r="F553" s="6" t="s">
        <v>1697</v>
      </c>
      <c r="G553" s="6" t="s">
        <v>1698</v>
      </c>
      <c r="H553" s="6" t="s">
        <v>1749</v>
      </c>
      <c r="I553" s="6" t="s">
        <v>402</v>
      </c>
      <c r="J553" s="6" t="str">
        <f>IF(E553="KTG","KTG",(VLOOKUP(I553,'[1]list of outsource'!B:H,2,0)))</f>
        <v>ETC</v>
      </c>
      <c r="K553" s="6" t="s">
        <v>403</v>
      </c>
      <c r="L553" s="6">
        <v>61</v>
      </c>
      <c r="M553" s="6" t="s">
        <v>1750</v>
      </c>
      <c r="N553" s="6" t="s">
        <v>1751</v>
      </c>
      <c r="O553" s="6" t="s">
        <v>1752</v>
      </c>
      <c r="P553" s="6" t="s">
        <v>574</v>
      </c>
      <c r="Q553" s="8">
        <v>45450</v>
      </c>
      <c r="R553" s="6"/>
      <c r="S553" s="18"/>
      <c r="T553" s="6"/>
      <c r="U553" s="6">
        <v>4</v>
      </c>
      <c r="V553" s="6" t="s">
        <v>665</v>
      </c>
      <c r="W553" s="6" t="s">
        <v>37</v>
      </c>
      <c r="X553" s="7">
        <v>45561</v>
      </c>
      <c r="Y553" s="7">
        <v>45635</v>
      </c>
      <c r="AB553" t="e">
        <v>#N/A</v>
      </c>
      <c r="AC553" t="e">
        <v>#N/A</v>
      </c>
      <c r="AE553" t="str">
        <f t="shared" si="79"/>
        <v>P200305</v>
      </c>
      <c r="AF553" t="str">
        <f>_xlfn.XLOOKUP(AE553, Hoja2!A:A, Hoja2!A:A)</f>
        <v>P200305</v>
      </c>
      <c r="AG553" t="str">
        <f t="shared" si="76"/>
        <v>PP00055-12</v>
      </c>
      <c r="AH553">
        <f>_xlfn.XLOOKUP(AG553, Hoja3!A:A, Hoja3!B:B)</f>
        <v>5675</v>
      </c>
      <c r="AI553" t="str">
        <f>_xlfn.XLOOKUP(AH553, Hoja4!A:A, Hoja4!B:B)</f>
        <v>7094175830 Document ID 2579948</v>
      </c>
      <c r="AJ553" t="b">
        <f t="shared" si="77"/>
        <v>1</v>
      </c>
    </row>
    <row r="554" spans="1:36" ht="15.5" customHeight="1" x14ac:dyDescent="0.35">
      <c r="A554">
        <f t="shared" ca="1" si="78"/>
        <v>105</v>
      </c>
      <c r="B554" s="6" t="s">
        <v>1753</v>
      </c>
      <c r="C554" s="7">
        <v>45432</v>
      </c>
      <c r="D554" s="6" t="s">
        <v>564</v>
      </c>
      <c r="E554" s="6" t="s">
        <v>139</v>
      </c>
      <c r="F554" s="6" t="s">
        <v>1697</v>
      </c>
      <c r="G554" s="6" t="s">
        <v>1698</v>
      </c>
      <c r="H554" s="6" t="s">
        <v>1754</v>
      </c>
      <c r="I554" s="6" t="s">
        <v>402</v>
      </c>
      <c r="J554" s="6" t="str">
        <f>IF(E554="KTG","KTG",(VLOOKUP(I554,'[1]list of outsource'!B:H,2,0)))</f>
        <v>ETC</v>
      </c>
      <c r="K554" s="6" t="s">
        <v>403</v>
      </c>
      <c r="L554" s="6">
        <v>61</v>
      </c>
      <c r="M554" s="6" t="s">
        <v>1755</v>
      </c>
      <c r="N554" s="6" t="s">
        <v>1756</v>
      </c>
      <c r="O554" s="6" t="s">
        <v>1757</v>
      </c>
      <c r="P554" s="6" t="s">
        <v>574</v>
      </c>
      <c r="Q554" s="8">
        <v>45518</v>
      </c>
      <c r="R554" s="6"/>
      <c r="S554" s="18"/>
      <c r="T554" s="6"/>
      <c r="U554" s="6">
        <v>4</v>
      </c>
      <c r="V554" s="6" t="s">
        <v>665</v>
      </c>
      <c r="W554" s="6" t="s">
        <v>37</v>
      </c>
      <c r="X554" s="7">
        <v>45537</v>
      </c>
      <c r="Y554" s="7">
        <v>45635</v>
      </c>
      <c r="AB554">
        <v>0</v>
      </c>
      <c r="AC554" t="e">
        <v>#N/A</v>
      </c>
      <c r="AE554" t="str">
        <f t="shared" si="79"/>
        <v>P000415</v>
      </c>
      <c r="AF554" t="str">
        <f>_xlfn.XLOOKUP(AE554, Hoja2!A:A, Hoja2!A:A)</f>
        <v>P000415</v>
      </c>
      <c r="AG554" t="str">
        <f t="shared" si="76"/>
        <v>PP00055-13</v>
      </c>
      <c r="AH554">
        <f>_xlfn.XLOOKUP(AG554, Hoja3!A:A, Hoja3!B:B)</f>
        <v>5676</v>
      </c>
      <c r="AI554" t="str">
        <f>_xlfn.XLOOKUP(AH554, Hoja4!A:A, Hoja4!B:B)</f>
        <v>7094175930 Document ID 2560330</v>
      </c>
      <c r="AJ554" t="b">
        <f t="shared" si="77"/>
        <v>1</v>
      </c>
    </row>
    <row r="555" spans="1:36" ht="15.5" customHeight="1" x14ac:dyDescent="0.35">
      <c r="A555">
        <f t="shared" ca="1" si="78"/>
        <v>105</v>
      </c>
      <c r="B555" s="6" t="s">
        <v>1758</v>
      </c>
      <c r="C555" s="7">
        <v>45432</v>
      </c>
      <c r="D555" s="6" t="s">
        <v>564</v>
      </c>
      <c r="E555" s="6" t="s">
        <v>139</v>
      </c>
      <c r="F555" s="6" t="s">
        <v>1697</v>
      </c>
      <c r="G555" s="6" t="s">
        <v>1698</v>
      </c>
      <c r="H555" s="6" t="s">
        <v>1759</v>
      </c>
      <c r="I555" s="6" t="s">
        <v>402</v>
      </c>
      <c r="J555" s="6" t="str">
        <f>IF(E555="KTG","KTG",(VLOOKUP(I555,'[1]list of outsource'!B:H,2,0)))</f>
        <v>ETC</v>
      </c>
      <c r="K555" s="6" t="s">
        <v>403</v>
      </c>
      <c r="L555" s="6">
        <v>61</v>
      </c>
      <c r="M555" s="6" t="s">
        <v>1760</v>
      </c>
      <c r="N555" s="6" t="s">
        <v>1761</v>
      </c>
      <c r="O555" s="6" t="s">
        <v>1762</v>
      </c>
      <c r="P555" s="6" t="s">
        <v>574</v>
      </c>
      <c r="Q555" s="8">
        <v>45518</v>
      </c>
      <c r="R555" s="6"/>
      <c r="S555" s="18"/>
      <c r="T555" s="6"/>
      <c r="U555" s="6">
        <v>4</v>
      </c>
      <c r="V555" s="6" t="s">
        <v>665</v>
      </c>
      <c r="W555" s="6" t="s">
        <v>37</v>
      </c>
      <c r="X555" s="7">
        <v>45537</v>
      </c>
      <c r="Y555" s="7">
        <v>45635</v>
      </c>
      <c r="AB555" t="e">
        <v>#N/A</v>
      </c>
      <c r="AC555" t="e">
        <v>#N/A</v>
      </c>
      <c r="AE555" t="str">
        <f t="shared" si="79"/>
        <v>P000355</v>
      </c>
      <c r="AF555" t="str">
        <f>_xlfn.XLOOKUP(AE555, Hoja2!A:A, Hoja2!A:A)</f>
        <v>P000355</v>
      </c>
      <c r="AG555" t="str">
        <f t="shared" si="76"/>
        <v>PP00055-14</v>
      </c>
      <c r="AH555">
        <f>_xlfn.XLOOKUP(AG555, Hoja3!A:A, Hoja3!B:B)</f>
        <v>5677</v>
      </c>
      <c r="AI555" t="str">
        <f>_xlfn.XLOOKUP(AH555, Hoja4!A:A, Hoja4!B:B)</f>
        <v>7094176030 Document ID 2560330</v>
      </c>
      <c r="AJ555" t="b">
        <f t="shared" si="77"/>
        <v>1</v>
      </c>
    </row>
    <row r="556" spans="1:36" ht="15.5" customHeight="1" x14ac:dyDescent="0.35">
      <c r="A556">
        <f t="shared" ca="1" si="78"/>
        <v>133</v>
      </c>
      <c r="B556" s="6" t="s">
        <v>1763</v>
      </c>
      <c r="C556" s="7">
        <v>45432</v>
      </c>
      <c r="D556" s="6" t="s">
        <v>564</v>
      </c>
      <c r="E556" s="6" t="s">
        <v>139</v>
      </c>
      <c r="F556" s="6" t="s">
        <v>1697</v>
      </c>
      <c r="G556" s="6" t="s">
        <v>1698</v>
      </c>
      <c r="H556" s="6" t="s">
        <v>1764</v>
      </c>
      <c r="I556" s="6" t="s">
        <v>529</v>
      </c>
      <c r="J556" s="6" t="str">
        <f>IF(E556="KTG","KTG",(VLOOKUP(I556,'[1]list of outsource'!B:H,2,0)))</f>
        <v>ETC</v>
      </c>
      <c r="K556" s="6" t="s">
        <v>530</v>
      </c>
      <c r="L556" s="6">
        <v>19</v>
      </c>
      <c r="M556" s="6" t="s">
        <v>655</v>
      </c>
      <c r="N556" s="6" t="s">
        <v>1765</v>
      </c>
      <c r="O556" s="6" t="s">
        <v>1766</v>
      </c>
      <c r="P556" s="6" t="s">
        <v>574</v>
      </c>
      <c r="Q556" s="8">
        <v>45483</v>
      </c>
      <c r="R556" s="6"/>
      <c r="S556" s="18"/>
      <c r="T556" s="6"/>
      <c r="U556" s="6">
        <v>4</v>
      </c>
      <c r="V556" s="6" t="s">
        <v>665</v>
      </c>
      <c r="W556" s="6" t="s">
        <v>37</v>
      </c>
      <c r="X556" s="7">
        <v>45565</v>
      </c>
      <c r="Y556" s="7">
        <v>45635</v>
      </c>
      <c r="AB556" t="e">
        <v>#N/A</v>
      </c>
      <c r="AC556" t="s">
        <v>4210</v>
      </c>
      <c r="AE556" t="str">
        <f t="shared" si="79"/>
        <v>P000262</v>
      </c>
      <c r="AF556" t="str">
        <f>_xlfn.XLOOKUP(AE556, Hoja2!A:A, Hoja2!A:A)</f>
        <v>P000262</v>
      </c>
      <c r="AG556" t="str">
        <f t="shared" si="76"/>
        <v>PP00055-15</v>
      </c>
      <c r="AH556">
        <f>_xlfn.XLOOKUP(AG556, Hoja3!A:A, Hoja3!B:B)</f>
        <v>5678</v>
      </c>
      <c r="AI556" t="str">
        <f>_xlfn.XLOOKUP(AH556, Hoja4!A:A, Hoja4!B:B)</f>
        <v>7094174030 Document ID 2597520</v>
      </c>
      <c r="AJ556" t="b">
        <f t="shared" si="77"/>
        <v>1</v>
      </c>
    </row>
    <row r="557" spans="1:36" ht="15.5" customHeight="1" x14ac:dyDescent="0.35">
      <c r="A557">
        <f t="shared" ca="1" si="78"/>
        <v>133</v>
      </c>
      <c r="B557" s="6" t="s">
        <v>1767</v>
      </c>
      <c r="C557" s="7">
        <v>45432</v>
      </c>
      <c r="D557" s="6" t="s">
        <v>564</v>
      </c>
      <c r="E557" s="6" t="s">
        <v>139</v>
      </c>
      <c r="F557" s="6" t="s">
        <v>1697</v>
      </c>
      <c r="G557" s="6" t="s">
        <v>1698</v>
      </c>
      <c r="H557" s="6" t="s">
        <v>1768</v>
      </c>
      <c r="I557" s="6" t="s">
        <v>529</v>
      </c>
      <c r="J557" s="6" t="str">
        <f>IF(E557="KTG","KTG",(VLOOKUP(I557,'[1]list of outsource'!B:H,2,0)))</f>
        <v>ETC</v>
      </c>
      <c r="K557" s="6" t="s">
        <v>530</v>
      </c>
      <c r="L557" s="6">
        <v>19</v>
      </c>
      <c r="M557" s="6" t="s">
        <v>531</v>
      </c>
      <c r="N557" s="6" t="s">
        <v>1769</v>
      </c>
      <c r="O557" s="6" t="s">
        <v>1770</v>
      </c>
      <c r="P557" s="6" t="s">
        <v>574</v>
      </c>
      <c r="Q557" s="8">
        <v>44964</v>
      </c>
      <c r="R557" s="6"/>
      <c r="S557" s="18"/>
      <c r="T557" s="6"/>
      <c r="U557" s="6">
        <v>4</v>
      </c>
      <c r="V557" s="6" t="s">
        <v>665</v>
      </c>
      <c r="W557" s="6" t="s">
        <v>37</v>
      </c>
      <c r="X557" s="7">
        <v>45565</v>
      </c>
      <c r="Y557" s="7">
        <v>45635</v>
      </c>
      <c r="AB557" t="e">
        <v>#N/A</v>
      </c>
      <c r="AC557" t="e">
        <v>#N/A</v>
      </c>
      <c r="AE557" t="str">
        <f t="shared" si="79"/>
        <v>P000263</v>
      </c>
      <c r="AF557" t="str">
        <f>_xlfn.XLOOKUP(AE557, Hoja2!A:A, Hoja2!A:A)</f>
        <v>P000263</v>
      </c>
      <c r="AG557" t="str">
        <f t="shared" si="76"/>
        <v>PP00055-16</v>
      </c>
      <c r="AH557">
        <f>_xlfn.XLOOKUP(AG557, Hoja3!A:A, Hoja3!B:B)</f>
        <v>5679</v>
      </c>
      <c r="AI557" t="str">
        <f>_xlfn.XLOOKUP(AH557, Hoja4!A:A, Hoja4!B:B)</f>
        <v>7094174130 Document ID 2597520</v>
      </c>
      <c r="AJ557" t="b">
        <f t="shared" si="77"/>
        <v>1</v>
      </c>
    </row>
    <row r="558" spans="1:36" ht="15.5" customHeight="1" x14ac:dyDescent="0.35">
      <c r="A558">
        <f t="shared" ca="1" si="78"/>
        <v>105</v>
      </c>
      <c r="B558" s="6" t="s">
        <v>1771</v>
      </c>
      <c r="C558" s="7">
        <v>45432</v>
      </c>
      <c r="D558" s="6" t="s">
        <v>564</v>
      </c>
      <c r="E558" s="6" t="s">
        <v>139</v>
      </c>
      <c r="F558" s="6" t="s">
        <v>1697</v>
      </c>
      <c r="G558" s="6" t="s">
        <v>1698</v>
      </c>
      <c r="H558" s="6" t="s">
        <v>1772</v>
      </c>
      <c r="I558" s="6" t="s">
        <v>529</v>
      </c>
      <c r="J558" s="6" t="str">
        <f>IF(E558="KTG","KTG",(VLOOKUP(I558,'[1]list of outsource'!B:H,2,0)))</f>
        <v>ETC</v>
      </c>
      <c r="K558" s="6" t="s">
        <v>530</v>
      </c>
      <c r="L558" s="6">
        <v>19</v>
      </c>
      <c r="M558" s="6" t="s">
        <v>1773</v>
      </c>
      <c r="N558" s="6" t="s">
        <v>1774</v>
      </c>
      <c r="O558" s="6" t="s">
        <v>1775</v>
      </c>
      <c r="P558" s="6" t="s">
        <v>574</v>
      </c>
      <c r="Q558" s="8">
        <v>45453</v>
      </c>
      <c r="R558" s="6"/>
      <c r="S558" s="18">
        <v>45518</v>
      </c>
      <c r="T558" s="6"/>
      <c r="U558" s="6">
        <v>4</v>
      </c>
      <c r="V558" s="6" t="s">
        <v>665</v>
      </c>
      <c r="W558" s="6" t="s">
        <v>37</v>
      </c>
      <c r="X558" s="7">
        <v>45537</v>
      </c>
      <c r="Y558" s="7">
        <v>45537</v>
      </c>
      <c r="AB558" t="e">
        <v>#N/A</v>
      </c>
      <c r="AC558" t="e">
        <v>#N/A</v>
      </c>
      <c r="AE558" t="str">
        <f t="shared" si="79"/>
        <v>P000677</v>
      </c>
      <c r="AF558" t="str">
        <f>_xlfn.XLOOKUP(AE558, Hoja2!A:A, Hoja2!A:A)</f>
        <v>P000677</v>
      </c>
      <c r="AG558" t="str">
        <f t="shared" si="76"/>
        <v>PP00055-17</v>
      </c>
      <c r="AH558">
        <f>_xlfn.XLOOKUP(AG558, Hoja3!A:A, Hoja3!B:B)</f>
        <v>5680</v>
      </c>
      <c r="AI558" t="str">
        <f>_xlfn.XLOOKUP(AH558, Hoja4!A:A, Hoja4!B:B)</f>
        <v>7094174230 Document ID 2575290</v>
      </c>
      <c r="AJ558" t="b">
        <f t="shared" si="77"/>
        <v>1</v>
      </c>
    </row>
    <row r="559" spans="1:36" ht="15.5" customHeight="1" x14ac:dyDescent="0.35">
      <c r="A559">
        <f t="shared" ca="1" si="78"/>
        <v>105</v>
      </c>
      <c r="B559" s="6" t="s">
        <v>1776</v>
      </c>
      <c r="C559" s="7">
        <v>45432</v>
      </c>
      <c r="D559" s="6" t="s">
        <v>564</v>
      </c>
      <c r="E559" s="6" t="s">
        <v>139</v>
      </c>
      <c r="F559" s="6" t="s">
        <v>1697</v>
      </c>
      <c r="G559" s="6" t="s">
        <v>1698</v>
      </c>
      <c r="H559" s="6" t="s">
        <v>1777</v>
      </c>
      <c r="I559" s="6" t="s">
        <v>529</v>
      </c>
      <c r="J559" s="6" t="str">
        <f>IF(E559="KTG","KTG",(VLOOKUP(I559,'[1]list of outsource'!B:H,2,0)))</f>
        <v>ETC</v>
      </c>
      <c r="K559" s="6" t="s">
        <v>530</v>
      </c>
      <c r="L559" s="6">
        <v>19</v>
      </c>
      <c r="M559" s="6" t="s">
        <v>1200</v>
      </c>
      <c r="N559" s="6" t="s">
        <v>1778</v>
      </c>
      <c r="O559" s="6" t="s">
        <v>1779</v>
      </c>
      <c r="P559" s="6" t="s">
        <v>574</v>
      </c>
      <c r="Q559" s="8">
        <v>45258</v>
      </c>
      <c r="R559" s="6"/>
      <c r="S559" s="18">
        <v>45518</v>
      </c>
      <c r="T559" s="6"/>
      <c r="U559" s="6">
        <v>4</v>
      </c>
      <c r="V559" s="6" t="s">
        <v>665</v>
      </c>
      <c r="W559" s="6" t="s">
        <v>37</v>
      </c>
      <c r="X559" s="7">
        <v>45537</v>
      </c>
      <c r="Y559" s="7">
        <v>45537</v>
      </c>
      <c r="AB559" t="e">
        <v>#N/A</v>
      </c>
      <c r="AC559" t="e">
        <v>#N/A</v>
      </c>
      <c r="AE559" t="str">
        <f t="shared" si="79"/>
        <v>P000365</v>
      </c>
      <c r="AF559" t="str">
        <f>_xlfn.XLOOKUP(AE559, Hoja2!A:A, Hoja2!A:A)</f>
        <v>P000365</v>
      </c>
      <c r="AG559" t="str">
        <f t="shared" si="76"/>
        <v>PP00055-18</v>
      </c>
      <c r="AH559">
        <f>_xlfn.XLOOKUP(AG559, Hoja3!A:A, Hoja3!B:B)</f>
        <v>5681</v>
      </c>
      <c r="AI559" t="str">
        <f>_xlfn.XLOOKUP(AH559, Hoja4!A:A, Hoja4!B:B)</f>
        <v>7094174330 Document ID 2575290</v>
      </c>
      <c r="AJ559" t="b">
        <f t="shared" si="77"/>
        <v>1</v>
      </c>
    </row>
    <row r="560" spans="1:36" ht="15.5" customHeight="1" x14ac:dyDescent="0.35">
      <c r="A560">
        <f t="shared" ca="1" si="78"/>
        <v>130</v>
      </c>
      <c r="B560" s="6" t="s">
        <v>1780</v>
      </c>
      <c r="C560" s="7">
        <v>45432</v>
      </c>
      <c r="D560" s="6" t="s">
        <v>564</v>
      </c>
      <c r="E560" s="6" t="s">
        <v>139</v>
      </c>
      <c r="F560" s="6" t="s">
        <v>1697</v>
      </c>
      <c r="G560" s="6" t="s">
        <v>1698</v>
      </c>
      <c r="H560" s="6" t="s">
        <v>1781</v>
      </c>
      <c r="I560" s="6" t="s">
        <v>529</v>
      </c>
      <c r="J560" s="6" t="str">
        <f>IF(E560="KTG","KTG",(VLOOKUP(I560,'[1]list of outsource'!B:H,2,0)))</f>
        <v>ETC</v>
      </c>
      <c r="K560" s="6" t="s">
        <v>530</v>
      </c>
      <c r="L560" s="6">
        <v>19</v>
      </c>
      <c r="M560" s="6" t="s">
        <v>1310</v>
      </c>
      <c r="N560" s="6" t="s">
        <v>1782</v>
      </c>
      <c r="O560" s="6" t="s">
        <v>1783</v>
      </c>
      <c r="P560" s="6" t="s">
        <v>574</v>
      </c>
      <c r="Q560" s="8">
        <v>45194</v>
      </c>
      <c r="R560" s="6"/>
      <c r="S560" s="18"/>
      <c r="T560" s="6"/>
      <c r="U560" s="6">
        <v>4</v>
      </c>
      <c r="V560" s="6" t="s">
        <v>665</v>
      </c>
      <c r="W560" s="6" t="s">
        <v>37</v>
      </c>
      <c r="X560" s="7">
        <v>45562</v>
      </c>
      <c r="Y560" s="7">
        <v>45635</v>
      </c>
      <c r="AB560" t="e">
        <v>#N/A</v>
      </c>
      <c r="AC560" t="e">
        <v>#N/A</v>
      </c>
      <c r="AE560" t="str">
        <f t="shared" si="79"/>
        <v>P000366</v>
      </c>
      <c r="AF560" t="str">
        <f>_xlfn.XLOOKUP(AE560, Hoja2!A:A, Hoja2!A:A)</f>
        <v>P000366</v>
      </c>
      <c r="AG560" t="str">
        <f t="shared" si="76"/>
        <v>PP00055-19</v>
      </c>
      <c r="AH560">
        <f>_xlfn.XLOOKUP(AG560, Hoja3!A:A, Hoja3!B:B)</f>
        <v>5682</v>
      </c>
      <c r="AI560" t="str">
        <f>_xlfn.XLOOKUP(AH560, Hoja4!A:A, Hoja4!B:B)</f>
        <v>7094174430 Document ID 2597551</v>
      </c>
      <c r="AJ560" t="b">
        <f t="shared" si="77"/>
        <v>1</v>
      </c>
    </row>
    <row r="561" spans="1:36" ht="15.5" customHeight="1" x14ac:dyDescent="0.35">
      <c r="A561">
        <f t="shared" ca="1" si="78"/>
        <v>130</v>
      </c>
      <c r="B561" s="6" t="s">
        <v>1784</v>
      </c>
      <c r="C561" s="7">
        <v>45432</v>
      </c>
      <c r="D561" s="6" t="s">
        <v>564</v>
      </c>
      <c r="E561" s="6" t="s">
        <v>139</v>
      </c>
      <c r="F561" s="6" t="s">
        <v>1697</v>
      </c>
      <c r="G561" s="6" t="s">
        <v>1698</v>
      </c>
      <c r="H561" s="6" t="s">
        <v>1785</v>
      </c>
      <c r="I561" s="6" t="s">
        <v>529</v>
      </c>
      <c r="J561" s="6" t="str">
        <f>IF(E561="KTG","KTG",(VLOOKUP(I561,'[1]list of outsource'!B:H,2,0)))</f>
        <v>ETC</v>
      </c>
      <c r="K561" s="6" t="s">
        <v>530</v>
      </c>
      <c r="L561" s="6">
        <v>19</v>
      </c>
      <c r="M561" s="6" t="s">
        <v>1786</v>
      </c>
      <c r="N561" s="6" t="s">
        <v>1787</v>
      </c>
      <c r="O561" s="6" t="s">
        <v>1788</v>
      </c>
      <c r="P561" s="6" t="s">
        <v>574</v>
      </c>
      <c r="Q561" s="8">
        <v>45453</v>
      </c>
      <c r="R561" s="6"/>
      <c r="S561" s="18"/>
      <c r="T561" s="6"/>
      <c r="U561" s="6">
        <v>4</v>
      </c>
      <c r="V561" s="6" t="s">
        <v>665</v>
      </c>
      <c r="W561" s="6" t="s">
        <v>37</v>
      </c>
      <c r="X561" s="7">
        <v>45562</v>
      </c>
      <c r="Y561" s="7">
        <v>45635</v>
      </c>
      <c r="AB561" t="e">
        <v>#N/A</v>
      </c>
      <c r="AC561" t="e">
        <v>#N/A</v>
      </c>
      <c r="AE561" t="str">
        <f t="shared" si="79"/>
        <v>P000454</v>
      </c>
      <c r="AF561" t="str">
        <f>_xlfn.XLOOKUP(AE561, Hoja2!A:A, Hoja2!A:A)</f>
        <v>P000454</v>
      </c>
      <c r="AG561" t="str">
        <f t="shared" si="76"/>
        <v>PP00055-20</v>
      </c>
      <c r="AH561">
        <f>_xlfn.XLOOKUP(AG561, Hoja3!A:A, Hoja3!B:B)</f>
        <v>5683</v>
      </c>
      <c r="AI561" t="str">
        <f>_xlfn.XLOOKUP(AH561, Hoja4!A:A, Hoja4!B:B)</f>
        <v>7094174530 Document ID 2597551</v>
      </c>
      <c r="AJ561" t="b">
        <f t="shared" si="77"/>
        <v>1</v>
      </c>
    </row>
    <row r="562" spans="1:36" ht="15.5" hidden="1" customHeight="1" x14ac:dyDescent="0.35">
      <c r="A562">
        <f t="shared" ca="1" si="78"/>
        <v>133</v>
      </c>
      <c r="B562" s="55" t="s">
        <v>1789</v>
      </c>
      <c r="C562" s="7">
        <v>45432</v>
      </c>
      <c r="D562" s="6" t="s">
        <v>564</v>
      </c>
      <c r="E562" s="6" t="s">
        <v>139</v>
      </c>
      <c r="F562" s="6" t="s">
        <v>1697</v>
      </c>
      <c r="G562" s="6" t="s">
        <v>1698</v>
      </c>
      <c r="H562" s="6" t="s">
        <v>1790</v>
      </c>
      <c r="I562" s="6" t="s">
        <v>529</v>
      </c>
      <c r="J562" s="6" t="str">
        <f>IF(E562="KTG","KTG",(VLOOKUP(I562,'[1]list of outsource'!B:H,2,0)))</f>
        <v>ETC</v>
      </c>
      <c r="K562" s="6" t="s">
        <v>530</v>
      </c>
      <c r="L562" s="6">
        <v>19</v>
      </c>
      <c r="M562" s="55" t="s">
        <v>1791</v>
      </c>
      <c r="N562" s="6" t="s">
        <v>1792</v>
      </c>
      <c r="O562" s="6" t="s">
        <v>1793</v>
      </c>
      <c r="P562" s="6" t="s">
        <v>574</v>
      </c>
      <c r="Q562" s="8">
        <v>45499</v>
      </c>
      <c r="R562" s="6"/>
      <c r="S562" s="18"/>
      <c r="T562" s="6"/>
      <c r="U562" s="6">
        <v>4</v>
      </c>
      <c r="V562" s="6" t="s">
        <v>665</v>
      </c>
      <c r="W562" s="6" t="s">
        <v>37</v>
      </c>
      <c r="X562" s="7">
        <v>45565</v>
      </c>
      <c r="Y562" s="7">
        <v>45635</v>
      </c>
      <c r="AB562" t="e">
        <v>#N/A</v>
      </c>
      <c r="AC562" t="e">
        <v>#N/A</v>
      </c>
      <c r="AE562" t="str">
        <f t="shared" si="79"/>
        <v>P000389</v>
      </c>
      <c r="AF562" t="e">
        <f>_xlfn.XLOOKUP(AE562, Hoja2!A:A, Hoja2!A:A)</f>
        <v>#N/A</v>
      </c>
    </row>
    <row r="563" spans="1:36" ht="15.5" customHeight="1" x14ac:dyDescent="0.35">
      <c r="A563">
        <f t="shared" ca="1" si="78"/>
        <v>133</v>
      </c>
      <c r="B563" s="6" t="s">
        <v>1794</v>
      </c>
      <c r="C563" s="7">
        <v>45432</v>
      </c>
      <c r="D563" s="6" t="s">
        <v>564</v>
      </c>
      <c r="E563" s="6" t="s">
        <v>139</v>
      </c>
      <c r="F563" s="6" t="s">
        <v>1697</v>
      </c>
      <c r="G563" s="6" t="s">
        <v>1698</v>
      </c>
      <c r="H563" s="6" t="s">
        <v>1795</v>
      </c>
      <c r="I563" s="6" t="s">
        <v>529</v>
      </c>
      <c r="J563" s="6" t="str">
        <f>IF(E563="KTG","KTG",(VLOOKUP(I563,'[1]list of outsource'!B:H,2,0)))</f>
        <v>ETC</v>
      </c>
      <c r="K563" s="6" t="s">
        <v>530</v>
      </c>
      <c r="L563" s="6">
        <v>19</v>
      </c>
      <c r="M563" s="6" t="s">
        <v>1796</v>
      </c>
      <c r="N563" s="6" t="s">
        <v>1797</v>
      </c>
      <c r="O563" s="6" t="s">
        <v>1798</v>
      </c>
      <c r="P563" s="6" t="s">
        <v>574</v>
      </c>
      <c r="Q563" s="8">
        <v>45453</v>
      </c>
      <c r="R563" s="6"/>
      <c r="S563" s="18">
        <v>45518</v>
      </c>
      <c r="T563" s="6"/>
      <c r="U563" s="6">
        <v>4</v>
      </c>
      <c r="V563" s="6" t="s">
        <v>665</v>
      </c>
      <c r="W563" s="6" t="s">
        <v>37</v>
      </c>
      <c r="X563" s="7">
        <v>45565</v>
      </c>
      <c r="Y563" s="7">
        <v>45635</v>
      </c>
      <c r="AB563" t="e">
        <v>#N/A</v>
      </c>
      <c r="AC563" t="e">
        <v>#N/A</v>
      </c>
      <c r="AE563" t="str">
        <f t="shared" si="79"/>
        <v>P000368</v>
      </c>
      <c r="AF563" t="str">
        <f>_xlfn.XLOOKUP(AE563, Hoja2!A:A, Hoja2!A:A)</f>
        <v>P000368</v>
      </c>
      <c r="AG563" t="str">
        <f t="shared" ref="AG563:AG587" si="80">LEFT(B563, FIND(" ", B563 &amp; " ") - 1)</f>
        <v>PP00055-22</v>
      </c>
      <c r="AH563">
        <f>_xlfn.XLOOKUP(AG563, Hoja3!A:A, Hoja3!B:B)</f>
        <v>5684</v>
      </c>
      <c r="AI563" t="str">
        <f>_xlfn.XLOOKUP(AH563, Hoja4!A:A, Hoja4!B:B)</f>
        <v>7094174730 Document ID 2598912</v>
      </c>
      <c r="AJ563" t="b">
        <f t="shared" ref="AJ563:AJ587" si="81">H563=AI563</f>
        <v>1</v>
      </c>
    </row>
    <row r="564" spans="1:36" ht="15.5" customHeight="1" x14ac:dyDescent="0.35">
      <c r="A564">
        <f t="shared" ca="1" si="78"/>
        <v>133</v>
      </c>
      <c r="B564" s="6" t="s">
        <v>1799</v>
      </c>
      <c r="C564" s="7">
        <v>45432</v>
      </c>
      <c r="D564" s="6" t="s">
        <v>564</v>
      </c>
      <c r="E564" s="6" t="s">
        <v>139</v>
      </c>
      <c r="F564" s="6" t="s">
        <v>1697</v>
      </c>
      <c r="G564" s="6" t="s">
        <v>1698</v>
      </c>
      <c r="H564" s="6" t="s">
        <v>1800</v>
      </c>
      <c r="I564" s="6" t="s">
        <v>529</v>
      </c>
      <c r="J564" s="6" t="str">
        <f>IF(E564="KTG","KTG",(VLOOKUP(I564,'[1]list of outsource'!B:H,2,0)))</f>
        <v>ETC</v>
      </c>
      <c r="K564" s="6" t="s">
        <v>530</v>
      </c>
      <c r="L564" s="6">
        <v>19</v>
      </c>
      <c r="M564" s="6" t="s">
        <v>1642</v>
      </c>
      <c r="N564" s="6" t="s">
        <v>1643</v>
      </c>
      <c r="O564" s="6" t="s">
        <v>1801</v>
      </c>
      <c r="P564" s="6" t="s">
        <v>574</v>
      </c>
      <c r="Q564" s="8">
        <v>45453</v>
      </c>
      <c r="R564" s="6"/>
      <c r="S564" s="18"/>
      <c r="T564" s="6"/>
      <c r="U564" s="6">
        <v>4</v>
      </c>
      <c r="V564" s="6" t="s">
        <v>665</v>
      </c>
      <c r="W564" s="6" t="s">
        <v>37</v>
      </c>
      <c r="X564" s="7">
        <v>45565</v>
      </c>
      <c r="Y564" s="7">
        <v>45635</v>
      </c>
      <c r="AB564" t="e">
        <v>#N/A</v>
      </c>
      <c r="AC564" t="e">
        <v>#N/A</v>
      </c>
      <c r="AE564" t="str">
        <f t="shared" si="79"/>
        <v>P000369</v>
      </c>
      <c r="AF564" t="str">
        <f>_xlfn.XLOOKUP(AE564, Hoja2!A:A, Hoja2!A:A)</f>
        <v>P000369</v>
      </c>
      <c r="AG564" t="str">
        <f t="shared" si="80"/>
        <v>PP00055-23</v>
      </c>
      <c r="AH564">
        <f>_xlfn.XLOOKUP(AG564, Hoja3!A:A, Hoja3!B:B)</f>
        <v>5685</v>
      </c>
      <c r="AI564" t="str">
        <f>_xlfn.XLOOKUP(AH564, Hoja4!A:A, Hoja4!B:B)</f>
        <v>7094174830 Document ID 2598924</v>
      </c>
      <c r="AJ564" t="b">
        <f t="shared" si="81"/>
        <v>1</v>
      </c>
    </row>
    <row r="565" spans="1:36" ht="15.5" customHeight="1" x14ac:dyDescent="0.35">
      <c r="A565">
        <f t="shared" ca="1" si="78"/>
        <v>133</v>
      </c>
      <c r="B565" s="6" t="s">
        <v>1802</v>
      </c>
      <c r="C565" s="7">
        <v>45432</v>
      </c>
      <c r="D565" s="6" t="s">
        <v>564</v>
      </c>
      <c r="E565" s="6" t="s">
        <v>139</v>
      </c>
      <c r="F565" s="6" t="s">
        <v>1697</v>
      </c>
      <c r="G565" s="6" t="s">
        <v>1698</v>
      </c>
      <c r="H565" s="6" t="s">
        <v>1803</v>
      </c>
      <c r="I565" s="6" t="s">
        <v>529</v>
      </c>
      <c r="J565" s="6" t="str">
        <f>IF(E565="KTG","KTG",(VLOOKUP(I565,'[1]list of outsource'!B:H,2,0)))</f>
        <v>ETC</v>
      </c>
      <c r="K565" s="6" t="s">
        <v>530</v>
      </c>
      <c r="L565" s="6">
        <v>19</v>
      </c>
      <c r="M565" s="6" t="s">
        <v>1804</v>
      </c>
      <c r="N565" s="6" t="s">
        <v>1805</v>
      </c>
      <c r="O565" s="6" t="s">
        <v>1806</v>
      </c>
      <c r="P565" s="6" t="s">
        <v>574</v>
      </c>
      <c r="Q565" s="8">
        <v>45453</v>
      </c>
      <c r="R565" s="6"/>
      <c r="S565" s="18"/>
      <c r="T565" s="6"/>
      <c r="U565" s="6">
        <v>4</v>
      </c>
      <c r="V565" s="6" t="s">
        <v>665</v>
      </c>
      <c r="W565" s="6" t="s">
        <v>37</v>
      </c>
      <c r="X565" s="7">
        <v>45565</v>
      </c>
      <c r="Y565" s="7">
        <v>45635</v>
      </c>
      <c r="AB565" t="e">
        <v>#N/A</v>
      </c>
      <c r="AC565" t="e">
        <v>#N/A</v>
      </c>
      <c r="AE565" t="str">
        <f t="shared" si="79"/>
        <v>P000588</v>
      </c>
      <c r="AF565" t="str">
        <f>_xlfn.XLOOKUP(AE565, Hoja2!A:A, Hoja2!A:A)</f>
        <v>P000588</v>
      </c>
      <c r="AG565" t="str">
        <f t="shared" si="80"/>
        <v>PP00055-24</v>
      </c>
      <c r="AH565">
        <f>_xlfn.XLOOKUP(AG565, Hoja3!A:A, Hoja3!B:B)</f>
        <v>5686</v>
      </c>
      <c r="AI565" t="str">
        <f>_xlfn.XLOOKUP(AH565, Hoja4!A:A, Hoja4!B:B)</f>
        <v>7094174930 Document ID 2598924</v>
      </c>
      <c r="AJ565" t="b">
        <f t="shared" si="81"/>
        <v>1</v>
      </c>
    </row>
    <row r="566" spans="1:36" ht="15.5" customHeight="1" x14ac:dyDescent="0.35">
      <c r="A566">
        <f t="shared" ca="1" si="78"/>
        <v>129</v>
      </c>
      <c r="B566" s="6" t="s">
        <v>1807</v>
      </c>
      <c r="C566" s="7">
        <v>45432</v>
      </c>
      <c r="D566" s="6" t="s">
        <v>564</v>
      </c>
      <c r="E566" s="6" t="s">
        <v>139</v>
      </c>
      <c r="F566" s="6" t="s">
        <v>1697</v>
      </c>
      <c r="G566" s="6" t="s">
        <v>1698</v>
      </c>
      <c r="H566" s="6" t="s">
        <v>1808</v>
      </c>
      <c r="I566" s="6" t="s">
        <v>849</v>
      </c>
      <c r="J566" s="6" t="str">
        <f>IF(E566="KTG","KTG",(VLOOKUP(I566,'[1]list of outsource'!B:H,2,0)))</f>
        <v>ETC</v>
      </c>
      <c r="K566" s="6" t="s">
        <v>850</v>
      </c>
      <c r="L566" s="6">
        <v>19</v>
      </c>
      <c r="M566" s="6" t="s">
        <v>1809</v>
      </c>
      <c r="N566" s="6" t="s">
        <v>1810</v>
      </c>
      <c r="O566" s="6" t="s">
        <v>1811</v>
      </c>
      <c r="P566" s="6" t="s">
        <v>574</v>
      </c>
      <c r="Q566" s="8">
        <v>45449</v>
      </c>
      <c r="R566" s="6"/>
      <c r="S566" s="18"/>
      <c r="T566" s="6"/>
      <c r="U566" s="6">
        <v>4</v>
      </c>
      <c r="V566" s="6" t="s">
        <v>665</v>
      </c>
      <c r="W566" s="6" t="s">
        <v>37</v>
      </c>
      <c r="X566" s="7">
        <v>45561</v>
      </c>
      <c r="Y566" s="7">
        <v>45561</v>
      </c>
      <c r="AB566" t="e">
        <v>#N/A</v>
      </c>
      <c r="AC566" t="e">
        <v>#N/A</v>
      </c>
      <c r="AE566" t="str">
        <f t="shared" si="79"/>
        <v>P000818</v>
      </c>
      <c r="AF566" t="str">
        <f>_xlfn.XLOOKUP(AE566, Hoja2!A:A, Hoja2!A:A)</f>
        <v>P000818</v>
      </c>
      <c r="AG566" t="str">
        <f t="shared" si="80"/>
        <v>PP00055-25</v>
      </c>
      <c r="AH566">
        <f>_xlfn.XLOOKUP(AG566, Hoja3!A:A, Hoja3!B:B)</f>
        <v>5687</v>
      </c>
      <c r="AI566" t="str">
        <f>_xlfn.XLOOKUP(AH566, Hoja4!A:A, Hoja4!B:B)</f>
        <v>7094177030 Document ID 2580052</v>
      </c>
      <c r="AJ566" t="b">
        <f t="shared" si="81"/>
        <v>1</v>
      </c>
    </row>
    <row r="567" spans="1:36" ht="15.5" customHeight="1" x14ac:dyDescent="0.35">
      <c r="A567">
        <f t="shared" ca="1" si="78"/>
        <v>129</v>
      </c>
      <c r="B567" s="6" t="s">
        <v>1812</v>
      </c>
      <c r="C567" s="7">
        <v>45432</v>
      </c>
      <c r="D567" s="6" t="s">
        <v>564</v>
      </c>
      <c r="E567" s="6" t="s">
        <v>139</v>
      </c>
      <c r="F567" s="6" t="s">
        <v>1697</v>
      </c>
      <c r="G567" s="6" t="s">
        <v>1698</v>
      </c>
      <c r="H567" s="6" t="s">
        <v>1813</v>
      </c>
      <c r="I567" s="6" t="s">
        <v>849</v>
      </c>
      <c r="J567" s="6" t="str">
        <f>IF(E567="KTG","KTG",(VLOOKUP(I567,'[1]list of outsource'!B:H,2,0)))</f>
        <v>ETC</v>
      </c>
      <c r="K567" s="6" t="s">
        <v>850</v>
      </c>
      <c r="L567" s="6">
        <v>19</v>
      </c>
      <c r="M567" s="6" t="s">
        <v>1814</v>
      </c>
      <c r="N567" s="6" t="s">
        <v>1815</v>
      </c>
      <c r="O567" s="6" t="s">
        <v>1816</v>
      </c>
      <c r="P567" s="6" t="s">
        <v>574</v>
      </c>
      <c r="Q567" s="8">
        <v>45449</v>
      </c>
      <c r="R567" s="6"/>
      <c r="S567" s="18"/>
      <c r="T567" s="6"/>
      <c r="U567" s="6">
        <v>4</v>
      </c>
      <c r="V567" s="6" t="s">
        <v>665</v>
      </c>
      <c r="W567" s="6" t="s">
        <v>37</v>
      </c>
      <c r="X567" s="7">
        <v>45561</v>
      </c>
      <c r="Y567" s="7">
        <v>45561</v>
      </c>
      <c r="AB567" t="e">
        <v>#N/A</v>
      </c>
      <c r="AC567" t="e">
        <v>#N/A</v>
      </c>
      <c r="AE567" t="str">
        <f t="shared" si="79"/>
        <v>P000708</v>
      </c>
      <c r="AF567" t="str">
        <f>_xlfn.XLOOKUP(AE567, Hoja2!A:A, Hoja2!A:A)</f>
        <v>P000708</v>
      </c>
      <c r="AG567" t="str">
        <f t="shared" si="80"/>
        <v>PP00055-26</v>
      </c>
      <c r="AH567">
        <f>_xlfn.XLOOKUP(AG567, Hoja3!A:A, Hoja3!B:B)</f>
        <v>5688</v>
      </c>
      <c r="AI567" t="str">
        <f>_xlfn.XLOOKUP(AH567, Hoja4!A:A, Hoja4!B:B)</f>
        <v>7094177130 Document ID 2580056</v>
      </c>
      <c r="AJ567" t="b">
        <f t="shared" si="81"/>
        <v>1</v>
      </c>
    </row>
    <row r="568" spans="1:36" ht="15.5" customHeight="1" x14ac:dyDescent="0.35">
      <c r="A568">
        <f t="shared" ca="1" si="78"/>
        <v>102</v>
      </c>
      <c r="B568" s="6" t="s">
        <v>1817</v>
      </c>
      <c r="C568" s="7">
        <v>45432</v>
      </c>
      <c r="D568" s="6" t="s">
        <v>564</v>
      </c>
      <c r="E568" s="6" t="s">
        <v>139</v>
      </c>
      <c r="F568" s="6" t="s">
        <v>1697</v>
      </c>
      <c r="G568" s="6" t="s">
        <v>1698</v>
      </c>
      <c r="H568" s="6" t="s">
        <v>1818</v>
      </c>
      <c r="I568" s="6" t="s">
        <v>849</v>
      </c>
      <c r="J568" s="6" t="str">
        <f>IF(E568="KTG","KTG",(VLOOKUP(I568,'[1]list of outsource'!B:H,2,0)))</f>
        <v>ETC</v>
      </c>
      <c r="K568" s="6" t="s">
        <v>850</v>
      </c>
      <c r="L568" s="6">
        <v>19</v>
      </c>
      <c r="M568" s="6" t="s">
        <v>1452</v>
      </c>
      <c r="N568" s="6" t="s">
        <v>1819</v>
      </c>
      <c r="O568" s="6" t="s">
        <v>1820</v>
      </c>
      <c r="P568" s="6" t="s">
        <v>574</v>
      </c>
      <c r="Q568" s="8">
        <v>45449</v>
      </c>
      <c r="R568" s="6"/>
      <c r="S568" s="18"/>
      <c r="T568" s="6"/>
      <c r="U568" s="6">
        <v>4</v>
      </c>
      <c r="V568" s="6" t="s">
        <v>665</v>
      </c>
      <c r="W568" s="6" t="s">
        <v>37</v>
      </c>
      <c r="X568" s="7">
        <v>45534</v>
      </c>
      <c r="Y568" s="7">
        <v>45545</v>
      </c>
      <c r="AB568" t="e">
        <v>#N/A</v>
      </c>
      <c r="AC568" t="e">
        <v>#N/A</v>
      </c>
      <c r="AE568" t="str">
        <f t="shared" si="79"/>
        <v>P000371</v>
      </c>
      <c r="AF568" t="str">
        <f>_xlfn.XLOOKUP(AE568, Hoja2!A:A, Hoja2!A:A)</f>
        <v>P000371</v>
      </c>
      <c r="AG568" t="str">
        <f t="shared" si="80"/>
        <v>PP00055-27</v>
      </c>
      <c r="AH568">
        <f>_xlfn.XLOOKUP(AG568, Hoja3!A:A, Hoja3!B:B)</f>
        <v>5689</v>
      </c>
      <c r="AI568" t="str">
        <f>_xlfn.XLOOKUP(AH568, Hoja4!A:A, Hoja4!B:B)</f>
        <v>7094177230 Document ID 2580084</v>
      </c>
      <c r="AJ568" t="b">
        <f t="shared" si="81"/>
        <v>1</v>
      </c>
    </row>
    <row r="569" spans="1:36" ht="15.5" customHeight="1" x14ac:dyDescent="0.35">
      <c r="A569">
        <f t="shared" ca="1" si="78"/>
        <v>113</v>
      </c>
      <c r="B569" s="12" t="s">
        <v>1821</v>
      </c>
      <c r="C569" s="13">
        <v>45432</v>
      </c>
      <c r="D569" s="14" t="s">
        <v>121</v>
      </c>
      <c r="E569" s="14" t="s">
        <v>139</v>
      </c>
      <c r="F569" s="14" t="s">
        <v>1697</v>
      </c>
      <c r="G569" s="14" t="s">
        <v>1698</v>
      </c>
      <c r="H569" s="14">
        <v>7094177330</v>
      </c>
      <c r="I569" s="14" t="s">
        <v>849</v>
      </c>
      <c r="J569" s="14" t="str">
        <f>IF(E569="KTG","KTG",(VLOOKUP(I569,'[1]list of outsource'!B:H,2,0)))</f>
        <v>ETC</v>
      </c>
      <c r="K569" s="14" t="s">
        <v>850</v>
      </c>
      <c r="L569" s="14">
        <v>19</v>
      </c>
      <c r="M569" s="14" t="s">
        <v>1456</v>
      </c>
      <c r="N569" s="14" t="s">
        <v>1822</v>
      </c>
      <c r="O569" s="14" t="s">
        <v>1823</v>
      </c>
      <c r="P569" s="14" t="s">
        <v>574</v>
      </c>
      <c r="Q569" s="15">
        <v>45449</v>
      </c>
      <c r="R569" s="14"/>
      <c r="S569" s="16"/>
      <c r="T569" s="14"/>
      <c r="U569" s="14">
        <v>4</v>
      </c>
      <c r="V569" s="14" t="s">
        <v>665</v>
      </c>
      <c r="W569" s="14" t="s">
        <v>37</v>
      </c>
      <c r="X569" s="13">
        <v>45545</v>
      </c>
      <c r="Y569" s="13"/>
      <c r="AB569" t="e">
        <v>#N/A</v>
      </c>
      <c r="AC569" t="e">
        <v>#N/A</v>
      </c>
      <c r="AE569" t="str">
        <f t="shared" si="79"/>
        <v>P000372</v>
      </c>
      <c r="AF569" t="str">
        <f>_xlfn.XLOOKUP(AE569, Hoja2!A:A, Hoja2!A:A)</f>
        <v>P000372</v>
      </c>
      <c r="AG569" t="str">
        <f t="shared" si="80"/>
        <v>PP00055-28</v>
      </c>
      <c r="AH569">
        <f>_xlfn.XLOOKUP(AG569, Hoja3!A:A, Hoja3!B:B)</f>
        <v>5690</v>
      </c>
      <c r="AI569">
        <f>_xlfn.XLOOKUP(AH569, Hoja4!A:A, Hoja4!B:B)</f>
        <v>7094177330</v>
      </c>
      <c r="AJ569" t="b">
        <f t="shared" si="81"/>
        <v>1</v>
      </c>
    </row>
    <row r="570" spans="1:36" ht="15.5" customHeight="1" x14ac:dyDescent="0.35">
      <c r="A570">
        <f t="shared" ca="1" si="78"/>
        <v>113</v>
      </c>
      <c r="B570" s="6" t="s">
        <v>1824</v>
      </c>
      <c r="C570" s="7">
        <v>45432</v>
      </c>
      <c r="D570" s="6" t="s">
        <v>564</v>
      </c>
      <c r="E570" s="6" t="s">
        <v>139</v>
      </c>
      <c r="F570" s="6" t="s">
        <v>1697</v>
      </c>
      <c r="G570" s="6" t="s">
        <v>1698</v>
      </c>
      <c r="H570" s="6" t="s">
        <v>1825</v>
      </c>
      <c r="I570" s="6" t="s">
        <v>849</v>
      </c>
      <c r="J570" s="6" t="str">
        <f>IF(E570="KTG","KTG",(VLOOKUP(I570,'[1]list of outsource'!B:H,2,0)))</f>
        <v>ETC</v>
      </c>
      <c r="K570" s="6" t="s">
        <v>850</v>
      </c>
      <c r="L570" s="6">
        <v>19</v>
      </c>
      <c r="M570" s="6" t="s">
        <v>1826</v>
      </c>
      <c r="N570" s="6" t="s">
        <v>1827</v>
      </c>
      <c r="O570" s="6" t="s">
        <v>1828</v>
      </c>
      <c r="P570" s="6" t="s">
        <v>574</v>
      </c>
      <c r="Q570" s="8">
        <v>45449</v>
      </c>
      <c r="R570" s="6"/>
      <c r="S570" s="18">
        <v>45523</v>
      </c>
      <c r="T570" s="6"/>
      <c r="U570" s="6">
        <v>4</v>
      </c>
      <c r="V570" s="6" t="s">
        <v>665</v>
      </c>
      <c r="W570" s="6" t="s">
        <v>37</v>
      </c>
      <c r="X570" s="7">
        <v>45545</v>
      </c>
      <c r="Y570" s="7">
        <v>45545</v>
      </c>
      <c r="AB570" t="e">
        <v>#N/A</v>
      </c>
      <c r="AC570" t="e">
        <v>#N/A</v>
      </c>
      <c r="AE570" t="str">
        <f t="shared" si="79"/>
        <v>P000373</v>
      </c>
      <c r="AF570" t="str">
        <f>_xlfn.XLOOKUP(AE570, Hoja2!A:A, Hoja2!A:A)</f>
        <v>P000373</v>
      </c>
      <c r="AG570" t="str">
        <f t="shared" si="80"/>
        <v>PP00055-29</v>
      </c>
      <c r="AH570">
        <f>_xlfn.XLOOKUP(AG570, Hoja3!A:A, Hoja3!B:B)</f>
        <v>5691</v>
      </c>
      <c r="AI570" t="str">
        <f>_xlfn.XLOOKUP(AH570, Hoja4!A:A, Hoja4!B:B)</f>
        <v>7094177430 Document ID 2580094</v>
      </c>
      <c r="AJ570" t="b">
        <f t="shared" si="81"/>
        <v>1</v>
      </c>
    </row>
    <row r="571" spans="1:36" ht="15.5" customHeight="1" x14ac:dyDescent="0.35">
      <c r="A571">
        <f t="shared" ca="1" si="78"/>
        <v>105</v>
      </c>
      <c r="B571" s="6" t="s">
        <v>1829</v>
      </c>
      <c r="C571" s="7">
        <v>45432</v>
      </c>
      <c r="D571" s="6" t="s">
        <v>564</v>
      </c>
      <c r="E571" s="6" t="s">
        <v>139</v>
      </c>
      <c r="F571" s="6" t="s">
        <v>1697</v>
      </c>
      <c r="G571" s="6" t="s">
        <v>1698</v>
      </c>
      <c r="H571" s="6" t="s">
        <v>1830</v>
      </c>
      <c r="I571" s="6" t="s">
        <v>849</v>
      </c>
      <c r="J571" s="6" t="str">
        <f>IF(E571="KTG","KTG",(VLOOKUP(I571,'[1]list of outsource'!B:H,2,0)))</f>
        <v>ETC</v>
      </c>
      <c r="K571" s="6" t="s">
        <v>850</v>
      </c>
      <c r="L571" s="6">
        <v>19</v>
      </c>
      <c r="M571" s="6" t="s">
        <v>1460</v>
      </c>
      <c r="N571" s="6" t="s">
        <v>1831</v>
      </c>
      <c r="O571" s="6" t="s">
        <v>1832</v>
      </c>
      <c r="P571" s="6" t="s">
        <v>574</v>
      </c>
      <c r="Q571" s="8">
        <v>45449</v>
      </c>
      <c r="R571" s="6"/>
      <c r="S571" s="18">
        <v>45523</v>
      </c>
      <c r="T571" s="6"/>
      <c r="U571" s="6">
        <v>4</v>
      </c>
      <c r="V571" s="6" t="s">
        <v>665</v>
      </c>
      <c r="W571" s="6" t="s">
        <v>37</v>
      </c>
      <c r="X571" s="7">
        <v>45537</v>
      </c>
      <c r="Y571" s="7">
        <v>45537</v>
      </c>
      <c r="AB571">
        <v>0</v>
      </c>
      <c r="AC571" t="e">
        <v>#N/A</v>
      </c>
      <c r="AE571" t="str">
        <f t="shared" si="79"/>
        <v>P000374</v>
      </c>
      <c r="AF571" t="str">
        <f>_xlfn.XLOOKUP(AE571, Hoja2!A:A, Hoja2!A:A)</f>
        <v>P000374</v>
      </c>
      <c r="AG571" t="str">
        <f t="shared" si="80"/>
        <v>PP00055-30</v>
      </c>
      <c r="AH571">
        <f>_xlfn.XLOOKUP(AG571, Hoja3!A:A, Hoja3!B:B)</f>
        <v>5692</v>
      </c>
      <c r="AI571" t="str">
        <f>_xlfn.XLOOKUP(AH571, Hoja4!A:A, Hoja4!B:B)</f>
        <v>7094177530 Document ID 2581097</v>
      </c>
      <c r="AJ571" t="b">
        <f t="shared" si="81"/>
        <v>1</v>
      </c>
    </row>
    <row r="572" spans="1:36" ht="15.5" customHeight="1" x14ac:dyDescent="0.35">
      <c r="A572">
        <f t="shared" ca="1" si="78"/>
        <v>113</v>
      </c>
      <c r="B572" s="6" t="s">
        <v>1833</v>
      </c>
      <c r="C572" s="7">
        <v>45432</v>
      </c>
      <c r="D572" s="6" t="s">
        <v>564</v>
      </c>
      <c r="E572" s="6" t="s">
        <v>139</v>
      </c>
      <c r="F572" s="6" t="s">
        <v>1697</v>
      </c>
      <c r="G572" s="6" t="s">
        <v>1698</v>
      </c>
      <c r="H572" s="6" t="s">
        <v>1834</v>
      </c>
      <c r="I572" s="6" t="s">
        <v>849</v>
      </c>
      <c r="J572" s="6" t="str">
        <f>IF(E572="KTG","KTG",(VLOOKUP(I572,'[1]list of outsource'!B:H,2,0)))</f>
        <v>ETC</v>
      </c>
      <c r="K572" s="6" t="s">
        <v>850</v>
      </c>
      <c r="L572" s="6">
        <v>19</v>
      </c>
      <c r="M572" s="6" t="s">
        <v>1835</v>
      </c>
      <c r="N572" s="6" t="s">
        <v>1836</v>
      </c>
      <c r="O572" s="6" t="s">
        <v>1837</v>
      </c>
      <c r="P572" s="6" t="s">
        <v>574</v>
      </c>
      <c r="Q572" s="8">
        <v>45453</v>
      </c>
      <c r="R572" s="6"/>
      <c r="S572" s="18"/>
      <c r="T572" s="6"/>
      <c r="U572" s="6">
        <v>4</v>
      </c>
      <c r="V572" s="6" t="s">
        <v>665</v>
      </c>
      <c r="W572" s="6" t="s">
        <v>37</v>
      </c>
      <c r="X572" s="7">
        <v>45545</v>
      </c>
      <c r="Y572" s="7">
        <v>45545</v>
      </c>
      <c r="AB572" t="e">
        <v>#N/A</v>
      </c>
      <c r="AC572" t="e">
        <v>#N/A</v>
      </c>
      <c r="AE572" t="str">
        <f t="shared" si="79"/>
        <v>P000376</v>
      </c>
      <c r="AF572" t="str">
        <f>_xlfn.XLOOKUP(AE572, Hoja2!A:A, Hoja2!A:A)</f>
        <v>P000376</v>
      </c>
      <c r="AG572" t="str">
        <f t="shared" si="80"/>
        <v>PP00055-31</v>
      </c>
      <c r="AH572">
        <f>_xlfn.XLOOKUP(AG572, Hoja3!A:A, Hoja3!B:B)</f>
        <v>5693</v>
      </c>
      <c r="AI572" t="str">
        <f>_xlfn.XLOOKUP(AH572, Hoja4!A:A, Hoja4!B:B)</f>
        <v>7094177630 Document ID 2580064</v>
      </c>
      <c r="AJ572" t="b">
        <f t="shared" si="81"/>
        <v>1</v>
      </c>
    </row>
    <row r="573" spans="1:36" ht="15.5" customHeight="1" x14ac:dyDescent="0.35">
      <c r="A573">
        <f t="shared" ca="1" si="78"/>
        <v>105</v>
      </c>
      <c r="B573" s="6" t="s">
        <v>1838</v>
      </c>
      <c r="C573" s="7">
        <v>45432</v>
      </c>
      <c r="D573" s="6" t="s">
        <v>564</v>
      </c>
      <c r="E573" s="6" t="s">
        <v>139</v>
      </c>
      <c r="F573" s="6" t="s">
        <v>1697</v>
      </c>
      <c r="G573" s="6" t="s">
        <v>1698</v>
      </c>
      <c r="H573" s="6" t="s">
        <v>1839</v>
      </c>
      <c r="I573" s="6" t="s">
        <v>849</v>
      </c>
      <c r="J573" s="6" t="str">
        <f>IF(E573="KTG","KTG",(VLOOKUP(I573,'[1]list of outsource'!B:H,2,0)))</f>
        <v>ETC</v>
      </c>
      <c r="K573" s="6" t="s">
        <v>850</v>
      </c>
      <c r="L573" s="6">
        <v>19</v>
      </c>
      <c r="M573" s="6" t="s">
        <v>1840</v>
      </c>
      <c r="N573" s="6" t="s">
        <v>1841</v>
      </c>
      <c r="O573" s="6" t="s">
        <v>1842</v>
      </c>
      <c r="P573" s="6" t="s">
        <v>574</v>
      </c>
      <c r="Q573" s="8">
        <v>45449</v>
      </c>
      <c r="R573" s="6"/>
      <c r="S573" s="18"/>
      <c r="T573" s="6"/>
      <c r="U573" s="6">
        <v>4</v>
      </c>
      <c r="V573" s="6" t="s">
        <v>665</v>
      </c>
      <c r="W573" s="6" t="s">
        <v>37</v>
      </c>
      <c r="X573" s="7">
        <v>45537</v>
      </c>
      <c r="Y573" s="7">
        <v>45537</v>
      </c>
      <c r="AB573" t="e">
        <v>#N/A</v>
      </c>
      <c r="AC573" t="s">
        <v>4210</v>
      </c>
      <c r="AE573" t="str">
        <f t="shared" si="79"/>
        <v>P000378</v>
      </c>
      <c r="AF573" t="str">
        <f>_xlfn.XLOOKUP(AE573, Hoja2!A:A, Hoja2!A:A)</f>
        <v>P000378</v>
      </c>
      <c r="AG573" t="str">
        <f t="shared" si="80"/>
        <v>PP00055-32</v>
      </c>
      <c r="AH573">
        <f>_xlfn.XLOOKUP(AG573, Hoja3!A:A, Hoja3!B:B)</f>
        <v>5694</v>
      </c>
      <c r="AI573" t="str">
        <f>_xlfn.XLOOKUP(AH573, Hoja4!A:A, Hoja4!B:B)</f>
        <v>7094177730 Document ID 2580069</v>
      </c>
      <c r="AJ573" t="b">
        <f t="shared" si="81"/>
        <v>1</v>
      </c>
    </row>
    <row r="574" spans="1:36" ht="15.5" customHeight="1" x14ac:dyDescent="0.35">
      <c r="A574">
        <f t="shared" ca="1" si="78"/>
        <v>16</v>
      </c>
      <c r="B574" s="12" t="s">
        <v>1843</v>
      </c>
      <c r="C574" s="13">
        <v>45229</v>
      </c>
      <c r="D574" s="14" t="s">
        <v>121</v>
      </c>
      <c r="E574" s="14" t="s">
        <v>83</v>
      </c>
      <c r="F574" s="14" t="s">
        <v>84</v>
      </c>
      <c r="G574" s="14" t="s">
        <v>156</v>
      </c>
      <c r="H574" s="14" t="s">
        <v>385</v>
      </c>
      <c r="I574" s="14" t="s">
        <v>218</v>
      </c>
      <c r="J574" s="14" t="str">
        <f>IF(E574="KTG","KTG",(VLOOKUP(I574,'[1]list of outsource'!B:H,2,0)))</f>
        <v>UPM</v>
      </c>
      <c r="K574" s="14" t="s">
        <v>219</v>
      </c>
      <c r="L574" s="14"/>
      <c r="M574" s="14" t="s">
        <v>386</v>
      </c>
      <c r="N574" s="14" t="s">
        <v>387</v>
      </c>
      <c r="O574" s="14"/>
      <c r="P574" s="14"/>
      <c r="Q574" s="15"/>
      <c r="R574" s="14"/>
      <c r="S574" s="16"/>
      <c r="T574" s="14"/>
      <c r="U574" s="14">
        <v>1</v>
      </c>
      <c r="V574" s="14"/>
      <c r="W574" s="14" t="s">
        <v>154</v>
      </c>
      <c r="X574" s="13">
        <v>45245</v>
      </c>
      <c r="Y574" s="13"/>
      <c r="AB574" t="e">
        <v>#N/A</v>
      </c>
      <c r="AC574" t="e">
        <v>#N/A</v>
      </c>
      <c r="AE574" t="str">
        <f t="shared" si="79"/>
        <v>P000134</v>
      </c>
      <c r="AF574" t="str">
        <f>_xlfn.XLOOKUP(AE574, Hoja2!A:A, Hoja2!A:A)</f>
        <v>P000134</v>
      </c>
      <c r="AG574" t="str">
        <f t="shared" si="80"/>
        <v>PP00028-36</v>
      </c>
      <c r="AH574">
        <f>_xlfn.XLOOKUP(AG574, Hoja3!A:A, Hoja3!B:B)</f>
        <v>5354</v>
      </c>
      <c r="AI574" t="str">
        <f>_xlfn.XLOOKUP(AH574, Hoja4!A:A, Hoja4!B:B)</f>
        <v>E35053200</v>
      </c>
      <c r="AJ574" t="b">
        <f t="shared" si="81"/>
        <v>1</v>
      </c>
    </row>
    <row r="575" spans="1:36" ht="15.5" customHeight="1" x14ac:dyDescent="0.35">
      <c r="A575">
        <f t="shared" ca="1" si="78"/>
        <v>17</v>
      </c>
      <c r="B575" s="12" t="s">
        <v>1844</v>
      </c>
      <c r="C575" s="13">
        <v>45229</v>
      </c>
      <c r="D575" s="14" t="s">
        <v>121</v>
      </c>
      <c r="E575" s="14" t="s">
        <v>83</v>
      </c>
      <c r="F575" s="14" t="s">
        <v>84</v>
      </c>
      <c r="G575" s="14" t="s">
        <v>156</v>
      </c>
      <c r="H575" s="14" t="s">
        <v>393</v>
      </c>
      <c r="I575" s="14" t="s">
        <v>158</v>
      </c>
      <c r="J575" s="14" t="str">
        <f>IF(E575="KTG","KTG",(VLOOKUP(I575,'[1]list of outsource'!B:H,2,0)))</f>
        <v>UPM</v>
      </c>
      <c r="K575" s="14" t="s">
        <v>159</v>
      </c>
      <c r="L575" s="14">
        <v>37</v>
      </c>
      <c r="M575" s="14" t="s">
        <v>394</v>
      </c>
      <c r="N575" s="14" t="s">
        <v>395</v>
      </c>
      <c r="O575" s="14">
        <v>1173684082</v>
      </c>
      <c r="P575" s="14"/>
      <c r="Q575" s="15"/>
      <c r="R575" s="14"/>
      <c r="S575" s="16"/>
      <c r="T575" s="14"/>
      <c r="U575" s="14">
        <v>1</v>
      </c>
      <c r="V575" s="14"/>
      <c r="W575" s="14" t="s">
        <v>154</v>
      </c>
      <c r="X575" s="13">
        <v>45246</v>
      </c>
      <c r="Y575" s="13"/>
      <c r="AB575">
        <v>0</v>
      </c>
      <c r="AC575" t="e">
        <v>#N/A</v>
      </c>
      <c r="AE575" t="str">
        <f t="shared" si="79"/>
        <v>P000136</v>
      </c>
      <c r="AF575" t="str">
        <f>_xlfn.XLOOKUP(AE575, Hoja2!A:A, Hoja2!A:A)</f>
        <v>P000136</v>
      </c>
      <c r="AG575" t="str">
        <f t="shared" si="80"/>
        <v>PP00028-37</v>
      </c>
      <c r="AH575">
        <f>_xlfn.XLOOKUP(AG575, Hoja3!A:A, Hoja3!B:B)</f>
        <v>5357</v>
      </c>
      <c r="AI575" t="str">
        <f>_xlfn.XLOOKUP(AH575, Hoja4!A:A, Hoja4!B:B)</f>
        <v>E34515200</v>
      </c>
      <c r="AJ575" t="b">
        <f t="shared" si="81"/>
        <v>1</v>
      </c>
    </row>
    <row r="576" spans="1:36" ht="15.5" customHeight="1" x14ac:dyDescent="0.35">
      <c r="A576">
        <f t="shared" ca="1" si="78"/>
        <v>4</v>
      </c>
      <c r="B576" s="6" t="s">
        <v>1844</v>
      </c>
      <c r="C576" s="7">
        <v>45394</v>
      </c>
      <c r="D576" s="6" t="s">
        <v>912</v>
      </c>
      <c r="E576" s="6" t="s">
        <v>83</v>
      </c>
      <c r="F576" s="6" t="s">
        <v>84</v>
      </c>
      <c r="G576" s="6" t="s">
        <v>156</v>
      </c>
      <c r="H576" s="6" t="s">
        <v>393</v>
      </c>
      <c r="I576" s="6" t="s">
        <v>158</v>
      </c>
      <c r="J576" s="6" t="str">
        <f>IF(E576="KTG","KTG",(VLOOKUP(I576,'[1]list of outsource'!B:H,2,0)))</f>
        <v>UPM</v>
      </c>
      <c r="K576" s="6" t="s">
        <v>159</v>
      </c>
      <c r="L576" s="6">
        <v>38</v>
      </c>
      <c r="M576" s="6" t="s">
        <v>394</v>
      </c>
      <c r="N576" s="6" t="s">
        <v>395</v>
      </c>
      <c r="O576" s="6">
        <v>1173684082</v>
      </c>
      <c r="P576" s="6"/>
      <c r="Q576" s="8" t="s">
        <v>575</v>
      </c>
      <c r="R576" s="6"/>
      <c r="S576" s="6"/>
      <c r="T576" s="6"/>
      <c r="U576" s="6">
        <v>1</v>
      </c>
      <c r="V576" s="6" t="s">
        <v>569</v>
      </c>
      <c r="W576" s="6" t="s">
        <v>154</v>
      </c>
      <c r="X576" s="7">
        <v>45398</v>
      </c>
      <c r="Y576" s="7">
        <v>45401</v>
      </c>
      <c r="AB576">
        <v>0</v>
      </c>
      <c r="AC576" t="e">
        <v>#N/A</v>
      </c>
      <c r="AE576" t="str">
        <f t="shared" si="79"/>
        <v>P000136</v>
      </c>
      <c r="AF576" t="str">
        <f>_xlfn.XLOOKUP(AE576, Hoja2!A:A, Hoja2!A:A)</f>
        <v>P000136</v>
      </c>
      <c r="AG576" t="str">
        <f t="shared" si="80"/>
        <v>PP00028-37</v>
      </c>
      <c r="AH576">
        <f>_xlfn.XLOOKUP(AG576, Hoja3!A:A, Hoja3!B:B)</f>
        <v>5357</v>
      </c>
      <c r="AI576" t="str">
        <f>_xlfn.XLOOKUP(AH576, Hoja4!A:A, Hoja4!B:B)</f>
        <v>E34515200</v>
      </c>
      <c r="AJ576" t="b">
        <f t="shared" si="81"/>
        <v>1</v>
      </c>
    </row>
    <row r="577" spans="1:36" ht="15.5" customHeight="1" x14ac:dyDescent="0.35">
      <c r="A577">
        <f t="shared" ca="1" si="78"/>
        <v>1</v>
      </c>
      <c r="B577" s="6" t="s">
        <v>1844</v>
      </c>
      <c r="C577" s="7">
        <v>45791</v>
      </c>
      <c r="D577" s="6" t="s">
        <v>564</v>
      </c>
      <c r="E577" s="6" t="s">
        <v>83</v>
      </c>
      <c r="F577" s="6" t="s">
        <v>84</v>
      </c>
      <c r="G577" s="6" t="s">
        <v>156</v>
      </c>
      <c r="H577" s="6" t="s">
        <v>393</v>
      </c>
      <c r="I577" s="6" t="s">
        <v>158</v>
      </c>
      <c r="J577" s="6" t="str">
        <f>IF(E577="KTG","KTG",(VLOOKUP(I577,'[1]list of outsource'!B:H,2,0)))</f>
        <v>UPM</v>
      </c>
      <c r="K577" s="6" t="s">
        <v>159</v>
      </c>
      <c r="L577" s="6">
        <v>45</v>
      </c>
      <c r="M577" s="6" t="s">
        <v>394</v>
      </c>
      <c r="N577" s="6" t="s">
        <v>395</v>
      </c>
      <c r="O577" s="6" t="s">
        <v>1845</v>
      </c>
      <c r="P577" s="6"/>
      <c r="Q577" s="8"/>
      <c r="R577" s="6"/>
      <c r="S577" s="6"/>
      <c r="T577" s="6"/>
      <c r="U577" s="6">
        <v>1</v>
      </c>
      <c r="V577" s="6" t="s">
        <v>569</v>
      </c>
      <c r="W577" s="6" t="s">
        <v>154</v>
      </c>
      <c r="X577" s="7">
        <v>45792</v>
      </c>
      <c r="Y577" s="7">
        <v>45799</v>
      </c>
      <c r="AB577">
        <v>0</v>
      </c>
      <c r="AC577" t="s">
        <v>4210</v>
      </c>
      <c r="AE577" t="str">
        <f t="shared" si="79"/>
        <v>P000136</v>
      </c>
      <c r="AF577" t="str">
        <f>_xlfn.XLOOKUP(AE577, Hoja2!A:A, Hoja2!A:A)</f>
        <v>P000136</v>
      </c>
      <c r="AG577" t="str">
        <f t="shared" si="80"/>
        <v>PP00028-37</v>
      </c>
      <c r="AH577">
        <f>_xlfn.XLOOKUP(AG577, Hoja3!A:A, Hoja3!B:B)</f>
        <v>5357</v>
      </c>
      <c r="AI577" t="str">
        <f>_xlfn.XLOOKUP(AH577, Hoja4!A:A, Hoja4!B:B)</f>
        <v>E34515200</v>
      </c>
      <c r="AJ577" t="b">
        <f t="shared" si="81"/>
        <v>1</v>
      </c>
    </row>
    <row r="578" spans="1:36" ht="15.5" customHeight="1" x14ac:dyDescent="0.35">
      <c r="A578">
        <f t="shared" ref="A578:A641" ca="1" si="82">IF(X578="",(TODAY()-C578),(X578-C578))</f>
        <v>57</v>
      </c>
      <c r="B578" s="6" t="s">
        <v>1846</v>
      </c>
      <c r="C578" s="7">
        <v>45176</v>
      </c>
      <c r="D578" s="6" t="s">
        <v>507</v>
      </c>
      <c r="E578" s="6" t="s">
        <v>83</v>
      </c>
      <c r="F578" s="6" t="s">
        <v>84</v>
      </c>
      <c r="G578" s="6" t="s">
        <v>156</v>
      </c>
      <c r="H578" s="6" t="s">
        <v>251</v>
      </c>
      <c r="I578" s="6" t="s">
        <v>198</v>
      </c>
      <c r="J578" s="6" t="str">
        <f>IF(E578="KTG","KTG",(VLOOKUP(I578,'[1]list of outsource'!B:H,2,0)))</f>
        <v>UPM</v>
      </c>
      <c r="K578" s="6" t="s">
        <v>199</v>
      </c>
      <c r="L578" s="6">
        <v>9</v>
      </c>
      <c r="M578" s="6" t="s">
        <v>252</v>
      </c>
      <c r="N578" s="6" t="s">
        <v>1847</v>
      </c>
      <c r="O578" s="6">
        <v>1160610621</v>
      </c>
      <c r="P578" s="6"/>
      <c r="Q578" s="8"/>
      <c r="R578" s="6"/>
      <c r="S578" s="6"/>
      <c r="T578" s="6"/>
      <c r="U578" s="6">
        <v>1</v>
      </c>
      <c r="V578" s="6"/>
      <c r="W578" s="6" t="s">
        <v>154</v>
      </c>
      <c r="X578" s="7">
        <v>45233</v>
      </c>
      <c r="Y578" s="7">
        <v>45236</v>
      </c>
      <c r="AB578" t="e">
        <v>#N/A</v>
      </c>
      <c r="AC578" t="s">
        <v>4210</v>
      </c>
      <c r="AE578" t="str">
        <f t="shared" si="79"/>
        <v>P000142</v>
      </c>
      <c r="AF578" t="str">
        <f>_xlfn.XLOOKUP(AE578, Hoja2!A:A, Hoja2!A:A)</f>
        <v>P000142</v>
      </c>
      <c r="AG578" t="str">
        <f t="shared" si="80"/>
        <v>PP00028-38</v>
      </c>
      <c r="AH578">
        <f>_xlfn.XLOOKUP(AG578, Hoja3!A:A, Hoja3!B:B)</f>
        <v>5360</v>
      </c>
      <c r="AI578" t="str">
        <f>_xlfn.XLOOKUP(AH578, Hoja4!A:A, Hoja4!B:B)</f>
        <v>E34875900</v>
      </c>
      <c r="AJ578" t="b">
        <f t="shared" si="81"/>
        <v>1</v>
      </c>
    </row>
    <row r="579" spans="1:36" ht="15.5" customHeight="1" x14ac:dyDescent="0.35">
      <c r="A579">
        <f t="shared" ca="1" si="82"/>
        <v>29</v>
      </c>
      <c r="B579" s="12" t="s">
        <v>1848</v>
      </c>
      <c r="C579" s="13">
        <v>45362</v>
      </c>
      <c r="D579" s="14" t="s">
        <v>121</v>
      </c>
      <c r="E579" s="14" t="s">
        <v>30</v>
      </c>
      <c r="F579" s="14" t="s">
        <v>658</v>
      </c>
      <c r="G579" s="14" t="s">
        <v>32</v>
      </c>
      <c r="H579" s="14">
        <v>12186176</v>
      </c>
      <c r="I579" s="14"/>
      <c r="J579" s="14" t="str">
        <f>IF(E579="KTG","KTG",(VLOOKUP(I579,'[1]list of outsource'!B:H,2,0)))</f>
        <v>KTG</v>
      </c>
      <c r="K579" s="14"/>
      <c r="L579" s="14"/>
      <c r="M579" s="14" t="s">
        <v>1849</v>
      </c>
      <c r="N579" s="14" t="s">
        <v>1850</v>
      </c>
      <c r="O579" s="14">
        <v>1037658419</v>
      </c>
      <c r="P579" s="14"/>
      <c r="Q579" s="15">
        <v>45373</v>
      </c>
      <c r="R579" s="14"/>
      <c r="S579" s="16"/>
      <c r="T579" s="14"/>
      <c r="U579" s="14">
        <v>1</v>
      </c>
      <c r="V579" s="14" t="s">
        <v>569</v>
      </c>
      <c r="W579" s="14" t="s">
        <v>154</v>
      </c>
      <c r="X579" s="13">
        <v>45391</v>
      </c>
      <c r="Y579" s="13"/>
      <c r="AB579" t="e">
        <v>#N/A</v>
      </c>
      <c r="AC579" t="s">
        <v>4210</v>
      </c>
      <c r="AE579" t="str">
        <f t="shared" ref="AE579:AE642" si="83">LEFT(M579, FIND(" ", M579 &amp; " ") - 1)</f>
        <v>E47418</v>
      </c>
      <c r="AF579" t="str">
        <f>_xlfn.XLOOKUP(AE579, Hoja2!A:A, Hoja2!A:A)</f>
        <v>E47418</v>
      </c>
      <c r="AG579" t="str">
        <f t="shared" si="80"/>
        <v>PP00034-28</v>
      </c>
      <c r="AH579">
        <f>_xlfn.XLOOKUP(AG579, Hoja3!A:A, Hoja3!B:B)</f>
        <v>4742</v>
      </c>
      <c r="AI579">
        <f>_xlfn.XLOOKUP(AH579, Hoja4!A:A, Hoja4!B:B)</f>
        <v>12186176</v>
      </c>
      <c r="AJ579" t="b">
        <f t="shared" si="81"/>
        <v>1</v>
      </c>
    </row>
    <row r="580" spans="1:36" ht="15.5" customHeight="1" x14ac:dyDescent="0.35">
      <c r="A580">
        <f t="shared" ca="1" si="82"/>
        <v>26</v>
      </c>
      <c r="B580" s="6" t="s">
        <v>1851</v>
      </c>
      <c r="C580" s="7">
        <v>45421</v>
      </c>
      <c r="D580" s="6" t="s">
        <v>912</v>
      </c>
      <c r="E580" s="6" t="s">
        <v>139</v>
      </c>
      <c r="F580" s="6" t="s">
        <v>658</v>
      </c>
      <c r="G580" s="6" t="s">
        <v>32</v>
      </c>
      <c r="H580" s="6">
        <v>35758243</v>
      </c>
      <c r="I580" s="6" t="s">
        <v>1442</v>
      </c>
      <c r="J580" s="6" t="str">
        <f>IF(E580="KTG","KTG",(VLOOKUP(I580,'[1]list of outsource'!B:H,2,0)))</f>
        <v>ETC</v>
      </c>
      <c r="K580" s="6" t="s">
        <v>1443</v>
      </c>
      <c r="L580" s="6">
        <v>19</v>
      </c>
      <c r="M580" s="6" t="s">
        <v>1852</v>
      </c>
      <c r="N580" s="6" t="s">
        <v>1853</v>
      </c>
      <c r="O580" s="6">
        <v>1329794244</v>
      </c>
      <c r="P580" s="6"/>
      <c r="Q580" s="8">
        <v>45423</v>
      </c>
      <c r="R580" s="6"/>
      <c r="S580" s="6"/>
      <c r="T580" s="6"/>
      <c r="U580" s="6">
        <v>4</v>
      </c>
      <c r="V580" s="6" t="s">
        <v>879</v>
      </c>
      <c r="W580" s="6" t="s">
        <v>37</v>
      </c>
      <c r="X580" s="7">
        <v>45447</v>
      </c>
      <c r="Y580" s="7">
        <v>45453</v>
      </c>
      <c r="AB580" t="e">
        <v>#N/A</v>
      </c>
      <c r="AC580" t="e">
        <v>#N/A</v>
      </c>
      <c r="AE580" t="str">
        <f t="shared" si="83"/>
        <v>P000440</v>
      </c>
      <c r="AF580" t="str">
        <f>_xlfn.XLOOKUP(AE580, Hoja2!A:A, Hoja2!A:A)</f>
        <v>P000440</v>
      </c>
      <c r="AG580" t="str">
        <f t="shared" si="80"/>
        <v>PP00034-29</v>
      </c>
      <c r="AH580">
        <f>_xlfn.XLOOKUP(AG580, Hoja3!A:A, Hoja3!B:B)</f>
        <v>4794</v>
      </c>
      <c r="AI580">
        <f>_xlfn.XLOOKUP(AH580, Hoja4!A:A, Hoja4!B:B)</f>
        <v>35758243</v>
      </c>
      <c r="AJ580" t="b">
        <f t="shared" si="81"/>
        <v>1</v>
      </c>
    </row>
    <row r="581" spans="1:36" ht="15.5" customHeight="1" x14ac:dyDescent="0.35">
      <c r="A581">
        <f t="shared" ca="1" si="82"/>
        <v>22</v>
      </c>
      <c r="B581" s="6" t="s">
        <v>1854</v>
      </c>
      <c r="C581" s="7">
        <v>45442</v>
      </c>
      <c r="D581" s="6" t="s">
        <v>912</v>
      </c>
      <c r="E581" s="6" t="s">
        <v>139</v>
      </c>
      <c r="F581" s="6" t="s">
        <v>508</v>
      </c>
      <c r="G581" s="6" t="s">
        <v>32</v>
      </c>
      <c r="H581" s="6">
        <v>69322037</v>
      </c>
      <c r="I581" s="6" t="s">
        <v>529</v>
      </c>
      <c r="J581" s="6" t="str">
        <f>IF(E581="KTG","KTG",(VLOOKUP(I581,'[1]list of outsource'!B:H,2,0)))</f>
        <v>ETC</v>
      </c>
      <c r="K581" s="6" t="s">
        <v>530</v>
      </c>
      <c r="L581" s="6">
        <v>19</v>
      </c>
      <c r="M581" s="6" t="s">
        <v>1855</v>
      </c>
      <c r="N581" s="6" t="s">
        <v>1774</v>
      </c>
      <c r="O581" s="6">
        <v>1334612684</v>
      </c>
      <c r="P581" s="6"/>
      <c r="Q581" s="8">
        <v>45461</v>
      </c>
      <c r="R581" s="6"/>
      <c r="S581" s="6"/>
      <c r="T581" s="6"/>
      <c r="U581" s="6">
        <v>4</v>
      </c>
      <c r="V581" s="6" t="s">
        <v>879</v>
      </c>
      <c r="W581" s="6" t="s">
        <v>37</v>
      </c>
      <c r="X581" s="7">
        <v>45464</v>
      </c>
      <c r="Y581" s="7">
        <v>45468</v>
      </c>
      <c r="AB581" t="e">
        <v>#N/A</v>
      </c>
      <c r="AC581" t="e">
        <v>#N/A</v>
      </c>
      <c r="AE581" t="str">
        <f t="shared" si="83"/>
        <v>P000804</v>
      </c>
      <c r="AF581" t="str">
        <f>_xlfn.XLOOKUP(AE581, Hoja2!A:A, Hoja2!A:A)</f>
        <v>P000804</v>
      </c>
      <c r="AG581" t="str">
        <f t="shared" si="80"/>
        <v>PP00026-41</v>
      </c>
      <c r="AH581">
        <f>_xlfn.XLOOKUP(AG581, Hoja3!A:A, Hoja3!B:B)</f>
        <v>5650</v>
      </c>
      <c r="AI581">
        <f>_xlfn.XLOOKUP(AH581, Hoja4!A:A, Hoja4!B:B)</f>
        <v>69322037</v>
      </c>
      <c r="AJ581" t="b">
        <f t="shared" si="81"/>
        <v>1</v>
      </c>
    </row>
    <row r="582" spans="1:36" ht="15.5" customHeight="1" x14ac:dyDescent="0.35">
      <c r="A582">
        <f t="shared" ca="1" si="82"/>
        <v>44</v>
      </c>
      <c r="B582" s="6" t="s">
        <v>1856</v>
      </c>
      <c r="C582" s="7">
        <v>45448</v>
      </c>
      <c r="D582" s="6" t="s">
        <v>564</v>
      </c>
      <c r="E582" s="6" t="s">
        <v>139</v>
      </c>
      <c r="F582" s="6" t="s">
        <v>1857</v>
      </c>
      <c r="G582" s="6" t="s">
        <v>32</v>
      </c>
      <c r="H582" s="6">
        <v>142335</v>
      </c>
      <c r="I582" s="6" t="s">
        <v>1858</v>
      </c>
      <c r="J582" s="6" t="str">
        <f>IF(E582="KTG","KTG",(VLOOKUP(I582,'[1]list of outsource'!B:H,2,0)))</f>
        <v xml:space="preserve">Huapeng </v>
      </c>
      <c r="K582" s="6" t="s">
        <v>1859</v>
      </c>
      <c r="L582" s="6">
        <v>3</v>
      </c>
      <c r="M582" s="6" t="s">
        <v>1860</v>
      </c>
      <c r="N582" s="6" t="s">
        <v>1861</v>
      </c>
      <c r="O582" s="6" t="s">
        <v>1862</v>
      </c>
      <c r="P582" s="6" t="s">
        <v>1645</v>
      </c>
      <c r="Q582" s="8">
        <v>45485</v>
      </c>
      <c r="R582" s="6"/>
      <c r="S582" s="6"/>
      <c r="T582" s="6"/>
      <c r="U582" s="6">
        <v>4</v>
      </c>
      <c r="V582" s="6" t="s">
        <v>665</v>
      </c>
      <c r="W582" s="6" t="s">
        <v>37</v>
      </c>
      <c r="X582" s="7">
        <v>45492</v>
      </c>
      <c r="Y582" s="7">
        <v>45777</v>
      </c>
      <c r="AB582" t="e">
        <v>#N/A</v>
      </c>
      <c r="AC582" t="e">
        <v>#N/A</v>
      </c>
      <c r="AE582" t="str">
        <f t="shared" si="83"/>
        <v>P000939</v>
      </c>
      <c r="AF582" t="str">
        <f>_xlfn.XLOOKUP(AE582, Hoja2!A:A, Hoja2!A:A)</f>
        <v>P000939</v>
      </c>
      <c r="AG582" t="str">
        <f t="shared" si="80"/>
        <v>PP00056-01</v>
      </c>
      <c r="AH582">
        <f>_xlfn.XLOOKUP(AG582, Hoja3!A:A, Hoja3!B:B)</f>
        <v>4381</v>
      </c>
      <c r="AI582">
        <f>_xlfn.XLOOKUP(AH582, Hoja4!A:A, Hoja4!B:B)</f>
        <v>142335</v>
      </c>
      <c r="AJ582" t="b">
        <f t="shared" si="81"/>
        <v>1</v>
      </c>
    </row>
    <row r="583" spans="1:36" ht="15.5" customHeight="1" x14ac:dyDescent="0.35">
      <c r="A583">
        <f t="shared" ca="1" si="82"/>
        <v>44</v>
      </c>
      <c r="B583" s="6" t="s">
        <v>1863</v>
      </c>
      <c r="C583" s="7">
        <v>45448</v>
      </c>
      <c r="D583" s="6" t="s">
        <v>564</v>
      </c>
      <c r="E583" s="6" t="s">
        <v>139</v>
      </c>
      <c r="F583" s="6" t="s">
        <v>1857</v>
      </c>
      <c r="G583" s="6" t="s">
        <v>32</v>
      </c>
      <c r="H583" s="6">
        <v>142336</v>
      </c>
      <c r="I583" s="6" t="s">
        <v>1858</v>
      </c>
      <c r="J583" s="6" t="str">
        <f>IF(E583="KTG","KTG",(VLOOKUP(I583,'[1]list of outsource'!B:H,2,0)))</f>
        <v xml:space="preserve">Huapeng </v>
      </c>
      <c r="K583" s="6" t="s">
        <v>1859</v>
      </c>
      <c r="L583" s="6">
        <v>3</v>
      </c>
      <c r="M583" s="6" t="s">
        <v>1864</v>
      </c>
      <c r="N583" s="6" t="s">
        <v>1865</v>
      </c>
      <c r="O583" s="6" t="s">
        <v>1866</v>
      </c>
      <c r="P583" s="6" t="s">
        <v>1645</v>
      </c>
      <c r="Q583" s="8">
        <v>45485</v>
      </c>
      <c r="R583" s="6"/>
      <c r="S583" s="6"/>
      <c r="T583" s="6"/>
      <c r="U583" s="6">
        <v>4</v>
      </c>
      <c r="V583" s="6" t="s">
        <v>665</v>
      </c>
      <c r="W583" s="6" t="s">
        <v>37</v>
      </c>
      <c r="X583" s="7">
        <v>45492</v>
      </c>
      <c r="Y583" s="7">
        <v>45777</v>
      </c>
      <c r="AB583" t="e">
        <v>#N/A</v>
      </c>
      <c r="AC583" t="e">
        <v>#N/A</v>
      </c>
      <c r="AE583" t="str">
        <f t="shared" si="83"/>
        <v>P000940</v>
      </c>
      <c r="AF583" t="str">
        <f>_xlfn.XLOOKUP(AE583, Hoja2!A:A, Hoja2!A:A)</f>
        <v>P000940</v>
      </c>
      <c r="AG583" t="str">
        <f t="shared" si="80"/>
        <v>PP00056-02</v>
      </c>
      <c r="AH583">
        <f>_xlfn.XLOOKUP(AG583, Hoja3!A:A, Hoja3!B:B)</f>
        <v>4382</v>
      </c>
      <c r="AI583">
        <f>_xlfn.XLOOKUP(AH583, Hoja4!A:A, Hoja4!B:B)</f>
        <v>142336</v>
      </c>
      <c r="AJ583" t="b">
        <f t="shared" si="81"/>
        <v>1</v>
      </c>
    </row>
    <row r="584" spans="1:36" ht="15.5" customHeight="1" x14ac:dyDescent="0.35">
      <c r="A584">
        <f t="shared" ca="1" si="82"/>
        <v>44</v>
      </c>
      <c r="B584" s="6" t="s">
        <v>1867</v>
      </c>
      <c r="C584" s="7">
        <v>45448</v>
      </c>
      <c r="D584" s="6" t="s">
        <v>564</v>
      </c>
      <c r="E584" s="6" t="s">
        <v>139</v>
      </c>
      <c r="F584" s="6" t="s">
        <v>1857</v>
      </c>
      <c r="G584" s="6" t="s">
        <v>32</v>
      </c>
      <c r="H584" s="6">
        <v>142337</v>
      </c>
      <c r="I584" s="6" t="s">
        <v>1858</v>
      </c>
      <c r="J584" s="6" t="str">
        <f>IF(E584="KTG","KTG",(VLOOKUP(I584,'[1]list of outsource'!B:H,2,0)))</f>
        <v xml:space="preserve">Huapeng </v>
      </c>
      <c r="K584" s="6" t="s">
        <v>1859</v>
      </c>
      <c r="L584" s="6">
        <v>3</v>
      </c>
      <c r="M584" s="6" t="s">
        <v>1868</v>
      </c>
      <c r="N584" s="6" t="s">
        <v>1869</v>
      </c>
      <c r="O584" s="6" t="s">
        <v>1870</v>
      </c>
      <c r="P584" s="6" t="s">
        <v>1645</v>
      </c>
      <c r="Q584" s="8">
        <v>45485</v>
      </c>
      <c r="R584" s="6"/>
      <c r="S584" s="6"/>
      <c r="T584" s="6"/>
      <c r="U584" s="6">
        <v>4</v>
      </c>
      <c r="V584" s="6" t="s">
        <v>665</v>
      </c>
      <c r="W584" s="6" t="s">
        <v>37</v>
      </c>
      <c r="X584" s="7">
        <v>45492</v>
      </c>
      <c r="Y584" s="7">
        <v>45777</v>
      </c>
      <c r="AB584" t="e">
        <v>#N/A</v>
      </c>
      <c r="AC584" t="e">
        <v>#N/A</v>
      </c>
      <c r="AE584" t="str">
        <f t="shared" si="83"/>
        <v>P000938</v>
      </c>
      <c r="AF584" t="str">
        <f>_xlfn.XLOOKUP(AE584, Hoja2!A:A, Hoja2!A:A)</f>
        <v>P000938</v>
      </c>
      <c r="AG584" t="str">
        <f t="shared" si="80"/>
        <v>PP00056-03</v>
      </c>
      <c r="AH584">
        <f>_xlfn.XLOOKUP(AG584, Hoja3!A:A, Hoja3!B:B)</f>
        <v>5590</v>
      </c>
      <c r="AI584">
        <f>_xlfn.XLOOKUP(AH584, Hoja4!A:A, Hoja4!B:B)</f>
        <v>142337</v>
      </c>
      <c r="AJ584" t="b">
        <f t="shared" si="81"/>
        <v>1</v>
      </c>
    </row>
    <row r="585" spans="1:36" ht="15.5" customHeight="1" x14ac:dyDescent="0.35">
      <c r="A585">
        <f t="shared" ca="1" si="82"/>
        <v>44</v>
      </c>
      <c r="B585" s="6" t="s">
        <v>1871</v>
      </c>
      <c r="C585" s="7">
        <v>45448</v>
      </c>
      <c r="D585" s="6" t="s">
        <v>564</v>
      </c>
      <c r="E585" s="6" t="s">
        <v>139</v>
      </c>
      <c r="F585" s="6" t="s">
        <v>1857</v>
      </c>
      <c r="G585" s="6" t="s">
        <v>32</v>
      </c>
      <c r="H585" s="6">
        <v>142338</v>
      </c>
      <c r="I585" s="6" t="s">
        <v>1858</v>
      </c>
      <c r="J585" s="6" t="str">
        <f>IF(E585="KTG","KTG",(VLOOKUP(I585,'[1]list of outsource'!B:H,2,0)))</f>
        <v xml:space="preserve">Huapeng </v>
      </c>
      <c r="K585" s="6" t="s">
        <v>1859</v>
      </c>
      <c r="L585" s="6">
        <v>3</v>
      </c>
      <c r="M585" s="6" t="s">
        <v>1872</v>
      </c>
      <c r="N585" s="6" t="s">
        <v>1873</v>
      </c>
      <c r="O585" s="6" t="s">
        <v>1874</v>
      </c>
      <c r="P585" s="6" t="s">
        <v>1645</v>
      </c>
      <c r="Q585" s="8">
        <v>45485</v>
      </c>
      <c r="R585" s="6"/>
      <c r="S585" s="6"/>
      <c r="T585" s="6"/>
      <c r="U585" s="6">
        <v>4</v>
      </c>
      <c r="V585" s="6" t="s">
        <v>665</v>
      </c>
      <c r="W585" s="6" t="s">
        <v>37</v>
      </c>
      <c r="X585" s="7">
        <v>45492</v>
      </c>
      <c r="Y585" s="7">
        <v>45777</v>
      </c>
      <c r="AB585" t="e">
        <v>#N/A</v>
      </c>
      <c r="AC585" t="e">
        <v>#N/A</v>
      </c>
      <c r="AE585" t="str">
        <f t="shared" si="83"/>
        <v>P000936</v>
      </c>
      <c r="AF585" t="str">
        <f>_xlfn.XLOOKUP(AE585, Hoja2!A:A, Hoja2!A:A)</f>
        <v>P000936</v>
      </c>
      <c r="AG585" t="str">
        <f t="shared" si="80"/>
        <v>PP00056-04</v>
      </c>
      <c r="AH585">
        <f>_xlfn.XLOOKUP(AG585, Hoja3!A:A, Hoja3!B:B)</f>
        <v>4379</v>
      </c>
      <c r="AI585">
        <f>_xlfn.XLOOKUP(AH585, Hoja4!A:A, Hoja4!B:B)</f>
        <v>142338</v>
      </c>
      <c r="AJ585" t="b">
        <f t="shared" si="81"/>
        <v>1</v>
      </c>
    </row>
    <row r="586" spans="1:36" ht="15.5" customHeight="1" x14ac:dyDescent="0.35">
      <c r="A586">
        <f t="shared" ca="1" si="82"/>
        <v>44</v>
      </c>
      <c r="B586" s="6" t="s">
        <v>1875</v>
      </c>
      <c r="C586" s="7">
        <v>45448</v>
      </c>
      <c r="D586" s="6" t="s">
        <v>564</v>
      </c>
      <c r="E586" s="6" t="s">
        <v>139</v>
      </c>
      <c r="F586" s="6" t="s">
        <v>1857</v>
      </c>
      <c r="G586" s="6" t="s">
        <v>32</v>
      </c>
      <c r="H586" s="6">
        <v>142339</v>
      </c>
      <c r="I586" s="6" t="s">
        <v>1858</v>
      </c>
      <c r="J586" s="6" t="str">
        <f>IF(E586="KTG","KTG",(VLOOKUP(I586,'[1]list of outsource'!B:H,2,0)))</f>
        <v xml:space="preserve">Huapeng </v>
      </c>
      <c r="K586" s="6" t="s">
        <v>1859</v>
      </c>
      <c r="L586" s="6">
        <v>3</v>
      </c>
      <c r="M586" s="6" t="s">
        <v>1876</v>
      </c>
      <c r="N586" s="6" t="s">
        <v>1877</v>
      </c>
      <c r="O586" s="6" t="s">
        <v>1878</v>
      </c>
      <c r="P586" s="6" t="s">
        <v>1645</v>
      </c>
      <c r="Q586" s="8">
        <v>45485</v>
      </c>
      <c r="R586" s="6"/>
      <c r="S586" s="6"/>
      <c r="T586" s="6"/>
      <c r="U586" s="6">
        <v>4</v>
      </c>
      <c r="V586" s="6" t="s">
        <v>665</v>
      </c>
      <c r="W586" s="6" t="s">
        <v>37</v>
      </c>
      <c r="X586" s="7">
        <v>45492</v>
      </c>
      <c r="Y586" s="7">
        <v>45777</v>
      </c>
      <c r="AB586" t="e">
        <v>#N/A</v>
      </c>
      <c r="AC586" t="e">
        <v>#N/A</v>
      </c>
      <c r="AE586" t="str">
        <f t="shared" si="83"/>
        <v>P000937</v>
      </c>
      <c r="AF586" t="str">
        <f>_xlfn.XLOOKUP(AE586, Hoja2!A:A, Hoja2!A:A)</f>
        <v>P000937</v>
      </c>
      <c r="AG586" t="str">
        <f t="shared" si="80"/>
        <v>PP00056-05</v>
      </c>
      <c r="AH586">
        <f>_xlfn.XLOOKUP(AG586, Hoja3!A:A, Hoja3!B:B)</f>
        <v>4380</v>
      </c>
      <c r="AI586">
        <f>_xlfn.XLOOKUP(AH586, Hoja4!A:A, Hoja4!B:B)</f>
        <v>142339</v>
      </c>
      <c r="AJ586" t="b">
        <f t="shared" si="81"/>
        <v>1</v>
      </c>
    </row>
    <row r="587" spans="1:36" ht="15.5" customHeight="1" x14ac:dyDescent="0.35">
      <c r="A587">
        <f t="shared" ca="1" si="82"/>
        <v>44</v>
      </c>
      <c r="B587" s="12" t="s">
        <v>1879</v>
      </c>
      <c r="C587" s="13">
        <v>45448</v>
      </c>
      <c r="D587" s="14" t="s">
        <v>121</v>
      </c>
      <c r="E587" s="14" t="s">
        <v>139</v>
      </c>
      <c r="F587" s="14" t="s">
        <v>1857</v>
      </c>
      <c r="G587" s="14" t="s">
        <v>32</v>
      </c>
      <c r="H587" s="14">
        <v>125657</v>
      </c>
      <c r="I587" s="14" t="s">
        <v>1858</v>
      </c>
      <c r="J587" s="14" t="str">
        <f>IF(E587="KTG","KTG",(VLOOKUP(I587,'[1]list of outsource'!B:H,2,0)))</f>
        <v xml:space="preserve">Huapeng </v>
      </c>
      <c r="K587" s="14" t="s">
        <v>1859</v>
      </c>
      <c r="L587" s="14">
        <v>3</v>
      </c>
      <c r="M587" s="14" t="s">
        <v>1880</v>
      </c>
      <c r="N587" s="14" t="s">
        <v>1881</v>
      </c>
      <c r="O587" s="14" t="s">
        <v>1882</v>
      </c>
      <c r="P587" s="14" t="s">
        <v>1645</v>
      </c>
      <c r="Q587" s="15">
        <v>45485</v>
      </c>
      <c r="R587" s="14"/>
      <c r="S587" s="16"/>
      <c r="T587" s="14"/>
      <c r="U587" s="14">
        <v>4</v>
      </c>
      <c r="V587" s="14" t="s">
        <v>665</v>
      </c>
      <c r="W587" s="14" t="s">
        <v>37</v>
      </c>
      <c r="X587" s="13">
        <v>45492</v>
      </c>
      <c r="Y587" s="13"/>
      <c r="AB587" t="e">
        <v>#N/A</v>
      </c>
      <c r="AC587" t="e">
        <v>#N/A</v>
      </c>
      <c r="AE587" t="str">
        <f t="shared" si="83"/>
        <v>P000941</v>
      </c>
      <c r="AF587" t="str">
        <f>_xlfn.XLOOKUP(AE587, Hoja2!A:A, Hoja2!A:A)</f>
        <v>P000941</v>
      </c>
      <c r="AG587" t="str">
        <f t="shared" si="80"/>
        <v>PP00056-06</v>
      </c>
      <c r="AH587">
        <f>_xlfn.XLOOKUP(AG587, Hoja3!A:A, Hoja3!B:B)</f>
        <v>5591</v>
      </c>
      <c r="AI587">
        <f>_xlfn.XLOOKUP(AH587, Hoja4!A:A, Hoja4!B:B)</f>
        <v>125657</v>
      </c>
      <c r="AJ587" t="b">
        <f t="shared" si="81"/>
        <v>1</v>
      </c>
    </row>
    <row r="588" spans="1:36" ht="15.5" hidden="1" customHeight="1" x14ac:dyDescent="0.35">
      <c r="A588">
        <f t="shared" ca="1" si="82"/>
        <v>35</v>
      </c>
      <c r="B588" s="55" t="s">
        <v>1883</v>
      </c>
      <c r="C588" s="7">
        <v>45453</v>
      </c>
      <c r="D588" s="6" t="s">
        <v>912</v>
      </c>
      <c r="E588" s="6" t="s">
        <v>83</v>
      </c>
      <c r="F588" s="6" t="s">
        <v>1884</v>
      </c>
      <c r="G588" s="6" t="s">
        <v>299</v>
      </c>
      <c r="H588" s="6" t="s">
        <v>1885</v>
      </c>
      <c r="I588" s="6" t="s">
        <v>95</v>
      </c>
      <c r="J588" s="6" t="str">
        <f>IF(E588="KTG","KTG",(VLOOKUP(I588,'[1]list of outsource'!B:H,2,0)))</f>
        <v>Woer</v>
      </c>
      <c r="K588" s="6" t="s">
        <v>96</v>
      </c>
      <c r="L588" s="6">
        <v>48</v>
      </c>
      <c r="M588" s="55" t="s">
        <v>1886</v>
      </c>
      <c r="N588" s="6" t="s">
        <v>1887</v>
      </c>
      <c r="O588" s="6" t="s">
        <v>1888</v>
      </c>
      <c r="P588" s="6" t="s">
        <v>1645</v>
      </c>
      <c r="Q588" s="8">
        <v>45470</v>
      </c>
      <c r="R588" s="6"/>
      <c r="S588" s="6"/>
      <c r="T588" s="6"/>
      <c r="U588" s="6">
        <v>4</v>
      </c>
      <c r="V588" s="6" t="s">
        <v>919</v>
      </c>
      <c r="W588" s="6" t="s">
        <v>37</v>
      </c>
      <c r="X588" s="7">
        <v>45488</v>
      </c>
      <c r="Y588" s="7">
        <v>45511</v>
      </c>
      <c r="AB588" t="e">
        <v>#N/A</v>
      </c>
      <c r="AC588" t="e">
        <v>#N/A</v>
      </c>
      <c r="AE588" t="str">
        <f t="shared" si="83"/>
        <v>P000800</v>
      </c>
      <c r="AF588" t="e">
        <f>_xlfn.XLOOKUP(AE588, Hoja2!A:A, Hoja2!A:A)</f>
        <v>#N/A</v>
      </c>
    </row>
    <row r="589" spans="1:36" ht="15.5" customHeight="1" x14ac:dyDescent="0.35">
      <c r="A589">
        <f t="shared" ca="1" si="82"/>
        <v>174</v>
      </c>
      <c r="B589" s="12" t="s">
        <v>1889</v>
      </c>
      <c r="C589" s="13">
        <v>45455</v>
      </c>
      <c r="D589" s="14" t="s">
        <v>121</v>
      </c>
      <c r="E589" s="14" t="s">
        <v>83</v>
      </c>
      <c r="F589" s="14" t="s">
        <v>1890</v>
      </c>
      <c r="G589" s="14" t="s">
        <v>32</v>
      </c>
      <c r="H589" s="14" t="s">
        <v>1891</v>
      </c>
      <c r="I589" s="14" t="s">
        <v>1892</v>
      </c>
      <c r="J589" s="14" t="str">
        <f>IF(E589="KTG","KTG",(VLOOKUP(I589,'[1]list of outsource'!B:H,2,0)))</f>
        <v>ETC design and Kebao manufacture</v>
      </c>
      <c r="K589" s="14" t="s">
        <v>1893</v>
      </c>
      <c r="L589" s="14">
        <v>8</v>
      </c>
      <c r="M589" s="14" t="s">
        <v>1894</v>
      </c>
      <c r="N589" s="14" t="s">
        <v>1895</v>
      </c>
      <c r="O589" s="14" t="s">
        <v>1896</v>
      </c>
      <c r="P589" s="14"/>
      <c r="Q589" s="15"/>
      <c r="R589" s="14"/>
      <c r="S589" s="16"/>
      <c r="T589" s="14"/>
      <c r="U589" s="14">
        <v>4</v>
      </c>
      <c r="V589" s="14" t="s">
        <v>879</v>
      </c>
      <c r="W589" s="14" t="s">
        <v>37</v>
      </c>
      <c r="X589" s="13">
        <v>45629</v>
      </c>
      <c r="Y589" s="13"/>
      <c r="AB589" t="e">
        <v>#N/A</v>
      </c>
      <c r="AC589" t="e">
        <v>#N/A</v>
      </c>
      <c r="AE589" t="str">
        <f t="shared" si="83"/>
        <v>P000929</v>
      </c>
      <c r="AF589" t="str">
        <f>_xlfn.XLOOKUP(AE589, Hoja2!A:A, Hoja2!A:A)</f>
        <v>P000929</v>
      </c>
      <c r="AG589" t="str">
        <f t="shared" ref="AG589:AG610" si="84">LEFT(B589, FIND(" ", B589 &amp; " ") - 1)</f>
        <v>PP00058-01</v>
      </c>
      <c r="AH589">
        <f>_xlfn.XLOOKUP(AG589, Hoja3!A:A, Hoja3!B:B)</f>
        <v>4303</v>
      </c>
      <c r="AI589" t="str">
        <f>_xlfn.XLOOKUP(AH589, Hoja4!A:A, Hoja4!B:B)</f>
        <v>8M01760168</v>
      </c>
      <c r="AJ589" t="b">
        <f t="shared" ref="AJ589:AJ610" si="85">H589=AI589</f>
        <v>1</v>
      </c>
    </row>
    <row r="590" spans="1:36" ht="15.5" customHeight="1" x14ac:dyDescent="0.35">
      <c r="A590">
        <f t="shared" ca="1" si="82"/>
        <v>174</v>
      </c>
      <c r="B590" s="12" t="s">
        <v>1897</v>
      </c>
      <c r="C590" s="13">
        <v>45455</v>
      </c>
      <c r="D590" s="14" t="s">
        <v>121</v>
      </c>
      <c r="E590" s="14" t="s">
        <v>83</v>
      </c>
      <c r="F590" s="14" t="s">
        <v>1890</v>
      </c>
      <c r="G590" s="14" t="s">
        <v>32</v>
      </c>
      <c r="H590" s="14" t="s">
        <v>1898</v>
      </c>
      <c r="I590" s="14" t="s">
        <v>1892</v>
      </c>
      <c r="J590" s="14" t="str">
        <f>IF(E590="KTG","KTG",(VLOOKUP(I590,'[1]list of outsource'!B:H,2,0)))</f>
        <v>ETC design and Kebao manufacture</v>
      </c>
      <c r="K590" s="14" t="s">
        <v>1893</v>
      </c>
      <c r="L590" s="14">
        <v>8</v>
      </c>
      <c r="M590" s="14" t="s">
        <v>1899</v>
      </c>
      <c r="N590" s="14" t="s">
        <v>1900</v>
      </c>
      <c r="O590" s="14" t="s">
        <v>1901</v>
      </c>
      <c r="P590" s="14"/>
      <c r="Q590" s="15"/>
      <c r="R590" s="14"/>
      <c r="S590" s="16"/>
      <c r="T590" s="14"/>
      <c r="U590" s="14">
        <v>4</v>
      </c>
      <c r="V590" s="14" t="s">
        <v>879</v>
      </c>
      <c r="W590" s="14" t="s">
        <v>37</v>
      </c>
      <c r="X590" s="13">
        <v>45629</v>
      </c>
      <c r="Y590" s="13"/>
      <c r="AB590" t="e">
        <v>#N/A</v>
      </c>
      <c r="AC590" t="e">
        <v>#N/A</v>
      </c>
      <c r="AE590" t="str">
        <f t="shared" si="83"/>
        <v>P000928</v>
      </c>
      <c r="AF590" t="str">
        <f>_xlfn.XLOOKUP(AE590, Hoja2!A:A, Hoja2!A:A)</f>
        <v>P000928</v>
      </c>
      <c r="AG590" t="str">
        <f t="shared" si="84"/>
        <v>PP00058-02</v>
      </c>
      <c r="AH590">
        <f>_xlfn.XLOOKUP(AG590, Hoja3!A:A, Hoja3!B:B)</f>
        <v>4301</v>
      </c>
      <c r="AI590" t="str">
        <f>_xlfn.XLOOKUP(AH590, Hoja4!A:A, Hoja4!B:B)</f>
        <v>8M01760167</v>
      </c>
      <c r="AJ590" t="b">
        <f t="shared" si="85"/>
        <v>1</v>
      </c>
    </row>
    <row r="591" spans="1:36" ht="15.5" customHeight="1" x14ac:dyDescent="0.35">
      <c r="A591">
        <f t="shared" ca="1" si="82"/>
        <v>174</v>
      </c>
      <c r="B591" s="12" t="s">
        <v>1902</v>
      </c>
      <c r="C591" s="13">
        <v>45455</v>
      </c>
      <c r="D591" s="14" t="s">
        <v>121</v>
      </c>
      <c r="E591" s="14" t="s">
        <v>83</v>
      </c>
      <c r="F591" s="14" t="s">
        <v>1890</v>
      </c>
      <c r="G591" s="14" t="s">
        <v>32</v>
      </c>
      <c r="H591" s="14">
        <v>8001113010</v>
      </c>
      <c r="I591" s="14" t="s">
        <v>133</v>
      </c>
      <c r="J591" s="14" t="str">
        <f>IF(E591="KTG","KTG",(VLOOKUP(I591,'[1]list of outsource'!B:H,2,0)))</f>
        <v>UPM</v>
      </c>
      <c r="K591" s="14" t="s">
        <v>301</v>
      </c>
      <c r="L591" s="14">
        <v>25</v>
      </c>
      <c r="M591" s="14" t="s">
        <v>1104</v>
      </c>
      <c r="N591" s="14" t="s">
        <v>1903</v>
      </c>
      <c r="O591" s="14" t="s">
        <v>1904</v>
      </c>
      <c r="P591" s="14"/>
      <c r="Q591" s="15"/>
      <c r="R591" s="14"/>
      <c r="S591" s="16"/>
      <c r="T591" s="14"/>
      <c r="U591" s="14">
        <v>4</v>
      </c>
      <c r="V591" s="14" t="s">
        <v>879</v>
      </c>
      <c r="W591" s="14" t="s">
        <v>37</v>
      </c>
      <c r="X591" s="13">
        <v>45629</v>
      </c>
      <c r="Y591" s="13"/>
      <c r="AB591" t="e">
        <v>#N/A</v>
      </c>
      <c r="AC591" t="e">
        <v>#N/A</v>
      </c>
      <c r="AE591" t="str">
        <f t="shared" si="83"/>
        <v>P000029</v>
      </c>
      <c r="AF591" t="str">
        <f>_xlfn.XLOOKUP(AE591, Hoja2!A:A, Hoja2!A:A)</f>
        <v>P000029</v>
      </c>
      <c r="AG591" t="str">
        <f t="shared" si="84"/>
        <v>PP00058-03</v>
      </c>
      <c r="AH591">
        <f>_xlfn.XLOOKUP(AG591, Hoja3!A:A, Hoja3!B:B)</f>
        <v>4299</v>
      </c>
      <c r="AI591">
        <f>_xlfn.XLOOKUP(AH591, Hoja4!A:A, Hoja4!B:B)</f>
        <v>8001113010</v>
      </c>
      <c r="AJ591" t="b">
        <f t="shared" si="85"/>
        <v>1</v>
      </c>
    </row>
    <row r="592" spans="1:36" ht="15.5" customHeight="1" x14ac:dyDescent="0.35">
      <c r="A592">
        <f t="shared" ca="1" si="82"/>
        <v>174</v>
      </c>
      <c r="B592" s="12" t="s">
        <v>1905</v>
      </c>
      <c r="C592" s="13">
        <v>45455</v>
      </c>
      <c r="D592" s="14" t="s">
        <v>121</v>
      </c>
      <c r="E592" s="14" t="s">
        <v>83</v>
      </c>
      <c r="F592" s="14" t="s">
        <v>1890</v>
      </c>
      <c r="G592" s="14" t="s">
        <v>32</v>
      </c>
      <c r="H592" s="14">
        <v>8001113009</v>
      </c>
      <c r="I592" s="14" t="s">
        <v>133</v>
      </c>
      <c r="J592" s="14" t="str">
        <f>IF(E592="KTG","KTG",(VLOOKUP(I592,'[1]list of outsource'!B:H,2,0)))</f>
        <v>UPM</v>
      </c>
      <c r="K592" s="14" t="s">
        <v>301</v>
      </c>
      <c r="L592" s="14">
        <v>25</v>
      </c>
      <c r="M592" s="14" t="s">
        <v>135</v>
      </c>
      <c r="N592" s="14" t="s">
        <v>1906</v>
      </c>
      <c r="O592" s="14" t="s">
        <v>1907</v>
      </c>
      <c r="P592" s="14"/>
      <c r="Q592" s="15"/>
      <c r="R592" s="14"/>
      <c r="S592" s="16"/>
      <c r="T592" s="14"/>
      <c r="U592" s="14">
        <v>4</v>
      </c>
      <c r="V592" s="14" t="s">
        <v>879</v>
      </c>
      <c r="W592" s="14" t="s">
        <v>37</v>
      </c>
      <c r="X592" s="13">
        <v>45629</v>
      </c>
      <c r="Y592" s="13"/>
      <c r="AB592" t="e">
        <v>#N/A</v>
      </c>
      <c r="AC592" t="e">
        <v>#N/A</v>
      </c>
      <c r="AE592" t="str">
        <f t="shared" si="83"/>
        <v>P000028</v>
      </c>
      <c r="AF592" t="str">
        <f>_xlfn.XLOOKUP(AE592, Hoja2!A:A, Hoja2!A:A)</f>
        <v>P000028</v>
      </c>
      <c r="AG592" t="str">
        <f t="shared" si="84"/>
        <v>PP00058-04</v>
      </c>
      <c r="AH592">
        <f>_xlfn.XLOOKUP(AG592, Hoja3!A:A, Hoja3!B:B)</f>
        <v>4297</v>
      </c>
      <c r="AI592">
        <f>_xlfn.XLOOKUP(AH592, Hoja4!A:A, Hoja4!B:B)</f>
        <v>8001113009</v>
      </c>
      <c r="AJ592" t="b">
        <f t="shared" si="85"/>
        <v>1</v>
      </c>
    </row>
    <row r="593" spans="1:36" ht="15.5" customHeight="1" x14ac:dyDescent="0.35">
      <c r="A593">
        <f t="shared" ca="1" si="82"/>
        <v>174</v>
      </c>
      <c r="B593" s="12" t="s">
        <v>1908</v>
      </c>
      <c r="C593" s="13">
        <v>45455</v>
      </c>
      <c r="D593" s="14" t="s">
        <v>121</v>
      </c>
      <c r="E593" s="14" t="s">
        <v>83</v>
      </c>
      <c r="F593" s="14" t="s">
        <v>1890</v>
      </c>
      <c r="G593" s="14" t="s">
        <v>32</v>
      </c>
      <c r="H593" s="14">
        <v>8001113005</v>
      </c>
      <c r="I593" s="14" t="s">
        <v>133</v>
      </c>
      <c r="J593" s="14" t="str">
        <f>IF(E593="KTG","KTG",(VLOOKUP(I593,'[1]list of outsource'!B:H,2,0)))</f>
        <v>UPM</v>
      </c>
      <c r="K593" s="14" t="s">
        <v>301</v>
      </c>
      <c r="L593" s="14">
        <v>25</v>
      </c>
      <c r="M593" s="14" t="s">
        <v>807</v>
      </c>
      <c r="N593" s="14" t="s">
        <v>1909</v>
      </c>
      <c r="O593" s="14" t="s">
        <v>1910</v>
      </c>
      <c r="P593" s="14"/>
      <c r="Q593" s="15"/>
      <c r="R593" s="14"/>
      <c r="S593" s="16"/>
      <c r="T593" s="14"/>
      <c r="U593" s="14">
        <v>4</v>
      </c>
      <c r="V593" s="14" t="s">
        <v>879</v>
      </c>
      <c r="W593" s="14" t="s">
        <v>37</v>
      </c>
      <c r="X593" s="13">
        <v>45629</v>
      </c>
      <c r="Y593" s="13"/>
      <c r="AB593" t="e">
        <v>#N/A</v>
      </c>
      <c r="AC593" t="e">
        <v>#N/A</v>
      </c>
      <c r="AE593" t="str">
        <f t="shared" si="83"/>
        <v>P100355</v>
      </c>
      <c r="AF593" t="str">
        <f>_xlfn.XLOOKUP(AE593, Hoja2!A:A, Hoja2!A:A)</f>
        <v>P100355</v>
      </c>
      <c r="AG593" t="str">
        <f t="shared" si="84"/>
        <v>PP00058-05</v>
      </c>
      <c r="AH593">
        <f>_xlfn.XLOOKUP(AG593, Hoja3!A:A, Hoja3!B:B)</f>
        <v>4305</v>
      </c>
      <c r="AI593">
        <f>_xlfn.XLOOKUP(AH593, Hoja4!A:A, Hoja4!B:B)</f>
        <v>8001113005</v>
      </c>
      <c r="AJ593" t="b">
        <f t="shared" si="85"/>
        <v>1</v>
      </c>
    </row>
    <row r="594" spans="1:36" ht="15.5" customHeight="1" x14ac:dyDescent="0.35">
      <c r="A594">
        <f t="shared" ca="1" si="82"/>
        <v>174</v>
      </c>
      <c r="B594" s="12" t="s">
        <v>1911</v>
      </c>
      <c r="C594" s="13">
        <v>45455</v>
      </c>
      <c r="D594" s="14" t="s">
        <v>121</v>
      </c>
      <c r="E594" s="14" t="s">
        <v>83</v>
      </c>
      <c r="F594" s="14" t="s">
        <v>1890</v>
      </c>
      <c r="G594" s="14" t="s">
        <v>32</v>
      </c>
      <c r="H594" s="14">
        <v>8001113008</v>
      </c>
      <c r="I594" s="14" t="s">
        <v>133</v>
      </c>
      <c r="J594" s="14" t="str">
        <f>IF(E594="KTG","KTG",(VLOOKUP(I594,'[1]list of outsource'!B:H,2,0)))</f>
        <v>UPM</v>
      </c>
      <c r="K594" s="14" t="s">
        <v>301</v>
      </c>
      <c r="L594" s="14">
        <v>25</v>
      </c>
      <c r="M594" s="14" t="s">
        <v>757</v>
      </c>
      <c r="N594" s="14" t="s">
        <v>1912</v>
      </c>
      <c r="O594" s="14" t="s">
        <v>1913</v>
      </c>
      <c r="P594" s="14"/>
      <c r="Q594" s="15"/>
      <c r="R594" s="14"/>
      <c r="S594" s="16"/>
      <c r="T594" s="14"/>
      <c r="U594" s="14">
        <v>4</v>
      </c>
      <c r="V594" s="14" t="s">
        <v>879</v>
      </c>
      <c r="W594" s="14" t="s">
        <v>37</v>
      </c>
      <c r="X594" s="13">
        <v>45629</v>
      </c>
      <c r="Y594" s="13"/>
      <c r="AB594" t="e">
        <v>#N/A</v>
      </c>
      <c r="AC594" t="e">
        <v>#N/A</v>
      </c>
      <c r="AE594" t="str">
        <f t="shared" si="83"/>
        <v>P000027</v>
      </c>
      <c r="AF594" t="str">
        <f>_xlfn.XLOOKUP(AE594, Hoja2!A:A, Hoja2!A:A)</f>
        <v>P000027</v>
      </c>
      <c r="AG594" t="str">
        <f t="shared" si="84"/>
        <v>PP00058-06</v>
      </c>
      <c r="AH594">
        <f>_xlfn.XLOOKUP(AG594, Hoja3!A:A, Hoja3!B:B)</f>
        <v>4295</v>
      </c>
      <c r="AI594">
        <f>_xlfn.XLOOKUP(AH594, Hoja4!A:A, Hoja4!B:B)</f>
        <v>8001113008</v>
      </c>
      <c r="AJ594" t="b">
        <f t="shared" si="85"/>
        <v>1</v>
      </c>
    </row>
    <row r="595" spans="1:36" ht="15.5" customHeight="1" x14ac:dyDescent="0.35">
      <c r="A595">
        <f t="shared" ca="1" si="82"/>
        <v>20</v>
      </c>
      <c r="B595" s="12" t="s">
        <v>1914</v>
      </c>
      <c r="C595" s="13">
        <v>45427</v>
      </c>
      <c r="D595" s="14" t="s">
        <v>121</v>
      </c>
      <c r="E595" s="14" t="s">
        <v>139</v>
      </c>
      <c r="F595" s="14" t="s">
        <v>658</v>
      </c>
      <c r="G595" s="14" t="s">
        <v>32</v>
      </c>
      <c r="H595" s="14">
        <v>35758579</v>
      </c>
      <c r="I595" s="14" t="s">
        <v>402</v>
      </c>
      <c r="J595" s="14" t="str">
        <f>IF(E595="KTG","KTG",(VLOOKUP(I595,'[1]list of outsource'!B:H,2,0)))</f>
        <v>ETC</v>
      </c>
      <c r="K595" s="14" t="s">
        <v>403</v>
      </c>
      <c r="L595" s="14">
        <v>60</v>
      </c>
      <c r="M595" s="14" t="s">
        <v>1511</v>
      </c>
      <c r="N595" s="14" t="s">
        <v>1512</v>
      </c>
      <c r="O595" s="14">
        <v>1329808894</v>
      </c>
      <c r="P595" s="14"/>
      <c r="Q595" s="15"/>
      <c r="R595" s="14"/>
      <c r="S595" s="16"/>
      <c r="T595" s="14"/>
      <c r="U595" s="14">
        <v>4</v>
      </c>
      <c r="V595" s="14" t="s">
        <v>569</v>
      </c>
      <c r="W595" s="14" t="s">
        <v>37</v>
      </c>
      <c r="X595" s="13">
        <v>45447</v>
      </c>
      <c r="Y595" s="13"/>
      <c r="AB595" t="e">
        <v>#N/A</v>
      </c>
      <c r="AC595" t="e">
        <v>#N/A</v>
      </c>
      <c r="AE595" t="str">
        <f t="shared" si="83"/>
        <v>P000205</v>
      </c>
      <c r="AF595" t="str">
        <f>_xlfn.XLOOKUP(AE595, Hoja2!A:A, Hoja2!A:A)</f>
        <v>P000205</v>
      </c>
      <c r="AG595" t="str">
        <f t="shared" si="84"/>
        <v>PP00034-30</v>
      </c>
      <c r="AH595">
        <f>_xlfn.XLOOKUP(AG595, Hoja3!A:A, Hoja3!B:B)</f>
        <v>4772</v>
      </c>
      <c r="AI595">
        <f>_xlfn.XLOOKUP(AH595, Hoja4!A:A, Hoja4!B:B)</f>
        <v>35758579</v>
      </c>
      <c r="AJ595" t="b">
        <f t="shared" si="85"/>
        <v>1</v>
      </c>
    </row>
    <row r="596" spans="1:36" ht="15.5" customHeight="1" x14ac:dyDescent="0.35">
      <c r="A596">
        <f t="shared" ca="1" si="82"/>
        <v>31</v>
      </c>
      <c r="B596" s="6" t="s">
        <v>1846</v>
      </c>
      <c r="C596" s="7">
        <v>45571</v>
      </c>
      <c r="D596" s="6" t="s">
        <v>912</v>
      </c>
      <c r="E596" s="6" t="s">
        <v>83</v>
      </c>
      <c r="F596" s="6" t="s">
        <v>84</v>
      </c>
      <c r="G596" s="6" t="s">
        <v>156</v>
      </c>
      <c r="H596" s="6" t="s">
        <v>251</v>
      </c>
      <c r="I596" s="6" t="s">
        <v>198</v>
      </c>
      <c r="J596" s="6" t="str">
        <f>IF(E596="KTG","KTG",(VLOOKUP(I596,'[1]list of outsource'!B:H,2,0)))</f>
        <v>UPM</v>
      </c>
      <c r="K596" s="6" t="s">
        <v>199</v>
      </c>
      <c r="L596" s="6">
        <v>10</v>
      </c>
      <c r="M596" s="6" t="s">
        <v>252</v>
      </c>
      <c r="N596" s="6" t="s">
        <v>1847</v>
      </c>
      <c r="O596" s="6" t="s">
        <v>1915</v>
      </c>
      <c r="P596" s="6"/>
      <c r="Q596" s="8"/>
      <c r="R596" s="6"/>
      <c r="S596" s="6"/>
      <c r="T596" s="6"/>
      <c r="U596" s="6">
        <v>1</v>
      </c>
      <c r="V596" s="6" t="s">
        <v>569</v>
      </c>
      <c r="W596" s="6" t="s">
        <v>154</v>
      </c>
      <c r="X596" s="7">
        <v>45602</v>
      </c>
      <c r="Y596" s="7">
        <v>45603</v>
      </c>
      <c r="AB596" t="e">
        <v>#N/A</v>
      </c>
      <c r="AC596" t="e">
        <v>#N/A</v>
      </c>
      <c r="AE596" t="str">
        <f t="shared" si="83"/>
        <v>P000142</v>
      </c>
      <c r="AF596" t="str">
        <f>_xlfn.XLOOKUP(AE596, Hoja2!A:A, Hoja2!A:A)</f>
        <v>P000142</v>
      </c>
      <c r="AG596" t="str">
        <f t="shared" si="84"/>
        <v>PP00028-38</v>
      </c>
      <c r="AH596">
        <f>_xlfn.XLOOKUP(AG596, Hoja3!A:A, Hoja3!B:B)</f>
        <v>5360</v>
      </c>
      <c r="AI596" t="str">
        <f>_xlfn.XLOOKUP(AH596, Hoja4!A:A, Hoja4!B:B)</f>
        <v>E34875900</v>
      </c>
      <c r="AJ596" t="b">
        <f t="shared" si="85"/>
        <v>1</v>
      </c>
    </row>
    <row r="597" spans="1:36" ht="15.5" customHeight="1" x14ac:dyDescent="0.35">
      <c r="A597">
        <f t="shared" ca="1" si="82"/>
        <v>2</v>
      </c>
      <c r="B597" s="12" t="s">
        <v>1846</v>
      </c>
      <c r="C597" s="13">
        <v>45937</v>
      </c>
      <c r="D597" s="14" t="s">
        <v>121</v>
      </c>
      <c r="E597" s="14" t="s">
        <v>83</v>
      </c>
      <c r="F597" s="14" t="s">
        <v>84</v>
      </c>
      <c r="G597" s="14" t="s">
        <v>156</v>
      </c>
      <c r="H597" s="14" t="s">
        <v>251</v>
      </c>
      <c r="I597" s="14" t="s">
        <v>198</v>
      </c>
      <c r="J597" s="14" t="str">
        <f>IF(E597="KTG","KTG",(VLOOKUP(I597,'[1]list of outsource'!B:H,2,0)))</f>
        <v>UPM</v>
      </c>
      <c r="K597" s="14" t="s">
        <v>199</v>
      </c>
      <c r="L597" s="14">
        <v>10</v>
      </c>
      <c r="M597" s="14" t="s">
        <v>252</v>
      </c>
      <c r="N597" s="14" t="s">
        <v>1847</v>
      </c>
      <c r="O597" s="14" t="s">
        <v>1915</v>
      </c>
      <c r="P597" s="14"/>
      <c r="Q597" s="15"/>
      <c r="R597" s="14"/>
      <c r="S597" s="16"/>
      <c r="T597" s="14"/>
      <c r="U597" s="14">
        <v>1</v>
      </c>
      <c r="V597" s="14" t="s">
        <v>569</v>
      </c>
      <c r="W597" s="14" t="s">
        <v>154</v>
      </c>
      <c r="X597" s="13">
        <v>45939</v>
      </c>
      <c r="Y597" s="13"/>
      <c r="AC597" t="e">
        <v>#N/A</v>
      </c>
      <c r="AE597" t="str">
        <f t="shared" si="83"/>
        <v>P000142</v>
      </c>
      <c r="AF597" t="str">
        <f>_xlfn.XLOOKUP(AE597, Hoja2!A:A, Hoja2!A:A)</f>
        <v>P000142</v>
      </c>
      <c r="AG597" t="str">
        <f t="shared" si="84"/>
        <v>PP00028-38</v>
      </c>
      <c r="AH597">
        <f>_xlfn.XLOOKUP(AG597, Hoja3!A:A, Hoja3!B:B)</f>
        <v>5360</v>
      </c>
      <c r="AI597" t="str">
        <f>_xlfn.XLOOKUP(AH597, Hoja4!A:A, Hoja4!B:B)</f>
        <v>E34875900</v>
      </c>
      <c r="AJ597" t="b">
        <f t="shared" si="85"/>
        <v>1</v>
      </c>
    </row>
    <row r="598" spans="1:36" ht="15.5" customHeight="1" x14ac:dyDescent="0.35">
      <c r="A598">
        <f t="shared" ca="1" si="82"/>
        <v>57</v>
      </c>
      <c r="B598" s="6" t="s">
        <v>1916</v>
      </c>
      <c r="C598" s="7">
        <v>45176</v>
      </c>
      <c r="D598" s="6" t="s">
        <v>507</v>
      </c>
      <c r="E598" s="6" t="s">
        <v>83</v>
      </c>
      <c r="F598" s="6" t="s">
        <v>84</v>
      </c>
      <c r="G598" s="6" t="s">
        <v>156</v>
      </c>
      <c r="H598" s="6" t="s">
        <v>255</v>
      </c>
      <c r="I598" s="6" t="s">
        <v>198</v>
      </c>
      <c r="J598" s="6" t="str">
        <f>IF(E598="KTG","KTG",(VLOOKUP(I598,'[1]list of outsource'!B:H,2,0)))</f>
        <v>UPM</v>
      </c>
      <c r="K598" s="6" t="s">
        <v>199</v>
      </c>
      <c r="L598" s="6">
        <v>9</v>
      </c>
      <c r="M598" s="6" t="s">
        <v>256</v>
      </c>
      <c r="N598" s="6" t="s">
        <v>1917</v>
      </c>
      <c r="O598" s="6">
        <v>1160623765</v>
      </c>
      <c r="P598" s="6"/>
      <c r="Q598" s="8"/>
      <c r="R598" s="6"/>
      <c r="S598" s="6"/>
      <c r="T598" s="6"/>
      <c r="U598" s="6">
        <v>1</v>
      </c>
      <c r="V598" s="6"/>
      <c r="W598" s="6" t="s">
        <v>154</v>
      </c>
      <c r="X598" s="7">
        <v>45233</v>
      </c>
      <c r="Y598" s="7">
        <v>45236</v>
      </c>
      <c r="AB598" t="e">
        <v>#N/A</v>
      </c>
      <c r="AC598" t="e">
        <v>#N/A</v>
      </c>
      <c r="AE598" t="str">
        <f t="shared" si="83"/>
        <v>P000144</v>
      </c>
      <c r="AF598" t="str">
        <f>_xlfn.XLOOKUP(AE598, Hoja2!A:A, Hoja2!A:A)</f>
        <v>P000144</v>
      </c>
      <c r="AG598" t="str">
        <f t="shared" si="84"/>
        <v>PP00028-39</v>
      </c>
      <c r="AH598">
        <f>_xlfn.XLOOKUP(AG598, Hoja3!A:A, Hoja3!B:B)</f>
        <v>5363</v>
      </c>
      <c r="AI598" t="str">
        <f>_xlfn.XLOOKUP(AH598, Hoja4!A:A, Hoja4!B:B)</f>
        <v>E34875800</v>
      </c>
      <c r="AJ598" t="b">
        <f t="shared" si="85"/>
        <v>1</v>
      </c>
    </row>
    <row r="599" spans="1:36" ht="15.5" customHeight="1" x14ac:dyDescent="0.35">
      <c r="A599">
        <f t="shared" ca="1" si="82"/>
        <v>31</v>
      </c>
      <c r="B599" s="6" t="s">
        <v>1916</v>
      </c>
      <c r="C599" s="7">
        <v>45571</v>
      </c>
      <c r="D599" s="6" t="s">
        <v>912</v>
      </c>
      <c r="E599" s="6" t="s">
        <v>83</v>
      </c>
      <c r="F599" s="6" t="s">
        <v>84</v>
      </c>
      <c r="G599" s="6" t="s">
        <v>156</v>
      </c>
      <c r="H599" s="6" t="s">
        <v>255</v>
      </c>
      <c r="I599" s="6" t="s">
        <v>198</v>
      </c>
      <c r="J599" s="6" t="str">
        <f>IF(E599="KTG","KTG",(VLOOKUP(I599,'[1]list of outsource'!B:H,2,0)))</f>
        <v>UPM</v>
      </c>
      <c r="K599" s="6" t="s">
        <v>199</v>
      </c>
      <c r="L599" s="6">
        <v>10</v>
      </c>
      <c r="M599" s="6" t="s">
        <v>256</v>
      </c>
      <c r="N599" s="6" t="s">
        <v>1917</v>
      </c>
      <c r="O599" s="6" t="s">
        <v>1918</v>
      </c>
      <c r="P599" s="6"/>
      <c r="Q599" s="8"/>
      <c r="R599" s="6"/>
      <c r="S599" s="6"/>
      <c r="T599" s="6"/>
      <c r="U599" s="6">
        <v>1</v>
      </c>
      <c r="V599" s="6" t="s">
        <v>569</v>
      </c>
      <c r="W599" s="6" t="s">
        <v>154</v>
      </c>
      <c r="X599" s="7">
        <v>45602</v>
      </c>
      <c r="Y599" s="7">
        <v>45603</v>
      </c>
      <c r="AB599" t="e">
        <v>#N/A</v>
      </c>
      <c r="AC599"/>
      <c r="AE599" t="str">
        <f t="shared" si="83"/>
        <v>P000144</v>
      </c>
      <c r="AF599" t="str">
        <f>_xlfn.XLOOKUP(AE599, Hoja2!A:A, Hoja2!A:A)</f>
        <v>P000144</v>
      </c>
      <c r="AG599" t="str">
        <f t="shared" si="84"/>
        <v>PP00028-39</v>
      </c>
      <c r="AH599">
        <f>_xlfn.XLOOKUP(AG599, Hoja3!A:A, Hoja3!B:B)</f>
        <v>5363</v>
      </c>
      <c r="AI599" t="str">
        <f>_xlfn.XLOOKUP(AH599, Hoja4!A:A, Hoja4!B:B)</f>
        <v>E34875800</v>
      </c>
      <c r="AJ599" t="b">
        <f t="shared" si="85"/>
        <v>1</v>
      </c>
    </row>
    <row r="600" spans="1:36" ht="15.5" customHeight="1" x14ac:dyDescent="0.35">
      <c r="A600">
        <f t="shared" ca="1" si="82"/>
        <v>2</v>
      </c>
      <c r="B600" s="12" t="s">
        <v>1916</v>
      </c>
      <c r="C600" s="13">
        <v>45937</v>
      </c>
      <c r="D600" s="14" t="s">
        <v>121</v>
      </c>
      <c r="E600" s="14" t="s">
        <v>83</v>
      </c>
      <c r="F600" s="14" t="s">
        <v>84</v>
      </c>
      <c r="G600" s="14" t="s">
        <v>156</v>
      </c>
      <c r="H600" s="14" t="s">
        <v>255</v>
      </c>
      <c r="I600" s="14" t="s">
        <v>198</v>
      </c>
      <c r="J600" s="14" t="str">
        <f>IF(E600="KTG","KTG",(VLOOKUP(I600,'[1]list of outsource'!B:H,2,0)))</f>
        <v>UPM</v>
      </c>
      <c r="K600" s="14" t="s">
        <v>199</v>
      </c>
      <c r="L600" s="14">
        <v>10</v>
      </c>
      <c r="M600" s="14" t="s">
        <v>256</v>
      </c>
      <c r="N600" s="14" t="s">
        <v>1917</v>
      </c>
      <c r="O600" s="14" t="s">
        <v>1918</v>
      </c>
      <c r="P600" s="14"/>
      <c r="Q600" s="15"/>
      <c r="R600" s="14"/>
      <c r="S600" s="16"/>
      <c r="T600" s="14"/>
      <c r="U600" s="14">
        <v>1</v>
      </c>
      <c r="V600" s="14" t="s">
        <v>569</v>
      </c>
      <c r="W600" s="14" t="s">
        <v>154</v>
      </c>
      <c r="X600" s="13">
        <v>45939</v>
      </c>
      <c r="Y600" s="13"/>
      <c r="AC600" t="e">
        <v>#N/A</v>
      </c>
      <c r="AE600" t="str">
        <f t="shared" si="83"/>
        <v>P000144</v>
      </c>
      <c r="AF600" t="str">
        <f>_xlfn.XLOOKUP(AE600, Hoja2!A:A, Hoja2!A:A)</f>
        <v>P000144</v>
      </c>
      <c r="AG600" t="str">
        <f t="shared" si="84"/>
        <v>PP00028-39</v>
      </c>
      <c r="AH600">
        <f>_xlfn.XLOOKUP(AG600, Hoja3!A:A, Hoja3!B:B)</f>
        <v>5363</v>
      </c>
      <c r="AI600" t="str">
        <f>_xlfn.XLOOKUP(AH600, Hoja4!A:A, Hoja4!B:B)</f>
        <v>E34875800</v>
      </c>
      <c r="AJ600" t="b">
        <f t="shared" si="85"/>
        <v>1</v>
      </c>
    </row>
    <row r="601" spans="1:36" ht="15.5" customHeight="1" x14ac:dyDescent="0.35">
      <c r="A601">
        <f t="shared" ca="1" si="82"/>
        <v>8</v>
      </c>
      <c r="B601" s="12" t="s">
        <v>1919</v>
      </c>
      <c r="C601" s="13">
        <v>45238</v>
      </c>
      <c r="D601" s="14" t="s">
        <v>121</v>
      </c>
      <c r="E601" s="14" t="s">
        <v>83</v>
      </c>
      <c r="F601" s="14" t="s">
        <v>84</v>
      </c>
      <c r="G601" s="14" t="s">
        <v>156</v>
      </c>
      <c r="H601" s="14" t="s">
        <v>437</v>
      </c>
      <c r="I601" s="14" t="s">
        <v>158</v>
      </c>
      <c r="J601" s="14" t="str">
        <f>IF(E601="KTG","KTG",(VLOOKUP(I601,'[1]list of outsource'!B:H,2,0)))</f>
        <v>UPM</v>
      </c>
      <c r="K601" s="14" t="s">
        <v>159</v>
      </c>
      <c r="L601" s="14">
        <v>37</v>
      </c>
      <c r="M601" s="14" t="s">
        <v>438</v>
      </c>
      <c r="N601" s="14" t="s">
        <v>637</v>
      </c>
      <c r="O601" s="14">
        <v>1132173549</v>
      </c>
      <c r="P601" s="14"/>
      <c r="Q601" s="15"/>
      <c r="R601" s="14"/>
      <c r="S601" s="16"/>
      <c r="T601" s="14"/>
      <c r="U601" s="14">
        <v>1</v>
      </c>
      <c r="V601" s="14"/>
      <c r="W601" s="14" t="s">
        <v>154</v>
      </c>
      <c r="X601" s="13">
        <v>45246</v>
      </c>
      <c r="Y601" s="13"/>
      <c r="AB601">
        <v>0</v>
      </c>
      <c r="AC601" t="e">
        <v>#N/A</v>
      </c>
      <c r="AE601" t="str">
        <f t="shared" si="83"/>
        <v>P000052</v>
      </c>
      <c r="AF601" t="str">
        <f>_xlfn.XLOOKUP(AE601, Hoja2!A:A, Hoja2!A:A)</f>
        <v>P000052</v>
      </c>
      <c r="AG601" t="str">
        <f t="shared" si="84"/>
        <v>PP00028-40</v>
      </c>
      <c r="AH601">
        <f>_xlfn.XLOOKUP(AG601, Hoja3!A:A, Hoja3!B:B)</f>
        <v>38</v>
      </c>
      <c r="AI601" t="str">
        <f>_xlfn.XLOOKUP(AH601, Hoja4!A:A, Hoja4!B:B)</f>
        <v>E33300400</v>
      </c>
      <c r="AJ601" t="b">
        <f t="shared" si="85"/>
        <v>1</v>
      </c>
    </row>
    <row r="602" spans="1:36" ht="15.5" customHeight="1" x14ac:dyDescent="0.35">
      <c r="A602">
        <f t="shared" ca="1" si="82"/>
        <v>55</v>
      </c>
      <c r="B602" s="6" t="s">
        <v>506</v>
      </c>
      <c r="C602" s="7">
        <v>45461</v>
      </c>
      <c r="D602" s="6" t="s">
        <v>912</v>
      </c>
      <c r="E602" s="6" t="s">
        <v>139</v>
      </c>
      <c r="F602" s="6" t="s">
        <v>508</v>
      </c>
      <c r="G602" s="6" t="s">
        <v>32</v>
      </c>
      <c r="H602" s="6">
        <v>69321134</v>
      </c>
      <c r="I602" s="6" t="s">
        <v>402</v>
      </c>
      <c r="J602" s="6" t="str">
        <f>IF(E602="KTG","KTG",(VLOOKUP(I602,'[1]list of outsource'!B:H,2,0)))</f>
        <v>ETC</v>
      </c>
      <c r="K602" s="6" t="s">
        <v>403</v>
      </c>
      <c r="L602" s="6">
        <v>62</v>
      </c>
      <c r="M602" s="6" t="s">
        <v>509</v>
      </c>
      <c r="N602" s="6" t="s">
        <v>510</v>
      </c>
      <c r="O602" s="6" t="s">
        <v>1920</v>
      </c>
      <c r="P602" s="6"/>
      <c r="Q602" s="8">
        <v>45481</v>
      </c>
      <c r="R602" s="6"/>
      <c r="S602" s="6"/>
      <c r="T602" s="6"/>
      <c r="U602" s="6">
        <v>1</v>
      </c>
      <c r="V602" s="6" t="s">
        <v>569</v>
      </c>
      <c r="W602" s="6" t="s">
        <v>576</v>
      </c>
      <c r="X602" s="7">
        <v>45516</v>
      </c>
      <c r="Y602" s="7">
        <v>45527</v>
      </c>
      <c r="AC602"/>
      <c r="AE602" t="str">
        <f t="shared" si="83"/>
        <v>P000217</v>
      </c>
      <c r="AF602" t="str">
        <f>_xlfn.XLOOKUP(AE602, Hoja2!A:A, Hoja2!A:A)</f>
        <v>P000217</v>
      </c>
      <c r="AG602" t="str">
        <f t="shared" si="84"/>
        <v>PP00026-01</v>
      </c>
      <c r="AH602">
        <f>_xlfn.XLOOKUP(AG602, Hoja3!A:A, Hoja3!B:B)</f>
        <v>5594</v>
      </c>
      <c r="AI602">
        <f>_xlfn.XLOOKUP(AH602, Hoja4!A:A, Hoja4!B:B)</f>
        <v>69321134</v>
      </c>
      <c r="AJ602" t="b">
        <f t="shared" si="85"/>
        <v>1</v>
      </c>
    </row>
    <row r="603" spans="1:36" ht="15.5" customHeight="1" x14ac:dyDescent="0.35">
      <c r="A603">
        <f t="shared" ca="1" si="82"/>
        <v>55</v>
      </c>
      <c r="B603" s="6" t="s">
        <v>512</v>
      </c>
      <c r="C603" s="7">
        <v>45461</v>
      </c>
      <c r="D603" s="6" t="s">
        <v>912</v>
      </c>
      <c r="E603" s="6" t="s">
        <v>139</v>
      </c>
      <c r="F603" s="6" t="s">
        <v>508</v>
      </c>
      <c r="G603" s="6" t="s">
        <v>32</v>
      </c>
      <c r="H603" s="6">
        <v>69321135</v>
      </c>
      <c r="I603" s="6" t="s">
        <v>402</v>
      </c>
      <c r="J603" s="6" t="str">
        <f>IF(E603="KTG","KTG",(VLOOKUP(I603,'[1]list of outsource'!B:H,2,0)))</f>
        <v>ETC</v>
      </c>
      <c r="K603" s="6" t="s">
        <v>403</v>
      </c>
      <c r="L603" s="6">
        <v>62</v>
      </c>
      <c r="M603" s="6" t="s">
        <v>513</v>
      </c>
      <c r="N603" s="6" t="s">
        <v>514</v>
      </c>
      <c r="O603" s="6" t="s">
        <v>1921</v>
      </c>
      <c r="P603" s="6"/>
      <c r="Q603" s="8">
        <v>45481</v>
      </c>
      <c r="R603" s="6"/>
      <c r="S603" s="6"/>
      <c r="T603" s="6"/>
      <c r="U603" s="6">
        <v>1</v>
      </c>
      <c r="V603" s="6" t="s">
        <v>569</v>
      </c>
      <c r="W603" s="6" t="s">
        <v>576</v>
      </c>
      <c r="X603" s="7">
        <v>45516</v>
      </c>
      <c r="Y603" s="7">
        <v>45527</v>
      </c>
      <c r="AC603" t="s">
        <v>4210</v>
      </c>
      <c r="AE603" t="str">
        <f t="shared" si="83"/>
        <v>P000270</v>
      </c>
      <c r="AF603" t="str">
        <f>_xlfn.XLOOKUP(AE603, Hoja2!A:A, Hoja2!A:A)</f>
        <v>P000270</v>
      </c>
      <c r="AG603" t="str">
        <f t="shared" si="84"/>
        <v>PP00026-02</v>
      </c>
      <c r="AH603">
        <f>_xlfn.XLOOKUP(AG603, Hoja3!A:A, Hoja3!B:B)</f>
        <v>5597</v>
      </c>
      <c r="AI603">
        <f>_xlfn.XLOOKUP(AH603, Hoja4!A:A, Hoja4!B:B)</f>
        <v>69321135</v>
      </c>
      <c r="AJ603" t="b">
        <f t="shared" si="85"/>
        <v>1</v>
      </c>
    </row>
    <row r="604" spans="1:36" ht="15.5" customHeight="1" x14ac:dyDescent="0.35">
      <c r="A604">
        <f t="shared" ca="1" si="82"/>
        <v>55</v>
      </c>
      <c r="B604" s="6" t="s">
        <v>515</v>
      </c>
      <c r="C604" s="7">
        <v>45461</v>
      </c>
      <c r="D604" s="6" t="s">
        <v>912</v>
      </c>
      <c r="E604" s="6" t="s">
        <v>139</v>
      </c>
      <c r="F604" s="6" t="s">
        <v>508</v>
      </c>
      <c r="G604" s="6" t="s">
        <v>32</v>
      </c>
      <c r="H604" s="6">
        <v>69321136</v>
      </c>
      <c r="I604" s="6" t="s">
        <v>402</v>
      </c>
      <c r="J604" s="6" t="str">
        <f>IF(E604="KTG","KTG",(VLOOKUP(I604,'[1]list of outsource'!B:H,2,0)))</f>
        <v>ETC</v>
      </c>
      <c r="K604" s="6" t="s">
        <v>403</v>
      </c>
      <c r="L604" s="6">
        <v>62</v>
      </c>
      <c r="M604" s="6" t="s">
        <v>516</v>
      </c>
      <c r="N604" s="6" t="s">
        <v>517</v>
      </c>
      <c r="O604" s="6" t="s">
        <v>518</v>
      </c>
      <c r="P604" s="6"/>
      <c r="Q604" s="8">
        <v>45481</v>
      </c>
      <c r="R604" s="6"/>
      <c r="S604" s="6"/>
      <c r="T604" s="6"/>
      <c r="U604" s="6">
        <v>1</v>
      </c>
      <c r="V604" s="6" t="s">
        <v>569</v>
      </c>
      <c r="W604" s="6" t="s">
        <v>576</v>
      </c>
      <c r="X604" s="7">
        <v>45516</v>
      </c>
      <c r="Y604" s="7">
        <v>45527</v>
      </c>
      <c r="AC604"/>
      <c r="AE604" t="str">
        <f t="shared" si="83"/>
        <v>P000274</v>
      </c>
      <c r="AF604" t="str">
        <f>_xlfn.XLOOKUP(AE604, Hoja2!A:A, Hoja2!A:A)</f>
        <v>P000274</v>
      </c>
      <c r="AG604" t="str">
        <f t="shared" si="84"/>
        <v>PP00026-03</v>
      </c>
      <c r="AH604">
        <f>_xlfn.XLOOKUP(AG604, Hoja3!A:A, Hoja3!B:B)</f>
        <v>5600</v>
      </c>
      <c r="AI604">
        <f>_xlfn.XLOOKUP(AH604, Hoja4!A:A, Hoja4!B:B)</f>
        <v>69321136</v>
      </c>
      <c r="AJ604" t="b">
        <f t="shared" si="85"/>
        <v>1</v>
      </c>
    </row>
    <row r="605" spans="1:36" ht="15.5" customHeight="1" x14ac:dyDescent="0.35">
      <c r="A605">
        <f t="shared" ca="1" si="82"/>
        <v>55</v>
      </c>
      <c r="B605" s="6" t="s">
        <v>519</v>
      </c>
      <c r="C605" s="7">
        <v>45461</v>
      </c>
      <c r="D605" s="6" t="s">
        <v>912</v>
      </c>
      <c r="E605" s="6" t="s">
        <v>139</v>
      </c>
      <c r="F605" s="6" t="s">
        <v>508</v>
      </c>
      <c r="G605" s="6" t="s">
        <v>32</v>
      </c>
      <c r="H605" s="6">
        <v>69321137</v>
      </c>
      <c r="I605" s="6" t="s">
        <v>402</v>
      </c>
      <c r="J605" s="6" t="str">
        <f>IF(E605="KTG","KTG",(VLOOKUP(I605,'[1]list of outsource'!B:H,2,0)))</f>
        <v>ETC</v>
      </c>
      <c r="K605" s="6" t="s">
        <v>403</v>
      </c>
      <c r="L605" s="6">
        <v>62</v>
      </c>
      <c r="M605" s="6" t="s">
        <v>520</v>
      </c>
      <c r="N605" s="6" t="s">
        <v>521</v>
      </c>
      <c r="O605" s="6" t="s">
        <v>1922</v>
      </c>
      <c r="P605" s="6"/>
      <c r="Q605" s="8">
        <v>45481</v>
      </c>
      <c r="R605" s="6"/>
      <c r="S605" s="6"/>
      <c r="T605" s="6"/>
      <c r="U605" s="6">
        <v>1</v>
      </c>
      <c r="V605" s="6" t="s">
        <v>569</v>
      </c>
      <c r="W605" s="6" t="s">
        <v>576</v>
      </c>
      <c r="X605" s="7">
        <v>45516</v>
      </c>
      <c r="Y605" s="7">
        <v>45527</v>
      </c>
      <c r="AC605"/>
      <c r="AE605" t="str">
        <f t="shared" si="83"/>
        <v>P000276</v>
      </c>
      <c r="AF605" t="str">
        <f>_xlfn.XLOOKUP(AE605, Hoja2!A:A, Hoja2!A:A)</f>
        <v>P000276</v>
      </c>
      <c r="AG605" t="str">
        <f t="shared" si="84"/>
        <v>PP00026-04</v>
      </c>
      <c r="AH605">
        <f>_xlfn.XLOOKUP(AG605, Hoja3!A:A, Hoja3!B:B)</f>
        <v>5603</v>
      </c>
      <c r="AI605">
        <f>_xlfn.XLOOKUP(AH605, Hoja4!A:A, Hoja4!B:B)</f>
        <v>69321137</v>
      </c>
      <c r="AJ605" t="b">
        <f t="shared" si="85"/>
        <v>1</v>
      </c>
    </row>
    <row r="606" spans="1:36" ht="15.5" customHeight="1" x14ac:dyDescent="0.35">
      <c r="A606">
        <f t="shared" ca="1" si="82"/>
        <v>55</v>
      </c>
      <c r="B606" s="6" t="s">
        <v>522</v>
      </c>
      <c r="C606" s="7">
        <v>45461</v>
      </c>
      <c r="D606" s="6" t="s">
        <v>912</v>
      </c>
      <c r="E606" s="6" t="s">
        <v>139</v>
      </c>
      <c r="F606" s="6" t="s">
        <v>508</v>
      </c>
      <c r="G606" s="6" t="s">
        <v>32</v>
      </c>
      <c r="H606" s="6">
        <v>69321288</v>
      </c>
      <c r="I606" s="6" t="s">
        <v>402</v>
      </c>
      <c r="J606" s="6" t="str">
        <f>IF(E606="KTG","KTG",(VLOOKUP(I606,'[1]list of outsource'!B:H,2,0)))</f>
        <v>ETC</v>
      </c>
      <c r="K606" s="6" t="s">
        <v>403</v>
      </c>
      <c r="L606" s="6">
        <v>62</v>
      </c>
      <c r="M606" s="6" t="s">
        <v>523</v>
      </c>
      <c r="N606" s="6" t="s">
        <v>524</v>
      </c>
      <c r="O606" s="6" t="s">
        <v>1923</v>
      </c>
      <c r="P606" s="6"/>
      <c r="Q606" s="8">
        <v>45481</v>
      </c>
      <c r="R606" s="6"/>
      <c r="S606" s="6"/>
      <c r="T606" s="6"/>
      <c r="U606" s="6">
        <v>1</v>
      </c>
      <c r="V606" s="6" t="s">
        <v>569</v>
      </c>
      <c r="W606" s="6" t="s">
        <v>576</v>
      </c>
      <c r="X606" s="7">
        <v>45516</v>
      </c>
      <c r="Y606" s="7">
        <v>45527</v>
      </c>
      <c r="AC606"/>
      <c r="AE606" t="str">
        <f t="shared" si="83"/>
        <v>P000308</v>
      </c>
      <c r="AF606" t="str">
        <f>_xlfn.XLOOKUP(AE606, Hoja2!A:A, Hoja2!A:A)</f>
        <v>P000308</v>
      </c>
      <c r="AG606" t="str">
        <f t="shared" si="84"/>
        <v>PP00026-05</v>
      </c>
      <c r="AH606">
        <f>_xlfn.XLOOKUP(AG606, Hoja3!A:A, Hoja3!B:B)</f>
        <v>5605</v>
      </c>
      <c r="AI606">
        <f>_xlfn.XLOOKUP(AH606, Hoja4!A:A, Hoja4!B:B)</f>
        <v>69321288</v>
      </c>
      <c r="AJ606" t="b">
        <f t="shared" si="85"/>
        <v>1</v>
      </c>
    </row>
    <row r="607" spans="1:36" ht="15.5" customHeight="1" x14ac:dyDescent="0.35">
      <c r="A607">
        <f t="shared" ca="1" si="82"/>
        <v>55</v>
      </c>
      <c r="B607" s="6" t="s">
        <v>525</v>
      </c>
      <c r="C607" s="7">
        <v>45461</v>
      </c>
      <c r="D607" s="6" t="s">
        <v>912</v>
      </c>
      <c r="E607" s="6" t="s">
        <v>139</v>
      </c>
      <c r="F607" s="6" t="s">
        <v>508</v>
      </c>
      <c r="G607" s="6" t="s">
        <v>32</v>
      </c>
      <c r="H607" s="6">
        <v>69321289</v>
      </c>
      <c r="I607" s="6" t="s">
        <v>402</v>
      </c>
      <c r="J607" s="6" t="str">
        <f>IF(E607="KTG","KTG",(VLOOKUP(I607,'[1]list of outsource'!B:H,2,0)))</f>
        <v>ETC</v>
      </c>
      <c r="K607" s="6" t="s">
        <v>403</v>
      </c>
      <c r="L607" s="6">
        <v>62</v>
      </c>
      <c r="M607" s="6" t="s">
        <v>526</v>
      </c>
      <c r="N607" s="6" t="s">
        <v>527</v>
      </c>
      <c r="O607" s="6" t="s">
        <v>1924</v>
      </c>
      <c r="P607" s="6"/>
      <c r="Q607" s="8">
        <v>45481</v>
      </c>
      <c r="R607" s="6"/>
      <c r="S607" s="6"/>
      <c r="T607" s="6"/>
      <c r="U607" s="6">
        <v>1</v>
      </c>
      <c r="V607" s="6" t="s">
        <v>569</v>
      </c>
      <c r="W607" s="6" t="s">
        <v>576</v>
      </c>
      <c r="X607" s="7">
        <v>45516</v>
      </c>
      <c r="Y607" s="7">
        <v>45527</v>
      </c>
      <c r="AC607"/>
      <c r="AE607" t="str">
        <f t="shared" si="83"/>
        <v>P000311</v>
      </c>
      <c r="AF607" t="str">
        <f>_xlfn.XLOOKUP(AE607, Hoja2!A:A, Hoja2!A:A)</f>
        <v>P000311</v>
      </c>
      <c r="AG607" t="str">
        <f t="shared" si="84"/>
        <v>PP00026-06</v>
      </c>
      <c r="AH607">
        <f>_xlfn.XLOOKUP(AG607, Hoja3!A:A, Hoja3!B:B)</f>
        <v>5607</v>
      </c>
      <c r="AI607">
        <f>_xlfn.XLOOKUP(AH607, Hoja4!A:A, Hoja4!B:B)</f>
        <v>69321289</v>
      </c>
      <c r="AJ607" t="b">
        <f t="shared" si="85"/>
        <v>1</v>
      </c>
    </row>
    <row r="608" spans="1:36" ht="15.5" customHeight="1" x14ac:dyDescent="0.35">
      <c r="A608">
        <f t="shared" ca="1" si="82"/>
        <v>55</v>
      </c>
      <c r="B608" s="6" t="s">
        <v>528</v>
      </c>
      <c r="C608" s="7">
        <v>45461</v>
      </c>
      <c r="D608" s="6" t="s">
        <v>912</v>
      </c>
      <c r="E608" s="6" t="s">
        <v>139</v>
      </c>
      <c r="F608" s="6" t="s">
        <v>508</v>
      </c>
      <c r="G608" s="6" t="s">
        <v>32</v>
      </c>
      <c r="H608" s="6">
        <v>69321130</v>
      </c>
      <c r="I608" s="6" t="s">
        <v>529</v>
      </c>
      <c r="J608" s="6" t="str">
        <f>IF(E608="KTG","KTG",(VLOOKUP(I608,'[1]list of outsource'!B:H,2,0)))</f>
        <v>ETC</v>
      </c>
      <c r="K608" s="6" t="s">
        <v>530</v>
      </c>
      <c r="L608" s="6">
        <v>20</v>
      </c>
      <c r="M608" s="6" t="s">
        <v>531</v>
      </c>
      <c r="N608" s="6" t="s">
        <v>532</v>
      </c>
      <c r="O608" s="6" t="s">
        <v>1925</v>
      </c>
      <c r="P608" s="6"/>
      <c r="Q608" s="8">
        <v>45481</v>
      </c>
      <c r="R608" s="6"/>
      <c r="S608" s="6"/>
      <c r="T608" s="6"/>
      <c r="U608" s="6">
        <v>1</v>
      </c>
      <c r="V608" s="6" t="s">
        <v>569</v>
      </c>
      <c r="W608" s="6" t="s">
        <v>576</v>
      </c>
      <c r="X608" s="7">
        <v>45516</v>
      </c>
      <c r="Y608" s="7">
        <v>45527</v>
      </c>
      <c r="AC608"/>
      <c r="AE608" t="str">
        <f t="shared" si="83"/>
        <v>P000263</v>
      </c>
      <c r="AF608" t="str">
        <f>_xlfn.XLOOKUP(AE608, Hoja2!A:A, Hoja2!A:A)</f>
        <v>P000263</v>
      </c>
      <c r="AG608" t="str">
        <f t="shared" si="84"/>
        <v>PP00026-07</v>
      </c>
      <c r="AH608">
        <f>_xlfn.XLOOKUP(AG608, Hoja3!A:A, Hoja3!B:B)</f>
        <v>5609</v>
      </c>
      <c r="AI608">
        <f>_xlfn.XLOOKUP(AH608, Hoja4!A:A, Hoja4!B:B)</f>
        <v>69321130</v>
      </c>
      <c r="AJ608" t="b">
        <f t="shared" si="85"/>
        <v>1</v>
      </c>
    </row>
    <row r="609" spans="1:36" ht="15.5" customHeight="1" x14ac:dyDescent="0.35">
      <c r="A609">
        <f t="shared" ca="1" si="82"/>
        <v>55</v>
      </c>
      <c r="B609" s="12" t="s">
        <v>1926</v>
      </c>
      <c r="C609" s="13">
        <v>45461</v>
      </c>
      <c r="D609" s="14" t="s">
        <v>121</v>
      </c>
      <c r="E609" s="14" t="s">
        <v>30</v>
      </c>
      <c r="F609" s="14" t="s">
        <v>508</v>
      </c>
      <c r="G609" s="14" t="s">
        <v>32</v>
      </c>
      <c r="H609" s="14">
        <v>69227221</v>
      </c>
      <c r="I609" s="14"/>
      <c r="J609" s="14" t="str">
        <f>IF(E609="KTG","KTG",(VLOOKUP(I609,'[1]list of outsource'!B:H,2,0)))</f>
        <v>KTG</v>
      </c>
      <c r="K609" s="14"/>
      <c r="L609" s="14"/>
      <c r="M609" s="14" t="s">
        <v>1927</v>
      </c>
      <c r="N609" s="14" t="s">
        <v>1928</v>
      </c>
      <c r="O609" s="14"/>
      <c r="P609" s="14"/>
      <c r="Q609" s="15">
        <v>45504</v>
      </c>
      <c r="R609" s="14"/>
      <c r="S609" s="16"/>
      <c r="T609" s="14"/>
      <c r="U609" s="14">
        <v>1</v>
      </c>
      <c r="V609" s="14" t="s">
        <v>569</v>
      </c>
      <c r="W609" s="14" t="s">
        <v>576</v>
      </c>
      <c r="X609" s="13">
        <v>45516</v>
      </c>
      <c r="Y609" s="13"/>
      <c r="AB609" t="e">
        <v>#N/A</v>
      </c>
      <c r="AC609"/>
      <c r="AE609" t="str">
        <f t="shared" si="83"/>
        <v>E62402</v>
      </c>
      <c r="AF609" t="str">
        <f>_xlfn.XLOOKUP(AE609, Hoja2!A:A, Hoja2!A:A)</f>
        <v>E62402</v>
      </c>
      <c r="AG609" t="str">
        <f t="shared" si="84"/>
        <v>PP00026-42</v>
      </c>
      <c r="AH609">
        <f>_xlfn.XLOOKUP(AG609, Hoja3!A:A, Hoja3!B:B)</f>
        <v>5651</v>
      </c>
      <c r="AI609">
        <f>_xlfn.XLOOKUP(AH609, Hoja4!A:A, Hoja4!B:B)</f>
        <v>69227221</v>
      </c>
      <c r="AJ609" t="b">
        <f t="shared" si="85"/>
        <v>1</v>
      </c>
    </row>
    <row r="610" spans="1:36" ht="15.5" customHeight="1" x14ac:dyDescent="0.35">
      <c r="A610">
        <f t="shared" ca="1" si="82"/>
        <v>55</v>
      </c>
      <c r="B610" s="12" t="s">
        <v>1929</v>
      </c>
      <c r="C610" s="13">
        <v>45461</v>
      </c>
      <c r="D610" s="14" t="s">
        <v>121</v>
      </c>
      <c r="E610" s="14" t="s">
        <v>30</v>
      </c>
      <c r="F610" s="14" t="s">
        <v>508</v>
      </c>
      <c r="G610" s="14" t="s">
        <v>32</v>
      </c>
      <c r="H610" s="14">
        <v>69227222</v>
      </c>
      <c r="I610" s="14"/>
      <c r="J610" s="14" t="str">
        <f>IF(E610="KTG","KTG",(VLOOKUP(I610,'[1]list of outsource'!B:H,2,0)))</f>
        <v>KTG</v>
      </c>
      <c r="K610" s="14"/>
      <c r="L610" s="14"/>
      <c r="M610" s="14" t="s">
        <v>1930</v>
      </c>
      <c r="N610" s="14" t="s">
        <v>1931</v>
      </c>
      <c r="O610" s="14"/>
      <c r="P610" s="14"/>
      <c r="Q610" s="15">
        <v>45504</v>
      </c>
      <c r="R610" s="14"/>
      <c r="S610" s="16"/>
      <c r="T610" s="14"/>
      <c r="U610" s="14">
        <v>1</v>
      </c>
      <c r="V610" s="14" t="s">
        <v>569</v>
      </c>
      <c r="W610" s="14" t="s">
        <v>576</v>
      </c>
      <c r="X610" s="13">
        <v>45516</v>
      </c>
      <c r="Y610" s="13"/>
      <c r="AB610" t="e">
        <v>#N/A</v>
      </c>
      <c r="AC610"/>
      <c r="AE610" t="str">
        <f t="shared" si="83"/>
        <v>E62403</v>
      </c>
      <c r="AF610" t="str">
        <f>_xlfn.XLOOKUP(AE610, Hoja2!A:A, Hoja2!A:A)</f>
        <v>E62403</v>
      </c>
      <c r="AG610" t="str">
        <f t="shared" si="84"/>
        <v>PP00026-43</v>
      </c>
      <c r="AH610">
        <f>_xlfn.XLOOKUP(AG610, Hoja3!A:A, Hoja3!B:B)</f>
        <v>5652</v>
      </c>
      <c r="AI610">
        <f>_xlfn.XLOOKUP(AH610, Hoja4!A:A, Hoja4!B:B)</f>
        <v>69227222</v>
      </c>
      <c r="AJ610" t="b">
        <f t="shared" si="85"/>
        <v>1</v>
      </c>
    </row>
    <row r="611" spans="1:36" ht="15.5" hidden="1" customHeight="1" x14ac:dyDescent="0.35">
      <c r="A611">
        <f t="shared" ca="1" si="82"/>
        <v>56</v>
      </c>
      <c r="B611" s="56" t="s">
        <v>1932</v>
      </c>
      <c r="C611" s="13">
        <v>45462</v>
      </c>
      <c r="D611" s="14" t="s">
        <v>121</v>
      </c>
      <c r="E611" s="14" t="s">
        <v>30</v>
      </c>
      <c r="F611" s="14" t="s">
        <v>646</v>
      </c>
      <c r="G611" s="14" t="s">
        <v>32</v>
      </c>
      <c r="H611" s="14" t="s">
        <v>1933</v>
      </c>
      <c r="I611" s="14"/>
      <c r="J611" s="14" t="str">
        <f>IF(E611="KTG","KTG",(VLOOKUP(I611,'[1]list of outsource'!B:H,2,0)))</f>
        <v>KTG</v>
      </c>
      <c r="K611" s="14"/>
      <c r="L611" s="14"/>
      <c r="M611" s="55" t="s">
        <v>1934</v>
      </c>
      <c r="N611" s="14" t="s">
        <v>1935</v>
      </c>
      <c r="O611" s="14"/>
      <c r="P611" s="14"/>
      <c r="Q611" s="15">
        <v>45483</v>
      </c>
      <c r="R611" s="14"/>
      <c r="S611" s="16"/>
      <c r="T611" s="14"/>
      <c r="U611" s="14">
        <v>4</v>
      </c>
      <c r="V611" s="14" t="s">
        <v>569</v>
      </c>
      <c r="W611" s="14" t="s">
        <v>37</v>
      </c>
      <c r="X611" s="13">
        <v>45518</v>
      </c>
      <c r="Y611" s="13"/>
      <c r="AB611" t="e">
        <v>#N/A</v>
      </c>
      <c r="AC611" t="e">
        <v>#N/A</v>
      </c>
      <c r="AE611" t="str">
        <f t="shared" si="83"/>
        <v>E51215</v>
      </c>
      <c r="AF611" t="e">
        <f>_xlfn.XLOOKUP(AE611, Hoja2!A:A, Hoja2!A:A)</f>
        <v>#N/A</v>
      </c>
    </row>
    <row r="612" spans="1:36" ht="15.5" customHeight="1" x14ac:dyDescent="0.35">
      <c r="A612">
        <f t="shared" ca="1" si="82"/>
        <v>547</v>
      </c>
      <c r="B612" s="6" t="s">
        <v>1936</v>
      </c>
      <c r="C612" s="7">
        <v>45462</v>
      </c>
      <c r="D612" s="6" t="s">
        <v>875</v>
      </c>
      <c r="E612" s="6" t="s">
        <v>139</v>
      </c>
      <c r="F612" s="6" t="s">
        <v>140</v>
      </c>
      <c r="G612" s="6" t="s">
        <v>32</v>
      </c>
      <c r="H612" s="6" t="s">
        <v>1937</v>
      </c>
      <c r="I612" s="6" t="s">
        <v>1938</v>
      </c>
      <c r="J612" s="6" t="str">
        <f>IF(E612="KTG","KTG",(VLOOKUP(I612,'[1]list of outsource'!B:H,2,0)))</f>
        <v>Pass</v>
      </c>
      <c r="K612" s="6" t="s">
        <v>1939</v>
      </c>
      <c r="L612" s="6"/>
      <c r="M612" s="6" t="s">
        <v>1940</v>
      </c>
      <c r="N612" s="6" t="s">
        <v>1941</v>
      </c>
      <c r="O612" s="6"/>
      <c r="P612" s="6"/>
      <c r="Q612" s="8">
        <v>45503</v>
      </c>
      <c r="R612" s="6"/>
      <c r="S612" s="6"/>
      <c r="T612" s="6"/>
      <c r="U612" s="6">
        <v>4</v>
      </c>
      <c r="V612" s="6" t="s">
        <v>879</v>
      </c>
      <c r="W612" s="6" t="s">
        <v>37</v>
      </c>
      <c r="X612" s="7"/>
      <c r="Y612" s="7"/>
      <c r="AB612" t="e">
        <v>#N/A</v>
      </c>
      <c r="AC612" t="e">
        <v>#N/A</v>
      </c>
      <c r="AE612" t="str">
        <f t="shared" si="83"/>
        <v>P000950</v>
      </c>
      <c r="AF612" t="str">
        <f>_xlfn.XLOOKUP(AE612, Hoja2!A:A, Hoja2!A:A)</f>
        <v>P000950</v>
      </c>
      <c r="AG612" t="str">
        <f t="shared" ref="AG612:AG675" si="86">LEFT(B612, FIND(" ", B612 &amp; " ") - 1)</f>
        <v>PP00036-23</v>
      </c>
      <c r="AH612">
        <f>_xlfn.XLOOKUP(AG612, Hoja3!A:A, Hoja3!B:B)</f>
        <v>5194</v>
      </c>
      <c r="AI612" t="str">
        <f>_xlfn.XLOOKUP(AH612, Hoja4!A:A, Hoja4!B:B)</f>
        <v>SLVP3092</v>
      </c>
      <c r="AJ612" t="b">
        <f t="shared" ref="AJ612:AJ675" si="87">H612=AI612</f>
        <v>1</v>
      </c>
    </row>
    <row r="613" spans="1:36" ht="15.5" customHeight="1" x14ac:dyDescent="0.35">
      <c r="A613">
        <f t="shared" ca="1" si="82"/>
        <v>4</v>
      </c>
      <c r="B613" s="6" t="s">
        <v>1919</v>
      </c>
      <c r="C613" s="7">
        <v>45394</v>
      </c>
      <c r="D613" s="6" t="s">
        <v>912</v>
      </c>
      <c r="E613" s="6" t="s">
        <v>83</v>
      </c>
      <c r="F613" s="6" t="s">
        <v>84</v>
      </c>
      <c r="G613" s="6" t="s">
        <v>156</v>
      </c>
      <c r="H613" s="6" t="s">
        <v>437</v>
      </c>
      <c r="I613" s="6" t="s">
        <v>158</v>
      </c>
      <c r="J613" s="6" t="str">
        <f>IF(E613="KTG","KTG",(VLOOKUP(I613,'[1]list of outsource'!B:H,2,0)))</f>
        <v>UPM</v>
      </c>
      <c r="K613" s="6" t="s">
        <v>159</v>
      </c>
      <c r="L613" s="6">
        <v>38</v>
      </c>
      <c r="M613" s="6" t="s">
        <v>438</v>
      </c>
      <c r="N613" s="6" t="s">
        <v>637</v>
      </c>
      <c r="O613" s="6">
        <v>1132173549</v>
      </c>
      <c r="P613" s="6"/>
      <c r="Q613" s="8" t="s">
        <v>575</v>
      </c>
      <c r="R613" s="6"/>
      <c r="S613" s="6"/>
      <c r="T613" s="6"/>
      <c r="U613" s="6">
        <v>1</v>
      </c>
      <c r="V613" s="6" t="s">
        <v>569</v>
      </c>
      <c r="W613" s="6" t="s">
        <v>154</v>
      </c>
      <c r="X613" s="7">
        <v>45398</v>
      </c>
      <c r="Y613" s="7">
        <v>45401</v>
      </c>
      <c r="AB613">
        <v>0</v>
      </c>
      <c r="AC613" t="e">
        <v>#N/A</v>
      </c>
      <c r="AE613" t="str">
        <f t="shared" si="83"/>
        <v>P000052</v>
      </c>
      <c r="AF613" t="str">
        <f>_xlfn.XLOOKUP(AE613, Hoja2!A:A, Hoja2!A:A)</f>
        <v>P000052</v>
      </c>
      <c r="AG613" t="str">
        <f t="shared" si="86"/>
        <v>PP00028-40</v>
      </c>
      <c r="AH613">
        <f>_xlfn.XLOOKUP(AG613, Hoja3!A:A, Hoja3!B:B)</f>
        <v>38</v>
      </c>
      <c r="AI613" t="str">
        <f>_xlfn.XLOOKUP(AH613, Hoja4!A:A, Hoja4!B:B)</f>
        <v>E33300400</v>
      </c>
      <c r="AJ613" t="b">
        <f t="shared" si="87"/>
        <v>1</v>
      </c>
    </row>
    <row r="614" spans="1:36" ht="15.5" customHeight="1" x14ac:dyDescent="0.35">
      <c r="A614">
        <f t="shared" ca="1" si="82"/>
        <v>3</v>
      </c>
      <c r="B614" s="6" t="s">
        <v>1942</v>
      </c>
      <c r="C614" s="7">
        <v>45465</v>
      </c>
      <c r="D614" s="6" t="s">
        <v>912</v>
      </c>
      <c r="E614" s="6" t="s">
        <v>83</v>
      </c>
      <c r="F614" s="6" t="s">
        <v>646</v>
      </c>
      <c r="G614" s="6" t="s">
        <v>32</v>
      </c>
      <c r="H614" s="6" t="s">
        <v>1943</v>
      </c>
      <c r="I614" s="6" t="s">
        <v>158</v>
      </c>
      <c r="J614" s="6" t="str">
        <f>IF(E614="KTG","KTG",(VLOOKUP(I614,'[1]list of outsource'!B:H,2,0)))</f>
        <v>UPM</v>
      </c>
      <c r="K614" s="6" t="s">
        <v>159</v>
      </c>
      <c r="L614" s="6">
        <v>38</v>
      </c>
      <c r="M614" s="6" t="s">
        <v>1944</v>
      </c>
      <c r="N614" s="6" t="s">
        <v>1945</v>
      </c>
      <c r="O614" s="6">
        <v>1331795147</v>
      </c>
      <c r="P614" s="6"/>
      <c r="Q614" s="8"/>
      <c r="R614" s="6"/>
      <c r="S614" s="6"/>
      <c r="T614" s="6"/>
      <c r="U614" s="6">
        <v>4</v>
      </c>
      <c r="V614" s="6" t="s">
        <v>569</v>
      </c>
      <c r="W614" s="6" t="s">
        <v>37</v>
      </c>
      <c r="X614" s="7">
        <v>45468</v>
      </c>
      <c r="Y614" s="7">
        <v>45475</v>
      </c>
      <c r="AB614" t="e">
        <v>#N/A</v>
      </c>
      <c r="AC614" t="e">
        <v>#N/A</v>
      </c>
      <c r="AE614" t="str">
        <f t="shared" si="83"/>
        <v>P000108</v>
      </c>
      <c r="AF614" t="str">
        <f>_xlfn.XLOOKUP(AE614, Hoja2!A:A, Hoja2!A:A)</f>
        <v>P000108</v>
      </c>
      <c r="AG614" t="str">
        <f t="shared" si="86"/>
        <v>PP00030-16</v>
      </c>
      <c r="AH614">
        <f>_xlfn.XLOOKUP(AG614, Hoja3!A:A, Hoja3!B:B)</f>
        <v>4280</v>
      </c>
      <c r="AI614" s="38" t="s">
        <v>1943</v>
      </c>
      <c r="AJ614" t="b">
        <f t="shared" si="87"/>
        <v>1</v>
      </c>
    </row>
    <row r="615" spans="1:36" ht="15.5" customHeight="1" x14ac:dyDescent="0.35">
      <c r="A615">
        <f t="shared" ca="1" si="82"/>
        <v>1</v>
      </c>
      <c r="B615" s="6" t="s">
        <v>1946</v>
      </c>
      <c r="C615" s="7">
        <v>45467</v>
      </c>
      <c r="D615" s="6" t="s">
        <v>1947</v>
      </c>
      <c r="E615" s="6" t="s">
        <v>30</v>
      </c>
      <c r="F615" s="6" t="s">
        <v>1371</v>
      </c>
      <c r="G615" s="6" t="s">
        <v>32</v>
      </c>
      <c r="H615" s="6" t="s">
        <v>1948</v>
      </c>
      <c r="I615" s="6"/>
      <c r="J615" s="6" t="str">
        <f>IF(E615="KTG","KTG",(VLOOKUP(I615,'[1]list of outsource'!B:H,2,0)))</f>
        <v>KTG</v>
      </c>
      <c r="K615" s="6"/>
      <c r="L615" s="6"/>
      <c r="M615" s="6" t="s">
        <v>1949</v>
      </c>
      <c r="N615" s="6" t="s">
        <v>1950</v>
      </c>
      <c r="O615" s="6"/>
      <c r="P615" s="6"/>
      <c r="Q615" s="8"/>
      <c r="R615" s="6"/>
      <c r="S615" s="6"/>
      <c r="T615" s="6"/>
      <c r="U615" s="6">
        <v>1</v>
      </c>
      <c r="V615" s="6" t="s">
        <v>569</v>
      </c>
      <c r="W615" s="6" t="s">
        <v>1608</v>
      </c>
      <c r="X615" s="7">
        <v>45468</v>
      </c>
      <c r="Y615" s="7"/>
      <c r="AB615" t="e">
        <v>#N/A</v>
      </c>
      <c r="AC615" t="s">
        <v>4210</v>
      </c>
      <c r="AE615" t="str">
        <f t="shared" si="83"/>
        <v>E58331</v>
      </c>
      <c r="AF615" t="str">
        <f>_xlfn.XLOOKUP(AE615, Hoja2!A:A, Hoja2!A:A)</f>
        <v>E58331</v>
      </c>
      <c r="AG615" t="str">
        <f t="shared" si="86"/>
        <v>PP00047-11</v>
      </c>
      <c r="AH615">
        <f>_xlfn.XLOOKUP(AG615, Hoja3!A:A, Hoja3!B:B)</f>
        <v>5519</v>
      </c>
      <c r="AI615" t="str">
        <f>_xlfn.XLOOKUP(AH615, Hoja4!A:A, Hoja4!B:B)</f>
        <v>DWT-RO-1-25</v>
      </c>
      <c r="AJ615" t="b">
        <f t="shared" si="87"/>
        <v>1</v>
      </c>
    </row>
    <row r="616" spans="1:36" ht="15.5" customHeight="1" x14ac:dyDescent="0.35">
      <c r="A616">
        <f t="shared" ca="1" si="82"/>
        <v>114</v>
      </c>
      <c r="B616" s="12" t="s">
        <v>1951</v>
      </c>
      <c r="C616" s="13">
        <v>45469</v>
      </c>
      <c r="D616" s="14" t="s">
        <v>121</v>
      </c>
      <c r="E616" s="14" t="s">
        <v>83</v>
      </c>
      <c r="F616" s="14" t="s">
        <v>1952</v>
      </c>
      <c r="G616" s="14" t="s">
        <v>299</v>
      </c>
      <c r="H616" s="14" t="s">
        <v>1953</v>
      </c>
      <c r="I616" s="14" t="s">
        <v>95</v>
      </c>
      <c r="J616" s="14" t="str">
        <f>IF(E616="KTG","KTG",(VLOOKUP(I616,'[1]list of outsource'!B:H,2,0)))</f>
        <v>Woer</v>
      </c>
      <c r="K616" s="14" t="s">
        <v>96</v>
      </c>
      <c r="L616" s="14">
        <v>50</v>
      </c>
      <c r="M616" s="14" t="s">
        <v>248</v>
      </c>
      <c r="N616" s="14" t="s">
        <v>1954</v>
      </c>
      <c r="O616" s="14" t="s">
        <v>1955</v>
      </c>
      <c r="P616" s="14"/>
      <c r="Q616" s="15">
        <v>45470</v>
      </c>
      <c r="R616" s="14"/>
      <c r="S616" s="16"/>
      <c r="T616" s="14"/>
      <c r="U616" s="14">
        <v>4</v>
      </c>
      <c r="V616" s="14" t="s">
        <v>919</v>
      </c>
      <c r="W616" s="14" t="s">
        <v>37</v>
      </c>
      <c r="X616" s="13">
        <v>45583</v>
      </c>
      <c r="Y616" s="13"/>
      <c r="AB616" t="s">
        <v>1252</v>
      </c>
      <c r="AC616" t="e">
        <v>#N/A</v>
      </c>
      <c r="AE616" t="str">
        <f t="shared" si="83"/>
        <v>P000107</v>
      </c>
      <c r="AF616" t="str">
        <f>_xlfn.XLOOKUP(AE616, Hoja2!A:A, Hoja2!A:A)</f>
        <v>P000107</v>
      </c>
      <c r="AG616" t="str">
        <f t="shared" si="86"/>
        <v>PP00060-10</v>
      </c>
      <c r="AH616">
        <f>_xlfn.XLOOKUP(AG616, Hoja3!A:A, Hoja3!B:B)</f>
        <v>4462</v>
      </c>
      <c r="AI616" s="38" t="s">
        <v>1953</v>
      </c>
      <c r="AJ616" t="b">
        <f t="shared" si="87"/>
        <v>1</v>
      </c>
    </row>
    <row r="617" spans="1:36" ht="15.5" customHeight="1" x14ac:dyDescent="0.35">
      <c r="A617">
        <f t="shared" ca="1" si="82"/>
        <v>133</v>
      </c>
      <c r="B617" s="12" t="s">
        <v>1956</v>
      </c>
      <c r="C617" s="13">
        <v>45469</v>
      </c>
      <c r="D617" s="14" t="s">
        <v>121</v>
      </c>
      <c r="E617" s="14" t="s">
        <v>83</v>
      </c>
      <c r="F617" s="14" t="s">
        <v>1952</v>
      </c>
      <c r="G617" s="14" t="s">
        <v>299</v>
      </c>
      <c r="H617" s="14" t="s">
        <v>1957</v>
      </c>
      <c r="I617" s="14" t="s">
        <v>95</v>
      </c>
      <c r="J617" s="14" t="str">
        <f>IF(E617="KTG","KTG",(VLOOKUP(I617,'[1]list of outsource'!B:H,2,0)))</f>
        <v>Woer</v>
      </c>
      <c r="K617" s="14" t="s">
        <v>96</v>
      </c>
      <c r="L617" s="14">
        <v>50</v>
      </c>
      <c r="M617" s="14" t="s">
        <v>648</v>
      </c>
      <c r="N617" s="14" t="s">
        <v>1958</v>
      </c>
      <c r="O617" s="14" t="s">
        <v>1959</v>
      </c>
      <c r="P617" s="14"/>
      <c r="Q617" s="15"/>
      <c r="R617" s="14"/>
      <c r="S617" s="16"/>
      <c r="T617" s="14"/>
      <c r="U617" s="14">
        <v>4</v>
      </c>
      <c r="V617" s="14" t="s">
        <v>919</v>
      </c>
      <c r="W617" s="14" t="s">
        <v>37</v>
      </c>
      <c r="X617" s="13">
        <v>45602</v>
      </c>
      <c r="Y617" s="13"/>
      <c r="AB617" t="e">
        <v>#N/A</v>
      </c>
      <c r="AC617" t="e">
        <v>#N/A</v>
      </c>
      <c r="AE617" t="str">
        <f t="shared" si="83"/>
        <v>P000328</v>
      </c>
      <c r="AF617" t="str">
        <f>_xlfn.XLOOKUP(AE617, Hoja2!A:A, Hoja2!A:A)</f>
        <v>P000328</v>
      </c>
      <c r="AG617" t="str">
        <f t="shared" si="86"/>
        <v>PP00060-11</v>
      </c>
      <c r="AH617">
        <f>_xlfn.XLOOKUP(AG617, Hoja3!A:A, Hoja3!B:B)</f>
        <v>4468</v>
      </c>
      <c r="AI617" s="38" t="s">
        <v>1957</v>
      </c>
      <c r="AJ617" t="b">
        <f t="shared" si="87"/>
        <v>1</v>
      </c>
    </row>
    <row r="618" spans="1:36" ht="15.5" customHeight="1" x14ac:dyDescent="0.35">
      <c r="A618">
        <f t="shared" ca="1" si="82"/>
        <v>133</v>
      </c>
      <c r="B618" s="12" t="s">
        <v>1960</v>
      </c>
      <c r="C618" s="13">
        <v>45469</v>
      </c>
      <c r="D618" s="14" t="s">
        <v>121</v>
      </c>
      <c r="E618" s="14" t="s">
        <v>83</v>
      </c>
      <c r="F618" s="14" t="s">
        <v>1952</v>
      </c>
      <c r="G618" s="14" t="s">
        <v>299</v>
      </c>
      <c r="H618" s="14" t="s">
        <v>1961</v>
      </c>
      <c r="I618" s="14" t="s">
        <v>95</v>
      </c>
      <c r="J618" s="14" t="str">
        <f>IF(E618="KTG","KTG",(VLOOKUP(I618,'[1]list of outsource'!B:H,2,0)))</f>
        <v>Woer</v>
      </c>
      <c r="K618" s="14" t="s">
        <v>96</v>
      </c>
      <c r="L618" s="14">
        <v>50</v>
      </c>
      <c r="M618" s="14" t="s">
        <v>1962</v>
      </c>
      <c r="N618" s="14" t="s">
        <v>1963</v>
      </c>
      <c r="O618" s="14" t="s">
        <v>1964</v>
      </c>
      <c r="P618" s="14"/>
      <c r="Q618" s="15"/>
      <c r="R618" s="14"/>
      <c r="S618" s="16"/>
      <c r="T618" s="14"/>
      <c r="U618" s="14">
        <v>4</v>
      </c>
      <c r="V618" s="14" t="s">
        <v>919</v>
      </c>
      <c r="W618" s="14" t="s">
        <v>37</v>
      </c>
      <c r="X618" s="13">
        <v>45602</v>
      </c>
      <c r="Y618" s="13"/>
      <c r="AB618" t="e">
        <v>#N/A</v>
      </c>
      <c r="AC618" t="s">
        <v>4210</v>
      </c>
      <c r="AE618" t="str">
        <f t="shared" si="83"/>
        <v>P000951</v>
      </c>
      <c r="AF618" t="str">
        <f>_xlfn.XLOOKUP(AE618, Hoja2!A:A, Hoja2!A:A)</f>
        <v>P000951</v>
      </c>
      <c r="AG618" t="str">
        <f t="shared" si="86"/>
        <v>PP00060-12</v>
      </c>
      <c r="AH618">
        <f>_xlfn.XLOOKUP(AG618, Hoja3!A:A, Hoja3!B:B)</f>
        <v>4471</v>
      </c>
      <c r="AI618" s="38" t="s">
        <v>1961</v>
      </c>
      <c r="AJ618" t="b">
        <f t="shared" si="87"/>
        <v>1</v>
      </c>
    </row>
    <row r="619" spans="1:36" ht="15.5" customHeight="1" x14ac:dyDescent="0.35">
      <c r="A619">
        <f t="shared" ca="1" si="82"/>
        <v>147</v>
      </c>
      <c r="B619" s="12" t="s">
        <v>1965</v>
      </c>
      <c r="C619" s="13">
        <v>45469</v>
      </c>
      <c r="D619" s="14" t="s">
        <v>121</v>
      </c>
      <c r="E619" s="14" t="s">
        <v>83</v>
      </c>
      <c r="F619" s="14" t="s">
        <v>1952</v>
      </c>
      <c r="G619" s="14" t="s">
        <v>299</v>
      </c>
      <c r="H619" s="14" t="s">
        <v>1966</v>
      </c>
      <c r="I619" s="14" t="s">
        <v>95</v>
      </c>
      <c r="J619" s="14" t="str">
        <f>IF(E619="KTG","KTG",(VLOOKUP(I619,'[1]list of outsource'!B:H,2,0)))</f>
        <v>Woer</v>
      </c>
      <c r="K619" s="14" t="s">
        <v>96</v>
      </c>
      <c r="L619" s="14">
        <v>50</v>
      </c>
      <c r="M619" s="14" t="s">
        <v>412</v>
      </c>
      <c r="N619" s="14" t="s">
        <v>1967</v>
      </c>
      <c r="O619" s="14" t="s">
        <v>1968</v>
      </c>
      <c r="P619" s="14"/>
      <c r="Q619" s="15"/>
      <c r="R619" s="14"/>
      <c r="S619" s="16"/>
      <c r="T619" s="14"/>
      <c r="U619" s="14">
        <v>4</v>
      </c>
      <c r="V619" s="14" t="s">
        <v>919</v>
      </c>
      <c r="W619" s="14" t="s">
        <v>37</v>
      </c>
      <c r="X619" s="13">
        <v>45616</v>
      </c>
      <c r="Y619" s="13"/>
      <c r="AB619" t="e">
        <v>#N/A</v>
      </c>
      <c r="AC619" t="e">
        <v>#N/A</v>
      </c>
      <c r="AE619" t="str">
        <f t="shared" si="83"/>
        <v>P000180</v>
      </c>
      <c r="AF619" t="str">
        <f>_xlfn.XLOOKUP(AE619, Hoja2!A:A, Hoja2!A:A)</f>
        <v>P000180</v>
      </c>
      <c r="AG619" t="str">
        <f t="shared" si="86"/>
        <v>PP00060-13</v>
      </c>
      <c r="AH619">
        <f>_xlfn.XLOOKUP(AG619, Hoja3!A:A, Hoja3!B:B)</f>
        <v>4463</v>
      </c>
      <c r="AI619" s="38" t="s">
        <v>1966</v>
      </c>
      <c r="AJ619" t="b">
        <f t="shared" si="87"/>
        <v>1</v>
      </c>
    </row>
    <row r="620" spans="1:36" ht="15.5" customHeight="1" x14ac:dyDescent="0.35">
      <c r="A620">
        <f t="shared" ca="1" si="82"/>
        <v>540</v>
      </c>
      <c r="B620" s="6" t="s">
        <v>1969</v>
      </c>
      <c r="C620" s="7">
        <v>45469</v>
      </c>
      <c r="D620" s="6" t="s">
        <v>875</v>
      </c>
      <c r="E620" s="6" t="s">
        <v>139</v>
      </c>
      <c r="F620" s="6" t="s">
        <v>1952</v>
      </c>
      <c r="G620" s="6" t="s">
        <v>299</v>
      </c>
      <c r="H620" s="6" t="s">
        <v>1970</v>
      </c>
      <c r="I620" s="6" t="s">
        <v>402</v>
      </c>
      <c r="J620" s="6" t="str">
        <f>IF(E620="KTG","KTG",(VLOOKUP(I620,'[1]list of outsource'!B:H,2,0)))</f>
        <v>ETC</v>
      </c>
      <c r="K620" s="6" t="s">
        <v>403</v>
      </c>
      <c r="L620" s="6"/>
      <c r="M620" s="6" t="s">
        <v>1709</v>
      </c>
      <c r="N620" s="6" t="s">
        <v>1710</v>
      </c>
      <c r="O620" s="6"/>
      <c r="P620" s="6"/>
      <c r="Q620" s="8">
        <v>45443</v>
      </c>
      <c r="R620" s="6"/>
      <c r="S620" s="6"/>
      <c r="T620" s="6"/>
      <c r="U620" s="6">
        <v>4</v>
      </c>
      <c r="V620" s="6" t="s">
        <v>879</v>
      </c>
      <c r="W620" s="6" t="s">
        <v>37</v>
      </c>
      <c r="X620" s="7"/>
      <c r="Y620" s="7"/>
      <c r="AB620" t="s">
        <v>1712</v>
      </c>
      <c r="AC620" t="e">
        <v>#N/A</v>
      </c>
      <c r="AE620" t="str">
        <f t="shared" si="83"/>
        <v>P000337</v>
      </c>
      <c r="AF620" t="str">
        <f>_xlfn.XLOOKUP(AE620, Hoja2!A:A, Hoja2!A:A)</f>
        <v>P000337</v>
      </c>
      <c r="AG620" t="str">
        <f t="shared" si="86"/>
        <v>PP00060-01</v>
      </c>
      <c r="AH620">
        <f>_xlfn.XLOOKUP(AG620, Hoja3!A:A, Hoja3!B:B)</f>
        <v>5107</v>
      </c>
      <c r="AI620" t="str">
        <f>_xlfn.XLOOKUP(AH620, Hoja4!A:A, Hoja4!B:B)</f>
        <v>ESLU5T-1A263-AA (CCC41A) DIA 5.72mm L:50mm B</v>
      </c>
      <c r="AJ620" t="b">
        <f t="shared" si="87"/>
        <v>1</v>
      </c>
    </row>
    <row r="621" spans="1:36" ht="15.5" customHeight="1" x14ac:dyDescent="0.35">
      <c r="A621">
        <f t="shared" ca="1" si="82"/>
        <v>540</v>
      </c>
      <c r="B621" s="6" t="s">
        <v>1971</v>
      </c>
      <c r="C621" s="7">
        <v>45469</v>
      </c>
      <c r="D621" s="6" t="s">
        <v>875</v>
      </c>
      <c r="E621" s="6" t="s">
        <v>139</v>
      </c>
      <c r="F621" s="6" t="s">
        <v>1952</v>
      </c>
      <c r="G621" s="6" t="s">
        <v>299</v>
      </c>
      <c r="H621" s="6" t="s">
        <v>4613</v>
      </c>
      <c r="I621" s="6" t="s">
        <v>402</v>
      </c>
      <c r="J621" s="6" t="str">
        <f>IF(E621="KTG","KTG",(VLOOKUP(I621,'[1]list of outsource'!B:H,2,0)))</f>
        <v>ETC</v>
      </c>
      <c r="K621" s="6" t="s">
        <v>403</v>
      </c>
      <c r="L621" s="6"/>
      <c r="M621" s="6" t="s">
        <v>1719</v>
      </c>
      <c r="N621" s="6" t="s">
        <v>1720</v>
      </c>
      <c r="O621" s="6"/>
      <c r="P621" s="6"/>
      <c r="Q621" s="8">
        <v>45443</v>
      </c>
      <c r="R621" s="6"/>
      <c r="S621" s="6"/>
      <c r="T621" s="6"/>
      <c r="U621" s="6">
        <v>4</v>
      </c>
      <c r="V621" s="6" t="s">
        <v>879</v>
      </c>
      <c r="W621" s="6" t="s">
        <v>37</v>
      </c>
      <c r="X621" s="7"/>
      <c r="Y621" s="7"/>
      <c r="AB621" t="e">
        <v>#N/A</v>
      </c>
      <c r="AC621" t="e">
        <v>#N/A</v>
      </c>
      <c r="AE621" t="str">
        <f t="shared" si="83"/>
        <v>P000342</v>
      </c>
      <c r="AF621" t="str">
        <f>_xlfn.XLOOKUP(AE621, Hoja2!A:A, Hoja2!A:A)</f>
        <v>P000342</v>
      </c>
      <c r="AG621" t="str">
        <f t="shared" si="86"/>
        <v>PP00060-02</v>
      </c>
      <c r="AH621">
        <f>_xlfn.XLOOKUP(AG621, Hoja3!A:A, Hoja3!B:B)</f>
        <v>5108</v>
      </c>
      <c r="AI621" t="str">
        <f>_xlfn.XLOOKUP(AH621, Hoja4!A:A, Hoja4!B:B)</f>
        <v>ESLU5T-1A263-AA (CCC41A) DIA 7.44mm L:50mm B</v>
      </c>
      <c r="AJ621" t="b">
        <f t="shared" si="87"/>
        <v>1</v>
      </c>
    </row>
    <row r="622" spans="1:36" ht="15.5" customHeight="1" x14ac:dyDescent="0.35">
      <c r="A622">
        <f t="shared" ca="1" si="82"/>
        <v>540</v>
      </c>
      <c r="B622" s="6" t="s">
        <v>1972</v>
      </c>
      <c r="C622" s="7">
        <v>45469</v>
      </c>
      <c r="D622" s="6" t="s">
        <v>875</v>
      </c>
      <c r="E622" s="6" t="s">
        <v>139</v>
      </c>
      <c r="F622" s="6" t="s">
        <v>1952</v>
      </c>
      <c r="G622" s="6" t="s">
        <v>299</v>
      </c>
      <c r="H622" s="6" t="s">
        <v>4614</v>
      </c>
      <c r="I622" s="6" t="s">
        <v>402</v>
      </c>
      <c r="J622" s="6" t="str">
        <f>IF(E622="KTG","KTG",(VLOOKUP(I622,'[1]list of outsource'!B:H,2,0)))</f>
        <v>ETC</v>
      </c>
      <c r="K622" s="6" t="s">
        <v>403</v>
      </c>
      <c r="L622" s="6"/>
      <c r="M622" s="6" t="s">
        <v>1244</v>
      </c>
      <c r="N622" s="6" t="s">
        <v>1504</v>
      </c>
      <c r="O622" s="6"/>
      <c r="P622" s="6"/>
      <c r="Q622" s="8">
        <v>45225</v>
      </c>
      <c r="R622" s="6"/>
      <c r="S622" s="6"/>
      <c r="T622" s="6"/>
      <c r="U622" s="6">
        <v>4</v>
      </c>
      <c r="V622" s="6" t="s">
        <v>879</v>
      </c>
      <c r="W622" s="6" t="s">
        <v>37</v>
      </c>
      <c r="X622" s="7"/>
      <c r="Y622" s="7"/>
      <c r="AB622" t="e">
        <v>#N/A</v>
      </c>
      <c r="AC622" t="s">
        <v>4210</v>
      </c>
      <c r="AE622" t="str">
        <f t="shared" si="83"/>
        <v>P000339</v>
      </c>
      <c r="AF622" t="str">
        <f>_xlfn.XLOOKUP(AE622, Hoja2!A:A, Hoja2!A:A)</f>
        <v>P000339</v>
      </c>
      <c r="AG622" t="str">
        <f t="shared" si="86"/>
        <v>PP00060-03</v>
      </c>
      <c r="AH622">
        <f>_xlfn.XLOOKUP(AG622, Hoja3!A:A, Hoja3!B:B)</f>
        <v>5109</v>
      </c>
      <c r="AI622" t="str">
        <f>_xlfn.XLOOKUP(AH622, Hoja4!A:A, Hoja4!B:B)</f>
        <v>ESLU5T-1A263-AA (CCC41A) DIA 10.85mm L:50mm B</v>
      </c>
      <c r="AJ622" t="b">
        <f t="shared" si="87"/>
        <v>1</v>
      </c>
    </row>
    <row r="623" spans="1:36" ht="15.5" customHeight="1" x14ac:dyDescent="0.35">
      <c r="A623">
        <f t="shared" ca="1" si="82"/>
        <v>540</v>
      </c>
      <c r="B623" s="6" t="s">
        <v>1973</v>
      </c>
      <c r="C623" s="7">
        <v>45469</v>
      </c>
      <c r="D623" s="6" t="s">
        <v>875</v>
      </c>
      <c r="E623" s="6" t="s">
        <v>139</v>
      </c>
      <c r="F623" s="6" t="s">
        <v>1952</v>
      </c>
      <c r="G623" s="6" t="s">
        <v>299</v>
      </c>
      <c r="H623" s="6" t="s">
        <v>4615</v>
      </c>
      <c r="I623" s="6" t="s">
        <v>402</v>
      </c>
      <c r="J623" s="6" t="str">
        <f>IF(E623="KTG","KTG",(VLOOKUP(I623,'[1]list of outsource'!B:H,2,0)))</f>
        <v>ETC</v>
      </c>
      <c r="K623" s="6" t="s">
        <v>403</v>
      </c>
      <c r="L623" s="6"/>
      <c r="M623" s="6" t="s">
        <v>1755</v>
      </c>
      <c r="N623" s="6" t="s">
        <v>1756</v>
      </c>
      <c r="O623" s="6"/>
      <c r="P623" s="6"/>
      <c r="Q623" s="8">
        <v>45449</v>
      </c>
      <c r="R623" s="6"/>
      <c r="S623" s="6"/>
      <c r="T623" s="6"/>
      <c r="U623" s="6">
        <v>4</v>
      </c>
      <c r="V623" s="6" t="s">
        <v>879</v>
      </c>
      <c r="W623" s="6" t="s">
        <v>37</v>
      </c>
      <c r="X623" s="7"/>
      <c r="Y623" s="7"/>
      <c r="AB623">
        <v>0</v>
      </c>
      <c r="AC623" t="e">
        <v>#N/A</v>
      </c>
      <c r="AE623" t="str">
        <f t="shared" si="83"/>
        <v>P000415</v>
      </c>
      <c r="AF623" t="str">
        <f>_xlfn.XLOOKUP(AE623, Hoja2!A:A, Hoja2!A:A)</f>
        <v>P000415</v>
      </c>
      <c r="AG623" t="str">
        <f t="shared" si="86"/>
        <v>PP00060-04</v>
      </c>
      <c r="AH623">
        <f>_xlfn.XLOOKUP(AG623, Hoja3!A:A, Hoja3!B:B)</f>
        <v>5110</v>
      </c>
      <c r="AI623" t="str">
        <f>_xlfn.XLOOKUP(AH623, Hoja4!A:A, Hoja4!B:B)</f>
        <v>ESLU5T-1A263-AA (CCC41A) DIA 17.78mm L:50mm B</v>
      </c>
      <c r="AJ623" t="b">
        <f t="shared" si="87"/>
        <v>1</v>
      </c>
    </row>
    <row r="624" spans="1:36" ht="15.5" customHeight="1" x14ac:dyDescent="0.35">
      <c r="A624">
        <f t="shared" ca="1" si="82"/>
        <v>540</v>
      </c>
      <c r="B624" s="6" t="s">
        <v>1974</v>
      </c>
      <c r="C624" s="7">
        <v>45469</v>
      </c>
      <c r="D624" s="6" t="s">
        <v>875</v>
      </c>
      <c r="E624" s="6" t="s">
        <v>139</v>
      </c>
      <c r="F624" s="6" t="s">
        <v>1952</v>
      </c>
      <c r="G624" s="6" t="s">
        <v>299</v>
      </c>
      <c r="H624" s="6" t="s">
        <v>4616</v>
      </c>
      <c r="I624" s="6" t="s">
        <v>402</v>
      </c>
      <c r="J624" s="6" t="str">
        <f>IF(E624="KTG","KTG",(VLOOKUP(I624,'[1]list of outsource'!B:H,2,0)))</f>
        <v>ETC</v>
      </c>
      <c r="K624" s="6" t="s">
        <v>403</v>
      </c>
      <c r="L624" s="6"/>
      <c r="M624" s="6" t="s">
        <v>1975</v>
      </c>
      <c r="N624" s="6" t="s">
        <v>1976</v>
      </c>
      <c r="O624" s="6"/>
      <c r="P624" s="6"/>
      <c r="Q624" s="8">
        <v>45491</v>
      </c>
      <c r="R624" s="6"/>
      <c r="S624" s="6"/>
      <c r="T624" s="6"/>
      <c r="U624" s="6">
        <v>4</v>
      </c>
      <c r="V624" s="6" t="s">
        <v>879</v>
      </c>
      <c r="W624" s="6" t="s">
        <v>37</v>
      </c>
      <c r="X624" s="7"/>
      <c r="Y624" s="7"/>
      <c r="AB624" t="e">
        <v>#N/A</v>
      </c>
      <c r="AC624" t="e">
        <v>#N/A</v>
      </c>
      <c r="AE624" t="str">
        <f t="shared" si="83"/>
        <v>P000336</v>
      </c>
      <c r="AF624" t="str">
        <f>_xlfn.XLOOKUP(AE624, Hoja2!A:A, Hoja2!A:A)</f>
        <v>P000336</v>
      </c>
      <c r="AG624" t="str">
        <f t="shared" si="86"/>
        <v>PP00060-05</v>
      </c>
      <c r="AH624">
        <f>_xlfn.XLOOKUP(AG624, Hoja3!A:A, Hoja3!B:B)</f>
        <v>5111</v>
      </c>
      <c r="AI624" t="str">
        <f>_xlfn.XLOOKUP(AH624, Hoja4!A:A, Hoja4!B:B)</f>
        <v>ESLU5T-1A263-AA (ACC41A) DIA 5.72mm L:30mm B</v>
      </c>
      <c r="AJ624" t="b">
        <f t="shared" si="87"/>
        <v>1</v>
      </c>
    </row>
    <row r="625" spans="1:36" ht="15.5" customHeight="1" x14ac:dyDescent="0.35">
      <c r="A625">
        <f t="shared" ca="1" si="82"/>
        <v>540</v>
      </c>
      <c r="B625" s="6" t="s">
        <v>1977</v>
      </c>
      <c r="C625" s="7">
        <v>45469</v>
      </c>
      <c r="D625" s="6" t="s">
        <v>875</v>
      </c>
      <c r="E625" s="6" t="s">
        <v>139</v>
      </c>
      <c r="F625" s="6" t="s">
        <v>1952</v>
      </c>
      <c r="G625" s="6" t="s">
        <v>299</v>
      </c>
      <c r="H625" s="6" t="s">
        <v>4617</v>
      </c>
      <c r="I625" s="6" t="s">
        <v>402</v>
      </c>
      <c r="J625" s="6" t="str">
        <f>IF(E625="KTG","KTG",(VLOOKUP(I625,'[1]list of outsource'!B:H,2,0)))</f>
        <v>ETC</v>
      </c>
      <c r="K625" s="6" t="s">
        <v>403</v>
      </c>
      <c r="L625" s="6"/>
      <c r="M625" s="6" t="s">
        <v>1613</v>
      </c>
      <c r="N625" s="6" t="s">
        <v>1614</v>
      </c>
      <c r="O625" s="6"/>
      <c r="P625" s="6"/>
      <c r="Q625" s="8">
        <v>45373</v>
      </c>
      <c r="R625" s="6"/>
      <c r="S625" s="6"/>
      <c r="T625" s="6"/>
      <c r="U625" s="6">
        <v>4</v>
      </c>
      <c r="V625" s="6" t="s">
        <v>879</v>
      </c>
      <c r="W625" s="6" t="s">
        <v>37</v>
      </c>
      <c r="X625" s="7"/>
      <c r="Y625" s="7"/>
      <c r="AB625" t="e">
        <v>#N/A</v>
      </c>
      <c r="AC625" t="s">
        <v>4210</v>
      </c>
      <c r="AE625" t="str">
        <f t="shared" si="83"/>
        <v>P000341</v>
      </c>
      <c r="AF625" t="str">
        <f>_xlfn.XLOOKUP(AE625, Hoja2!A:A, Hoja2!A:A)</f>
        <v>P000341</v>
      </c>
      <c r="AG625" t="str">
        <f t="shared" si="86"/>
        <v>PP00060-06</v>
      </c>
      <c r="AH625">
        <f>_xlfn.XLOOKUP(AG625, Hoja3!A:A, Hoja3!B:B)</f>
        <v>5112</v>
      </c>
      <c r="AI625" t="str">
        <f>_xlfn.XLOOKUP(AH625, Hoja4!A:A, Hoja4!B:B)</f>
        <v>ESLU5T-1A263-AA (ACC41A) DIA 7.44mm L:30mm B</v>
      </c>
      <c r="AJ625" t="b">
        <f t="shared" si="87"/>
        <v>1</v>
      </c>
    </row>
    <row r="626" spans="1:36" ht="15.5" customHeight="1" x14ac:dyDescent="0.35">
      <c r="A626">
        <f t="shared" ca="1" si="82"/>
        <v>540</v>
      </c>
      <c r="B626" s="6" t="s">
        <v>1978</v>
      </c>
      <c r="C626" s="7">
        <v>45469</v>
      </c>
      <c r="D626" s="6" t="s">
        <v>875</v>
      </c>
      <c r="E626" s="6" t="s">
        <v>139</v>
      </c>
      <c r="F626" s="6" t="s">
        <v>1952</v>
      </c>
      <c r="G626" s="6" t="s">
        <v>299</v>
      </c>
      <c r="H626" s="6" t="s">
        <v>4618</v>
      </c>
      <c r="I626" s="6" t="s">
        <v>402</v>
      </c>
      <c r="J626" s="6" t="str">
        <f>IF(E626="KTG","KTG",(VLOOKUP(I626,'[1]list of outsource'!B:H,2,0)))</f>
        <v>ETC</v>
      </c>
      <c r="K626" s="6" t="s">
        <v>403</v>
      </c>
      <c r="L626" s="6"/>
      <c r="M626" s="6" t="s">
        <v>1979</v>
      </c>
      <c r="N626" s="6" t="s">
        <v>1980</v>
      </c>
      <c r="O626" s="6"/>
      <c r="P626" s="6"/>
      <c r="Q626" s="8">
        <v>45491</v>
      </c>
      <c r="R626" s="6"/>
      <c r="S626" s="6"/>
      <c r="T626" s="6"/>
      <c r="U626" s="6">
        <v>4</v>
      </c>
      <c r="V626" s="6" t="s">
        <v>879</v>
      </c>
      <c r="W626" s="6" t="s">
        <v>37</v>
      </c>
      <c r="X626" s="7"/>
      <c r="Y626" s="7"/>
      <c r="AB626" t="e">
        <v>#N/A</v>
      </c>
      <c r="AC626" t="e">
        <v>#N/A</v>
      </c>
      <c r="AE626" t="str">
        <f t="shared" si="83"/>
        <v>P000360</v>
      </c>
      <c r="AF626" t="str">
        <f>_xlfn.XLOOKUP(AE626, Hoja2!A:A, Hoja2!A:A)</f>
        <v>P000360</v>
      </c>
      <c r="AG626" t="str">
        <f t="shared" si="86"/>
        <v>PP00060-07</v>
      </c>
      <c r="AH626">
        <f>_xlfn.XLOOKUP(AG626, Hoja3!A:A, Hoja3!B:B)</f>
        <v>5113</v>
      </c>
      <c r="AI626" t="str">
        <f>_xlfn.XLOOKUP(AH626, Hoja4!A:A, Hoja4!B:B)</f>
        <v>ESLU5T-1A263-AA (ACC41A) DIA 10.85mm L:30mm B</v>
      </c>
      <c r="AJ626" t="b">
        <f t="shared" si="87"/>
        <v>1</v>
      </c>
    </row>
    <row r="627" spans="1:36" ht="15.5" customHeight="1" x14ac:dyDescent="0.35">
      <c r="A627">
        <f t="shared" ca="1" si="82"/>
        <v>540</v>
      </c>
      <c r="B627" s="6" t="s">
        <v>1981</v>
      </c>
      <c r="C627" s="7">
        <v>45469</v>
      </c>
      <c r="D627" s="6" t="s">
        <v>875</v>
      </c>
      <c r="E627" s="6" t="s">
        <v>139</v>
      </c>
      <c r="F627" s="6" t="s">
        <v>1952</v>
      </c>
      <c r="G627" s="6" t="s">
        <v>299</v>
      </c>
      <c r="H627" s="6" t="s">
        <v>4619</v>
      </c>
      <c r="I627" s="6" t="s">
        <v>402</v>
      </c>
      <c r="J627" s="6" t="str">
        <f>IF(E627="KTG","KTG",(VLOOKUP(I627,'[1]list of outsource'!B:H,2,0)))</f>
        <v>ETC</v>
      </c>
      <c r="K627" s="6" t="s">
        <v>403</v>
      </c>
      <c r="L627" s="6"/>
      <c r="M627" s="6" t="s">
        <v>1982</v>
      </c>
      <c r="N627" s="6" t="s">
        <v>1983</v>
      </c>
      <c r="O627" s="6"/>
      <c r="P627" s="6"/>
      <c r="Q627" s="8">
        <v>45491</v>
      </c>
      <c r="R627" s="6"/>
      <c r="S627" s="6"/>
      <c r="T627" s="6"/>
      <c r="U627" s="6">
        <v>4</v>
      </c>
      <c r="V627" s="6" t="s">
        <v>879</v>
      </c>
      <c r="W627" s="6" t="s">
        <v>37</v>
      </c>
      <c r="X627" s="7"/>
      <c r="Y627" s="7"/>
      <c r="AB627" t="e">
        <v>#N/A</v>
      </c>
      <c r="AC627" t="e">
        <v>#N/A</v>
      </c>
      <c r="AE627" t="str">
        <f t="shared" si="83"/>
        <v>P000358</v>
      </c>
      <c r="AF627" t="str">
        <f>_xlfn.XLOOKUP(AE627, Hoja2!A:A, Hoja2!A:A)</f>
        <v>P000358</v>
      </c>
      <c r="AG627" t="str">
        <f t="shared" si="86"/>
        <v>PP00060-08</v>
      </c>
      <c r="AH627">
        <f>_xlfn.XLOOKUP(AG627, Hoja3!A:A, Hoja3!B:B)</f>
        <v>5114</v>
      </c>
      <c r="AI627" t="str">
        <f>_xlfn.XLOOKUP(AH627, Hoja4!A:A, Hoja4!B:B)</f>
        <v>ESLU5T-1A263-AA (ACC41A) DIA 17.78mm L:30mm B</v>
      </c>
      <c r="AJ627" t="b">
        <f t="shared" si="87"/>
        <v>1</v>
      </c>
    </row>
    <row r="628" spans="1:36" ht="15.5" customHeight="1" x14ac:dyDescent="0.35">
      <c r="A628">
        <f t="shared" ca="1" si="82"/>
        <v>540</v>
      </c>
      <c r="B628" s="6" t="s">
        <v>1984</v>
      </c>
      <c r="C628" s="7">
        <v>45469</v>
      </c>
      <c r="D628" s="6" t="s">
        <v>875</v>
      </c>
      <c r="E628" s="6" t="s">
        <v>139</v>
      </c>
      <c r="F628" s="6" t="s">
        <v>1952</v>
      </c>
      <c r="G628" s="6" t="s">
        <v>299</v>
      </c>
      <c r="H628" s="6" t="s">
        <v>4620</v>
      </c>
      <c r="I628" s="6" t="s">
        <v>529</v>
      </c>
      <c r="J628" s="6" t="str">
        <f>IF(E628="KTG","KTG",(VLOOKUP(I628,'[1]list of outsource'!B:H,2,0)))</f>
        <v>ETC</v>
      </c>
      <c r="K628" s="6" t="s">
        <v>530</v>
      </c>
      <c r="L628" s="6"/>
      <c r="M628" s="6" t="s">
        <v>1200</v>
      </c>
      <c r="N628" s="6" t="s">
        <v>1778</v>
      </c>
      <c r="O628" s="6"/>
      <c r="P628" s="6"/>
      <c r="Q628" s="8">
        <v>45193</v>
      </c>
      <c r="R628" s="6"/>
      <c r="S628" s="6"/>
      <c r="T628" s="6"/>
      <c r="U628" s="6">
        <v>4</v>
      </c>
      <c r="V628" s="6" t="s">
        <v>879</v>
      </c>
      <c r="W628" s="6" t="s">
        <v>37</v>
      </c>
      <c r="X628" s="7"/>
      <c r="Y628" s="7"/>
      <c r="AB628" t="e">
        <v>#N/A</v>
      </c>
      <c r="AC628" t="e">
        <v>#N/A</v>
      </c>
      <c r="AE628" t="str">
        <f t="shared" si="83"/>
        <v>P000365</v>
      </c>
      <c r="AF628" t="str">
        <f>_xlfn.XLOOKUP(AE628, Hoja2!A:A, Hoja2!A:A)</f>
        <v>P000365</v>
      </c>
      <c r="AG628" t="str">
        <f t="shared" si="86"/>
        <v>PP00060-09</v>
      </c>
      <c r="AH628">
        <f>_xlfn.XLOOKUP(AG628, Hoja3!A:A, Hoja3!B:B)</f>
        <v>5115</v>
      </c>
      <c r="AI628" t="str">
        <f>_xlfn.XLOOKUP(AH628, Hoja4!A:A, Hoja4!B:B)</f>
        <v>ESLU5T-1A263-AA (CCC41B) DIA 5.72mm L:50mm B</v>
      </c>
      <c r="AJ628" t="b">
        <f t="shared" si="87"/>
        <v>1</v>
      </c>
    </row>
    <row r="629" spans="1:36" ht="15.5" customHeight="1" x14ac:dyDescent="0.35">
      <c r="A629">
        <f t="shared" ca="1" si="82"/>
        <v>22</v>
      </c>
      <c r="B629" s="6" t="s">
        <v>1919</v>
      </c>
      <c r="C629" s="7">
        <v>45735</v>
      </c>
      <c r="D629" s="6" t="s">
        <v>564</v>
      </c>
      <c r="E629" s="6" t="s">
        <v>83</v>
      </c>
      <c r="F629" s="6" t="s">
        <v>84</v>
      </c>
      <c r="G629" s="6" t="s">
        <v>156</v>
      </c>
      <c r="H629" s="6" t="s">
        <v>437</v>
      </c>
      <c r="I629" s="6" t="s">
        <v>158</v>
      </c>
      <c r="J629" s="6" t="str">
        <f>IF(E629="KTG","KTG",(VLOOKUP(I629,'[1]list of outsource'!B:H,2,0)))</f>
        <v>UPM</v>
      </c>
      <c r="K629" s="6" t="s">
        <v>159</v>
      </c>
      <c r="L629" s="6">
        <v>45</v>
      </c>
      <c r="M629" s="6" t="s">
        <v>438</v>
      </c>
      <c r="N629" s="6" t="s">
        <v>637</v>
      </c>
      <c r="O629" s="6" t="s">
        <v>1985</v>
      </c>
      <c r="P629" s="6"/>
      <c r="Q629" s="8"/>
      <c r="R629" s="6"/>
      <c r="S629" s="6"/>
      <c r="T629" s="6"/>
      <c r="U629" s="6">
        <v>1</v>
      </c>
      <c r="V629" s="6" t="s">
        <v>569</v>
      </c>
      <c r="W629" s="6" t="s">
        <v>154</v>
      </c>
      <c r="X629" s="7">
        <v>45757</v>
      </c>
      <c r="Y629" s="7">
        <v>45786</v>
      </c>
      <c r="AB629">
        <v>0</v>
      </c>
      <c r="AC629" t="e">
        <v>#N/A</v>
      </c>
      <c r="AE629" t="str">
        <f t="shared" si="83"/>
        <v>P000052</v>
      </c>
      <c r="AF629" t="str">
        <f>_xlfn.XLOOKUP(AE629, Hoja2!A:A, Hoja2!A:A)</f>
        <v>P000052</v>
      </c>
      <c r="AG629" t="str">
        <f t="shared" si="86"/>
        <v>PP00028-40</v>
      </c>
      <c r="AH629">
        <f>_xlfn.XLOOKUP(AG629, Hoja3!A:A, Hoja3!B:B)</f>
        <v>38</v>
      </c>
      <c r="AI629" t="str">
        <f>_xlfn.XLOOKUP(AH629, Hoja4!A:A, Hoja4!B:B)</f>
        <v>E33300400</v>
      </c>
      <c r="AJ629" t="b">
        <f t="shared" si="87"/>
        <v>1</v>
      </c>
    </row>
    <row r="630" spans="1:36" ht="15.5" customHeight="1" x14ac:dyDescent="0.35">
      <c r="A630">
        <f t="shared" ca="1" si="82"/>
        <v>7</v>
      </c>
      <c r="B630" s="6" t="s">
        <v>1986</v>
      </c>
      <c r="C630" s="7">
        <v>45440</v>
      </c>
      <c r="D630" s="6" t="s">
        <v>912</v>
      </c>
      <c r="E630" s="6" t="s">
        <v>139</v>
      </c>
      <c r="F630" s="6" t="s">
        <v>658</v>
      </c>
      <c r="G630" s="6" t="s">
        <v>32</v>
      </c>
      <c r="H630" s="6" t="s">
        <v>1987</v>
      </c>
      <c r="I630" s="6" t="s">
        <v>208</v>
      </c>
      <c r="J630" s="6" t="str">
        <f>IF(E630="KTG","KTG",(VLOOKUP(I630,'[1]list of outsource'!B:H,2,0)))</f>
        <v>ETC</v>
      </c>
      <c r="K630" s="6" t="s">
        <v>209</v>
      </c>
      <c r="L630" s="6">
        <v>21</v>
      </c>
      <c r="M630" s="6" t="s">
        <v>1988</v>
      </c>
      <c r="N630" s="6" t="s">
        <v>1989</v>
      </c>
      <c r="O630" s="6">
        <v>1329810757</v>
      </c>
      <c r="P630" s="6"/>
      <c r="Q630" s="8">
        <v>45446</v>
      </c>
      <c r="R630" s="6"/>
      <c r="S630" s="6"/>
      <c r="T630" s="6"/>
      <c r="U630" s="6">
        <v>4</v>
      </c>
      <c r="V630" s="6" t="s">
        <v>665</v>
      </c>
      <c r="W630" s="6" t="s">
        <v>37</v>
      </c>
      <c r="X630" s="7">
        <v>45447</v>
      </c>
      <c r="Y630" s="7">
        <v>45449</v>
      </c>
      <c r="AB630" t="e">
        <v>#N/A</v>
      </c>
      <c r="AC630" t="e">
        <v>#N/A</v>
      </c>
      <c r="AE630" t="str">
        <f t="shared" si="83"/>
        <v>P000572</v>
      </c>
      <c r="AF630" t="str">
        <f>_xlfn.XLOOKUP(AE630, Hoja2!A:A, Hoja2!A:A)</f>
        <v>P000572</v>
      </c>
      <c r="AG630" t="str">
        <f t="shared" si="86"/>
        <v>PP00034-31</v>
      </c>
      <c r="AH630">
        <f>_xlfn.XLOOKUP(AG630, Hoja3!A:A, Hoja3!B:B)</f>
        <v>4805</v>
      </c>
      <c r="AI630" t="str">
        <f>_xlfn.XLOOKUP(AH630, Hoja4!A:A, Hoja4!B:B)</f>
        <v>EXP02150</v>
      </c>
      <c r="AJ630" t="b">
        <f t="shared" si="87"/>
        <v>1</v>
      </c>
    </row>
    <row r="631" spans="1:36" ht="15.5" customHeight="1" x14ac:dyDescent="0.35">
      <c r="A631">
        <f t="shared" ca="1" si="82"/>
        <v>2</v>
      </c>
      <c r="B631" s="6" t="s">
        <v>1990</v>
      </c>
      <c r="C631" s="7">
        <v>45481</v>
      </c>
      <c r="D631" s="6" t="s">
        <v>912</v>
      </c>
      <c r="E631" s="6" t="s">
        <v>83</v>
      </c>
      <c r="F631" s="6" t="s">
        <v>441</v>
      </c>
      <c r="G631" s="6" t="s">
        <v>32</v>
      </c>
      <c r="H631" s="6" t="s">
        <v>1991</v>
      </c>
      <c r="I631" s="6" t="s">
        <v>447</v>
      </c>
      <c r="J631" s="6" t="str">
        <f>IF(E631="KTG","KTG",(VLOOKUP(I631,'[1]list of outsource'!B:H,2,0)))</f>
        <v>UPM</v>
      </c>
      <c r="K631" s="6" t="s">
        <v>448</v>
      </c>
      <c r="L631" s="6">
        <v>7</v>
      </c>
      <c r="M631" s="6" t="s">
        <v>1992</v>
      </c>
      <c r="N631" s="6" t="s">
        <v>1993</v>
      </c>
      <c r="O631" s="6" t="s">
        <v>1994</v>
      </c>
      <c r="P631" s="6" t="s">
        <v>1645</v>
      </c>
      <c r="Q631" s="8">
        <v>45483</v>
      </c>
      <c r="R631" s="6"/>
      <c r="S631" s="6"/>
      <c r="T631" s="6"/>
      <c r="U631" s="6">
        <v>4</v>
      </c>
      <c r="V631" s="6" t="s">
        <v>879</v>
      </c>
      <c r="W631" s="6" t="s">
        <v>37</v>
      </c>
      <c r="X631" s="7">
        <v>45483</v>
      </c>
      <c r="Y631" s="7">
        <v>45491</v>
      </c>
      <c r="AB631" t="e">
        <v>#N/A</v>
      </c>
      <c r="AC631" t="s">
        <v>4210</v>
      </c>
      <c r="AE631" t="str">
        <f t="shared" si="83"/>
        <v>P000840</v>
      </c>
      <c r="AF631" t="str">
        <f>_xlfn.XLOOKUP(AE631, Hoja2!A:A, Hoja2!A:A)</f>
        <v>P000840</v>
      </c>
      <c r="AG631" t="str">
        <f t="shared" si="86"/>
        <v>PP00025-05</v>
      </c>
      <c r="AH631">
        <f>_xlfn.XLOOKUP(AG631, Hoja3!A:A, Hoja3!B:B)</f>
        <v>76</v>
      </c>
      <c r="AI631" s="38" t="s">
        <v>1991</v>
      </c>
      <c r="AJ631" t="b">
        <f t="shared" si="87"/>
        <v>1</v>
      </c>
    </row>
    <row r="632" spans="1:36" ht="15.5" customHeight="1" x14ac:dyDescent="0.35">
      <c r="A632">
        <f t="shared" ca="1" si="82"/>
        <v>8</v>
      </c>
      <c r="B632" s="12" t="s">
        <v>1995</v>
      </c>
      <c r="C632" s="13">
        <v>45238</v>
      </c>
      <c r="D632" s="14" t="s">
        <v>121</v>
      </c>
      <c r="E632" s="14" t="s">
        <v>139</v>
      </c>
      <c r="F632" s="14" t="s">
        <v>84</v>
      </c>
      <c r="G632" s="14" t="s">
        <v>156</v>
      </c>
      <c r="H632" s="14" t="s">
        <v>423</v>
      </c>
      <c r="I632" s="14" t="s">
        <v>208</v>
      </c>
      <c r="J632" s="14" t="str">
        <f>IF(E632="KTG","KTG",(VLOOKUP(I632,'[1]list of outsource'!B:H,2,0)))</f>
        <v>ETC</v>
      </c>
      <c r="K632" s="14" t="s">
        <v>209</v>
      </c>
      <c r="L632" s="14">
        <v>19</v>
      </c>
      <c r="M632" s="14" t="s">
        <v>424</v>
      </c>
      <c r="N632" s="14" t="s">
        <v>1633</v>
      </c>
      <c r="O632" s="14">
        <v>1132192015</v>
      </c>
      <c r="P632" s="14"/>
      <c r="Q632" s="15"/>
      <c r="R632" s="14"/>
      <c r="S632" s="16"/>
      <c r="T632" s="14"/>
      <c r="U632" s="14">
        <v>1</v>
      </c>
      <c r="V632" s="14"/>
      <c r="W632" s="14" t="s">
        <v>154</v>
      </c>
      <c r="X632" s="13">
        <v>45246</v>
      </c>
      <c r="Y632" s="13"/>
      <c r="AB632">
        <v>0</v>
      </c>
      <c r="AC632" t="e">
        <v>#N/A</v>
      </c>
      <c r="AE632" t="str">
        <f t="shared" si="83"/>
        <v>P000166</v>
      </c>
      <c r="AF632" t="str">
        <f>_xlfn.XLOOKUP(AE632, Hoja2!A:A, Hoja2!A:A)</f>
        <v>P000166</v>
      </c>
      <c r="AG632" t="str">
        <f t="shared" si="86"/>
        <v>PP00028-41</v>
      </c>
      <c r="AH632">
        <f>_xlfn.XLOOKUP(AG632, Hoja3!A:A, Hoja3!B:B)</f>
        <v>51</v>
      </c>
      <c r="AI632" t="str">
        <f>_xlfn.XLOOKUP(AH632, Hoja4!A:A, Hoja4!B:B)</f>
        <v>E35100800</v>
      </c>
      <c r="AJ632" t="b">
        <f t="shared" si="87"/>
        <v>1</v>
      </c>
    </row>
    <row r="633" spans="1:36" ht="15.5" customHeight="1" x14ac:dyDescent="0.35">
      <c r="A633">
        <f t="shared" ca="1" si="82"/>
        <v>56</v>
      </c>
      <c r="B633" s="6" t="s">
        <v>1996</v>
      </c>
      <c r="C633" s="7">
        <v>45484</v>
      </c>
      <c r="D633" s="6" t="s">
        <v>912</v>
      </c>
      <c r="E633" s="6" t="s">
        <v>139</v>
      </c>
      <c r="F633" s="6" t="s">
        <v>1697</v>
      </c>
      <c r="G633" s="6" t="s">
        <v>156</v>
      </c>
      <c r="H633" s="6">
        <v>7094171430</v>
      </c>
      <c r="I633" s="6" t="s">
        <v>402</v>
      </c>
      <c r="J633" s="6" t="str">
        <f>IF(E633="KTG","KTG",(VLOOKUP(I633,'[1]list of outsource'!B:H,2,0)))</f>
        <v>ETC</v>
      </c>
      <c r="K633" s="6" t="s">
        <v>403</v>
      </c>
      <c r="L633" s="6">
        <v>62</v>
      </c>
      <c r="M633" s="6" t="s">
        <v>1719</v>
      </c>
      <c r="N633" s="6" t="s">
        <v>1720</v>
      </c>
      <c r="O633" s="6" t="s">
        <v>1721</v>
      </c>
      <c r="P633" s="6" t="s">
        <v>574</v>
      </c>
      <c r="Q633" s="8">
        <v>45447</v>
      </c>
      <c r="R633" s="6"/>
      <c r="S633" s="18">
        <v>45519</v>
      </c>
      <c r="T633" s="6"/>
      <c r="U633" s="6">
        <v>4</v>
      </c>
      <c r="V633" s="6" t="s">
        <v>665</v>
      </c>
      <c r="W633" s="6" t="s">
        <v>37</v>
      </c>
      <c r="X633" s="7">
        <v>45540</v>
      </c>
      <c r="Y633" s="7">
        <v>45546</v>
      </c>
      <c r="AB633" t="e">
        <v>#N/A</v>
      </c>
      <c r="AC633" t="e">
        <v>#N/A</v>
      </c>
      <c r="AE633" t="str">
        <f t="shared" si="83"/>
        <v>P000342</v>
      </c>
      <c r="AF633" t="str">
        <f>_xlfn.XLOOKUP(AE633, Hoja2!A:A, Hoja2!A:A)</f>
        <v>P000342</v>
      </c>
      <c r="AG633" t="str">
        <f t="shared" si="86"/>
        <v>PP00061-01</v>
      </c>
      <c r="AH633">
        <f>_xlfn.XLOOKUP(AG633, Hoja3!A:A, Hoja3!B:B)</f>
        <v>5695</v>
      </c>
      <c r="AI633">
        <f>_xlfn.XLOOKUP(AH633, Hoja4!A:A, Hoja4!B:B)</f>
        <v>7094171430</v>
      </c>
      <c r="AJ633" t="b">
        <f t="shared" si="87"/>
        <v>1</v>
      </c>
    </row>
    <row r="634" spans="1:36" ht="15.5" customHeight="1" x14ac:dyDescent="0.35">
      <c r="A634">
        <f t="shared" ca="1" si="82"/>
        <v>24</v>
      </c>
      <c r="B634" s="6" t="s">
        <v>1997</v>
      </c>
      <c r="C634" s="7">
        <v>45440</v>
      </c>
      <c r="D634" s="6" t="s">
        <v>912</v>
      </c>
      <c r="E634" s="6" t="s">
        <v>30</v>
      </c>
      <c r="F634" s="6" t="s">
        <v>658</v>
      </c>
      <c r="G634" s="6" t="s">
        <v>32</v>
      </c>
      <c r="H634" s="6">
        <v>13799844</v>
      </c>
      <c r="I634" s="6"/>
      <c r="J634" s="6" t="str">
        <f>IF(E634="KTG","KTG",(VLOOKUP(I634,'[1]list of outsource'!B:H,2,0)))</f>
        <v>KTG</v>
      </c>
      <c r="K634" s="6"/>
      <c r="L634" s="6"/>
      <c r="M634" s="6" t="s">
        <v>1998</v>
      </c>
      <c r="N634" s="6" t="s">
        <v>1999</v>
      </c>
      <c r="O634" s="6"/>
      <c r="P634" s="6"/>
      <c r="Q634" s="8">
        <v>45461</v>
      </c>
      <c r="R634" s="6"/>
      <c r="S634" s="6"/>
      <c r="T634" s="6"/>
      <c r="U634" s="6">
        <v>1</v>
      </c>
      <c r="V634" s="6" t="s">
        <v>569</v>
      </c>
      <c r="W634" s="6" t="s">
        <v>576</v>
      </c>
      <c r="X634" s="7">
        <v>45464</v>
      </c>
      <c r="Y634" s="7">
        <v>45468</v>
      </c>
      <c r="AB634" t="e">
        <v>#N/A</v>
      </c>
      <c r="AC634" t="s">
        <v>4210</v>
      </c>
      <c r="AE634" t="str">
        <f t="shared" si="83"/>
        <v>E47419</v>
      </c>
      <c r="AF634" t="str">
        <f>_xlfn.XLOOKUP(AE634, Hoja2!A:A, Hoja2!A:A)</f>
        <v>E47419</v>
      </c>
      <c r="AG634" t="str">
        <f t="shared" si="86"/>
        <v>PP00034-32</v>
      </c>
      <c r="AH634">
        <f>_xlfn.XLOOKUP(AG634, Hoja3!A:A, Hoja3!B:B)</f>
        <v>4751</v>
      </c>
      <c r="AI634">
        <f>_xlfn.XLOOKUP(AH634, Hoja4!A:A, Hoja4!B:B)</f>
        <v>13799844</v>
      </c>
      <c r="AJ634" t="b">
        <f t="shared" si="87"/>
        <v>1</v>
      </c>
    </row>
    <row r="635" spans="1:36" ht="15.5" customHeight="1" x14ac:dyDescent="0.35">
      <c r="A635">
        <f t="shared" ca="1" si="82"/>
        <v>26</v>
      </c>
      <c r="B635" s="6" t="s">
        <v>2000</v>
      </c>
      <c r="C635" s="7">
        <v>45491</v>
      </c>
      <c r="D635" s="6" t="s">
        <v>912</v>
      </c>
      <c r="E635" s="6" t="s">
        <v>139</v>
      </c>
      <c r="F635" s="6" t="s">
        <v>933</v>
      </c>
      <c r="G635" s="6" t="s">
        <v>32</v>
      </c>
      <c r="H635" s="6">
        <v>35738189</v>
      </c>
      <c r="I635" s="6" t="s">
        <v>402</v>
      </c>
      <c r="J635" s="6" t="str">
        <f>IF(E635="KTG","KTG",(VLOOKUP(I635,'[1]list of outsource'!B:H,2,0)))</f>
        <v>ETC</v>
      </c>
      <c r="K635" s="6" t="s">
        <v>403</v>
      </c>
      <c r="L635" s="6">
        <v>58</v>
      </c>
      <c r="M635" s="6" t="s">
        <v>1740</v>
      </c>
      <c r="N635" s="6" t="s">
        <v>1741</v>
      </c>
      <c r="O635" s="6" t="s">
        <v>2001</v>
      </c>
      <c r="P635" s="6"/>
      <c r="Q635" s="8">
        <v>45450</v>
      </c>
      <c r="R635" s="6">
        <v>45516</v>
      </c>
      <c r="S635" s="6">
        <v>45516</v>
      </c>
      <c r="T635" s="6">
        <v>45516</v>
      </c>
      <c r="U635" s="6">
        <v>4</v>
      </c>
      <c r="V635" s="6" t="s">
        <v>879</v>
      </c>
      <c r="W635" s="6" t="s">
        <v>37</v>
      </c>
      <c r="X635" s="7">
        <v>45517</v>
      </c>
      <c r="Y635" s="7">
        <v>45523</v>
      </c>
      <c r="AB635" t="e">
        <v>#N/A</v>
      </c>
      <c r="AC635" t="e">
        <v>#N/A</v>
      </c>
      <c r="AE635" t="str">
        <f t="shared" si="83"/>
        <v>P000340</v>
      </c>
      <c r="AF635" t="str">
        <f>_xlfn.XLOOKUP(AE635, Hoja2!A:A, Hoja2!A:A)</f>
        <v>P000340</v>
      </c>
      <c r="AG635" t="str">
        <f t="shared" si="86"/>
        <v>PP00042-0025</v>
      </c>
      <c r="AH635">
        <f>_xlfn.XLOOKUP(AG635, Hoja3!A:A, Hoja3!B:B)</f>
        <v>3792</v>
      </c>
      <c r="AI635">
        <f>_xlfn.XLOOKUP(AH635, Hoja4!A:A, Hoja4!B:B)</f>
        <v>35738189</v>
      </c>
      <c r="AJ635" t="b">
        <f t="shared" si="87"/>
        <v>1</v>
      </c>
    </row>
    <row r="636" spans="1:36" ht="15.5" customHeight="1" x14ac:dyDescent="0.35">
      <c r="A636">
        <f t="shared" ca="1" si="82"/>
        <v>123</v>
      </c>
      <c r="B636" s="12" t="s">
        <v>2002</v>
      </c>
      <c r="C636" s="13">
        <v>45493</v>
      </c>
      <c r="D636" s="14" t="s">
        <v>121</v>
      </c>
      <c r="E636" s="14" t="s">
        <v>83</v>
      </c>
      <c r="F636" s="14" t="s">
        <v>1952</v>
      </c>
      <c r="G636" s="14" t="s">
        <v>299</v>
      </c>
      <c r="H636" s="14" t="s">
        <v>2003</v>
      </c>
      <c r="I636" s="14" t="s">
        <v>95</v>
      </c>
      <c r="J636" s="14" t="str">
        <f>IF(E636="KTG","KTG",(VLOOKUP(I636,'[1]list of outsource'!B:H,2,0)))</f>
        <v>Woer</v>
      </c>
      <c r="K636" s="14" t="s">
        <v>96</v>
      </c>
      <c r="L636" s="14">
        <v>50</v>
      </c>
      <c r="M636" s="14" t="s">
        <v>2004</v>
      </c>
      <c r="N636" s="14" t="s">
        <v>2005</v>
      </c>
      <c r="O636" s="14" t="s">
        <v>2006</v>
      </c>
      <c r="P636" s="14" t="s">
        <v>1645</v>
      </c>
      <c r="Q636" s="15">
        <v>45525</v>
      </c>
      <c r="R636" s="14"/>
      <c r="S636" s="16"/>
      <c r="T636" s="14"/>
      <c r="U636" s="14">
        <v>4</v>
      </c>
      <c r="V636" s="14" t="s">
        <v>665</v>
      </c>
      <c r="W636" s="14" t="s">
        <v>37</v>
      </c>
      <c r="X636" s="13">
        <v>45616</v>
      </c>
      <c r="Y636" s="13"/>
      <c r="AB636" t="e">
        <v>#N/A</v>
      </c>
      <c r="AC636" t="e">
        <v>#N/A</v>
      </c>
      <c r="AE636" t="str">
        <f t="shared" si="83"/>
        <v>P000953</v>
      </c>
      <c r="AF636" t="str">
        <f>_xlfn.XLOOKUP(AE636, Hoja2!A:A, Hoja2!A:A)</f>
        <v>P000953</v>
      </c>
      <c r="AG636" t="str">
        <f t="shared" si="86"/>
        <v>PP00060-31</v>
      </c>
      <c r="AH636">
        <f>_xlfn.XLOOKUP(AG636, Hoja3!A:A, Hoja3!B:B)</f>
        <v>4472</v>
      </c>
      <c r="AI636" s="38" t="s">
        <v>2003</v>
      </c>
      <c r="AJ636" t="b">
        <f t="shared" si="87"/>
        <v>1</v>
      </c>
    </row>
    <row r="637" spans="1:36" ht="15.5" customHeight="1" x14ac:dyDescent="0.35">
      <c r="A637">
        <f t="shared" ca="1" si="82"/>
        <v>81</v>
      </c>
      <c r="B637" s="12" t="s">
        <v>2007</v>
      </c>
      <c r="C637" s="13">
        <v>45493</v>
      </c>
      <c r="D637" s="14" t="s">
        <v>121</v>
      </c>
      <c r="E637" s="14" t="s">
        <v>139</v>
      </c>
      <c r="F637" s="14" t="s">
        <v>1697</v>
      </c>
      <c r="G637" s="14" t="s">
        <v>755</v>
      </c>
      <c r="H637" s="14" t="s">
        <v>2008</v>
      </c>
      <c r="I637" s="14" t="s">
        <v>402</v>
      </c>
      <c r="J637" s="14" t="str">
        <f>IF(E637="KTG","KTG",(VLOOKUP(I637,'[1]list of outsource'!B:H,2,0)))</f>
        <v>ETC</v>
      </c>
      <c r="K637" s="14" t="s">
        <v>403</v>
      </c>
      <c r="L637" s="14">
        <v>63</v>
      </c>
      <c r="M637" s="14" t="s">
        <v>1975</v>
      </c>
      <c r="N637" s="14" t="s">
        <v>1976</v>
      </c>
      <c r="O637" s="14" t="s">
        <v>2009</v>
      </c>
      <c r="P637" s="14" t="s">
        <v>1645</v>
      </c>
      <c r="Q637" s="15">
        <v>45519</v>
      </c>
      <c r="R637" s="14"/>
      <c r="S637" s="16">
        <v>45518</v>
      </c>
      <c r="T637" s="14"/>
      <c r="U637" s="14">
        <v>4</v>
      </c>
      <c r="V637" s="14" t="s">
        <v>665</v>
      </c>
      <c r="W637" s="14" t="s">
        <v>37</v>
      </c>
      <c r="X637" s="13">
        <v>45574</v>
      </c>
      <c r="Y637" s="13"/>
      <c r="AB637" t="e">
        <v>#N/A</v>
      </c>
      <c r="AC637" t="e">
        <v>#N/A</v>
      </c>
      <c r="AE637" t="str">
        <f t="shared" si="83"/>
        <v>P000336</v>
      </c>
      <c r="AF637" t="str">
        <f>_xlfn.XLOOKUP(AE637, Hoja2!A:A, Hoja2!A:A)</f>
        <v>P000336</v>
      </c>
      <c r="AG637" t="str">
        <f t="shared" si="86"/>
        <v>PP00062-01</v>
      </c>
      <c r="AH637">
        <f>_xlfn.XLOOKUP(AG637, Hoja3!A:A, Hoja3!B:B)</f>
        <v>5704</v>
      </c>
      <c r="AI637" t="str">
        <f>_xlfn.XLOOKUP(AH637, Hoja4!A:A, Hoja4!B:B)</f>
        <v>7094176230 Document ID 2552486</v>
      </c>
      <c r="AJ637" t="b">
        <f t="shared" si="87"/>
        <v>1</v>
      </c>
    </row>
    <row r="638" spans="1:36" ht="15.5" customHeight="1" x14ac:dyDescent="0.35">
      <c r="A638">
        <f t="shared" ca="1" si="82"/>
        <v>81</v>
      </c>
      <c r="B638" s="12" t="s">
        <v>2010</v>
      </c>
      <c r="C638" s="13">
        <v>45493</v>
      </c>
      <c r="D638" s="14" t="s">
        <v>121</v>
      </c>
      <c r="E638" s="14" t="s">
        <v>139</v>
      </c>
      <c r="F638" s="14" t="s">
        <v>1697</v>
      </c>
      <c r="G638" s="14" t="s">
        <v>755</v>
      </c>
      <c r="H638" s="14" t="s">
        <v>2011</v>
      </c>
      <c r="I638" s="14" t="s">
        <v>402</v>
      </c>
      <c r="J638" s="14" t="str">
        <f>IF(E638="KTG","KTG",(VLOOKUP(I638,'[1]list of outsource'!B:H,2,0)))</f>
        <v>ETC</v>
      </c>
      <c r="K638" s="14" t="s">
        <v>403</v>
      </c>
      <c r="L638" s="14">
        <v>63</v>
      </c>
      <c r="M638" s="14" t="s">
        <v>1979</v>
      </c>
      <c r="N638" s="14" t="s">
        <v>1980</v>
      </c>
      <c r="O638" s="14" t="s">
        <v>2012</v>
      </c>
      <c r="P638" s="14" t="s">
        <v>1645</v>
      </c>
      <c r="Q638" s="15">
        <v>45492</v>
      </c>
      <c r="R638" s="14"/>
      <c r="S638" s="16">
        <v>45518</v>
      </c>
      <c r="T638" s="14"/>
      <c r="U638" s="14">
        <v>4</v>
      </c>
      <c r="V638" s="14" t="s">
        <v>665</v>
      </c>
      <c r="W638" s="14" t="s">
        <v>37</v>
      </c>
      <c r="X638" s="13">
        <v>45574</v>
      </c>
      <c r="Y638" s="13"/>
      <c r="AB638" t="e">
        <v>#N/A</v>
      </c>
      <c r="AC638" t="e">
        <v>#N/A</v>
      </c>
      <c r="AE638" t="str">
        <f t="shared" si="83"/>
        <v>P000360</v>
      </c>
      <c r="AF638" t="str">
        <f>_xlfn.XLOOKUP(AE638, Hoja2!A:A, Hoja2!A:A)</f>
        <v>P000360</v>
      </c>
      <c r="AG638" t="str">
        <f t="shared" si="86"/>
        <v>PP00062-02</v>
      </c>
      <c r="AH638">
        <f>_xlfn.XLOOKUP(AG638, Hoja3!A:A, Hoja3!B:B)</f>
        <v>5705</v>
      </c>
      <c r="AI638" t="str">
        <f>_xlfn.XLOOKUP(AH638, Hoja4!A:A, Hoja4!B:B)</f>
        <v>7094176430 Document ID 2553139</v>
      </c>
      <c r="AJ638" t="b">
        <f t="shared" si="87"/>
        <v>1</v>
      </c>
    </row>
    <row r="639" spans="1:36" ht="15.5" customHeight="1" x14ac:dyDescent="0.35">
      <c r="A639">
        <f t="shared" ca="1" si="82"/>
        <v>81</v>
      </c>
      <c r="B639" s="12" t="s">
        <v>2013</v>
      </c>
      <c r="C639" s="13">
        <v>45493</v>
      </c>
      <c r="D639" s="14" t="s">
        <v>121</v>
      </c>
      <c r="E639" s="14" t="s">
        <v>139</v>
      </c>
      <c r="F639" s="14" t="s">
        <v>1697</v>
      </c>
      <c r="G639" s="14" t="s">
        <v>755</v>
      </c>
      <c r="H639" s="14" t="s">
        <v>2014</v>
      </c>
      <c r="I639" s="14" t="s">
        <v>402</v>
      </c>
      <c r="J639" s="14" t="str">
        <f>IF(E639="KTG","KTG",(VLOOKUP(I639,'[1]list of outsource'!B:H,2,0)))</f>
        <v>ETC</v>
      </c>
      <c r="K639" s="14" t="s">
        <v>403</v>
      </c>
      <c r="L639" s="14">
        <v>63</v>
      </c>
      <c r="M639" s="14" t="s">
        <v>1982</v>
      </c>
      <c r="N639" s="14" t="s">
        <v>1983</v>
      </c>
      <c r="O639" s="14" t="s">
        <v>2015</v>
      </c>
      <c r="P639" s="14" t="s">
        <v>1645</v>
      </c>
      <c r="Q639" s="15">
        <v>45492</v>
      </c>
      <c r="R639" s="14"/>
      <c r="S639" s="16">
        <v>45518</v>
      </c>
      <c r="T639" s="14"/>
      <c r="U639" s="14">
        <v>4</v>
      </c>
      <c r="V639" s="14" t="s">
        <v>665</v>
      </c>
      <c r="W639" s="14" t="s">
        <v>37</v>
      </c>
      <c r="X639" s="13">
        <v>45574</v>
      </c>
      <c r="Y639" s="13"/>
      <c r="AB639" t="e">
        <v>#N/A</v>
      </c>
      <c r="AC639" t="e">
        <v>#N/A</v>
      </c>
      <c r="AE639" t="str">
        <f t="shared" si="83"/>
        <v>P000358</v>
      </c>
      <c r="AF639" t="str">
        <f>_xlfn.XLOOKUP(AE639, Hoja2!A:A, Hoja2!A:A)</f>
        <v>P000358</v>
      </c>
      <c r="AG639" t="str">
        <f t="shared" si="86"/>
        <v>PP00062-03</v>
      </c>
      <c r="AH639">
        <f>_xlfn.XLOOKUP(AG639, Hoja3!A:A, Hoja3!B:B)</f>
        <v>5706</v>
      </c>
      <c r="AI639" t="str">
        <f>_xlfn.XLOOKUP(AH639, Hoja4!A:A, Hoja4!B:B)</f>
        <v>7094176530 Document ID 2553141</v>
      </c>
      <c r="AJ639" t="b">
        <f t="shared" si="87"/>
        <v>1</v>
      </c>
    </row>
    <row r="640" spans="1:36" ht="15.5" customHeight="1" x14ac:dyDescent="0.35">
      <c r="A640">
        <f t="shared" ca="1" si="82"/>
        <v>81</v>
      </c>
      <c r="B640" s="12" t="s">
        <v>2016</v>
      </c>
      <c r="C640" s="13">
        <v>45493</v>
      </c>
      <c r="D640" s="14" t="s">
        <v>121</v>
      </c>
      <c r="E640" s="14" t="s">
        <v>139</v>
      </c>
      <c r="F640" s="14" t="s">
        <v>1697</v>
      </c>
      <c r="G640" s="14" t="s">
        <v>755</v>
      </c>
      <c r="H640" s="14" t="s">
        <v>2017</v>
      </c>
      <c r="I640" s="14" t="s">
        <v>402</v>
      </c>
      <c r="J640" s="14" t="str">
        <f>IF(E640="KTG","KTG",(VLOOKUP(I640,'[1]list of outsource'!B:H,2,0)))</f>
        <v>ETC</v>
      </c>
      <c r="K640" s="14" t="s">
        <v>403</v>
      </c>
      <c r="L640" s="14">
        <v>63</v>
      </c>
      <c r="M640" s="14" t="s">
        <v>1613</v>
      </c>
      <c r="N640" s="14" t="s">
        <v>1614</v>
      </c>
      <c r="O640" s="14" t="s">
        <v>2018</v>
      </c>
      <c r="P640" s="14" t="s">
        <v>1645</v>
      </c>
      <c r="Q640" s="15">
        <v>45469</v>
      </c>
      <c r="R640" s="14"/>
      <c r="S640" s="16">
        <v>45518</v>
      </c>
      <c r="T640" s="14"/>
      <c r="U640" s="14">
        <v>4</v>
      </c>
      <c r="V640" s="14" t="s">
        <v>665</v>
      </c>
      <c r="W640" s="14" t="s">
        <v>37</v>
      </c>
      <c r="X640" s="13">
        <v>45574</v>
      </c>
      <c r="Y640" s="13"/>
      <c r="AB640" t="e">
        <v>#N/A</v>
      </c>
      <c r="AC640" t="e">
        <v>#N/A</v>
      </c>
      <c r="AE640" t="str">
        <f t="shared" si="83"/>
        <v>P000341</v>
      </c>
      <c r="AF640" t="str">
        <f>_xlfn.XLOOKUP(AE640, Hoja2!A:A, Hoja2!A:A)</f>
        <v>P000341</v>
      </c>
      <c r="AG640" t="str">
        <f t="shared" si="86"/>
        <v>PP00062-04</v>
      </c>
      <c r="AH640">
        <f>_xlfn.XLOOKUP(AG640, Hoja3!A:A, Hoja3!B:B)</f>
        <v>5707</v>
      </c>
      <c r="AI640" t="str">
        <f>_xlfn.XLOOKUP(AH640, Hoja4!A:A, Hoja4!B:B)</f>
        <v>7094176330 Document ID 2553175</v>
      </c>
      <c r="AJ640" t="b">
        <f t="shared" si="87"/>
        <v>1</v>
      </c>
    </row>
    <row r="641" spans="1:36" ht="15.5" customHeight="1" x14ac:dyDescent="0.35">
      <c r="A641">
        <f t="shared" ca="1" si="82"/>
        <v>30</v>
      </c>
      <c r="B641" s="6" t="s">
        <v>2019</v>
      </c>
      <c r="C641" s="7">
        <v>45495</v>
      </c>
      <c r="D641" s="6" t="s">
        <v>912</v>
      </c>
      <c r="E641" s="6" t="s">
        <v>83</v>
      </c>
      <c r="F641" s="6" t="s">
        <v>101</v>
      </c>
      <c r="G641" s="6" t="s">
        <v>32</v>
      </c>
      <c r="H641" s="6">
        <v>3191789</v>
      </c>
      <c r="I641" s="6" t="s">
        <v>158</v>
      </c>
      <c r="J641" s="6" t="str">
        <f>IF(E641="KTG","KTG",(VLOOKUP(I641,'[1]list of outsource'!B:H,2,0)))</f>
        <v>UPM</v>
      </c>
      <c r="K641" s="6" t="s">
        <v>159</v>
      </c>
      <c r="L641" s="6">
        <v>42</v>
      </c>
      <c r="M641" s="6" t="s">
        <v>2020</v>
      </c>
      <c r="N641" s="6" t="s">
        <v>2021</v>
      </c>
      <c r="O641" s="6" t="s">
        <v>2022</v>
      </c>
      <c r="P641" s="6"/>
      <c r="Q641" s="8">
        <v>45519</v>
      </c>
      <c r="R641" s="6"/>
      <c r="S641" s="6"/>
      <c r="T641" s="6"/>
      <c r="U641" s="6">
        <v>4</v>
      </c>
      <c r="V641" s="6" t="s">
        <v>879</v>
      </c>
      <c r="W641" s="6" t="s">
        <v>37</v>
      </c>
      <c r="X641" s="7">
        <v>45525</v>
      </c>
      <c r="Y641" s="7">
        <v>45527</v>
      </c>
      <c r="AB641" t="e">
        <v>#N/A</v>
      </c>
      <c r="AC641" t="e">
        <v>#N/A</v>
      </c>
      <c r="AE641" t="str">
        <f t="shared" si="83"/>
        <v>P000733</v>
      </c>
      <c r="AF641" t="str">
        <f>_xlfn.XLOOKUP(AE641, Hoja2!A:A, Hoja2!A:A)</f>
        <v>P000733</v>
      </c>
      <c r="AG641" t="str">
        <f t="shared" si="86"/>
        <v>PP00053-10</v>
      </c>
      <c r="AH641">
        <f>_xlfn.XLOOKUP(AG641, Hoja3!A:A, Hoja3!B:B)</f>
        <v>3969</v>
      </c>
      <c r="AI641">
        <f>_xlfn.XLOOKUP(AH641, Hoja4!A:A, Hoja4!B:B)</f>
        <v>3191789</v>
      </c>
      <c r="AJ641" t="b">
        <f t="shared" si="87"/>
        <v>1</v>
      </c>
    </row>
    <row r="642" spans="1:36" ht="15.5" customHeight="1" x14ac:dyDescent="0.35">
      <c r="A642">
        <f t="shared" ref="A642:A705" ca="1" si="88">IF(X642="",(TODAY()-C642),(X642-C642))</f>
        <v>18</v>
      </c>
      <c r="B642" s="12" t="s">
        <v>1995</v>
      </c>
      <c r="C642" s="13">
        <v>45303</v>
      </c>
      <c r="D642" s="14" t="s">
        <v>121</v>
      </c>
      <c r="E642" s="14" t="s">
        <v>139</v>
      </c>
      <c r="F642" s="14" t="s">
        <v>84</v>
      </c>
      <c r="G642" s="14" t="s">
        <v>156</v>
      </c>
      <c r="H642" s="14" t="s">
        <v>423</v>
      </c>
      <c r="I642" s="14" t="s">
        <v>208</v>
      </c>
      <c r="J642" s="14" t="str">
        <f>IF(E642="KTG","KTG",(VLOOKUP(I642,'[1]list of outsource'!B:H,2,0)))</f>
        <v>ETC</v>
      </c>
      <c r="K642" s="14" t="s">
        <v>209</v>
      </c>
      <c r="L642" s="14">
        <v>19</v>
      </c>
      <c r="M642" s="14" t="s">
        <v>424</v>
      </c>
      <c r="N642" s="14" t="s">
        <v>1633</v>
      </c>
      <c r="O642" s="14">
        <v>1132192015</v>
      </c>
      <c r="P642" s="14"/>
      <c r="Q642" s="15" t="s">
        <v>575</v>
      </c>
      <c r="R642" s="14"/>
      <c r="S642" s="16"/>
      <c r="T642" s="14"/>
      <c r="U642" s="14">
        <v>1</v>
      </c>
      <c r="V642" s="14" t="s">
        <v>569</v>
      </c>
      <c r="W642" s="14" t="s">
        <v>154</v>
      </c>
      <c r="X642" s="13">
        <v>45321</v>
      </c>
      <c r="Y642" s="13"/>
      <c r="AB642">
        <v>0</v>
      </c>
      <c r="AC642" t="e">
        <v>#N/A</v>
      </c>
      <c r="AE642" t="str">
        <f t="shared" si="83"/>
        <v>P000166</v>
      </c>
      <c r="AF642" t="str">
        <f>_xlfn.XLOOKUP(AE642, Hoja2!A:A, Hoja2!A:A)</f>
        <v>P000166</v>
      </c>
      <c r="AG642" t="str">
        <f t="shared" si="86"/>
        <v>PP00028-41</v>
      </c>
      <c r="AH642">
        <f>_xlfn.XLOOKUP(AG642, Hoja3!A:A, Hoja3!B:B)</f>
        <v>51</v>
      </c>
      <c r="AI642" t="str">
        <f>_xlfn.XLOOKUP(AH642, Hoja4!A:A, Hoja4!B:B)</f>
        <v>E35100800</v>
      </c>
      <c r="AJ642" t="b">
        <f t="shared" si="87"/>
        <v>1</v>
      </c>
    </row>
    <row r="643" spans="1:36" ht="15.5" customHeight="1" x14ac:dyDescent="0.35">
      <c r="A643">
        <f t="shared" ca="1" si="88"/>
        <v>0</v>
      </c>
      <c r="B643" s="6" t="s">
        <v>1995</v>
      </c>
      <c r="C643" s="7">
        <v>45674</v>
      </c>
      <c r="D643" s="6" t="s">
        <v>564</v>
      </c>
      <c r="E643" s="6" t="s">
        <v>139</v>
      </c>
      <c r="F643" s="6" t="s">
        <v>84</v>
      </c>
      <c r="G643" s="6" t="s">
        <v>156</v>
      </c>
      <c r="H643" s="6" t="s">
        <v>423</v>
      </c>
      <c r="I643" s="6" t="s">
        <v>208</v>
      </c>
      <c r="J643" s="6" t="str">
        <f>IF(E643="KTG","KTG",(VLOOKUP(I643,'[1]list of outsource'!B:H,2,0)))</f>
        <v>ETC</v>
      </c>
      <c r="K643" s="6" t="s">
        <v>209</v>
      </c>
      <c r="L643" s="6">
        <v>21</v>
      </c>
      <c r="M643" s="6" t="s">
        <v>424</v>
      </c>
      <c r="N643" s="6" t="s">
        <v>1633</v>
      </c>
      <c r="O643" s="6" t="s">
        <v>2023</v>
      </c>
      <c r="P643" s="6"/>
      <c r="Q643" s="8" t="s">
        <v>575</v>
      </c>
      <c r="R643" s="6"/>
      <c r="S643" s="6"/>
      <c r="T643" s="6"/>
      <c r="U643" s="6">
        <v>1</v>
      </c>
      <c r="V643" s="6" t="s">
        <v>919</v>
      </c>
      <c r="W643" s="6" t="s">
        <v>154</v>
      </c>
      <c r="X643" s="7">
        <v>45674</v>
      </c>
      <c r="Y643" s="7">
        <v>45677</v>
      </c>
      <c r="AB643">
        <v>0</v>
      </c>
      <c r="AC643" t="e">
        <v>#N/A</v>
      </c>
      <c r="AE643" t="str">
        <f t="shared" ref="AE643:AE706" si="89">LEFT(M643, FIND(" ", M643 &amp; " ") - 1)</f>
        <v>P000166</v>
      </c>
      <c r="AF643" t="str">
        <f>_xlfn.XLOOKUP(AE643, Hoja2!A:A, Hoja2!A:A)</f>
        <v>P000166</v>
      </c>
      <c r="AG643" t="str">
        <f t="shared" si="86"/>
        <v>PP00028-41</v>
      </c>
      <c r="AH643">
        <f>_xlfn.XLOOKUP(AG643, Hoja3!A:A, Hoja3!B:B)</f>
        <v>51</v>
      </c>
      <c r="AI643" t="str">
        <f>_xlfn.XLOOKUP(AH643, Hoja4!A:A, Hoja4!B:B)</f>
        <v>E35100800</v>
      </c>
      <c r="AJ643" t="b">
        <f t="shared" si="87"/>
        <v>1</v>
      </c>
    </row>
    <row r="644" spans="1:36" ht="15.5" customHeight="1" x14ac:dyDescent="0.35">
      <c r="A644">
        <f t="shared" ca="1" si="88"/>
        <v>3</v>
      </c>
      <c r="B644" s="12" t="s">
        <v>2024</v>
      </c>
      <c r="C644" s="13">
        <v>45243</v>
      </c>
      <c r="D644" s="14" t="s">
        <v>121</v>
      </c>
      <c r="E644" s="14" t="s">
        <v>83</v>
      </c>
      <c r="F644" s="14" t="s">
        <v>84</v>
      </c>
      <c r="G644" s="14" t="s">
        <v>156</v>
      </c>
      <c r="H644" s="14" t="s">
        <v>397</v>
      </c>
      <c r="I644" s="14" t="s">
        <v>158</v>
      </c>
      <c r="J644" s="14" t="str">
        <f>IF(E644="KTG","KTG",(VLOOKUP(I644,'[1]list of outsource'!B:H,2,0)))</f>
        <v>UPM</v>
      </c>
      <c r="K644" s="14" t="s">
        <v>159</v>
      </c>
      <c r="L644" s="14">
        <v>37</v>
      </c>
      <c r="M644" s="14" t="s">
        <v>398</v>
      </c>
      <c r="N644" s="14" t="s">
        <v>399</v>
      </c>
      <c r="O644" s="14">
        <v>1173684862</v>
      </c>
      <c r="P644" s="14"/>
      <c r="Q644" s="15"/>
      <c r="R644" s="14"/>
      <c r="S644" s="16"/>
      <c r="T644" s="14"/>
      <c r="U644" s="14">
        <v>1</v>
      </c>
      <c r="V644" s="14"/>
      <c r="W644" s="14" t="s">
        <v>154</v>
      </c>
      <c r="X644" s="13">
        <v>45246</v>
      </c>
      <c r="Y644" s="13"/>
      <c r="AB644" t="e">
        <v>#N/A</v>
      </c>
      <c r="AC644" t="s">
        <v>4210</v>
      </c>
      <c r="AE644" t="str">
        <f t="shared" si="89"/>
        <v>P000145</v>
      </c>
      <c r="AF644" t="str">
        <f>_xlfn.XLOOKUP(AE644, Hoja2!A:A, Hoja2!A:A)</f>
        <v>P000145</v>
      </c>
      <c r="AG644" t="str">
        <f t="shared" si="86"/>
        <v>PP00028-42</v>
      </c>
      <c r="AH644">
        <f>_xlfn.XLOOKUP(AG644, Hoja3!A:A, Hoja3!B:B)</f>
        <v>5366</v>
      </c>
      <c r="AI644" t="str">
        <f>_xlfn.XLOOKUP(AH644, Hoja4!A:A, Hoja4!B:B)</f>
        <v>E34991600</v>
      </c>
      <c r="AJ644" t="b">
        <f t="shared" si="87"/>
        <v>1</v>
      </c>
    </row>
    <row r="645" spans="1:36" ht="15.5" customHeight="1" x14ac:dyDescent="0.35">
      <c r="A645">
        <f t="shared" ca="1" si="88"/>
        <v>28</v>
      </c>
      <c r="B645" s="6" t="s">
        <v>2025</v>
      </c>
      <c r="C645" s="7">
        <v>45503</v>
      </c>
      <c r="D645" s="6" t="s">
        <v>912</v>
      </c>
      <c r="E645" s="6" t="s">
        <v>139</v>
      </c>
      <c r="F645" s="6" t="s">
        <v>508</v>
      </c>
      <c r="G645" s="6" t="s">
        <v>32</v>
      </c>
      <c r="H645" s="6">
        <v>69321143</v>
      </c>
      <c r="I645" s="6" t="s">
        <v>402</v>
      </c>
      <c r="J645" s="6" t="str">
        <f>IF(E645="KTG","KTG",(VLOOKUP(I645,'[1]list of outsource'!B:H,2,0)))</f>
        <v>ETC</v>
      </c>
      <c r="K645" s="6" t="s">
        <v>403</v>
      </c>
      <c r="L645" s="6">
        <v>62</v>
      </c>
      <c r="M645" s="6" t="s">
        <v>2026</v>
      </c>
      <c r="N645" s="6" t="s">
        <v>2027</v>
      </c>
      <c r="O645" s="6" t="s">
        <v>2028</v>
      </c>
      <c r="P645" s="6" t="s">
        <v>574</v>
      </c>
      <c r="Q645" s="8">
        <v>45530</v>
      </c>
      <c r="R645" s="6"/>
      <c r="S645" s="6"/>
      <c r="T645" s="6"/>
      <c r="U645" s="6">
        <v>4</v>
      </c>
      <c r="V645" s="6" t="s">
        <v>879</v>
      </c>
      <c r="W645" s="6" t="s">
        <v>2029</v>
      </c>
      <c r="X645" s="7">
        <v>45531</v>
      </c>
      <c r="Y645" s="7">
        <v>45538</v>
      </c>
      <c r="AB645" t="e">
        <v>#N/A</v>
      </c>
      <c r="AC645" t="s">
        <v>4210</v>
      </c>
      <c r="AE645" t="str">
        <f t="shared" si="89"/>
        <v>P000268</v>
      </c>
      <c r="AF645" t="str">
        <f>_xlfn.XLOOKUP(AE645, Hoja2!A:A, Hoja2!A:A)</f>
        <v>P000268</v>
      </c>
      <c r="AG645" t="str">
        <f t="shared" si="86"/>
        <v>PP00026-44</v>
      </c>
      <c r="AH645">
        <f>_xlfn.XLOOKUP(AG645, Hoja3!A:A, Hoja3!B:B)</f>
        <v>5653</v>
      </c>
      <c r="AI645">
        <f>_xlfn.XLOOKUP(AH645, Hoja4!A:A, Hoja4!B:B)</f>
        <v>69321143</v>
      </c>
      <c r="AJ645" t="b">
        <f t="shared" si="87"/>
        <v>1</v>
      </c>
    </row>
    <row r="646" spans="1:36" ht="15.5" customHeight="1" x14ac:dyDescent="0.35">
      <c r="A646">
        <f t="shared" ca="1" si="88"/>
        <v>14</v>
      </c>
      <c r="B646" s="6" t="s">
        <v>2030</v>
      </c>
      <c r="C646" s="7">
        <v>45504</v>
      </c>
      <c r="D646" s="6" t="s">
        <v>912</v>
      </c>
      <c r="E646" s="6" t="s">
        <v>139</v>
      </c>
      <c r="F646" s="6" t="s">
        <v>933</v>
      </c>
      <c r="G646" s="6" t="s">
        <v>32</v>
      </c>
      <c r="H646" s="6">
        <v>35738172</v>
      </c>
      <c r="I646" s="6" t="s">
        <v>529</v>
      </c>
      <c r="J646" s="6" t="str">
        <f>IF(E646="KTG","KTG",(VLOOKUP(I646,'[1]list of outsource'!B:H,2,0)))</f>
        <v>ETC</v>
      </c>
      <c r="K646" s="6" t="s">
        <v>530</v>
      </c>
      <c r="L646" s="6">
        <v>8</v>
      </c>
      <c r="M646" s="6" t="s">
        <v>2031</v>
      </c>
      <c r="N646" s="6" t="s">
        <v>2032</v>
      </c>
      <c r="O646" s="6" t="s">
        <v>2033</v>
      </c>
      <c r="P646" s="6" t="s">
        <v>574</v>
      </c>
      <c r="Q646" s="8">
        <v>45516</v>
      </c>
      <c r="R646" s="6">
        <v>45516</v>
      </c>
      <c r="S646" s="6">
        <v>45516</v>
      </c>
      <c r="T646" s="6">
        <v>45516</v>
      </c>
      <c r="U646" s="6">
        <v>4</v>
      </c>
      <c r="V646" s="6" t="s">
        <v>879</v>
      </c>
      <c r="W646" s="6" t="s">
        <v>37</v>
      </c>
      <c r="X646" s="7">
        <v>45518</v>
      </c>
      <c r="Y646" s="7">
        <v>45519</v>
      </c>
      <c r="AB646" t="e">
        <v>#N/A</v>
      </c>
      <c r="AC646" t="e">
        <v>#N/A</v>
      </c>
      <c r="AE646" t="str">
        <f t="shared" si="89"/>
        <v>P000364</v>
      </c>
      <c r="AF646" t="str">
        <f>_xlfn.XLOOKUP(AE646, Hoja2!A:A, Hoja2!A:A)</f>
        <v>P000364</v>
      </c>
      <c r="AG646" t="str">
        <f t="shared" si="86"/>
        <v>PP00042-0024</v>
      </c>
      <c r="AH646">
        <f>_xlfn.XLOOKUP(AG646, Hoja3!A:A, Hoja3!B:B)</f>
        <v>3795</v>
      </c>
      <c r="AI646">
        <f>_xlfn.XLOOKUP(AH646, Hoja4!A:A, Hoja4!B:B)</f>
        <v>35738172</v>
      </c>
      <c r="AJ646" t="b">
        <f t="shared" si="87"/>
        <v>1</v>
      </c>
    </row>
    <row r="647" spans="1:36" ht="15.5" customHeight="1" x14ac:dyDescent="0.35">
      <c r="A647">
        <f t="shared" ca="1" si="88"/>
        <v>28</v>
      </c>
      <c r="B647" s="6" t="s">
        <v>2034</v>
      </c>
      <c r="C647" s="7">
        <v>45510</v>
      </c>
      <c r="D647" s="6" t="s">
        <v>912</v>
      </c>
      <c r="E647" s="6" t="s">
        <v>139</v>
      </c>
      <c r="F647" s="6" t="s">
        <v>1612</v>
      </c>
      <c r="G647" s="6" t="s">
        <v>32</v>
      </c>
      <c r="H647" s="6">
        <v>252366</v>
      </c>
      <c r="I647" s="6" t="s">
        <v>402</v>
      </c>
      <c r="J647" s="6" t="str">
        <f>IF(E647="KTG","KTG",(VLOOKUP(I647,'[1]list of outsource'!B:H,2,0)))</f>
        <v>ETC</v>
      </c>
      <c r="K647" s="6" t="s">
        <v>403</v>
      </c>
      <c r="L647" s="6">
        <v>62</v>
      </c>
      <c r="M647" s="6" t="s">
        <v>1975</v>
      </c>
      <c r="N647" s="6" t="s">
        <v>1976</v>
      </c>
      <c r="O647" s="6" t="s">
        <v>2035</v>
      </c>
      <c r="P647" s="6" t="s">
        <v>1645</v>
      </c>
      <c r="Q647" s="8">
        <v>45519</v>
      </c>
      <c r="R647" s="6"/>
      <c r="S647" s="6"/>
      <c r="T647" s="6"/>
      <c r="U647" s="6">
        <v>4</v>
      </c>
      <c r="V647" s="6" t="s">
        <v>665</v>
      </c>
      <c r="W647" s="6" t="s">
        <v>37</v>
      </c>
      <c r="X647" s="7">
        <v>45538</v>
      </c>
      <c r="Y647" s="7">
        <v>45607</v>
      </c>
      <c r="AB647" t="e">
        <v>#N/A</v>
      </c>
      <c r="AC647" t="e">
        <v>#N/A</v>
      </c>
      <c r="AE647" t="str">
        <f t="shared" si="89"/>
        <v>P000336</v>
      </c>
      <c r="AF647" t="str">
        <f>_xlfn.XLOOKUP(AE647, Hoja2!A:A, Hoja2!A:A)</f>
        <v>P000336</v>
      </c>
      <c r="AG647" t="str">
        <f t="shared" si="86"/>
        <v>PP00054-02</v>
      </c>
      <c r="AH647">
        <f>_xlfn.XLOOKUP(AG647, Hoja3!A:A, Hoja3!B:B)</f>
        <v>80</v>
      </c>
      <c r="AI647">
        <f>_xlfn.XLOOKUP(AH647, Hoja4!A:A, Hoja4!B:B)</f>
        <v>252366</v>
      </c>
      <c r="AJ647" t="b">
        <f t="shared" si="87"/>
        <v>1</v>
      </c>
    </row>
    <row r="648" spans="1:36" ht="15.5" customHeight="1" x14ac:dyDescent="0.35">
      <c r="A648">
        <f t="shared" ca="1" si="88"/>
        <v>28</v>
      </c>
      <c r="B648" s="6" t="s">
        <v>2036</v>
      </c>
      <c r="C648" s="7">
        <v>45510</v>
      </c>
      <c r="D648" s="6" t="s">
        <v>912</v>
      </c>
      <c r="E648" s="6" t="s">
        <v>139</v>
      </c>
      <c r="F648" s="6" t="s">
        <v>1612</v>
      </c>
      <c r="G648" s="6" t="s">
        <v>32</v>
      </c>
      <c r="H648" s="6">
        <v>252367</v>
      </c>
      <c r="I648" s="6" t="s">
        <v>402</v>
      </c>
      <c r="J648" s="6" t="str">
        <f>IF(E648="KTG","KTG",(VLOOKUP(I648,'[1]list of outsource'!B:H,2,0)))</f>
        <v>ETC</v>
      </c>
      <c r="K648" s="6" t="s">
        <v>403</v>
      </c>
      <c r="L648" s="6">
        <v>62</v>
      </c>
      <c r="M648" s="6" t="s">
        <v>1709</v>
      </c>
      <c r="N648" s="6" t="s">
        <v>1710</v>
      </c>
      <c r="O648" s="6" t="s">
        <v>2037</v>
      </c>
      <c r="P648" s="6" t="s">
        <v>1645</v>
      </c>
      <c r="Q648" s="8">
        <v>45519</v>
      </c>
      <c r="R648" s="6"/>
      <c r="S648" s="6"/>
      <c r="T648" s="6"/>
      <c r="U648" s="6">
        <v>4</v>
      </c>
      <c r="V648" s="6" t="s">
        <v>665</v>
      </c>
      <c r="W648" s="6" t="s">
        <v>37</v>
      </c>
      <c r="X648" s="7">
        <v>45538</v>
      </c>
      <c r="Y648" s="7">
        <v>45607</v>
      </c>
      <c r="AB648" t="s">
        <v>1712</v>
      </c>
      <c r="AC648" t="e">
        <v>#N/A</v>
      </c>
      <c r="AE648" t="str">
        <f t="shared" si="89"/>
        <v>P000337</v>
      </c>
      <c r="AF648" t="str">
        <f>_xlfn.XLOOKUP(AE648, Hoja2!A:A, Hoja2!A:A)</f>
        <v>P000337</v>
      </c>
      <c r="AG648" t="str">
        <f t="shared" si="86"/>
        <v>PP00054-03</v>
      </c>
      <c r="AH648">
        <f>_xlfn.XLOOKUP(AG648, Hoja3!A:A, Hoja3!B:B)</f>
        <v>81</v>
      </c>
      <c r="AI648">
        <f>_xlfn.XLOOKUP(AH648, Hoja4!A:A, Hoja4!B:B)</f>
        <v>252367</v>
      </c>
      <c r="AJ648" t="b">
        <f t="shared" si="87"/>
        <v>1</v>
      </c>
    </row>
    <row r="649" spans="1:36" ht="15.5" customHeight="1" x14ac:dyDescent="0.35">
      <c r="A649">
        <f t="shared" ca="1" si="88"/>
        <v>30</v>
      </c>
      <c r="B649" s="12" t="s">
        <v>1072</v>
      </c>
      <c r="C649" s="13">
        <v>45511</v>
      </c>
      <c r="D649" s="14" t="s">
        <v>121</v>
      </c>
      <c r="E649" s="14" t="s">
        <v>83</v>
      </c>
      <c r="F649" s="14" t="s">
        <v>329</v>
      </c>
      <c r="G649" s="14" t="s">
        <v>299</v>
      </c>
      <c r="H649" s="14" t="s">
        <v>117</v>
      </c>
      <c r="I649" s="14" t="s">
        <v>87</v>
      </c>
      <c r="J649" s="14" t="str">
        <f>IF(E649="KTG","KTG",(VLOOKUP(I649,'[1]list of outsource'!B:H,2,0)))</f>
        <v>UPM</v>
      </c>
      <c r="K649" s="14" t="s">
        <v>88</v>
      </c>
      <c r="L649" s="14"/>
      <c r="M649" s="14" t="s">
        <v>118</v>
      </c>
      <c r="N649" s="14" t="s">
        <v>119</v>
      </c>
      <c r="O649" s="14" t="s">
        <v>1073</v>
      </c>
      <c r="P649" s="14"/>
      <c r="Q649" s="15"/>
      <c r="R649" s="14"/>
      <c r="S649" s="16"/>
      <c r="T649" s="14"/>
      <c r="U649" s="14">
        <v>1</v>
      </c>
      <c r="V649" s="14" t="s">
        <v>569</v>
      </c>
      <c r="W649" s="14" t="s">
        <v>154</v>
      </c>
      <c r="X649" s="13">
        <v>45541</v>
      </c>
      <c r="Y649" s="13"/>
      <c r="AB649" t="e">
        <v>#N/A</v>
      </c>
      <c r="AC649" t="e">
        <v>#N/A</v>
      </c>
      <c r="AE649" t="str">
        <f t="shared" si="89"/>
        <v>P000043</v>
      </c>
      <c r="AF649" t="str">
        <f>_xlfn.XLOOKUP(AE649, Hoja2!A:A, Hoja2!A:A)</f>
        <v>P000043</v>
      </c>
      <c r="AG649" t="str">
        <f t="shared" si="86"/>
        <v>PP00024-21</v>
      </c>
      <c r="AH649">
        <f>_xlfn.XLOOKUP(AG649, Hoja3!A:A, Hoja3!B:B)</f>
        <v>4497</v>
      </c>
      <c r="AI649" t="str">
        <f>_xlfn.XLOOKUP(AH649, Hoja4!A:A, Hoja4!B:B)</f>
        <v>E26459700</v>
      </c>
      <c r="AJ649" t="b">
        <f t="shared" si="87"/>
        <v>1</v>
      </c>
    </row>
    <row r="650" spans="1:36" ht="15.5" customHeight="1" x14ac:dyDescent="0.35">
      <c r="A650">
        <f t="shared" ca="1" si="88"/>
        <v>69</v>
      </c>
      <c r="B650" s="12" t="s">
        <v>2038</v>
      </c>
      <c r="C650" s="13">
        <v>45519</v>
      </c>
      <c r="D650" s="14" t="s">
        <v>121</v>
      </c>
      <c r="E650" s="14" t="s">
        <v>139</v>
      </c>
      <c r="F650" s="14" t="s">
        <v>1952</v>
      </c>
      <c r="G650" s="14" t="s">
        <v>299</v>
      </c>
      <c r="H650" s="14" t="s">
        <v>2039</v>
      </c>
      <c r="I650" s="14" t="s">
        <v>494</v>
      </c>
      <c r="J650" s="14" t="str">
        <f>IF(E650="KTG","KTG",(VLOOKUP(I650,'[1]list of outsource'!B:H,2,0)))</f>
        <v>ETC</v>
      </c>
      <c r="K650" s="14" t="s">
        <v>495</v>
      </c>
      <c r="L650" s="14">
        <v>28</v>
      </c>
      <c r="M650" s="14" t="s">
        <v>2040</v>
      </c>
      <c r="N650" s="14" t="s">
        <v>2041</v>
      </c>
      <c r="O650" s="14" t="s">
        <v>2042</v>
      </c>
      <c r="P650" s="14"/>
      <c r="Q650" s="15">
        <v>45533</v>
      </c>
      <c r="R650" s="14"/>
      <c r="S650" s="16"/>
      <c r="T650" s="14"/>
      <c r="U650" s="14">
        <v>4</v>
      </c>
      <c r="V650" s="14" t="s">
        <v>879</v>
      </c>
      <c r="W650" s="14" t="s">
        <v>37</v>
      </c>
      <c r="X650" s="13">
        <v>45588</v>
      </c>
      <c r="Y650" s="13"/>
      <c r="AB650" t="e">
        <v>#N/A</v>
      </c>
      <c r="AC650" t="s">
        <v>4210</v>
      </c>
      <c r="AE650" t="str">
        <f t="shared" si="89"/>
        <v>P000977</v>
      </c>
      <c r="AF650" t="str">
        <f>_xlfn.XLOOKUP(AE650, Hoja2!A:A, Hoja2!A:A)</f>
        <v>P000977</v>
      </c>
      <c r="AG650" t="str">
        <f t="shared" si="86"/>
        <v>PP00060-14</v>
      </c>
      <c r="AH650">
        <f>_xlfn.XLOOKUP(AG650, Hoja3!A:A, Hoja3!B:B)</f>
        <v>4473</v>
      </c>
      <c r="AI650" t="str">
        <f>_xlfn.XLOOKUP(AH650, Hoja4!A:A, Hoja4!B:B)</f>
        <v>7094193150 Doc ID 2568153</v>
      </c>
      <c r="AJ650" t="b">
        <f t="shared" si="87"/>
        <v>1</v>
      </c>
    </row>
    <row r="651" spans="1:36" ht="15.5" customHeight="1" x14ac:dyDescent="0.35">
      <c r="A651">
        <f t="shared" ca="1" si="88"/>
        <v>69</v>
      </c>
      <c r="B651" s="12" t="s">
        <v>2043</v>
      </c>
      <c r="C651" s="13">
        <v>45519</v>
      </c>
      <c r="D651" s="14" t="s">
        <v>121</v>
      </c>
      <c r="E651" s="14" t="s">
        <v>139</v>
      </c>
      <c r="F651" s="14" t="s">
        <v>1952</v>
      </c>
      <c r="G651" s="14" t="s">
        <v>299</v>
      </c>
      <c r="H651" s="14" t="s">
        <v>2044</v>
      </c>
      <c r="I651" s="14" t="s">
        <v>494</v>
      </c>
      <c r="J651" s="14" t="str">
        <f>IF(E651="KTG","KTG",(VLOOKUP(I651,'[1]list of outsource'!B:H,2,0)))</f>
        <v>ETC</v>
      </c>
      <c r="K651" s="14" t="s">
        <v>495</v>
      </c>
      <c r="L651" s="14">
        <v>28</v>
      </c>
      <c r="M651" s="14" t="s">
        <v>2045</v>
      </c>
      <c r="N651" s="14" t="s">
        <v>2046</v>
      </c>
      <c r="O651" s="14" t="s">
        <v>2047</v>
      </c>
      <c r="P651" s="14"/>
      <c r="Q651" s="15">
        <v>45533</v>
      </c>
      <c r="R651" s="14"/>
      <c r="S651" s="16"/>
      <c r="T651" s="14"/>
      <c r="U651" s="14">
        <v>4</v>
      </c>
      <c r="V651" s="14" t="s">
        <v>879</v>
      </c>
      <c r="W651" s="14" t="s">
        <v>37</v>
      </c>
      <c r="X651" s="13">
        <v>45588</v>
      </c>
      <c r="Y651" s="13"/>
      <c r="AB651" t="e">
        <v>#N/A</v>
      </c>
      <c r="AC651" t="e">
        <v>#N/A</v>
      </c>
      <c r="AE651" t="str">
        <f t="shared" si="89"/>
        <v>P000978</v>
      </c>
      <c r="AF651" t="str">
        <f>_xlfn.XLOOKUP(AE651, Hoja2!A:A, Hoja2!A:A)</f>
        <v>P000978</v>
      </c>
      <c r="AG651" t="str">
        <f t="shared" si="86"/>
        <v>PP00060-15</v>
      </c>
      <c r="AH651">
        <f>_xlfn.XLOOKUP(AG651, Hoja3!A:A, Hoja3!B:B)</f>
        <v>4474</v>
      </c>
      <c r="AI651" t="str">
        <f>_xlfn.XLOOKUP(AH651, Hoja4!A:A, Hoja4!B:B)</f>
        <v>7094193050 Doc ID 2568165</v>
      </c>
      <c r="AJ651" t="b">
        <f t="shared" si="87"/>
        <v>1</v>
      </c>
    </row>
    <row r="652" spans="1:36" ht="15.5" customHeight="1" x14ac:dyDescent="0.35">
      <c r="A652">
        <f t="shared" ca="1" si="88"/>
        <v>1</v>
      </c>
      <c r="B652" s="6" t="s">
        <v>1573</v>
      </c>
      <c r="C652" s="7">
        <v>45519</v>
      </c>
      <c r="D652" s="6" t="s">
        <v>1606</v>
      </c>
      <c r="E652" s="6" t="s">
        <v>83</v>
      </c>
      <c r="F652" s="6" t="s">
        <v>101</v>
      </c>
      <c r="G652" s="6" t="s">
        <v>32</v>
      </c>
      <c r="H652" s="6">
        <v>3149738</v>
      </c>
      <c r="I652" s="6" t="s">
        <v>158</v>
      </c>
      <c r="J652" s="6" t="str">
        <f>IF(E652="KTG","KTG",(VLOOKUP(I652,'[1]list of outsource'!B:H,2,0)))</f>
        <v>UPM</v>
      </c>
      <c r="K652" s="6" t="s">
        <v>159</v>
      </c>
      <c r="L652" s="6">
        <v>38</v>
      </c>
      <c r="M652" s="6" t="s">
        <v>1574</v>
      </c>
      <c r="N652" s="6" t="s">
        <v>1575</v>
      </c>
      <c r="O652" s="6" t="s">
        <v>2048</v>
      </c>
      <c r="P652" s="6"/>
      <c r="Q652" s="8" t="s">
        <v>575</v>
      </c>
      <c r="R652" s="6"/>
      <c r="S652" s="6"/>
      <c r="T652" s="6"/>
      <c r="U652" s="6">
        <v>4</v>
      </c>
      <c r="V652" s="6" t="s">
        <v>879</v>
      </c>
      <c r="W652" s="6" t="s">
        <v>37</v>
      </c>
      <c r="X652" s="7">
        <v>45520</v>
      </c>
      <c r="Y652" s="7"/>
      <c r="AB652" t="e">
        <v>#N/A</v>
      </c>
      <c r="AC652" t="e">
        <v>#N/A</v>
      </c>
      <c r="AE652" t="str">
        <f t="shared" si="89"/>
        <v>P000299</v>
      </c>
      <c r="AF652" t="str">
        <f>_xlfn.XLOOKUP(AE652, Hoja2!A:A, Hoja2!A:A)</f>
        <v>P000299</v>
      </c>
      <c r="AG652" t="str">
        <f t="shared" si="86"/>
        <v>PP00053-03</v>
      </c>
      <c r="AH652">
        <f>_xlfn.XLOOKUP(AG652, Hoja3!A:A, Hoja3!B:B)</f>
        <v>3960</v>
      </c>
      <c r="AI652">
        <f>_xlfn.XLOOKUP(AH652, Hoja4!A:A, Hoja4!B:B)</f>
        <v>3149738</v>
      </c>
      <c r="AJ652" t="b">
        <f t="shared" si="87"/>
        <v>1</v>
      </c>
    </row>
    <row r="653" spans="1:36" ht="15.5" customHeight="1" x14ac:dyDescent="0.35">
      <c r="A653">
        <f t="shared" ca="1" si="88"/>
        <v>43</v>
      </c>
      <c r="B653" s="6" t="s">
        <v>2049</v>
      </c>
      <c r="C653" s="7">
        <v>45455</v>
      </c>
      <c r="D653" s="6" t="s">
        <v>912</v>
      </c>
      <c r="E653" s="6" t="s">
        <v>30</v>
      </c>
      <c r="F653" s="6" t="s">
        <v>658</v>
      </c>
      <c r="G653" s="6" t="s">
        <v>32</v>
      </c>
      <c r="H653" s="6">
        <v>12186167</v>
      </c>
      <c r="I653" s="6"/>
      <c r="J653" s="6" t="str">
        <f>IF(E653="KTG","KTG",(VLOOKUP(I653,'[1]list of outsource'!B:H,2,0)))</f>
        <v>KTG</v>
      </c>
      <c r="K653" s="6"/>
      <c r="L653" s="6"/>
      <c r="M653" s="6" t="s">
        <v>659</v>
      </c>
      <c r="N653" s="6" t="s">
        <v>660</v>
      </c>
      <c r="O653" s="6"/>
      <c r="P653" s="6"/>
      <c r="Q653" s="8">
        <v>45482</v>
      </c>
      <c r="R653" s="6"/>
      <c r="S653" s="6"/>
      <c r="T653" s="6"/>
      <c r="U653" s="6">
        <v>1</v>
      </c>
      <c r="V653" s="6" t="s">
        <v>569</v>
      </c>
      <c r="W653" s="6" t="s">
        <v>576</v>
      </c>
      <c r="X653" s="7">
        <v>45498</v>
      </c>
      <c r="Y653" s="7">
        <v>45512</v>
      </c>
      <c r="AB653" t="e">
        <v>#N/A</v>
      </c>
      <c r="AC653" t="e">
        <v>#N/A</v>
      </c>
      <c r="AE653" t="str">
        <f t="shared" si="89"/>
        <v>E47405</v>
      </c>
      <c r="AF653" t="str">
        <f>_xlfn.XLOOKUP(AE653, Hoja2!A:A, Hoja2!A:A)</f>
        <v>E47405</v>
      </c>
      <c r="AG653" t="str">
        <f t="shared" si="86"/>
        <v>PP00034-33</v>
      </c>
      <c r="AH653">
        <f>_xlfn.XLOOKUP(AG653, Hoja3!A:A, Hoja3!B:B)</f>
        <v>4748</v>
      </c>
      <c r="AI653">
        <f>_xlfn.XLOOKUP(AH653, Hoja4!A:A, Hoja4!B:B)</f>
        <v>12186167</v>
      </c>
      <c r="AJ653" t="b">
        <f t="shared" si="87"/>
        <v>1</v>
      </c>
    </row>
    <row r="654" spans="1:36" ht="15.5" customHeight="1" x14ac:dyDescent="0.35">
      <c r="A654">
        <f t="shared" ca="1" si="88"/>
        <v>4</v>
      </c>
      <c r="B654" s="6" t="s">
        <v>2024</v>
      </c>
      <c r="C654" s="7">
        <v>45394</v>
      </c>
      <c r="D654" s="6" t="s">
        <v>912</v>
      </c>
      <c r="E654" s="6" t="s">
        <v>83</v>
      </c>
      <c r="F654" s="6" t="s">
        <v>84</v>
      </c>
      <c r="G654" s="6" t="s">
        <v>156</v>
      </c>
      <c r="H654" s="6" t="s">
        <v>397</v>
      </c>
      <c r="I654" s="6" t="s">
        <v>158</v>
      </c>
      <c r="J654" s="6" t="str">
        <f>IF(E654="KTG","KTG",(VLOOKUP(I654,'[1]list of outsource'!B:H,2,0)))</f>
        <v>UPM</v>
      </c>
      <c r="K654" s="6" t="s">
        <v>159</v>
      </c>
      <c r="L654" s="6">
        <v>38</v>
      </c>
      <c r="M654" s="6" t="s">
        <v>398</v>
      </c>
      <c r="N654" s="6" t="s">
        <v>399</v>
      </c>
      <c r="O654" s="6">
        <v>1173684862</v>
      </c>
      <c r="P654" s="6"/>
      <c r="Q654" s="8" t="s">
        <v>575</v>
      </c>
      <c r="R654" s="6"/>
      <c r="S654" s="6"/>
      <c r="T654" s="6"/>
      <c r="U654" s="6">
        <v>1</v>
      </c>
      <c r="V654" s="6" t="s">
        <v>569</v>
      </c>
      <c r="W654" s="6" t="s">
        <v>154</v>
      </c>
      <c r="X654" s="7">
        <v>45398</v>
      </c>
      <c r="Y654" s="7">
        <v>45401</v>
      </c>
      <c r="AB654" t="e">
        <v>#N/A</v>
      </c>
      <c r="AC654" t="e">
        <v>#N/A</v>
      </c>
      <c r="AE654" t="str">
        <f t="shared" si="89"/>
        <v>P000145</v>
      </c>
      <c r="AF654" t="str">
        <f>_xlfn.XLOOKUP(AE654, Hoja2!A:A, Hoja2!A:A)</f>
        <v>P000145</v>
      </c>
      <c r="AG654" t="str">
        <f t="shared" si="86"/>
        <v>PP00028-42</v>
      </c>
      <c r="AH654">
        <f>_xlfn.XLOOKUP(AG654, Hoja3!A:A, Hoja3!B:B)</f>
        <v>5366</v>
      </c>
      <c r="AI654" t="str">
        <f>_xlfn.XLOOKUP(AH654, Hoja4!A:A, Hoja4!B:B)</f>
        <v>E34991600</v>
      </c>
      <c r="AJ654" t="b">
        <f t="shared" si="87"/>
        <v>1</v>
      </c>
    </row>
    <row r="655" spans="1:36" ht="15.5" customHeight="1" x14ac:dyDescent="0.35">
      <c r="A655">
        <f t="shared" ca="1" si="88"/>
        <v>22</v>
      </c>
      <c r="B655" s="6" t="s">
        <v>2024</v>
      </c>
      <c r="C655" s="7">
        <v>45735</v>
      </c>
      <c r="D655" s="6" t="s">
        <v>564</v>
      </c>
      <c r="E655" s="6" t="s">
        <v>83</v>
      </c>
      <c r="F655" s="6" t="s">
        <v>84</v>
      </c>
      <c r="G655" s="6" t="s">
        <v>156</v>
      </c>
      <c r="H655" s="6" t="s">
        <v>397</v>
      </c>
      <c r="I655" s="6" t="s">
        <v>158</v>
      </c>
      <c r="J655" s="6" t="str">
        <f>IF(E655="KTG","KTG",(VLOOKUP(I655,'[1]list of outsource'!B:H,2,0)))</f>
        <v>UPM</v>
      </c>
      <c r="K655" s="6" t="s">
        <v>159</v>
      </c>
      <c r="L655" s="6">
        <v>45</v>
      </c>
      <c r="M655" s="6" t="s">
        <v>398</v>
      </c>
      <c r="N655" s="6" t="s">
        <v>399</v>
      </c>
      <c r="O655" s="6" t="s">
        <v>2050</v>
      </c>
      <c r="P655" s="6"/>
      <c r="Q655" s="8"/>
      <c r="R655" s="6"/>
      <c r="S655" s="6"/>
      <c r="T655" s="6"/>
      <c r="U655" s="6">
        <v>1</v>
      </c>
      <c r="V655" s="6" t="s">
        <v>569</v>
      </c>
      <c r="W655" s="6" t="s">
        <v>154</v>
      </c>
      <c r="X655" s="7">
        <v>45757</v>
      </c>
      <c r="Y655" s="7">
        <v>45786</v>
      </c>
      <c r="AB655" t="e">
        <v>#N/A</v>
      </c>
      <c r="AC655" t="e">
        <v>#N/A</v>
      </c>
      <c r="AE655" t="str">
        <f t="shared" si="89"/>
        <v>P000145</v>
      </c>
      <c r="AF655" t="str">
        <f>_xlfn.XLOOKUP(AE655, Hoja2!A:A, Hoja2!A:A)</f>
        <v>P000145</v>
      </c>
      <c r="AG655" t="str">
        <f t="shared" si="86"/>
        <v>PP00028-42</v>
      </c>
      <c r="AH655">
        <f>_xlfn.XLOOKUP(AG655, Hoja3!A:A, Hoja3!B:B)</f>
        <v>5366</v>
      </c>
      <c r="AI655" t="str">
        <f>_xlfn.XLOOKUP(AH655, Hoja4!A:A, Hoja4!B:B)</f>
        <v>E34991600</v>
      </c>
      <c r="AJ655" t="b">
        <f t="shared" si="87"/>
        <v>1</v>
      </c>
    </row>
    <row r="656" spans="1:36" ht="15.5" customHeight="1" x14ac:dyDescent="0.35">
      <c r="A656">
        <f t="shared" ca="1" si="88"/>
        <v>27</v>
      </c>
      <c r="B656" s="12" t="s">
        <v>2051</v>
      </c>
      <c r="C656" s="13">
        <v>45532</v>
      </c>
      <c r="D656" s="14" t="s">
        <v>121</v>
      </c>
      <c r="E656" s="14" t="s">
        <v>83</v>
      </c>
      <c r="F656" s="14" t="s">
        <v>1857</v>
      </c>
      <c r="G656" s="14" t="s">
        <v>32</v>
      </c>
      <c r="H656" s="14">
        <v>60738</v>
      </c>
      <c r="I656" s="14" t="s">
        <v>95</v>
      </c>
      <c r="J656" s="14" t="str">
        <f>IF(E656="KTG","KTG",(VLOOKUP(I656,'[1]list of outsource'!B:H,2,0)))</f>
        <v>Woer</v>
      </c>
      <c r="K656" s="14" t="s">
        <v>96</v>
      </c>
      <c r="L656" s="14">
        <v>50</v>
      </c>
      <c r="M656" s="14" t="s">
        <v>2052</v>
      </c>
      <c r="N656" s="14" t="s">
        <v>2053</v>
      </c>
      <c r="O656" s="14" t="s">
        <v>2054</v>
      </c>
      <c r="P656" s="14"/>
      <c r="Q656" s="15">
        <v>45540</v>
      </c>
      <c r="R656" s="14"/>
      <c r="S656" s="16"/>
      <c r="T656" s="14"/>
      <c r="U656" s="14">
        <v>4</v>
      </c>
      <c r="V656" s="14" t="s">
        <v>919</v>
      </c>
      <c r="W656" s="14" t="s">
        <v>37</v>
      </c>
      <c r="X656" s="13">
        <v>45559</v>
      </c>
      <c r="Y656" s="13"/>
      <c r="AB656" t="e">
        <v>#N/A</v>
      </c>
      <c r="AC656" t="e">
        <v>#N/A</v>
      </c>
      <c r="AE656" t="str">
        <f t="shared" si="89"/>
        <v>P000497</v>
      </c>
      <c r="AF656" t="str">
        <f>_xlfn.XLOOKUP(AE656, Hoja2!A:A, Hoja2!A:A)</f>
        <v>P000497</v>
      </c>
      <c r="AG656" t="str">
        <f t="shared" si="86"/>
        <v>PP00056-07</v>
      </c>
      <c r="AH656">
        <f>_xlfn.XLOOKUP(AG656, Hoja3!A:A, Hoja3!B:B)</f>
        <v>4378</v>
      </c>
      <c r="AI656">
        <f>_xlfn.XLOOKUP(AH656, Hoja4!A:A, Hoja4!B:B)</f>
        <v>60738</v>
      </c>
      <c r="AJ656" t="b">
        <f t="shared" si="87"/>
        <v>1</v>
      </c>
    </row>
    <row r="657" spans="1:36" ht="15.5" customHeight="1" x14ac:dyDescent="0.35">
      <c r="A657">
        <f t="shared" ca="1" si="88"/>
        <v>36</v>
      </c>
      <c r="B657" s="12" t="s">
        <v>2055</v>
      </c>
      <c r="C657" s="13">
        <v>45538</v>
      </c>
      <c r="D657" s="14" t="s">
        <v>121</v>
      </c>
      <c r="E657" s="14" t="s">
        <v>139</v>
      </c>
      <c r="F657" s="14" t="s">
        <v>148</v>
      </c>
      <c r="G657" s="14" t="s">
        <v>32</v>
      </c>
      <c r="H657" s="14" t="s">
        <v>2056</v>
      </c>
      <c r="I657" s="14" t="s">
        <v>402</v>
      </c>
      <c r="J657" s="14" t="str">
        <f>IF(E657="KTG","KTG",(VLOOKUP(I657,'[1]list of outsource'!B:H,2,0)))</f>
        <v>ETC</v>
      </c>
      <c r="K657" s="14" t="s">
        <v>403</v>
      </c>
      <c r="L657" s="14">
        <v>63</v>
      </c>
      <c r="M657" s="14" t="s">
        <v>2057</v>
      </c>
      <c r="N657" s="14" t="s">
        <v>2056</v>
      </c>
      <c r="O657" s="14" t="s">
        <v>2058</v>
      </c>
      <c r="P657" s="14"/>
      <c r="Q657" s="15">
        <v>45544</v>
      </c>
      <c r="R657" s="14"/>
      <c r="S657" s="16"/>
      <c r="T657" s="14"/>
      <c r="U657" s="14">
        <v>4</v>
      </c>
      <c r="V657" s="14" t="s">
        <v>879</v>
      </c>
      <c r="W657" s="14" t="s">
        <v>37</v>
      </c>
      <c r="X657" s="13">
        <v>45574</v>
      </c>
      <c r="Y657" s="13"/>
      <c r="AB657" t="e">
        <v>#N/A</v>
      </c>
      <c r="AC657" t="e">
        <v>#N/A</v>
      </c>
      <c r="AE657" t="str">
        <f t="shared" si="89"/>
        <v>P000693</v>
      </c>
      <c r="AF657" t="str">
        <f>_xlfn.XLOOKUP(AE657, Hoja2!A:A, Hoja2!A:A)</f>
        <v>P000693</v>
      </c>
      <c r="AG657" t="str">
        <f t="shared" si="86"/>
        <v>PP00029-16</v>
      </c>
      <c r="AH657">
        <f>_xlfn.XLOOKUP(AG657, Hoja3!A:A, Hoja3!B:B)</f>
        <v>5134</v>
      </c>
      <c r="AI657" t="str">
        <f>_xlfn.XLOOKUP(AH657, Hoja4!A:A, Hoja4!B:B)</f>
        <v>ET25-18.3/4.5-BLK-110mm</v>
      </c>
      <c r="AJ657" t="b">
        <f t="shared" si="87"/>
        <v>1</v>
      </c>
    </row>
    <row r="658" spans="1:36" ht="15.5" customHeight="1" x14ac:dyDescent="0.35">
      <c r="A658">
        <f t="shared" ca="1" si="88"/>
        <v>3</v>
      </c>
      <c r="B658" s="12" t="s">
        <v>2059</v>
      </c>
      <c r="C658" s="13">
        <v>45243</v>
      </c>
      <c r="D658" s="14" t="s">
        <v>121</v>
      </c>
      <c r="E658" s="14" t="s">
        <v>83</v>
      </c>
      <c r="F658" s="14" t="s">
        <v>84</v>
      </c>
      <c r="G658" s="14" t="s">
        <v>156</v>
      </c>
      <c r="H658" s="14" t="s">
        <v>381</v>
      </c>
      <c r="I658" s="14" t="s">
        <v>218</v>
      </c>
      <c r="J658" s="14" t="str">
        <f>IF(E658="KTG","KTG",(VLOOKUP(I658,'[1]list of outsource'!B:H,2,0)))</f>
        <v>UPM</v>
      </c>
      <c r="K658" s="14" t="s">
        <v>219</v>
      </c>
      <c r="L658" s="14">
        <v>10</v>
      </c>
      <c r="M658" s="14" t="s">
        <v>382</v>
      </c>
      <c r="N658" s="14" t="s">
        <v>383</v>
      </c>
      <c r="O658" s="14">
        <v>1173453435</v>
      </c>
      <c r="P658" s="14"/>
      <c r="Q658" s="15"/>
      <c r="R658" s="14"/>
      <c r="S658" s="16"/>
      <c r="T658" s="14"/>
      <c r="U658" s="14">
        <v>1</v>
      </c>
      <c r="V658" s="14"/>
      <c r="W658" s="14" t="s">
        <v>154</v>
      </c>
      <c r="X658" s="13">
        <v>45246</v>
      </c>
      <c r="Y658" s="13"/>
      <c r="AB658" t="e">
        <v>#N/A</v>
      </c>
      <c r="AC658" t="e">
        <v>#N/A</v>
      </c>
      <c r="AE658" t="str">
        <f t="shared" si="89"/>
        <v>P000132</v>
      </c>
      <c r="AF658" t="str">
        <f>_xlfn.XLOOKUP(AE658, Hoja2!A:A, Hoja2!A:A)</f>
        <v>P000132</v>
      </c>
      <c r="AG658" t="str">
        <f t="shared" si="86"/>
        <v>PP00028-43</v>
      </c>
      <c r="AH658">
        <f>_xlfn.XLOOKUP(AG658, Hoja3!A:A, Hoja3!B:B)</f>
        <v>5368</v>
      </c>
      <c r="AI658" t="str">
        <f>_xlfn.XLOOKUP(AH658, Hoja4!A:A, Hoja4!B:B)</f>
        <v>E34749800</v>
      </c>
      <c r="AJ658" t="b">
        <f t="shared" si="87"/>
        <v>1</v>
      </c>
    </row>
    <row r="659" spans="1:36" ht="15.5" customHeight="1" x14ac:dyDescent="0.35">
      <c r="A659">
        <f t="shared" ca="1" si="88"/>
        <v>27</v>
      </c>
      <c r="B659" s="12" t="s">
        <v>355</v>
      </c>
      <c r="C659" s="13">
        <v>45541</v>
      </c>
      <c r="D659" s="14" t="s">
        <v>121</v>
      </c>
      <c r="E659" s="14" t="s">
        <v>83</v>
      </c>
      <c r="F659" s="14" t="s">
        <v>356</v>
      </c>
      <c r="G659" s="14" t="s">
        <v>32</v>
      </c>
      <c r="H659" s="14" t="s">
        <v>357</v>
      </c>
      <c r="I659" s="14" t="s">
        <v>158</v>
      </c>
      <c r="J659" s="14" t="str">
        <f>IF(E659="KTG","KTG",(VLOOKUP(I659,'[1]list of outsource'!B:H,2,0)))</f>
        <v>UPM</v>
      </c>
      <c r="K659" s="14" t="s">
        <v>159</v>
      </c>
      <c r="L659" s="14">
        <v>45</v>
      </c>
      <c r="M659" s="14" t="s">
        <v>358</v>
      </c>
      <c r="N659" s="14" t="s">
        <v>1241</v>
      </c>
      <c r="O659" s="14" t="s">
        <v>1242</v>
      </c>
      <c r="P659" s="14"/>
      <c r="Q659" s="15">
        <v>45544</v>
      </c>
      <c r="R659" s="14"/>
      <c r="S659" s="16"/>
      <c r="T659" s="14"/>
      <c r="U659" s="14">
        <v>2</v>
      </c>
      <c r="V659" s="14" t="s">
        <v>569</v>
      </c>
      <c r="W659" s="14" t="s">
        <v>154</v>
      </c>
      <c r="X659" s="13">
        <v>45568</v>
      </c>
      <c r="Y659" s="13"/>
      <c r="AB659" t="e">
        <v>#N/A</v>
      </c>
      <c r="AC659" t="e">
        <v>#N/A</v>
      </c>
      <c r="AE659" t="str">
        <f t="shared" si="89"/>
        <v>P000109</v>
      </c>
      <c r="AF659" t="str">
        <f>_xlfn.XLOOKUP(AE659, Hoja2!A:A, Hoja2!A:A)</f>
        <v>P000109</v>
      </c>
      <c r="AG659" t="str">
        <f t="shared" si="86"/>
        <v>PP00012-01</v>
      </c>
      <c r="AH659">
        <f>_xlfn.XLOOKUP(AG659, Hoja3!A:A, Hoja3!B:B)</f>
        <v>4045</v>
      </c>
      <c r="AI659" t="str">
        <f>_xlfn.XLOOKUP(AH659, Hoja4!A:A, Hoja4!B:B)</f>
        <v>GAT125</v>
      </c>
      <c r="AJ659" t="b">
        <f t="shared" si="87"/>
        <v>1</v>
      </c>
    </row>
    <row r="660" spans="1:36" ht="15.5" customHeight="1" x14ac:dyDescent="0.35">
      <c r="A660">
        <f t="shared" ca="1" si="88"/>
        <v>31</v>
      </c>
      <c r="B660" s="6" t="s">
        <v>2060</v>
      </c>
      <c r="C660" s="7">
        <v>45551</v>
      </c>
      <c r="D660" s="6" t="s">
        <v>912</v>
      </c>
      <c r="E660" s="6" t="s">
        <v>83</v>
      </c>
      <c r="F660" s="6" t="s">
        <v>933</v>
      </c>
      <c r="G660" s="6" t="s">
        <v>299</v>
      </c>
      <c r="H660" s="6">
        <v>35758196</v>
      </c>
      <c r="I660" s="6" t="s">
        <v>2061</v>
      </c>
      <c r="J660" s="6" t="str">
        <f>IF(E660="KTG","KTG",(VLOOKUP(I660,'[1]list of outsource'!B:H,2,0)))</f>
        <v>UPM</v>
      </c>
      <c r="K660" s="6" t="s">
        <v>2062</v>
      </c>
      <c r="L660" s="6">
        <v>9</v>
      </c>
      <c r="M660" s="6" t="s">
        <v>2063</v>
      </c>
      <c r="N660" s="6" t="s">
        <v>2064</v>
      </c>
      <c r="O660" s="6" t="s">
        <v>2065</v>
      </c>
      <c r="P660" s="6"/>
      <c r="Q660" s="8"/>
      <c r="R660" s="6"/>
      <c r="S660" s="6"/>
      <c r="T660" s="6"/>
      <c r="U660" s="6">
        <v>4</v>
      </c>
      <c r="V660" s="6" t="s">
        <v>879</v>
      </c>
      <c r="W660" s="6" t="s">
        <v>37</v>
      </c>
      <c r="X660" s="7">
        <v>45582</v>
      </c>
      <c r="Y660" s="7">
        <v>45623</v>
      </c>
      <c r="AB660" t="e">
        <v>#N/A</v>
      </c>
      <c r="AC660" t="e">
        <v>#N/A</v>
      </c>
      <c r="AE660" t="str">
        <f t="shared" si="89"/>
        <v>P000388</v>
      </c>
      <c r="AF660" t="str">
        <f>_xlfn.XLOOKUP(AE660, Hoja2!A:A, Hoja2!A:A)</f>
        <v>P000388</v>
      </c>
      <c r="AG660" t="str">
        <f t="shared" si="86"/>
        <v>PP00063-0002</v>
      </c>
      <c r="AH660">
        <f>_xlfn.XLOOKUP(AG660, Hoja3!A:A, Hoja3!B:B)</f>
        <v>5162</v>
      </c>
      <c r="AI660">
        <f>_xlfn.XLOOKUP(AH660, Hoja4!A:A, Hoja4!B:B)</f>
        <v>35758196</v>
      </c>
      <c r="AJ660" t="b">
        <f t="shared" si="87"/>
        <v>1</v>
      </c>
    </row>
    <row r="661" spans="1:36" ht="15.5" customHeight="1" x14ac:dyDescent="0.35">
      <c r="A661">
        <f t="shared" ca="1" si="88"/>
        <v>31</v>
      </c>
      <c r="B661" s="6" t="s">
        <v>2066</v>
      </c>
      <c r="C661" s="7">
        <v>45551</v>
      </c>
      <c r="D661" s="6" t="s">
        <v>912</v>
      </c>
      <c r="E661" s="6" t="s">
        <v>139</v>
      </c>
      <c r="F661" s="6" t="s">
        <v>933</v>
      </c>
      <c r="G661" s="6" t="s">
        <v>299</v>
      </c>
      <c r="H661" s="6">
        <v>35758212</v>
      </c>
      <c r="I661" s="6" t="s">
        <v>402</v>
      </c>
      <c r="J661" s="6" t="str">
        <f>IF(E661="KTG","KTG",(VLOOKUP(I661,'[1]list of outsource'!B:H,2,0)))</f>
        <v>ETC</v>
      </c>
      <c r="K661" s="6" t="s">
        <v>403</v>
      </c>
      <c r="L661" s="6">
        <v>62</v>
      </c>
      <c r="M661" s="6" t="s">
        <v>2067</v>
      </c>
      <c r="N661" s="6" t="s">
        <v>2068</v>
      </c>
      <c r="O661" s="6" t="s">
        <v>2069</v>
      </c>
      <c r="P661" s="6"/>
      <c r="Q661" s="8"/>
      <c r="R661" s="6"/>
      <c r="S661" s="6"/>
      <c r="T661" s="6"/>
      <c r="U661" s="6">
        <v>4</v>
      </c>
      <c r="V661" s="6" t="s">
        <v>879</v>
      </c>
      <c r="W661" s="6" t="s">
        <v>37</v>
      </c>
      <c r="X661" s="7">
        <v>45582</v>
      </c>
      <c r="Y661" s="7">
        <v>45623</v>
      </c>
      <c r="AB661" t="e">
        <v>#N/A</v>
      </c>
      <c r="AC661" t="e">
        <v>#N/A</v>
      </c>
      <c r="AE661" t="str">
        <f t="shared" si="89"/>
        <v>P000361</v>
      </c>
      <c r="AF661" t="str">
        <f>_xlfn.XLOOKUP(AE661, Hoja2!A:A, Hoja2!A:A)</f>
        <v>P000361</v>
      </c>
      <c r="AG661" t="str">
        <f t="shared" si="86"/>
        <v>PP00063-0003</v>
      </c>
      <c r="AH661">
        <f>_xlfn.XLOOKUP(AG661, Hoja3!A:A, Hoja3!B:B)</f>
        <v>5163</v>
      </c>
      <c r="AI661">
        <f>_xlfn.XLOOKUP(AH661, Hoja4!A:A, Hoja4!B:B)</f>
        <v>35758212</v>
      </c>
      <c r="AJ661" t="b">
        <f t="shared" si="87"/>
        <v>1</v>
      </c>
    </row>
    <row r="662" spans="1:36" ht="15.5" customHeight="1" x14ac:dyDescent="0.35">
      <c r="A662">
        <f t="shared" ca="1" si="88"/>
        <v>63</v>
      </c>
      <c r="B662" s="12" t="s">
        <v>2070</v>
      </c>
      <c r="C662" s="13">
        <v>45560</v>
      </c>
      <c r="D662" s="14" t="s">
        <v>121</v>
      </c>
      <c r="E662" s="14" t="s">
        <v>139</v>
      </c>
      <c r="F662" s="14" t="s">
        <v>1952</v>
      </c>
      <c r="G662" s="14" t="s">
        <v>299</v>
      </c>
      <c r="H662" s="14" t="s">
        <v>2071</v>
      </c>
      <c r="I662" s="14" t="s">
        <v>535</v>
      </c>
      <c r="J662" s="14" t="str">
        <f>IF(E662="KTG","KTG",(VLOOKUP(I662,'[1]list of outsource'!B:H,2,0)))</f>
        <v>ETC</v>
      </c>
      <c r="K662" s="14" t="s">
        <v>536</v>
      </c>
      <c r="L662" s="14">
        <v>10</v>
      </c>
      <c r="M662" s="14" t="s">
        <v>2072</v>
      </c>
      <c r="N662" s="14" t="s">
        <v>2073</v>
      </c>
      <c r="O662" s="14" t="s">
        <v>2074</v>
      </c>
      <c r="P662" s="14"/>
      <c r="Q662" s="15"/>
      <c r="R662" s="14"/>
      <c r="S662" s="16"/>
      <c r="T662" s="14"/>
      <c r="U662" s="14">
        <v>4</v>
      </c>
      <c r="V662" s="14" t="s">
        <v>665</v>
      </c>
      <c r="W662" s="14" t="s">
        <v>37</v>
      </c>
      <c r="X662" s="13">
        <v>45623</v>
      </c>
      <c r="Y662" s="13"/>
      <c r="AB662" t="e">
        <v>#N/A</v>
      </c>
      <c r="AC662" t="e">
        <v>#N/A</v>
      </c>
      <c r="AE662" t="str">
        <f t="shared" si="89"/>
        <v>P000987</v>
      </c>
      <c r="AF662" t="str">
        <f>_xlfn.XLOOKUP(AE662, Hoja2!A:A, Hoja2!A:A)</f>
        <v>P000987</v>
      </c>
      <c r="AG662" t="str">
        <f t="shared" si="86"/>
        <v>PP00060-27</v>
      </c>
      <c r="AH662">
        <f>_xlfn.XLOOKUP(AG662, Hoja3!A:A, Hoja3!B:B)</f>
        <v>5119</v>
      </c>
      <c r="AI662" t="str">
        <f>_xlfn.XLOOKUP(AH662, Hoja4!A:A, Hoja4!B:B)</f>
        <v>7094171630 Doc ID 2595162</v>
      </c>
      <c r="AJ662" t="b">
        <f t="shared" si="87"/>
        <v>1</v>
      </c>
    </row>
    <row r="663" spans="1:36" ht="15.5" customHeight="1" x14ac:dyDescent="0.35">
      <c r="A663">
        <f t="shared" ca="1" si="88"/>
        <v>61</v>
      </c>
      <c r="B663" s="12" t="s">
        <v>2075</v>
      </c>
      <c r="C663" s="13">
        <v>45560</v>
      </c>
      <c r="D663" s="14" t="s">
        <v>121</v>
      </c>
      <c r="E663" s="14" t="s">
        <v>139</v>
      </c>
      <c r="F663" s="14" t="s">
        <v>1952</v>
      </c>
      <c r="G663" s="14" t="s">
        <v>299</v>
      </c>
      <c r="H663" s="14" t="s">
        <v>2076</v>
      </c>
      <c r="I663" s="14" t="s">
        <v>494</v>
      </c>
      <c r="J663" s="14" t="str">
        <f>IF(E663="KTG","KTG",(VLOOKUP(I663,'[1]list of outsource'!B:H,2,0)))</f>
        <v>ETC</v>
      </c>
      <c r="K663" s="14" t="s">
        <v>495</v>
      </c>
      <c r="L663" s="14">
        <v>28</v>
      </c>
      <c r="M663" s="14" t="s">
        <v>938</v>
      </c>
      <c r="N663" s="14" t="s">
        <v>939</v>
      </c>
      <c r="O663" s="14" t="s">
        <v>2077</v>
      </c>
      <c r="P663" s="14"/>
      <c r="Q663" s="15"/>
      <c r="R663" s="14"/>
      <c r="S663" s="16"/>
      <c r="T663" s="14"/>
      <c r="U663" s="14">
        <v>4</v>
      </c>
      <c r="V663" s="14" t="s">
        <v>665</v>
      </c>
      <c r="W663" s="14" t="s">
        <v>37</v>
      </c>
      <c r="X663" s="13">
        <v>45621</v>
      </c>
      <c r="Y663" s="13"/>
      <c r="AB663" t="e">
        <v>#N/A</v>
      </c>
      <c r="AC663" t="e">
        <v>#N/A</v>
      </c>
      <c r="AE663" t="str">
        <f t="shared" si="89"/>
        <v>P000483</v>
      </c>
      <c r="AF663" t="str">
        <f>_xlfn.XLOOKUP(AE663, Hoja2!A:A, Hoja2!A:A)</f>
        <v>P000483</v>
      </c>
      <c r="AG663" t="str">
        <f t="shared" si="86"/>
        <v>PP00060-21</v>
      </c>
      <c r="AH663">
        <f>_xlfn.XLOOKUP(AG663, Hoja3!A:A, Hoja3!B:B)</f>
        <v>4469</v>
      </c>
      <c r="AI663" t="str">
        <f>_xlfn.XLOOKUP(AH663, Hoja4!A:A, Hoja4!B:B)</f>
        <v>7094193230 Doc ID 2595148</v>
      </c>
      <c r="AJ663" t="b">
        <f t="shared" si="87"/>
        <v>1</v>
      </c>
    </row>
    <row r="664" spans="1:36" ht="15.5" customHeight="1" x14ac:dyDescent="0.35">
      <c r="A664">
        <f t="shared" ca="1" si="88"/>
        <v>61</v>
      </c>
      <c r="B664" s="12" t="s">
        <v>2078</v>
      </c>
      <c r="C664" s="13">
        <v>45560</v>
      </c>
      <c r="D664" s="14" t="s">
        <v>121</v>
      </c>
      <c r="E664" s="14" t="s">
        <v>139</v>
      </c>
      <c r="F664" s="14" t="s">
        <v>1952</v>
      </c>
      <c r="G664" s="14" t="s">
        <v>299</v>
      </c>
      <c r="H664" s="14" t="s">
        <v>2079</v>
      </c>
      <c r="I664" s="14" t="s">
        <v>494</v>
      </c>
      <c r="J664" s="14" t="str">
        <f>IF(E664="KTG","KTG",(VLOOKUP(I664,'[1]list of outsource'!B:H,2,0)))</f>
        <v>ETC</v>
      </c>
      <c r="K664" s="14" t="s">
        <v>495</v>
      </c>
      <c r="L664" s="14">
        <v>28</v>
      </c>
      <c r="M664" s="14" t="s">
        <v>2080</v>
      </c>
      <c r="N664" s="14" t="s">
        <v>2081</v>
      </c>
      <c r="O664" s="14" t="s">
        <v>2082</v>
      </c>
      <c r="P664" s="14"/>
      <c r="Q664" s="15"/>
      <c r="R664" s="14"/>
      <c r="S664" s="16"/>
      <c r="T664" s="14"/>
      <c r="U664" s="14">
        <v>4</v>
      </c>
      <c r="V664" s="14" t="s">
        <v>665</v>
      </c>
      <c r="W664" s="14" t="s">
        <v>37</v>
      </c>
      <c r="X664" s="13">
        <v>45621</v>
      </c>
      <c r="Y664" s="13"/>
      <c r="AB664" t="e">
        <v>#N/A</v>
      </c>
      <c r="AC664" t="e">
        <v>#N/A</v>
      </c>
      <c r="AE664" t="str">
        <f t="shared" si="89"/>
        <v>P000184</v>
      </c>
      <c r="AF664" t="str">
        <f>_xlfn.XLOOKUP(AE664, Hoja2!A:A, Hoja2!A:A)</f>
        <v>P000184</v>
      </c>
      <c r="AG664" t="str">
        <f t="shared" si="86"/>
        <v>PP00060-20</v>
      </c>
      <c r="AH664">
        <f>_xlfn.XLOOKUP(AG664, Hoja3!A:A, Hoja3!B:B)</f>
        <v>4464</v>
      </c>
      <c r="AI664" s="38" t="s">
        <v>2079</v>
      </c>
      <c r="AJ664" t="b">
        <f t="shared" si="87"/>
        <v>1</v>
      </c>
    </row>
    <row r="665" spans="1:36" ht="15.5" customHeight="1" x14ac:dyDescent="0.35">
      <c r="A665">
        <f t="shared" ca="1" si="88"/>
        <v>61</v>
      </c>
      <c r="B665" s="12" t="s">
        <v>2083</v>
      </c>
      <c r="C665" s="13">
        <v>45560</v>
      </c>
      <c r="D665" s="14" t="s">
        <v>121</v>
      </c>
      <c r="E665" s="14" t="s">
        <v>139</v>
      </c>
      <c r="F665" s="14" t="s">
        <v>1952</v>
      </c>
      <c r="G665" s="14" t="s">
        <v>299</v>
      </c>
      <c r="H665" s="14" t="s">
        <v>2084</v>
      </c>
      <c r="I665" s="14" t="s">
        <v>494</v>
      </c>
      <c r="J665" s="14" t="str">
        <f>IF(E665="KTG","KTG",(VLOOKUP(I665,'[1]list of outsource'!B:H,2,0)))</f>
        <v>ETC</v>
      </c>
      <c r="K665" s="14" t="s">
        <v>495</v>
      </c>
      <c r="L665" s="14">
        <v>28</v>
      </c>
      <c r="M665" s="14" t="s">
        <v>496</v>
      </c>
      <c r="N665" s="14" t="s">
        <v>2085</v>
      </c>
      <c r="O665" s="14" t="s">
        <v>2086</v>
      </c>
      <c r="P665" s="14"/>
      <c r="Q665" s="15"/>
      <c r="R665" s="14"/>
      <c r="S665" s="16"/>
      <c r="T665" s="14"/>
      <c r="U665" s="14">
        <v>4</v>
      </c>
      <c r="V665" s="14" t="s">
        <v>665</v>
      </c>
      <c r="W665" s="14" t="s">
        <v>37</v>
      </c>
      <c r="X665" s="13">
        <v>45621</v>
      </c>
      <c r="Y665" s="13"/>
      <c r="AB665" t="e">
        <v>#N/A</v>
      </c>
      <c r="AC665" t="e">
        <v>#N/A</v>
      </c>
      <c r="AE665" t="str">
        <f t="shared" si="89"/>
        <v>P000235</v>
      </c>
      <c r="AF665" t="str">
        <f>_xlfn.XLOOKUP(AE665, Hoja2!A:A, Hoja2!A:A)</f>
        <v>P000235</v>
      </c>
      <c r="AG665" t="str">
        <f t="shared" si="86"/>
        <v>PP00060-17</v>
      </c>
      <c r="AH665">
        <f>_xlfn.XLOOKUP(AG665, Hoja3!A:A, Hoja3!B:B)</f>
        <v>4465</v>
      </c>
      <c r="AI665" t="str">
        <f>_xlfn.XLOOKUP(AH665, Hoja4!A:A, Hoja4!B:B)</f>
        <v>7094193430 Doc ID 2595174</v>
      </c>
      <c r="AJ665" t="b">
        <f t="shared" si="87"/>
        <v>1</v>
      </c>
    </row>
    <row r="666" spans="1:36" ht="15.5" customHeight="1" x14ac:dyDescent="0.35">
      <c r="A666">
        <f t="shared" ca="1" si="88"/>
        <v>61</v>
      </c>
      <c r="B666" s="12" t="s">
        <v>2087</v>
      </c>
      <c r="C666" s="13">
        <v>45560</v>
      </c>
      <c r="D666" s="14" t="s">
        <v>121</v>
      </c>
      <c r="E666" s="14" t="s">
        <v>139</v>
      </c>
      <c r="F666" s="14" t="s">
        <v>1952</v>
      </c>
      <c r="G666" s="14" t="s">
        <v>299</v>
      </c>
      <c r="H666" s="14" t="s">
        <v>2088</v>
      </c>
      <c r="I666" s="14" t="s">
        <v>494</v>
      </c>
      <c r="J666" s="14" t="str">
        <f>IF(E666="KTG","KTG",(VLOOKUP(I666,'[1]list of outsource'!B:H,2,0)))</f>
        <v>ETC</v>
      </c>
      <c r="K666" s="14" t="s">
        <v>495</v>
      </c>
      <c r="L666" s="14">
        <v>28</v>
      </c>
      <c r="M666" s="14" t="s">
        <v>894</v>
      </c>
      <c r="N666" s="14" t="s">
        <v>2089</v>
      </c>
      <c r="O666" s="14" t="s">
        <v>2090</v>
      </c>
      <c r="P666" s="14"/>
      <c r="Q666" s="15"/>
      <c r="R666" s="14"/>
      <c r="S666" s="16"/>
      <c r="T666" s="14"/>
      <c r="U666" s="14">
        <v>4</v>
      </c>
      <c r="V666" s="14" t="s">
        <v>665</v>
      </c>
      <c r="W666" s="14" t="s">
        <v>37</v>
      </c>
      <c r="X666" s="13">
        <v>45621</v>
      </c>
      <c r="Y666" s="13"/>
      <c r="AB666" t="e">
        <v>#N/A</v>
      </c>
      <c r="AC666" t="e">
        <v>#N/A</v>
      </c>
      <c r="AE666" t="str">
        <f t="shared" si="89"/>
        <v>P000236</v>
      </c>
      <c r="AF666" t="str">
        <f>_xlfn.XLOOKUP(AE666, Hoja2!A:A, Hoja2!A:A)</f>
        <v>P000236</v>
      </c>
      <c r="AG666" t="str">
        <f t="shared" si="86"/>
        <v>PP00060-16</v>
      </c>
      <c r="AH666">
        <f>_xlfn.XLOOKUP(AG666, Hoja3!A:A, Hoja3!B:B)</f>
        <v>4466</v>
      </c>
      <c r="AI666" t="str">
        <f>_xlfn.XLOOKUP(AH666, Hoja4!A:A, Hoja4!B:B)</f>
        <v>7094193530 Doc ID 2595176</v>
      </c>
      <c r="AJ666" t="b">
        <f t="shared" si="87"/>
        <v>1</v>
      </c>
    </row>
    <row r="667" spans="1:36" ht="15.5" customHeight="1" x14ac:dyDescent="0.35">
      <c r="A667">
        <f t="shared" ca="1" si="88"/>
        <v>61</v>
      </c>
      <c r="B667" s="12" t="s">
        <v>2091</v>
      </c>
      <c r="C667" s="13">
        <v>45560</v>
      </c>
      <c r="D667" s="14" t="s">
        <v>121</v>
      </c>
      <c r="E667" s="14" t="s">
        <v>139</v>
      </c>
      <c r="F667" s="14" t="s">
        <v>1952</v>
      </c>
      <c r="G667" s="14" t="s">
        <v>299</v>
      </c>
      <c r="H667" s="14" t="s">
        <v>2092</v>
      </c>
      <c r="I667" s="14" t="s">
        <v>494</v>
      </c>
      <c r="J667" s="14" t="str">
        <f>IF(E667="KTG","KTG",(VLOOKUP(I667,'[1]list of outsource'!B:H,2,0)))</f>
        <v>ETC</v>
      </c>
      <c r="K667" s="14" t="s">
        <v>495</v>
      </c>
      <c r="L667" s="14">
        <v>28</v>
      </c>
      <c r="M667" s="14" t="s">
        <v>730</v>
      </c>
      <c r="N667" s="14" t="s">
        <v>2093</v>
      </c>
      <c r="O667" s="14" t="s">
        <v>2094</v>
      </c>
      <c r="P667" s="14"/>
      <c r="Q667" s="15"/>
      <c r="R667" s="14"/>
      <c r="S667" s="16"/>
      <c r="T667" s="14"/>
      <c r="U667" s="14">
        <v>4</v>
      </c>
      <c r="V667" s="14" t="s">
        <v>665</v>
      </c>
      <c r="W667" s="14" t="s">
        <v>37</v>
      </c>
      <c r="X667" s="13">
        <v>45621</v>
      </c>
      <c r="Y667" s="13"/>
      <c r="AB667" t="e">
        <v>#N/A</v>
      </c>
      <c r="AC667" t="e">
        <v>#N/A</v>
      </c>
      <c r="AE667" t="str">
        <f t="shared" si="89"/>
        <v>P000237</v>
      </c>
      <c r="AF667" t="str">
        <f>_xlfn.XLOOKUP(AE667, Hoja2!A:A, Hoja2!A:A)</f>
        <v>P000237</v>
      </c>
      <c r="AG667" t="str">
        <f t="shared" si="86"/>
        <v>PP00060-18</v>
      </c>
      <c r="AH667">
        <f>_xlfn.XLOOKUP(AG667, Hoja3!A:A, Hoja3!B:B)</f>
        <v>4467</v>
      </c>
      <c r="AI667" t="str">
        <f>_xlfn.XLOOKUP(AH667, Hoja4!A:A, Hoja4!B:B)</f>
        <v>7094193630 Doc ID 2595186</v>
      </c>
      <c r="AJ667" t="b">
        <f t="shared" si="87"/>
        <v>1</v>
      </c>
    </row>
    <row r="668" spans="1:36" ht="15.5" customHeight="1" x14ac:dyDescent="0.35">
      <c r="A668">
        <f t="shared" ca="1" si="88"/>
        <v>83</v>
      </c>
      <c r="B668" s="12" t="s">
        <v>2095</v>
      </c>
      <c r="C668" s="13">
        <v>45560</v>
      </c>
      <c r="D668" s="14" t="s">
        <v>121</v>
      </c>
      <c r="E668" s="14" t="s">
        <v>139</v>
      </c>
      <c r="F668" s="14" t="s">
        <v>1952</v>
      </c>
      <c r="G668" s="14" t="s">
        <v>299</v>
      </c>
      <c r="H668" s="14" t="s">
        <v>2096</v>
      </c>
      <c r="I668" s="14" t="s">
        <v>2097</v>
      </c>
      <c r="J668" s="14" t="str">
        <f>IF(E668="KTG","KTG",(VLOOKUP(I668,'[1]list of outsource'!B:H,2,0)))</f>
        <v>ETC</v>
      </c>
      <c r="K668" s="14" t="s">
        <v>2098</v>
      </c>
      <c r="L668" s="14">
        <v>2</v>
      </c>
      <c r="M668" s="14" t="s">
        <v>2099</v>
      </c>
      <c r="N668" s="14" t="s">
        <v>2100</v>
      </c>
      <c r="O668" s="14" t="s">
        <v>2101</v>
      </c>
      <c r="P668" s="14"/>
      <c r="Q668" s="15"/>
      <c r="R668" s="14"/>
      <c r="S668" s="16"/>
      <c r="T668" s="14"/>
      <c r="U668" s="14">
        <v>4</v>
      </c>
      <c r="V668" s="14" t="s">
        <v>665</v>
      </c>
      <c r="W668" s="14" t="s">
        <v>37</v>
      </c>
      <c r="X668" s="13">
        <v>45643</v>
      </c>
      <c r="Y668" s="13"/>
      <c r="AB668" t="e">
        <v>#N/A</v>
      </c>
      <c r="AC668" t="e">
        <v>#N/A</v>
      </c>
      <c r="AE668" t="str">
        <f t="shared" si="89"/>
        <v>P000981</v>
      </c>
      <c r="AF668" t="str">
        <f>_xlfn.XLOOKUP(AE668, Hoja2!A:A, Hoja2!A:A)</f>
        <v>P000981</v>
      </c>
      <c r="AG668" t="str">
        <f t="shared" si="86"/>
        <v>PP00060-23</v>
      </c>
      <c r="AH668">
        <f>_xlfn.XLOOKUP(AG668, Hoja3!A:A, Hoja3!B:B)</f>
        <v>5117</v>
      </c>
      <c r="AI668" t="str">
        <f>_xlfn.XLOOKUP(AH668, Hoja4!A:A, Hoja4!B:B)</f>
        <v>7094198030 Doc ID 2595182</v>
      </c>
      <c r="AJ668" t="b">
        <f t="shared" si="87"/>
        <v>1</v>
      </c>
    </row>
    <row r="669" spans="1:36" ht="15.5" customHeight="1" x14ac:dyDescent="0.35">
      <c r="A669">
        <f t="shared" ca="1" si="88"/>
        <v>85</v>
      </c>
      <c r="B669" s="12" t="s">
        <v>2102</v>
      </c>
      <c r="C669" s="13">
        <v>45560</v>
      </c>
      <c r="D669" s="14" t="s">
        <v>121</v>
      </c>
      <c r="E669" s="14" t="s">
        <v>139</v>
      </c>
      <c r="F669" s="14" t="s">
        <v>1952</v>
      </c>
      <c r="G669" s="14" t="s">
        <v>299</v>
      </c>
      <c r="H669" s="14" t="s">
        <v>2103</v>
      </c>
      <c r="I669" s="14" t="s">
        <v>2097</v>
      </c>
      <c r="J669" s="14" t="str">
        <f>IF(E669="KTG","KTG",(VLOOKUP(I669,'[1]list of outsource'!B:H,2,0)))</f>
        <v>ETC</v>
      </c>
      <c r="K669" s="14" t="s">
        <v>2098</v>
      </c>
      <c r="L669" s="14">
        <v>2</v>
      </c>
      <c r="M669" s="14" t="s">
        <v>2104</v>
      </c>
      <c r="N669" s="14" t="s">
        <v>2105</v>
      </c>
      <c r="O669" s="14" t="s">
        <v>2106</v>
      </c>
      <c r="P669" s="14"/>
      <c r="Q669" s="15"/>
      <c r="R669" s="14"/>
      <c r="S669" s="16"/>
      <c r="T669" s="14"/>
      <c r="U669" s="14">
        <v>4</v>
      </c>
      <c r="V669" s="14" t="s">
        <v>665</v>
      </c>
      <c r="W669" s="14" t="s">
        <v>37</v>
      </c>
      <c r="X669" s="13">
        <v>45645</v>
      </c>
      <c r="Y669" s="13"/>
      <c r="AB669" t="e">
        <v>#N/A</v>
      </c>
      <c r="AC669" t="e">
        <v>#N/A</v>
      </c>
      <c r="AE669" t="str">
        <f t="shared" si="89"/>
        <v>P000980</v>
      </c>
      <c r="AF669" t="str">
        <f>_xlfn.XLOOKUP(AE669, Hoja2!A:A, Hoja2!A:A)</f>
        <v>P000980</v>
      </c>
      <c r="AG669" t="str">
        <f t="shared" si="86"/>
        <v>PP00060-26</v>
      </c>
      <c r="AH669">
        <f>_xlfn.XLOOKUP(AG669, Hoja3!A:A, Hoja3!B:B)</f>
        <v>4475</v>
      </c>
      <c r="AI669" t="str">
        <f>_xlfn.XLOOKUP(AH669, Hoja4!A:A, Hoja4!B:B)</f>
        <v>7094198130 Doc ID 2595164</v>
      </c>
      <c r="AJ669" t="b">
        <f t="shared" si="87"/>
        <v>1</v>
      </c>
    </row>
    <row r="670" spans="1:36" ht="15.5" customHeight="1" x14ac:dyDescent="0.35">
      <c r="A670">
        <f t="shared" ca="1" si="88"/>
        <v>84</v>
      </c>
      <c r="B670" s="12" t="s">
        <v>2107</v>
      </c>
      <c r="C670" s="13">
        <v>45560</v>
      </c>
      <c r="D670" s="14" t="s">
        <v>121</v>
      </c>
      <c r="E670" s="14" t="s">
        <v>139</v>
      </c>
      <c r="F670" s="14" t="s">
        <v>1952</v>
      </c>
      <c r="G670" s="14" t="s">
        <v>299</v>
      </c>
      <c r="H670" s="14" t="s">
        <v>2108</v>
      </c>
      <c r="I670" s="14" t="s">
        <v>2097</v>
      </c>
      <c r="J670" s="14" t="str">
        <f>IF(E670="KTG","KTG",(VLOOKUP(I670,'[1]list of outsource'!B:H,2,0)))</f>
        <v>ETC</v>
      </c>
      <c r="K670" s="14" t="s">
        <v>2098</v>
      </c>
      <c r="L670" s="14">
        <v>2</v>
      </c>
      <c r="M670" s="14" t="s">
        <v>2109</v>
      </c>
      <c r="N670" s="14" t="s">
        <v>2110</v>
      </c>
      <c r="O670" s="14" t="s">
        <v>2111</v>
      </c>
      <c r="P670" s="14"/>
      <c r="Q670" s="15"/>
      <c r="R670" s="14"/>
      <c r="S670" s="16"/>
      <c r="T670" s="14"/>
      <c r="U670" s="14">
        <v>4</v>
      </c>
      <c r="V670" s="14" t="s">
        <v>665</v>
      </c>
      <c r="W670" s="14" t="s">
        <v>37</v>
      </c>
      <c r="X670" s="13">
        <v>45644</v>
      </c>
      <c r="Y670" s="13"/>
      <c r="AB670" t="e">
        <v>#N/A</v>
      </c>
      <c r="AC670" t="e">
        <v>#N/A</v>
      </c>
      <c r="AE670" t="str">
        <f t="shared" si="89"/>
        <v>P000982</v>
      </c>
      <c r="AF670" t="str">
        <f>_xlfn.XLOOKUP(AE670, Hoja2!A:A, Hoja2!A:A)</f>
        <v>P000982</v>
      </c>
      <c r="AG670" t="str">
        <f t="shared" si="86"/>
        <v>PP00060-30</v>
      </c>
      <c r="AH670">
        <f>_xlfn.XLOOKUP(AG670, Hoja3!A:A, Hoja3!B:B)</f>
        <v>5121</v>
      </c>
      <c r="AI670" t="str">
        <f>_xlfn.XLOOKUP(AH670, Hoja4!A:A, Hoja4!B:B)</f>
        <v>7094198230 Doc ID 2595144</v>
      </c>
      <c r="AJ670" t="b">
        <f t="shared" si="87"/>
        <v>1</v>
      </c>
    </row>
    <row r="671" spans="1:36" ht="15.5" customHeight="1" x14ac:dyDescent="0.35">
      <c r="A671">
        <f t="shared" ca="1" si="88"/>
        <v>85</v>
      </c>
      <c r="B671" s="12" t="s">
        <v>2112</v>
      </c>
      <c r="C671" s="13">
        <v>45560</v>
      </c>
      <c r="D671" s="14" t="s">
        <v>121</v>
      </c>
      <c r="E671" s="14" t="s">
        <v>139</v>
      </c>
      <c r="F671" s="14" t="s">
        <v>1952</v>
      </c>
      <c r="G671" s="14" t="s">
        <v>299</v>
      </c>
      <c r="H671" s="14" t="s">
        <v>2113</v>
      </c>
      <c r="I671" s="14" t="s">
        <v>2097</v>
      </c>
      <c r="J671" s="14" t="str">
        <f>IF(E671="KTG","KTG",(VLOOKUP(I671,'[1]list of outsource'!B:H,2,0)))</f>
        <v>ETC</v>
      </c>
      <c r="K671" s="14" t="s">
        <v>2098</v>
      </c>
      <c r="L671" s="14">
        <v>2</v>
      </c>
      <c r="M671" s="14" t="s">
        <v>2114</v>
      </c>
      <c r="N671" s="14" t="s">
        <v>2115</v>
      </c>
      <c r="O671" s="14" t="s">
        <v>2116</v>
      </c>
      <c r="P671" s="14"/>
      <c r="Q671" s="15"/>
      <c r="R671" s="14"/>
      <c r="S671" s="16"/>
      <c r="T671" s="14"/>
      <c r="U671" s="14">
        <v>4</v>
      </c>
      <c r="V671" s="14" t="s">
        <v>665</v>
      </c>
      <c r="W671" s="14" t="s">
        <v>37</v>
      </c>
      <c r="X671" s="13">
        <v>45645</v>
      </c>
      <c r="Y671" s="13"/>
      <c r="AB671" t="e">
        <v>#N/A</v>
      </c>
      <c r="AC671" t="e">
        <v>#N/A</v>
      </c>
      <c r="AE671" t="str">
        <f t="shared" si="89"/>
        <v>P000983</v>
      </c>
      <c r="AF671" t="str">
        <f>_xlfn.XLOOKUP(AE671, Hoja2!A:A, Hoja2!A:A)</f>
        <v>P000983</v>
      </c>
      <c r="AG671" t="str">
        <f t="shared" si="86"/>
        <v>PP00060-22</v>
      </c>
      <c r="AH671">
        <f>_xlfn.XLOOKUP(AG671, Hoja3!A:A, Hoja3!B:B)</f>
        <v>5116</v>
      </c>
      <c r="AI671" t="str">
        <f>_xlfn.XLOOKUP(AH671, Hoja4!A:A, Hoja4!B:B)</f>
        <v>7094198330 Doc ID 2595184</v>
      </c>
      <c r="AJ671" t="b">
        <f t="shared" si="87"/>
        <v>1</v>
      </c>
    </row>
    <row r="672" spans="1:36" ht="15.5" customHeight="1" x14ac:dyDescent="0.35">
      <c r="A672">
        <f t="shared" ca="1" si="88"/>
        <v>85</v>
      </c>
      <c r="B672" s="12" t="s">
        <v>2117</v>
      </c>
      <c r="C672" s="13">
        <v>45560</v>
      </c>
      <c r="D672" s="14" t="s">
        <v>121</v>
      </c>
      <c r="E672" s="14" t="s">
        <v>139</v>
      </c>
      <c r="F672" s="14" t="s">
        <v>1952</v>
      </c>
      <c r="G672" s="14" t="s">
        <v>299</v>
      </c>
      <c r="H672" s="14" t="s">
        <v>2118</v>
      </c>
      <c r="I672" s="14" t="s">
        <v>2097</v>
      </c>
      <c r="J672" s="14" t="str">
        <f>IF(E672="KTG","KTG",(VLOOKUP(I672,'[1]list of outsource'!B:H,2,0)))</f>
        <v>ETC</v>
      </c>
      <c r="K672" s="14" t="s">
        <v>2098</v>
      </c>
      <c r="L672" s="14">
        <v>2</v>
      </c>
      <c r="M672" s="14" t="s">
        <v>2119</v>
      </c>
      <c r="N672" s="14" t="s">
        <v>2120</v>
      </c>
      <c r="O672" s="14" t="s">
        <v>2121</v>
      </c>
      <c r="P672" s="14"/>
      <c r="Q672" s="15"/>
      <c r="R672" s="14"/>
      <c r="S672" s="16"/>
      <c r="T672" s="14"/>
      <c r="U672" s="14">
        <v>4</v>
      </c>
      <c r="V672" s="14" t="s">
        <v>665</v>
      </c>
      <c r="W672" s="14" t="s">
        <v>37</v>
      </c>
      <c r="X672" s="13">
        <v>45645</v>
      </c>
      <c r="Y672" s="13"/>
      <c r="AB672" t="e">
        <v>#N/A</v>
      </c>
      <c r="AC672" t="e">
        <v>#N/A</v>
      </c>
      <c r="AE672" t="str">
        <f t="shared" si="89"/>
        <v>P000984</v>
      </c>
      <c r="AF672" t="str">
        <f>_xlfn.XLOOKUP(AE672, Hoja2!A:A, Hoja2!A:A)</f>
        <v>P000984</v>
      </c>
      <c r="AG672" t="str">
        <f t="shared" si="86"/>
        <v>PP00060-25</v>
      </c>
      <c r="AH672">
        <f>_xlfn.XLOOKUP(AG672, Hoja3!A:A, Hoja3!B:B)</f>
        <v>5118</v>
      </c>
      <c r="AI672" t="str">
        <f>_xlfn.XLOOKUP(AH672, Hoja4!A:A, Hoja4!B:B)</f>
        <v>7094198430 Doc ID 2595166</v>
      </c>
      <c r="AJ672" t="b">
        <f t="shared" si="87"/>
        <v>1</v>
      </c>
    </row>
    <row r="673" spans="1:36" ht="15.5" customHeight="1" x14ac:dyDescent="0.35">
      <c r="A673">
        <f t="shared" ca="1" si="88"/>
        <v>61</v>
      </c>
      <c r="B673" s="12" t="s">
        <v>2122</v>
      </c>
      <c r="C673" s="13">
        <v>45560</v>
      </c>
      <c r="D673" s="14" t="s">
        <v>121</v>
      </c>
      <c r="E673" s="14" t="s">
        <v>139</v>
      </c>
      <c r="F673" s="14" t="s">
        <v>1952</v>
      </c>
      <c r="G673" s="14" t="s">
        <v>299</v>
      </c>
      <c r="H673" s="14" t="s">
        <v>2123</v>
      </c>
      <c r="I673" s="14" t="s">
        <v>494</v>
      </c>
      <c r="J673" s="14" t="str">
        <f>IF(E673="KTG","KTG",(VLOOKUP(I673,'[1]list of outsource'!B:H,2,0)))</f>
        <v>ETC</v>
      </c>
      <c r="K673" s="14" t="s">
        <v>495</v>
      </c>
      <c r="L673" s="14">
        <v>28</v>
      </c>
      <c r="M673" s="14" t="s">
        <v>2124</v>
      </c>
      <c r="N673" s="14" t="s">
        <v>2125</v>
      </c>
      <c r="O673" s="14" t="s">
        <v>2126</v>
      </c>
      <c r="P673" s="14"/>
      <c r="Q673" s="15"/>
      <c r="R673" s="14"/>
      <c r="S673" s="16"/>
      <c r="T673" s="14"/>
      <c r="U673" s="14">
        <v>4</v>
      </c>
      <c r="V673" s="14" t="s">
        <v>665</v>
      </c>
      <c r="W673" s="14" t="s">
        <v>37</v>
      </c>
      <c r="X673" s="13">
        <v>45621</v>
      </c>
      <c r="Y673" s="13"/>
      <c r="AB673" t="e">
        <v>#N/A</v>
      </c>
      <c r="AC673" t="e">
        <v>#N/A</v>
      </c>
      <c r="AE673" t="str">
        <f t="shared" si="89"/>
        <v>P000986</v>
      </c>
      <c r="AF673" t="str">
        <f>_xlfn.XLOOKUP(AE673, Hoja2!A:A, Hoja2!A:A)</f>
        <v>P000986</v>
      </c>
      <c r="AG673" t="str">
        <f t="shared" si="86"/>
        <v>PP00060-24</v>
      </c>
      <c r="AH673">
        <f>_xlfn.XLOOKUP(AG673, Hoja3!A:A, Hoja3!B:B)</f>
        <v>4476</v>
      </c>
      <c r="AI673" t="str">
        <f>_xlfn.XLOOKUP(AH673, Hoja4!A:A, Hoja4!B:B)</f>
        <v>7094199030 Doc ID 2595170</v>
      </c>
      <c r="AJ673" t="b">
        <f t="shared" si="87"/>
        <v>1</v>
      </c>
    </row>
    <row r="674" spans="1:36" ht="15.5" customHeight="1" x14ac:dyDescent="0.35">
      <c r="A674">
        <f t="shared" ca="1" si="88"/>
        <v>63</v>
      </c>
      <c r="B674" s="12" t="s">
        <v>2127</v>
      </c>
      <c r="C674" s="13">
        <v>45560</v>
      </c>
      <c r="D674" s="14" t="s">
        <v>121</v>
      </c>
      <c r="E674" s="14" t="s">
        <v>139</v>
      </c>
      <c r="F674" s="14" t="s">
        <v>1952</v>
      </c>
      <c r="G674" s="14" t="s">
        <v>299</v>
      </c>
      <c r="H674" s="14" t="s">
        <v>2128</v>
      </c>
      <c r="I674" s="14" t="s">
        <v>494</v>
      </c>
      <c r="J674" s="14" t="str">
        <f>IF(E674="KTG","KTG",(VLOOKUP(I674,'[1]list of outsource'!B:H,2,0)))</f>
        <v>ETC</v>
      </c>
      <c r="K674" s="14" t="s">
        <v>495</v>
      </c>
      <c r="L674" s="14">
        <v>28</v>
      </c>
      <c r="M674" s="14" t="s">
        <v>2129</v>
      </c>
      <c r="N674" s="14" t="s">
        <v>2130</v>
      </c>
      <c r="O674" s="14" t="s">
        <v>2131</v>
      </c>
      <c r="P674" s="14"/>
      <c r="Q674" s="15"/>
      <c r="R674" s="14"/>
      <c r="S674" s="16"/>
      <c r="T674" s="14"/>
      <c r="U674" s="14">
        <v>4</v>
      </c>
      <c r="V674" s="14" t="s">
        <v>665</v>
      </c>
      <c r="W674" s="14" t="s">
        <v>37</v>
      </c>
      <c r="X674" s="13">
        <v>45623</v>
      </c>
      <c r="Y674" s="13"/>
      <c r="AB674" t="e">
        <v>#N/A</v>
      </c>
      <c r="AC674" t="e">
        <v>#N/A</v>
      </c>
      <c r="AE674" t="str">
        <f t="shared" si="89"/>
        <v>P000771</v>
      </c>
      <c r="AF674" t="str">
        <f>_xlfn.XLOOKUP(AE674, Hoja2!A:A, Hoja2!A:A)</f>
        <v>P000771</v>
      </c>
      <c r="AG674" t="str">
        <f t="shared" si="86"/>
        <v>PP00060-19</v>
      </c>
      <c r="AH674">
        <f>_xlfn.XLOOKUP(AG674, Hoja3!A:A, Hoja3!B:B)</f>
        <v>4470</v>
      </c>
      <c r="AI674" t="str">
        <f>_xlfn.XLOOKUP(AH674, Hoja4!A:A, Hoja4!B:B)</f>
        <v>7094199130 Doc ID 2595168</v>
      </c>
      <c r="AJ674" t="b">
        <f t="shared" si="87"/>
        <v>1</v>
      </c>
    </row>
    <row r="675" spans="1:36" ht="15.5" customHeight="1" x14ac:dyDescent="0.35">
      <c r="A675">
        <f t="shared" ca="1" si="88"/>
        <v>63</v>
      </c>
      <c r="B675" s="12" t="s">
        <v>2132</v>
      </c>
      <c r="C675" s="13">
        <v>45560</v>
      </c>
      <c r="D675" s="14" t="s">
        <v>121</v>
      </c>
      <c r="E675" s="14" t="s">
        <v>139</v>
      </c>
      <c r="F675" s="14" t="s">
        <v>1952</v>
      </c>
      <c r="G675" s="14" t="s">
        <v>299</v>
      </c>
      <c r="H675" s="14" t="s">
        <v>2133</v>
      </c>
      <c r="I675" s="14" t="s">
        <v>494</v>
      </c>
      <c r="J675" s="14" t="str">
        <f>IF(E675="KTG","KTG",(VLOOKUP(I675,'[1]list of outsource'!B:H,2,0)))</f>
        <v>ETC</v>
      </c>
      <c r="K675" s="14" t="s">
        <v>495</v>
      </c>
      <c r="L675" s="14">
        <v>28</v>
      </c>
      <c r="M675" s="14" t="s">
        <v>2134</v>
      </c>
      <c r="N675" s="14" t="s">
        <v>2135</v>
      </c>
      <c r="O675" s="14" t="s">
        <v>2136</v>
      </c>
      <c r="P675" s="14"/>
      <c r="Q675" s="15"/>
      <c r="R675" s="14"/>
      <c r="S675" s="16"/>
      <c r="T675" s="14"/>
      <c r="U675" s="14">
        <v>4</v>
      </c>
      <c r="V675" s="14" t="s">
        <v>665</v>
      </c>
      <c r="W675" s="14" t="s">
        <v>37</v>
      </c>
      <c r="X675" s="13">
        <v>45623</v>
      </c>
      <c r="Y675" s="13"/>
      <c r="AB675" t="e">
        <v>#N/A</v>
      </c>
      <c r="AC675" t="e">
        <v>#N/A</v>
      </c>
      <c r="AE675" t="str">
        <f t="shared" si="89"/>
        <v>P000972</v>
      </c>
      <c r="AF675" t="str">
        <f>_xlfn.XLOOKUP(AE675, Hoja2!A:A, Hoja2!A:A)</f>
        <v>P000972</v>
      </c>
      <c r="AG675" t="str">
        <f t="shared" si="86"/>
        <v>PP00060-29</v>
      </c>
      <c r="AH675">
        <f>_xlfn.XLOOKUP(AG675, Hoja3!A:A, Hoja3!B:B)</f>
        <v>5120</v>
      </c>
      <c r="AI675" t="str">
        <f>_xlfn.XLOOKUP(AH675, Hoja4!A:A, Hoja4!B:B)</f>
        <v>7094199230 Doc ID 2595150</v>
      </c>
      <c r="AJ675" t="b">
        <f t="shared" si="87"/>
        <v>1</v>
      </c>
    </row>
    <row r="676" spans="1:36" ht="15.5" hidden="1" customHeight="1" x14ac:dyDescent="0.35">
      <c r="A676">
        <f t="shared" ca="1" si="88"/>
        <v>63</v>
      </c>
      <c r="B676" s="56" t="s">
        <v>2137</v>
      </c>
      <c r="C676" s="13">
        <v>45560</v>
      </c>
      <c r="D676" s="14" t="s">
        <v>121</v>
      </c>
      <c r="E676" s="14" t="s">
        <v>139</v>
      </c>
      <c r="F676" s="14" t="s">
        <v>1952</v>
      </c>
      <c r="G676" s="14" t="s">
        <v>299</v>
      </c>
      <c r="H676" s="14" t="s">
        <v>2138</v>
      </c>
      <c r="I676" s="14" t="s">
        <v>494</v>
      </c>
      <c r="J676" s="14" t="str">
        <f>IF(E676="KTG","KTG",(VLOOKUP(I676,'[1]list of outsource'!B:H,2,0)))</f>
        <v>ETC</v>
      </c>
      <c r="K676" s="14" t="s">
        <v>495</v>
      </c>
      <c r="L676" s="14">
        <v>28</v>
      </c>
      <c r="M676" s="55" t="s">
        <v>2139</v>
      </c>
      <c r="N676" s="14" t="s">
        <v>2140</v>
      </c>
      <c r="O676" s="14" t="s">
        <v>2141</v>
      </c>
      <c r="P676" s="14"/>
      <c r="Q676" s="15"/>
      <c r="R676" s="14"/>
      <c r="S676" s="16"/>
      <c r="T676" s="14"/>
      <c r="U676" s="14">
        <v>4</v>
      </c>
      <c r="V676" s="14" t="s">
        <v>665</v>
      </c>
      <c r="W676" s="14" t="s">
        <v>37</v>
      </c>
      <c r="X676" s="13">
        <v>45623</v>
      </c>
      <c r="Y676" s="13"/>
      <c r="AB676" t="e">
        <v>#N/A</v>
      </c>
      <c r="AC676" t="e">
        <v>#N/A</v>
      </c>
      <c r="AE676" t="str">
        <f t="shared" si="89"/>
        <v>P000985</v>
      </c>
      <c r="AF676" t="e">
        <f>_xlfn.XLOOKUP(AE676, Hoja2!A:A, Hoja2!A:A)</f>
        <v>#N/A</v>
      </c>
    </row>
    <row r="677" spans="1:36" ht="15.5" customHeight="1" x14ac:dyDescent="0.35">
      <c r="A677">
        <f t="shared" ca="1" si="88"/>
        <v>18</v>
      </c>
      <c r="B677" s="12" t="s">
        <v>2059</v>
      </c>
      <c r="C677" s="13">
        <v>45303</v>
      </c>
      <c r="D677" s="14" t="s">
        <v>121</v>
      </c>
      <c r="E677" s="14" t="s">
        <v>83</v>
      </c>
      <c r="F677" s="14" t="s">
        <v>84</v>
      </c>
      <c r="G677" s="14" t="s">
        <v>156</v>
      </c>
      <c r="H677" s="14" t="s">
        <v>381</v>
      </c>
      <c r="I677" s="14" t="s">
        <v>218</v>
      </c>
      <c r="J677" s="14" t="str">
        <f>IF(E677="KTG","KTG",(VLOOKUP(I677,'[1]list of outsource'!B:H,2,0)))</f>
        <v>UPM</v>
      </c>
      <c r="K677" s="14" t="s">
        <v>219</v>
      </c>
      <c r="L677" s="14">
        <v>10</v>
      </c>
      <c r="M677" s="14" t="s">
        <v>382</v>
      </c>
      <c r="N677" s="14" t="s">
        <v>383</v>
      </c>
      <c r="O677" s="14">
        <v>1173453435</v>
      </c>
      <c r="P677" s="14"/>
      <c r="Q677" s="15" t="s">
        <v>575</v>
      </c>
      <c r="R677" s="14"/>
      <c r="S677" s="16"/>
      <c r="T677" s="14"/>
      <c r="U677" s="14">
        <v>1</v>
      </c>
      <c r="V677" s="14" t="s">
        <v>569</v>
      </c>
      <c r="W677" s="14" t="s">
        <v>154</v>
      </c>
      <c r="X677" s="13">
        <v>45321</v>
      </c>
      <c r="Y677" s="13"/>
      <c r="AB677" t="e">
        <v>#N/A</v>
      </c>
      <c r="AC677" t="e">
        <v>#N/A</v>
      </c>
      <c r="AE677" t="str">
        <f t="shared" si="89"/>
        <v>P000132</v>
      </c>
      <c r="AF677" t="str">
        <f>_xlfn.XLOOKUP(AE677, Hoja2!A:A, Hoja2!A:A)</f>
        <v>P000132</v>
      </c>
      <c r="AG677" t="str">
        <f t="shared" ref="AG677:AG698" si="90">LEFT(B677, FIND(" ", B677 &amp; " ") - 1)</f>
        <v>PP00028-43</v>
      </c>
      <c r="AH677">
        <f>_xlfn.XLOOKUP(AG677, Hoja3!A:A, Hoja3!B:B)</f>
        <v>5368</v>
      </c>
      <c r="AI677" t="str">
        <f>_xlfn.XLOOKUP(AH677, Hoja4!A:A, Hoja4!B:B)</f>
        <v>E34749800</v>
      </c>
      <c r="AJ677" t="b">
        <f t="shared" ref="AJ677:AJ698" si="91">H677=AI677</f>
        <v>1</v>
      </c>
    </row>
    <row r="678" spans="1:36" ht="15.5" customHeight="1" x14ac:dyDescent="0.35">
      <c r="A678">
        <f t="shared" ca="1" si="88"/>
        <v>3</v>
      </c>
      <c r="B678" s="12" t="s">
        <v>2142</v>
      </c>
      <c r="C678" s="13">
        <v>45243</v>
      </c>
      <c r="D678" s="14" t="s">
        <v>121</v>
      </c>
      <c r="E678" s="14" t="s">
        <v>83</v>
      </c>
      <c r="F678" s="14" t="s">
        <v>84</v>
      </c>
      <c r="G678" s="14" t="s">
        <v>156</v>
      </c>
      <c r="H678" s="14" t="s">
        <v>385</v>
      </c>
      <c r="I678" s="14" t="s">
        <v>218</v>
      </c>
      <c r="J678" s="14" t="str">
        <f>IF(E678="KTG","KTG",(VLOOKUP(I678,'[1]list of outsource'!B:H,2,0)))</f>
        <v>UPM</v>
      </c>
      <c r="K678" s="14" t="s">
        <v>219</v>
      </c>
      <c r="L678" s="14">
        <v>10</v>
      </c>
      <c r="M678" s="14" t="s">
        <v>386</v>
      </c>
      <c r="N678" s="14" t="s">
        <v>387</v>
      </c>
      <c r="O678" s="14">
        <v>1173454988</v>
      </c>
      <c r="P678" s="14"/>
      <c r="Q678" s="15"/>
      <c r="R678" s="14"/>
      <c r="S678" s="16"/>
      <c r="T678" s="14"/>
      <c r="U678" s="14">
        <v>1</v>
      </c>
      <c r="V678" s="14"/>
      <c r="W678" s="14" t="s">
        <v>154</v>
      </c>
      <c r="X678" s="13">
        <v>45246</v>
      </c>
      <c r="Y678" s="13"/>
      <c r="AB678" t="e">
        <v>#N/A</v>
      </c>
      <c r="AC678" t="e">
        <v>#N/A</v>
      </c>
      <c r="AE678" t="str">
        <f t="shared" si="89"/>
        <v>P000134</v>
      </c>
      <c r="AF678" t="str">
        <f>_xlfn.XLOOKUP(AE678, Hoja2!A:A, Hoja2!A:A)</f>
        <v>P000134</v>
      </c>
      <c r="AG678" t="str">
        <f t="shared" si="90"/>
        <v>PP00028-44</v>
      </c>
      <c r="AH678">
        <f>_xlfn.XLOOKUP(AG678, Hoja3!A:A, Hoja3!B:B)</f>
        <v>5369</v>
      </c>
      <c r="AI678" t="str">
        <f>_xlfn.XLOOKUP(AH678, Hoja4!A:A, Hoja4!B:B)</f>
        <v>E35053200</v>
      </c>
      <c r="AJ678" t="b">
        <f t="shared" si="91"/>
        <v>1</v>
      </c>
    </row>
    <row r="679" spans="1:36" ht="15.5" customHeight="1" x14ac:dyDescent="0.35">
      <c r="A679">
        <f t="shared" ca="1" si="88"/>
        <v>6</v>
      </c>
      <c r="B679" s="6" t="s">
        <v>2143</v>
      </c>
      <c r="C679" s="7">
        <v>45561</v>
      </c>
      <c r="D679" s="6" t="s">
        <v>1947</v>
      </c>
      <c r="E679" s="6" t="s">
        <v>139</v>
      </c>
      <c r="F679" s="6" t="s">
        <v>2144</v>
      </c>
      <c r="G679" s="6" t="s">
        <v>126</v>
      </c>
      <c r="H679" s="6" t="s">
        <v>2145</v>
      </c>
      <c r="I679" s="6" t="s">
        <v>2146</v>
      </c>
      <c r="J679" s="6" t="e">
        <f>IF(E679="KTG","KTG",(VLOOKUP(I679,'[1]list of outsource'!B:H,2,0)))</f>
        <v>#N/A</v>
      </c>
      <c r="K679" s="6" t="s">
        <v>2147</v>
      </c>
      <c r="L679" s="6"/>
      <c r="M679" s="6" t="s">
        <v>2148</v>
      </c>
      <c r="N679" s="6" t="s">
        <v>2149</v>
      </c>
      <c r="O679" s="6" t="s">
        <v>2150</v>
      </c>
      <c r="P679" s="6"/>
      <c r="Q679" s="8"/>
      <c r="R679" s="6"/>
      <c r="S679" s="6"/>
      <c r="T679" s="6"/>
      <c r="U679" s="6"/>
      <c r="V679" s="6"/>
      <c r="W679" s="6" t="s">
        <v>1608</v>
      </c>
      <c r="X679" s="7">
        <v>45567</v>
      </c>
      <c r="Y679" s="7"/>
      <c r="AB679" t="e">
        <v>#N/A</v>
      </c>
      <c r="AC679" t="e">
        <v>#N/A</v>
      </c>
      <c r="AE679" t="str">
        <f t="shared" si="89"/>
        <v>P001006</v>
      </c>
      <c r="AF679" t="str">
        <f>_xlfn.XLOOKUP(AE679, Hoja2!A:A, Hoja2!A:A)</f>
        <v>P001006</v>
      </c>
      <c r="AG679" t="str">
        <f t="shared" si="90"/>
        <v>PP00065-01</v>
      </c>
      <c r="AH679">
        <f>_xlfn.XLOOKUP(AG679, Hoja3!A:A, Hoja3!B:B)</f>
        <v>5169</v>
      </c>
      <c r="AI679" t="str">
        <f>_xlfn.XLOOKUP(AH679, Hoja4!A:A, Hoja4!B:B)</f>
        <v>G8G1W5-100</v>
      </c>
      <c r="AJ679" t="b">
        <f t="shared" si="91"/>
        <v>1</v>
      </c>
    </row>
    <row r="680" spans="1:36" ht="15.5" customHeight="1" x14ac:dyDescent="0.35">
      <c r="A680">
        <f t="shared" ca="1" si="88"/>
        <v>39</v>
      </c>
      <c r="B680" s="12" t="s">
        <v>2151</v>
      </c>
      <c r="C680" s="13">
        <v>45565</v>
      </c>
      <c r="D680" s="14" t="s">
        <v>121</v>
      </c>
      <c r="E680" s="14" t="s">
        <v>83</v>
      </c>
      <c r="F680" s="14" t="s">
        <v>2152</v>
      </c>
      <c r="G680" s="14" t="s">
        <v>156</v>
      </c>
      <c r="H680" s="14">
        <v>10035195</v>
      </c>
      <c r="I680" s="14" t="s">
        <v>158</v>
      </c>
      <c r="J680" s="14" t="str">
        <f>IF(E680="KTG","KTG",(VLOOKUP(I680,'[1]list of outsource'!B:H,2,0)))</f>
        <v>UPM</v>
      </c>
      <c r="K680" s="14" t="s">
        <v>159</v>
      </c>
      <c r="L680" s="14">
        <v>45</v>
      </c>
      <c r="M680" s="14" t="s">
        <v>2153</v>
      </c>
      <c r="N680" s="14" t="s">
        <v>2154</v>
      </c>
      <c r="O680" s="14" t="s">
        <v>2155</v>
      </c>
      <c r="P680" s="14"/>
      <c r="Q680" s="15"/>
      <c r="R680" s="14"/>
      <c r="S680" s="16"/>
      <c r="T680" s="14"/>
      <c r="U680" s="14">
        <v>4</v>
      </c>
      <c r="V680" s="14" t="s">
        <v>879</v>
      </c>
      <c r="W680" s="14" t="s">
        <v>37</v>
      </c>
      <c r="X680" s="13">
        <v>45604</v>
      </c>
      <c r="Y680" s="13"/>
      <c r="AB680" t="e">
        <v>#N/A</v>
      </c>
      <c r="AC680" t="e">
        <v>#N/A</v>
      </c>
      <c r="AE680" t="str">
        <f t="shared" si="89"/>
        <v>P000933</v>
      </c>
      <c r="AF680" t="str">
        <f>_xlfn.XLOOKUP(AE680, Hoja2!A:A, Hoja2!A:A)</f>
        <v>P000933</v>
      </c>
      <c r="AG680" t="str">
        <f t="shared" si="90"/>
        <v>PP00064-01</v>
      </c>
      <c r="AH680">
        <f>_xlfn.XLOOKUP(AG680, Hoja3!A:A, Hoja3!B:B)</f>
        <v>4369</v>
      </c>
      <c r="AI680">
        <f>_xlfn.XLOOKUP(AH680, Hoja4!A:A, Hoja4!B:B)</f>
        <v>10035195</v>
      </c>
      <c r="AJ680" t="b">
        <f t="shared" si="91"/>
        <v>1</v>
      </c>
    </row>
    <row r="681" spans="1:36" ht="15.5" customHeight="1" x14ac:dyDescent="0.35">
      <c r="A681">
        <f t="shared" ca="1" si="88"/>
        <v>39</v>
      </c>
      <c r="B681" s="12" t="s">
        <v>2156</v>
      </c>
      <c r="C681" s="13">
        <v>45565</v>
      </c>
      <c r="D681" s="14" t="s">
        <v>121</v>
      </c>
      <c r="E681" s="14" t="s">
        <v>83</v>
      </c>
      <c r="F681" s="14" t="s">
        <v>2152</v>
      </c>
      <c r="G681" s="14" t="s">
        <v>156</v>
      </c>
      <c r="H681" s="14">
        <v>10035194</v>
      </c>
      <c r="I681" s="14" t="s">
        <v>158</v>
      </c>
      <c r="J681" s="14" t="str">
        <f>IF(E681="KTG","KTG",(VLOOKUP(I681,'[1]list of outsource'!B:H,2,0)))</f>
        <v>UPM</v>
      </c>
      <c r="K681" s="14" t="s">
        <v>159</v>
      </c>
      <c r="L681" s="14">
        <v>45</v>
      </c>
      <c r="M681" s="14" t="s">
        <v>2157</v>
      </c>
      <c r="N681" s="14" t="s">
        <v>2158</v>
      </c>
      <c r="O681" s="14" t="s">
        <v>2159</v>
      </c>
      <c r="P681" s="14"/>
      <c r="Q681" s="15"/>
      <c r="R681" s="14"/>
      <c r="S681" s="16"/>
      <c r="T681" s="14"/>
      <c r="U681" s="14">
        <v>4</v>
      </c>
      <c r="V681" s="14" t="s">
        <v>879</v>
      </c>
      <c r="W681" s="14" t="s">
        <v>37</v>
      </c>
      <c r="X681" s="13">
        <v>45604</v>
      </c>
      <c r="Y681" s="13"/>
      <c r="AB681" t="e">
        <v>#N/A</v>
      </c>
      <c r="AC681" t="e">
        <v>#N/A</v>
      </c>
      <c r="AE681" t="str">
        <f t="shared" si="89"/>
        <v>P000934</v>
      </c>
      <c r="AF681" t="str">
        <f>_xlfn.XLOOKUP(AE681, Hoja2!A:A, Hoja2!A:A)</f>
        <v>P000934</v>
      </c>
      <c r="AG681" t="str">
        <f t="shared" si="90"/>
        <v>PP00064-02</v>
      </c>
      <c r="AH681">
        <f>_xlfn.XLOOKUP(AG681, Hoja3!A:A, Hoja3!B:B)</f>
        <v>4370</v>
      </c>
      <c r="AI681">
        <f>_xlfn.XLOOKUP(AH681, Hoja4!A:A, Hoja4!B:B)</f>
        <v>10035194</v>
      </c>
      <c r="AJ681" t="b">
        <f t="shared" si="91"/>
        <v>1</v>
      </c>
    </row>
    <row r="682" spans="1:36" ht="15.5" customHeight="1" x14ac:dyDescent="0.35">
      <c r="A682">
        <f t="shared" ca="1" si="88"/>
        <v>69</v>
      </c>
      <c r="B682" s="6" t="s">
        <v>2160</v>
      </c>
      <c r="C682" s="7">
        <v>45569</v>
      </c>
      <c r="D682" s="6" t="s">
        <v>564</v>
      </c>
      <c r="E682" s="6" t="s">
        <v>139</v>
      </c>
      <c r="F682" s="6" t="s">
        <v>1697</v>
      </c>
      <c r="G682" s="6" t="s">
        <v>156</v>
      </c>
      <c r="H682" s="6">
        <v>7094176630</v>
      </c>
      <c r="I682" s="6" t="s">
        <v>402</v>
      </c>
      <c r="J682" s="6" t="str">
        <f>IF(E682="KTG","KTG",(VLOOKUP(I682,'[1]list of outsource'!B:H,2,0)))</f>
        <v>ETC</v>
      </c>
      <c r="K682" s="6" t="s">
        <v>403</v>
      </c>
      <c r="L682" s="6">
        <v>63</v>
      </c>
      <c r="M682" s="6" t="s">
        <v>2161</v>
      </c>
      <c r="N682" s="6" t="s">
        <v>2162</v>
      </c>
      <c r="O682" s="6" t="s">
        <v>2163</v>
      </c>
      <c r="P682" s="6"/>
      <c r="Q682" s="8"/>
      <c r="R682" s="6"/>
      <c r="S682" s="18"/>
      <c r="T682" s="6"/>
      <c r="U682" s="6">
        <v>4</v>
      </c>
      <c r="V682" s="6" t="s">
        <v>879</v>
      </c>
      <c r="W682" s="6" t="s">
        <v>37</v>
      </c>
      <c r="X682" s="7">
        <v>45638</v>
      </c>
      <c r="Y682" s="7">
        <v>45666</v>
      </c>
      <c r="AB682" t="e">
        <v>#N/A</v>
      </c>
      <c r="AC682" t="e">
        <v>#N/A</v>
      </c>
      <c r="AE682" t="str">
        <f t="shared" si="89"/>
        <v>P200318</v>
      </c>
      <c r="AF682" t="str">
        <f>_xlfn.XLOOKUP(AE682, Hoja2!A:A, Hoja2!A:A)</f>
        <v>P200318</v>
      </c>
      <c r="AG682" t="str">
        <f t="shared" si="90"/>
        <v>PP00061-06</v>
      </c>
      <c r="AH682">
        <f>_xlfn.XLOOKUP(AG682, Hoja3!A:A, Hoja3!B:B)</f>
        <v>5696</v>
      </c>
      <c r="AI682">
        <f>_xlfn.XLOOKUP(AH682, Hoja4!A:A, Hoja4!B:B)</f>
        <v>7094176630</v>
      </c>
      <c r="AJ682" t="b">
        <f t="shared" si="91"/>
        <v>1</v>
      </c>
    </row>
    <row r="683" spans="1:36" ht="15.5" customHeight="1" x14ac:dyDescent="0.35">
      <c r="A683">
        <f t="shared" ca="1" si="88"/>
        <v>3</v>
      </c>
      <c r="B683" s="12" t="s">
        <v>2164</v>
      </c>
      <c r="C683" s="13">
        <v>45243</v>
      </c>
      <c r="D683" s="14" t="s">
        <v>121</v>
      </c>
      <c r="E683" s="14" t="s">
        <v>83</v>
      </c>
      <c r="F683" s="14" t="s">
        <v>84</v>
      </c>
      <c r="G683" s="14" t="s">
        <v>156</v>
      </c>
      <c r="H683" s="14" t="s">
        <v>389</v>
      </c>
      <c r="I683" s="14" t="s">
        <v>158</v>
      </c>
      <c r="J683" s="14" t="str">
        <f>IF(E683="KTG","KTG",(VLOOKUP(I683,'[1]list of outsource'!B:H,2,0)))</f>
        <v>UPM</v>
      </c>
      <c r="K683" s="14" t="s">
        <v>159</v>
      </c>
      <c r="L683" s="14">
        <v>37</v>
      </c>
      <c r="M683" s="14" t="s">
        <v>390</v>
      </c>
      <c r="N683" s="14" t="s">
        <v>391</v>
      </c>
      <c r="O683" s="14">
        <v>1173683423</v>
      </c>
      <c r="P683" s="14"/>
      <c r="Q683" s="15"/>
      <c r="R683" s="14"/>
      <c r="S683" s="16"/>
      <c r="T683" s="14"/>
      <c r="U683" s="14">
        <v>1</v>
      </c>
      <c r="V683" s="14"/>
      <c r="W683" s="14" t="s">
        <v>154</v>
      </c>
      <c r="X683" s="13">
        <v>45246</v>
      </c>
      <c r="Y683" s="13"/>
      <c r="AB683" t="e">
        <v>#N/A</v>
      </c>
      <c r="AC683" t="e">
        <v>#N/A</v>
      </c>
      <c r="AE683" t="str">
        <f t="shared" si="89"/>
        <v>P000123</v>
      </c>
      <c r="AF683" t="str">
        <f>_xlfn.XLOOKUP(AE683, Hoja2!A:A, Hoja2!A:A)</f>
        <v>P000123</v>
      </c>
      <c r="AG683" t="str">
        <f t="shared" si="90"/>
        <v>PP00028-45</v>
      </c>
      <c r="AH683">
        <f>_xlfn.XLOOKUP(AG683, Hoja3!A:A, Hoja3!B:B)</f>
        <v>5372</v>
      </c>
      <c r="AI683" t="str">
        <f>_xlfn.XLOOKUP(AH683, Hoja4!A:A, Hoja4!B:B)</f>
        <v>E34285100</v>
      </c>
      <c r="AJ683" t="b">
        <f t="shared" si="91"/>
        <v>1</v>
      </c>
    </row>
    <row r="684" spans="1:36" ht="15.5" customHeight="1" x14ac:dyDescent="0.35">
      <c r="A684">
        <f t="shared" ca="1" si="88"/>
        <v>4</v>
      </c>
      <c r="B684" s="6" t="s">
        <v>2164</v>
      </c>
      <c r="C684" s="7">
        <v>45394</v>
      </c>
      <c r="D684" s="6" t="s">
        <v>912</v>
      </c>
      <c r="E684" s="6" t="s">
        <v>83</v>
      </c>
      <c r="F684" s="6" t="s">
        <v>84</v>
      </c>
      <c r="G684" s="6" t="s">
        <v>156</v>
      </c>
      <c r="H684" s="6" t="s">
        <v>389</v>
      </c>
      <c r="I684" s="6" t="s">
        <v>158</v>
      </c>
      <c r="J684" s="6" t="str">
        <f>IF(E684="KTG","KTG",(VLOOKUP(I684,'[1]list of outsource'!B:H,2,0)))</f>
        <v>UPM</v>
      </c>
      <c r="K684" s="6" t="s">
        <v>159</v>
      </c>
      <c r="L684" s="6">
        <v>38</v>
      </c>
      <c r="M684" s="6" t="s">
        <v>390</v>
      </c>
      <c r="N684" s="6" t="s">
        <v>391</v>
      </c>
      <c r="O684" s="6">
        <v>1173683423</v>
      </c>
      <c r="P684" s="6"/>
      <c r="Q684" s="8" t="s">
        <v>575</v>
      </c>
      <c r="R684" s="6"/>
      <c r="S684" s="6"/>
      <c r="T684" s="6"/>
      <c r="U684" s="6">
        <v>1</v>
      </c>
      <c r="V684" s="6" t="s">
        <v>569</v>
      </c>
      <c r="W684" s="6" t="s">
        <v>154</v>
      </c>
      <c r="X684" s="7">
        <v>45398</v>
      </c>
      <c r="Y684" s="7">
        <v>45401</v>
      </c>
      <c r="AB684" t="e">
        <v>#N/A</v>
      </c>
      <c r="AC684" t="e">
        <v>#N/A</v>
      </c>
      <c r="AE684" t="str">
        <f t="shared" si="89"/>
        <v>P000123</v>
      </c>
      <c r="AF684" t="str">
        <f>_xlfn.XLOOKUP(AE684, Hoja2!A:A, Hoja2!A:A)</f>
        <v>P000123</v>
      </c>
      <c r="AG684" t="str">
        <f t="shared" si="90"/>
        <v>PP00028-45</v>
      </c>
      <c r="AH684">
        <f>_xlfn.XLOOKUP(AG684, Hoja3!A:A, Hoja3!B:B)</f>
        <v>5372</v>
      </c>
      <c r="AI684" t="str">
        <f>_xlfn.XLOOKUP(AH684, Hoja4!A:A, Hoja4!B:B)</f>
        <v>E34285100</v>
      </c>
      <c r="AJ684" t="b">
        <f t="shared" si="91"/>
        <v>1</v>
      </c>
    </row>
    <row r="685" spans="1:36" ht="15.5" customHeight="1" x14ac:dyDescent="0.35">
      <c r="A685">
        <f t="shared" ca="1" si="88"/>
        <v>22</v>
      </c>
      <c r="B685" s="6" t="s">
        <v>2164</v>
      </c>
      <c r="C685" s="7">
        <v>45735</v>
      </c>
      <c r="D685" s="6" t="s">
        <v>564</v>
      </c>
      <c r="E685" s="6" t="s">
        <v>83</v>
      </c>
      <c r="F685" s="6" t="s">
        <v>84</v>
      </c>
      <c r="G685" s="6" t="s">
        <v>156</v>
      </c>
      <c r="H685" s="6" t="s">
        <v>389</v>
      </c>
      <c r="I685" s="6" t="s">
        <v>158</v>
      </c>
      <c r="J685" s="6" t="str">
        <f>IF(E685="KTG","KTG",(VLOOKUP(I685,'[1]list of outsource'!B:H,2,0)))</f>
        <v>UPM</v>
      </c>
      <c r="K685" s="6" t="s">
        <v>159</v>
      </c>
      <c r="L685" s="6">
        <v>45</v>
      </c>
      <c r="M685" s="6" t="s">
        <v>390</v>
      </c>
      <c r="N685" s="6" t="s">
        <v>391</v>
      </c>
      <c r="O685" s="6" t="s">
        <v>2165</v>
      </c>
      <c r="P685" s="6"/>
      <c r="Q685" s="8"/>
      <c r="R685" s="6"/>
      <c r="S685" s="6"/>
      <c r="T685" s="6"/>
      <c r="U685" s="6">
        <v>1</v>
      </c>
      <c r="V685" s="6" t="s">
        <v>569</v>
      </c>
      <c r="W685" s="6" t="s">
        <v>154</v>
      </c>
      <c r="X685" s="7">
        <v>45757</v>
      </c>
      <c r="Y685" s="7">
        <v>45786</v>
      </c>
      <c r="AB685" t="e">
        <v>#N/A</v>
      </c>
      <c r="AC685" t="e">
        <v>#N/A</v>
      </c>
      <c r="AE685" t="str">
        <f t="shared" si="89"/>
        <v>P000123</v>
      </c>
      <c r="AF685" t="str">
        <f>_xlfn.XLOOKUP(AE685, Hoja2!A:A, Hoja2!A:A)</f>
        <v>P000123</v>
      </c>
      <c r="AG685" t="str">
        <f t="shared" si="90"/>
        <v>PP00028-45</v>
      </c>
      <c r="AH685">
        <f>_xlfn.XLOOKUP(AG685, Hoja3!A:A, Hoja3!B:B)</f>
        <v>5372</v>
      </c>
      <c r="AI685" t="str">
        <f>_xlfn.XLOOKUP(AH685, Hoja4!A:A, Hoja4!B:B)</f>
        <v>E34285100</v>
      </c>
      <c r="AJ685" t="b">
        <f t="shared" si="91"/>
        <v>1</v>
      </c>
    </row>
    <row r="686" spans="1:36" ht="15.5" customHeight="1" x14ac:dyDescent="0.35">
      <c r="A686">
        <f t="shared" ca="1" si="88"/>
        <v>48</v>
      </c>
      <c r="B686" s="12" t="s">
        <v>2166</v>
      </c>
      <c r="C686" s="13">
        <v>45251</v>
      </c>
      <c r="D686" s="14" t="s">
        <v>121</v>
      </c>
      <c r="E686" s="14" t="s">
        <v>139</v>
      </c>
      <c r="F686" s="14" t="s">
        <v>84</v>
      </c>
      <c r="G686" s="14" t="s">
        <v>156</v>
      </c>
      <c r="H686" s="14" t="s">
        <v>401</v>
      </c>
      <c r="I686" s="14" t="s">
        <v>402</v>
      </c>
      <c r="J686" s="14" t="str">
        <f>IF(E686="KTG","KTG",(VLOOKUP(I686,'[1]list of outsource'!B:H,2,0)))</f>
        <v>ETC</v>
      </c>
      <c r="K686" s="14" t="s">
        <v>403</v>
      </c>
      <c r="L686" s="14">
        <v>57</v>
      </c>
      <c r="M686" s="14" t="s">
        <v>404</v>
      </c>
      <c r="N686" s="14" t="s">
        <v>405</v>
      </c>
      <c r="O686" s="14">
        <v>1180241318</v>
      </c>
      <c r="P686" s="14"/>
      <c r="Q686" s="15" t="s">
        <v>575</v>
      </c>
      <c r="R686" s="14"/>
      <c r="S686" s="16"/>
      <c r="T686" s="14"/>
      <c r="U686" s="14">
        <v>1</v>
      </c>
      <c r="V686" s="14" t="s">
        <v>569</v>
      </c>
      <c r="W686" s="14" t="s">
        <v>154</v>
      </c>
      <c r="X686" s="13">
        <v>45299</v>
      </c>
      <c r="Y686" s="13"/>
      <c r="AB686" t="e">
        <v>#N/A</v>
      </c>
      <c r="AC686" t="e">
        <v>#N/A</v>
      </c>
      <c r="AE686" t="str">
        <f t="shared" si="89"/>
        <v>P000296</v>
      </c>
      <c r="AF686" t="str">
        <f>_xlfn.XLOOKUP(AE686, Hoja2!A:A, Hoja2!A:A)</f>
        <v>P000296</v>
      </c>
      <c r="AG686" t="str">
        <f t="shared" si="90"/>
        <v>PP00028-46</v>
      </c>
      <c r="AH686">
        <f>_xlfn.XLOOKUP(AG686, Hoja3!A:A, Hoja3!B:B)</f>
        <v>5373</v>
      </c>
      <c r="AI686" t="str">
        <f>_xlfn.XLOOKUP(AH686, Hoja4!A:A, Hoja4!B:B)</f>
        <v>E39029300</v>
      </c>
      <c r="AJ686" t="b">
        <f t="shared" si="91"/>
        <v>1</v>
      </c>
    </row>
    <row r="687" spans="1:36" ht="15.5" customHeight="1" x14ac:dyDescent="0.35">
      <c r="A687">
        <f t="shared" ca="1" si="88"/>
        <v>32</v>
      </c>
      <c r="B687" s="12" t="s">
        <v>364</v>
      </c>
      <c r="C687" s="13">
        <v>45576</v>
      </c>
      <c r="D687" s="14" t="s">
        <v>121</v>
      </c>
      <c r="E687" s="14" t="s">
        <v>83</v>
      </c>
      <c r="F687" s="14" t="s">
        <v>356</v>
      </c>
      <c r="G687" s="14" t="s">
        <v>32</v>
      </c>
      <c r="H687" s="14" t="s">
        <v>365</v>
      </c>
      <c r="I687" s="14" t="s">
        <v>158</v>
      </c>
      <c r="J687" s="14" t="str">
        <f>IF(E687="KTG","KTG",(VLOOKUP(I687,'[1]list of outsource'!B:H,2,0)))</f>
        <v>UPM</v>
      </c>
      <c r="K687" s="14" t="s">
        <v>159</v>
      </c>
      <c r="L687" s="14">
        <v>45</v>
      </c>
      <c r="M687" s="14" t="s">
        <v>366</v>
      </c>
      <c r="N687" s="14" t="s">
        <v>809</v>
      </c>
      <c r="O687" s="14" t="s">
        <v>2167</v>
      </c>
      <c r="P687" s="14"/>
      <c r="Q687" s="15"/>
      <c r="R687" s="14"/>
      <c r="S687" s="16"/>
      <c r="T687" s="14"/>
      <c r="U687" s="14">
        <v>4</v>
      </c>
      <c r="V687" s="14" t="s">
        <v>569</v>
      </c>
      <c r="W687" s="14" t="s">
        <v>154</v>
      </c>
      <c r="X687" s="13">
        <v>45608</v>
      </c>
      <c r="Y687" s="13"/>
      <c r="AB687" t="e">
        <v>#N/A</v>
      </c>
      <c r="AC687" t="e">
        <v>#N/A</v>
      </c>
      <c r="AE687" t="str">
        <f t="shared" si="89"/>
        <v>P000117</v>
      </c>
      <c r="AF687" t="str">
        <f>_xlfn.XLOOKUP(AE687, Hoja2!A:A, Hoja2!A:A)</f>
        <v>P000117</v>
      </c>
      <c r="AG687" t="str">
        <f t="shared" si="90"/>
        <v>PP00012-03</v>
      </c>
      <c r="AH687">
        <f>_xlfn.XLOOKUP(AG687, Hoja3!A:A, Hoja3!B:B)</f>
        <v>4046</v>
      </c>
      <c r="AI687" t="str">
        <f>_xlfn.XLOOKUP(AH687, Hoja4!A:A, Hoja4!B:B)</f>
        <v>GAT023</v>
      </c>
      <c r="AJ687" t="b">
        <f t="shared" si="91"/>
        <v>1</v>
      </c>
    </row>
    <row r="688" spans="1:36" ht="15.5" customHeight="1" x14ac:dyDescent="0.35">
      <c r="A688">
        <f t="shared" ca="1" si="88"/>
        <v>36</v>
      </c>
      <c r="B688" s="12" t="s">
        <v>696</v>
      </c>
      <c r="C688" s="13">
        <v>45581</v>
      </c>
      <c r="D688" s="14" t="s">
        <v>121</v>
      </c>
      <c r="E688" s="14" t="s">
        <v>139</v>
      </c>
      <c r="F688" s="14" t="s">
        <v>84</v>
      </c>
      <c r="G688" s="14" t="s">
        <v>578</v>
      </c>
      <c r="H688" s="14" t="s">
        <v>697</v>
      </c>
      <c r="I688" s="14" t="s">
        <v>402</v>
      </c>
      <c r="J688" s="14" t="str">
        <f>IF(E688="KTG","KTG",(VLOOKUP(I688,'[1]list of outsource'!B:H,2,0)))</f>
        <v>ETC</v>
      </c>
      <c r="K688" s="14" t="s">
        <v>403</v>
      </c>
      <c r="L688" s="14">
        <v>64</v>
      </c>
      <c r="M688" s="14" t="s">
        <v>491</v>
      </c>
      <c r="N688" s="14" t="s">
        <v>698</v>
      </c>
      <c r="O688" s="14" t="s">
        <v>2168</v>
      </c>
      <c r="P688" s="14"/>
      <c r="Q688" s="15"/>
      <c r="R688" s="14"/>
      <c r="S688" s="16"/>
      <c r="T688" s="14"/>
      <c r="U688" s="14">
        <v>4</v>
      </c>
      <c r="V688" s="14" t="s">
        <v>665</v>
      </c>
      <c r="W688" s="14" t="s">
        <v>37</v>
      </c>
      <c r="X688" s="13">
        <v>45617</v>
      </c>
      <c r="Y688" s="13"/>
      <c r="AB688" t="e">
        <v>#N/A</v>
      </c>
      <c r="AC688" t="e">
        <v>#N/A</v>
      </c>
      <c r="AE688" t="str">
        <f t="shared" si="89"/>
        <v>P000293</v>
      </c>
      <c r="AF688" t="str">
        <f>_xlfn.XLOOKUP(AE688, Hoja2!A:A, Hoja2!A:A)</f>
        <v>P000293</v>
      </c>
      <c r="AG688" t="str">
        <f t="shared" si="90"/>
        <v>PP00032-28</v>
      </c>
      <c r="AH688">
        <f>_xlfn.XLOOKUP(AG688, Hoja3!A:A, Hoja3!B:B)</f>
        <v>5448</v>
      </c>
      <c r="AI688" t="str">
        <f>_xlfn.XLOOKUP(AH688, Hoja4!A:A, Hoja4!B:B)</f>
        <v>E38926000</v>
      </c>
      <c r="AJ688" t="b">
        <f t="shared" si="91"/>
        <v>1</v>
      </c>
    </row>
    <row r="689" spans="1:36" ht="15.5" customHeight="1" x14ac:dyDescent="0.35">
      <c r="A689">
        <f t="shared" ca="1" si="88"/>
        <v>36</v>
      </c>
      <c r="B689" s="12" t="s">
        <v>699</v>
      </c>
      <c r="C689" s="13">
        <v>45581</v>
      </c>
      <c r="D689" s="14" t="s">
        <v>121</v>
      </c>
      <c r="E689" s="14" t="s">
        <v>139</v>
      </c>
      <c r="F689" s="14" t="s">
        <v>84</v>
      </c>
      <c r="G689" s="14" t="s">
        <v>578</v>
      </c>
      <c r="H689" s="14" t="s">
        <v>700</v>
      </c>
      <c r="I689" s="14" t="s">
        <v>402</v>
      </c>
      <c r="J689" s="14" t="str">
        <f>IF(E689="KTG","KTG",(VLOOKUP(I689,'[1]list of outsource'!B:H,2,0)))</f>
        <v>ETC</v>
      </c>
      <c r="K689" s="14" t="s">
        <v>403</v>
      </c>
      <c r="L689" s="14">
        <v>64</v>
      </c>
      <c r="M689" s="14" t="s">
        <v>498</v>
      </c>
      <c r="N689" s="14" t="s">
        <v>701</v>
      </c>
      <c r="O689" s="14" t="s">
        <v>2169</v>
      </c>
      <c r="P689" s="14"/>
      <c r="Q689" s="15"/>
      <c r="R689" s="14"/>
      <c r="S689" s="16"/>
      <c r="T689" s="14"/>
      <c r="U689" s="14">
        <v>4</v>
      </c>
      <c r="V689" s="14" t="s">
        <v>665</v>
      </c>
      <c r="W689" s="14" t="s">
        <v>37</v>
      </c>
      <c r="X689" s="13">
        <v>45617</v>
      </c>
      <c r="Y689" s="13"/>
      <c r="AB689" t="e">
        <v>#N/A</v>
      </c>
      <c r="AC689" t="e">
        <v>#N/A</v>
      </c>
      <c r="AE689" t="str">
        <f t="shared" si="89"/>
        <v>P000204</v>
      </c>
      <c r="AF689" t="str">
        <f>_xlfn.XLOOKUP(AE689, Hoja2!A:A, Hoja2!A:A)</f>
        <v>P000204</v>
      </c>
      <c r="AG689" t="str">
        <f t="shared" si="90"/>
        <v>PP00032-29</v>
      </c>
      <c r="AH689">
        <f>_xlfn.XLOOKUP(AG689, Hoja3!A:A, Hoja3!B:B)</f>
        <v>5450</v>
      </c>
      <c r="AI689" t="str">
        <f>_xlfn.XLOOKUP(AH689, Hoja4!A:A, Hoja4!B:B)</f>
        <v>E36449000</v>
      </c>
      <c r="AJ689" t="b">
        <f t="shared" si="91"/>
        <v>1</v>
      </c>
    </row>
    <row r="690" spans="1:36" ht="15.5" customHeight="1" x14ac:dyDescent="0.35">
      <c r="A690">
        <f t="shared" ca="1" si="88"/>
        <v>34</v>
      </c>
      <c r="B690" s="6" t="s">
        <v>702</v>
      </c>
      <c r="C690" s="7">
        <v>45581</v>
      </c>
      <c r="D690" s="6" t="s">
        <v>564</v>
      </c>
      <c r="E690" s="6" t="s">
        <v>139</v>
      </c>
      <c r="F690" s="6" t="s">
        <v>84</v>
      </c>
      <c r="G690" s="6" t="s">
        <v>578</v>
      </c>
      <c r="H690" s="6" t="s">
        <v>703</v>
      </c>
      <c r="I690" s="6" t="s">
        <v>402</v>
      </c>
      <c r="J690" s="6" t="str">
        <f>IF(E690="KTG","KTG",(VLOOKUP(I690,'[1]list of outsource'!B:H,2,0)))</f>
        <v>ETC</v>
      </c>
      <c r="K690" s="6" t="s">
        <v>403</v>
      </c>
      <c r="L690" s="6">
        <v>64</v>
      </c>
      <c r="M690" s="6" t="s">
        <v>704</v>
      </c>
      <c r="N690" s="6" t="s">
        <v>705</v>
      </c>
      <c r="O690" s="6" t="s">
        <v>2170</v>
      </c>
      <c r="P690" s="6"/>
      <c r="Q690" s="8">
        <v>45611</v>
      </c>
      <c r="R690" s="6"/>
      <c r="S690" s="6"/>
      <c r="T690" s="6"/>
      <c r="U690" s="6">
        <v>4</v>
      </c>
      <c r="V690" s="6" t="s">
        <v>665</v>
      </c>
      <c r="W690" s="6" t="s">
        <v>37</v>
      </c>
      <c r="X690" s="7">
        <v>45615</v>
      </c>
      <c r="Y690" s="7">
        <v>45713</v>
      </c>
      <c r="AB690" t="e">
        <v>#N/A</v>
      </c>
      <c r="AC690" t="e">
        <v>#N/A</v>
      </c>
      <c r="AE690" t="str">
        <f t="shared" si="89"/>
        <v>P000289</v>
      </c>
      <c r="AF690" t="str">
        <f>_xlfn.XLOOKUP(AE690, Hoja2!A:A, Hoja2!A:A)</f>
        <v>P000289</v>
      </c>
      <c r="AG690" t="str">
        <f t="shared" si="90"/>
        <v>PP00032-30</v>
      </c>
      <c r="AH690">
        <f>_xlfn.XLOOKUP(AG690, Hoja3!A:A, Hoja3!B:B)</f>
        <v>5452</v>
      </c>
      <c r="AI690" t="str">
        <f>_xlfn.XLOOKUP(AH690, Hoja4!A:A, Hoja4!B:B)</f>
        <v>E38925800</v>
      </c>
      <c r="AJ690" t="b">
        <f t="shared" si="91"/>
        <v>1</v>
      </c>
    </row>
    <row r="691" spans="1:36" ht="15.5" customHeight="1" x14ac:dyDescent="0.35">
      <c r="A691">
        <f t="shared" ca="1" si="88"/>
        <v>34</v>
      </c>
      <c r="B691" s="6" t="s">
        <v>706</v>
      </c>
      <c r="C691" s="7">
        <v>45581</v>
      </c>
      <c r="D691" s="6" t="s">
        <v>564</v>
      </c>
      <c r="E691" s="6" t="s">
        <v>139</v>
      </c>
      <c r="F691" s="6" t="s">
        <v>84</v>
      </c>
      <c r="G691" s="6" t="s">
        <v>578</v>
      </c>
      <c r="H691" s="6" t="s">
        <v>707</v>
      </c>
      <c r="I691" s="6" t="s">
        <v>402</v>
      </c>
      <c r="J691" s="6" t="str">
        <f>IF(E691="KTG","KTG",(VLOOKUP(I691,'[1]list of outsource'!B:H,2,0)))</f>
        <v>ETC</v>
      </c>
      <c r="K691" s="6" t="s">
        <v>403</v>
      </c>
      <c r="L691" s="6">
        <v>64</v>
      </c>
      <c r="M691" s="6" t="s">
        <v>708</v>
      </c>
      <c r="N691" s="6" t="s">
        <v>709</v>
      </c>
      <c r="O691" s="6" t="s">
        <v>2171</v>
      </c>
      <c r="P691" s="6"/>
      <c r="Q691" s="8">
        <v>45611</v>
      </c>
      <c r="R691" s="6"/>
      <c r="S691" s="6"/>
      <c r="T691" s="6"/>
      <c r="U691" s="6">
        <v>4</v>
      </c>
      <c r="V691" s="6" t="s">
        <v>665</v>
      </c>
      <c r="W691" s="6" t="s">
        <v>37</v>
      </c>
      <c r="X691" s="7">
        <v>45615</v>
      </c>
      <c r="Y691" s="7">
        <v>45713</v>
      </c>
      <c r="AB691" t="e">
        <v>#N/A</v>
      </c>
      <c r="AC691" t="e">
        <v>#N/A</v>
      </c>
      <c r="AE691" t="str">
        <f t="shared" si="89"/>
        <v>P000287</v>
      </c>
      <c r="AF691" t="str">
        <f>_xlfn.XLOOKUP(AE691, Hoja2!A:A, Hoja2!A:A)</f>
        <v>P000287</v>
      </c>
      <c r="AG691" t="str">
        <f t="shared" si="90"/>
        <v>PP00032-31</v>
      </c>
      <c r="AH691">
        <f>_xlfn.XLOOKUP(AG691, Hoja3!A:A, Hoja3!B:B)</f>
        <v>5454</v>
      </c>
      <c r="AI691" t="str">
        <f>_xlfn.XLOOKUP(AH691, Hoja4!A:A, Hoja4!B:B)</f>
        <v>E38925500</v>
      </c>
      <c r="AJ691" t="b">
        <f t="shared" si="91"/>
        <v>1</v>
      </c>
    </row>
    <row r="692" spans="1:36" ht="15.5" customHeight="1" x14ac:dyDescent="0.35">
      <c r="A692">
        <f t="shared" ca="1" si="88"/>
        <v>36</v>
      </c>
      <c r="B692" s="12" t="s">
        <v>710</v>
      </c>
      <c r="C692" s="13">
        <v>45581</v>
      </c>
      <c r="D692" s="14" t="s">
        <v>121</v>
      </c>
      <c r="E692" s="14" t="s">
        <v>139</v>
      </c>
      <c r="F692" s="14" t="s">
        <v>84</v>
      </c>
      <c r="G692" s="14" t="s">
        <v>578</v>
      </c>
      <c r="H692" s="14" t="s">
        <v>711</v>
      </c>
      <c r="I692" s="14" t="s">
        <v>529</v>
      </c>
      <c r="J692" s="14" t="str">
        <f>IF(E692="KTG","KTG",(VLOOKUP(I692,'[1]list of outsource'!B:H,2,0)))</f>
        <v>ETC</v>
      </c>
      <c r="K692" s="14" t="s">
        <v>530</v>
      </c>
      <c r="L692" s="14">
        <v>20</v>
      </c>
      <c r="M692" s="14" t="s">
        <v>712</v>
      </c>
      <c r="N692" s="14" t="s">
        <v>713</v>
      </c>
      <c r="O692" s="14" t="s">
        <v>2172</v>
      </c>
      <c r="P692" s="14"/>
      <c r="Q692" s="15">
        <v>45611</v>
      </c>
      <c r="R692" s="14"/>
      <c r="S692" s="16"/>
      <c r="T692" s="14"/>
      <c r="U692" s="14">
        <v>4</v>
      </c>
      <c r="V692" s="14" t="s">
        <v>665</v>
      </c>
      <c r="W692" s="14" t="s">
        <v>37</v>
      </c>
      <c r="X692" s="13">
        <v>45617</v>
      </c>
      <c r="Y692" s="13"/>
      <c r="AB692" t="e">
        <v>#N/A</v>
      </c>
      <c r="AC692" t="e">
        <v>#N/A</v>
      </c>
      <c r="AE692" t="str">
        <f t="shared" si="89"/>
        <v>P000386</v>
      </c>
      <c r="AF692" t="str">
        <f>_xlfn.XLOOKUP(AE692, Hoja2!A:A, Hoja2!A:A)</f>
        <v>P000386</v>
      </c>
      <c r="AG692" t="str">
        <f t="shared" si="90"/>
        <v>PP00032-32</v>
      </c>
      <c r="AH692">
        <f>_xlfn.XLOOKUP(AG692, Hoja3!A:A, Hoja3!B:B)</f>
        <v>5456</v>
      </c>
      <c r="AI692" t="str">
        <f>_xlfn.XLOOKUP(AH692, Hoja4!A:A, Hoja4!B:B)</f>
        <v>E40089100</v>
      </c>
      <c r="AJ692" t="b">
        <f t="shared" si="91"/>
        <v>1</v>
      </c>
    </row>
    <row r="693" spans="1:36" ht="15.5" customHeight="1" x14ac:dyDescent="0.35">
      <c r="A693">
        <f t="shared" ca="1" si="88"/>
        <v>34</v>
      </c>
      <c r="B693" s="6" t="s">
        <v>2173</v>
      </c>
      <c r="C693" s="7">
        <v>45581</v>
      </c>
      <c r="D693" s="6" t="s">
        <v>564</v>
      </c>
      <c r="E693" s="6" t="s">
        <v>83</v>
      </c>
      <c r="F693" s="6" t="s">
        <v>84</v>
      </c>
      <c r="G693" s="6" t="s">
        <v>578</v>
      </c>
      <c r="H693" s="6" t="s">
        <v>373</v>
      </c>
      <c r="I693" s="6" t="s">
        <v>95</v>
      </c>
      <c r="J693" s="6" t="str">
        <f>IF(E693="KTG","KTG",(VLOOKUP(I693,'[1]list of outsource'!B:H,2,0)))</f>
        <v>Woer</v>
      </c>
      <c r="K693" s="6" t="s">
        <v>96</v>
      </c>
      <c r="L693" s="6">
        <v>50</v>
      </c>
      <c r="M693" s="6" t="s">
        <v>374</v>
      </c>
      <c r="N693" s="6" t="s">
        <v>752</v>
      </c>
      <c r="O693" s="6" t="s">
        <v>753</v>
      </c>
      <c r="P693" s="6"/>
      <c r="Q693" s="8"/>
      <c r="R693" s="6"/>
      <c r="S693" s="6"/>
      <c r="T693" s="6"/>
      <c r="U693" s="6">
        <v>4</v>
      </c>
      <c r="V693" s="6" t="s">
        <v>665</v>
      </c>
      <c r="W693" s="6" t="s">
        <v>37</v>
      </c>
      <c r="X693" s="7">
        <v>45615</v>
      </c>
      <c r="Y693" s="7">
        <v>45713</v>
      </c>
      <c r="AB693" t="e">
        <v>#N/A</v>
      </c>
      <c r="AC693" t="e">
        <v>#N/A</v>
      </c>
      <c r="AE693" t="str">
        <f t="shared" si="89"/>
        <v>P000179</v>
      </c>
      <c r="AF693" t="str">
        <f>_xlfn.XLOOKUP(AE693, Hoja2!A:A, Hoja2!A:A)</f>
        <v>P000179</v>
      </c>
      <c r="AG693" t="str">
        <f t="shared" si="90"/>
        <v>PP00032-34</v>
      </c>
      <c r="AH693">
        <f>_xlfn.XLOOKUP(AG693, Hoja3!A:A, Hoja3!B:B)</f>
        <v>5458</v>
      </c>
      <c r="AI693" t="str">
        <f>_xlfn.XLOOKUP(AH693, Hoja4!A:A, Hoja4!B:B)</f>
        <v>E35563000</v>
      </c>
      <c r="AJ693" t="b">
        <f t="shared" si="91"/>
        <v>1</v>
      </c>
    </row>
    <row r="694" spans="1:36" ht="15.5" customHeight="1" x14ac:dyDescent="0.35">
      <c r="A694">
        <f t="shared" ca="1" si="88"/>
        <v>40</v>
      </c>
      <c r="B694" s="12" t="s">
        <v>2174</v>
      </c>
      <c r="C694" s="13">
        <v>45477</v>
      </c>
      <c r="D694" s="14" t="s">
        <v>121</v>
      </c>
      <c r="E694" s="14" t="s">
        <v>139</v>
      </c>
      <c r="F694" s="14" t="s">
        <v>658</v>
      </c>
      <c r="G694" s="14" t="s">
        <v>32</v>
      </c>
      <c r="H694" s="14">
        <v>35738181</v>
      </c>
      <c r="I694" s="14" t="s">
        <v>1442</v>
      </c>
      <c r="J694" s="14" t="str">
        <f>IF(E694="KTG","KTG",(VLOOKUP(I694,'[1]list of outsource'!B:H,2,0)))</f>
        <v>ETC</v>
      </c>
      <c r="K694" s="14" t="s">
        <v>1443</v>
      </c>
      <c r="L694" s="14">
        <v>20</v>
      </c>
      <c r="M694" s="14" t="s">
        <v>2175</v>
      </c>
      <c r="N694" s="14" t="s">
        <v>2176</v>
      </c>
      <c r="O694" s="14" t="s">
        <v>2177</v>
      </c>
      <c r="P694" s="14"/>
      <c r="Q694" s="15">
        <v>45503</v>
      </c>
      <c r="R694" s="14"/>
      <c r="S694" s="16"/>
      <c r="T694" s="14"/>
      <c r="U694" s="14">
        <v>4</v>
      </c>
      <c r="V694" s="14" t="s">
        <v>879</v>
      </c>
      <c r="W694" s="14" t="s">
        <v>37</v>
      </c>
      <c r="X694" s="13">
        <v>45517</v>
      </c>
      <c r="Y694" s="13"/>
      <c r="AB694" t="e">
        <v>#N/A</v>
      </c>
      <c r="AC694" t="e">
        <v>#N/A</v>
      </c>
      <c r="AE694" t="str">
        <f t="shared" si="89"/>
        <v>P000348</v>
      </c>
      <c r="AF694" t="str">
        <f>_xlfn.XLOOKUP(AE694, Hoja2!A:A, Hoja2!A:A)</f>
        <v>P000348</v>
      </c>
      <c r="AG694" t="str">
        <f t="shared" si="90"/>
        <v>PP00034-34</v>
      </c>
      <c r="AH694">
        <f>_xlfn.XLOOKUP(AG694, Hoja3!A:A, Hoja3!B:B)</f>
        <v>4779</v>
      </c>
      <c r="AI694">
        <f>_xlfn.XLOOKUP(AH694, Hoja4!A:A, Hoja4!B:B)</f>
        <v>35738181</v>
      </c>
      <c r="AJ694" t="b">
        <f t="shared" si="91"/>
        <v>1</v>
      </c>
    </row>
    <row r="695" spans="1:36" ht="15.5" customHeight="1" x14ac:dyDescent="0.35">
      <c r="A695">
        <f t="shared" ca="1" si="88"/>
        <v>29</v>
      </c>
      <c r="B695" s="12" t="s">
        <v>2178</v>
      </c>
      <c r="C695" s="13">
        <v>45488</v>
      </c>
      <c r="D695" s="14" t="s">
        <v>121</v>
      </c>
      <c r="E695" s="14" t="s">
        <v>30</v>
      </c>
      <c r="F695" s="14" t="s">
        <v>658</v>
      </c>
      <c r="G695" s="14" t="s">
        <v>32</v>
      </c>
      <c r="H695" s="14">
        <v>15324289</v>
      </c>
      <c r="I695" s="14"/>
      <c r="J695" s="14" t="str">
        <f>IF(E695="KTG","KTG",(VLOOKUP(I695,'[1]list of outsource'!B:H,2,0)))</f>
        <v>KTG</v>
      </c>
      <c r="K695" s="14"/>
      <c r="L695" s="14"/>
      <c r="M695" s="14" t="s">
        <v>2179</v>
      </c>
      <c r="N695" s="14" t="s">
        <v>2180</v>
      </c>
      <c r="O695" s="14"/>
      <c r="P695" s="14"/>
      <c r="Q695" s="15">
        <v>45512</v>
      </c>
      <c r="R695" s="14"/>
      <c r="S695" s="16"/>
      <c r="T695" s="14"/>
      <c r="U695" s="14">
        <v>4</v>
      </c>
      <c r="V695" s="14" t="s">
        <v>879</v>
      </c>
      <c r="W695" s="14" t="s">
        <v>37</v>
      </c>
      <c r="X695" s="13">
        <v>45517</v>
      </c>
      <c r="Y695" s="13"/>
      <c r="AB695" t="e">
        <v>#N/A</v>
      </c>
      <c r="AC695" t="e">
        <v>#N/A</v>
      </c>
      <c r="AE695" t="str">
        <f t="shared" si="89"/>
        <v>E47413</v>
      </c>
      <c r="AF695" t="str">
        <f>_xlfn.XLOOKUP(AE695, Hoja2!A:A, Hoja2!A:A)</f>
        <v>E47413</v>
      </c>
      <c r="AG695" t="str">
        <f t="shared" si="90"/>
        <v>PP00034-35</v>
      </c>
      <c r="AH695">
        <f>_xlfn.XLOOKUP(AG695, Hoja3!A:A, Hoja3!B:B)</f>
        <v>4759</v>
      </c>
      <c r="AI695">
        <f>_xlfn.XLOOKUP(AH695, Hoja4!A:A, Hoja4!B:B)</f>
        <v>15324289</v>
      </c>
      <c r="AJ695" t="b">
        <f t="shared" si="91"/>
        <v>1</v>
      </c>
    </row>
    <row r="696" spans="1:36" ht="15.5" customHeight="1" x14ac:dyDescent="0.35">
      <c r="A696">
        <f t="shared" ca="1" si="88"/>
        <v>22</v>
      </c>
      <c r="B696" s="12" t="s">
        <v>2181</v>
      </c>
      <c r="C696" s="13">
        <v>45524</v>
      </c>
      <c r="D696" s="14" t="s">
        <v>121</v>
      </c>
      <c r="E696" s="14" t="s">
        <v>139</v>
      </c>
      <c r="F696" s="14" t="s">
        <v>658</v>
      </c>
      <c r="G696" s="14" t="s">
        <v>32</v>
      </c>
      <c r="H696" s="14">
        <v>35738179</v>
      </c>
      <c r="I696" s="14" t="s">
        <v>1442</v>
      </c>
      <c r="J696" s="14" t="str">
        <f>IF(E696="KTG","KTG",(VLOOKUP(I696,'[1]list of outsource'!B:H,2,0)))</f>
        <v>ETC</v>
      </c>
      <c r="K696" s="14" t="s">
        <v>1443</v>
      </c>
      <c r="L696" s="14">
        <v>20</v>
      </c>
      <c r="M696" s="14" t="s">
        <v>2182</v>
      </c>
      <c r="N696" s="14" t="s">
        <v>2183</v>
      </c>
      <c r="O696" s="14" t="s">
        <v>2184</v>
      </c>
      <c r="P696" s="14"/>
      <c r="Q696" s="15">
        <v>45422</v>
      </c>
      <c r="R696" s="14"/>
      <c r="S696" s="16"/>
      <c r="T696" s="14"/>
      <c r="U696" s="14">
        <v>4</v>
      </c>
      <c r="V696" s="14" t="s">
        <v>919</v>
      </c>
      <c r="W696" s="14" t="s">
        <v>37</v>
      </c>
      <c r="X696" s="13">
        <v>45546</v>
      </c>
      <c r="Y696" s="13"/>
      <c r="AB696" t="e">
        <v>#N/A</v>
      </c>
      <c r="AC696" t="e">
        <v>#N/A</v>
      </c>
      <c r="AE696" t="str">
        <f t="shared" si="89"/>
        <v>P000346</v>
      </c>
      <c r="AF696" t="str">
        <f>_xlfn.XLOOKUP(AE696, Hoja2!A:A, Hoja2!A:A)</f>
        <v>P000346</v>
      </c>
      <c r="AG696" t="str">
        <f t="shared" si="90"/>
        <v>PP00034-36</v>
      </c>
      <c r="AH696">
        <f>_xlfn.XLOOKUP(AG696, Hoja3!A:A, Hoja3!B:B)</f>
        <v>4778</v>
      </c>
      <c r="AI696">
        <f>_xlfn.XLOOKUP(AH696, Hoja4!A:A, Hoja4!B:B)</f>
        <v>35738179</v>
      </c>
      <c r="AJ696" t="b">
        <f t="shared" si="91"/>
        <v>1</v>
      </c>
    </row>
    <row r="697" spans="1:36" ht="15.5" customHeight="1" x14ac:dyDescent="0.35">
      <c r="A697">
        <f t="shared" ca="1" si="88"/>
        <v>8</v>
      </c>
      <c r="B697" s="6" t="s">
        <v>932</v>
      </c>
      <c r="C697" s="7">
        <v>45600</v>
      </c>
      <c r="D697" s="6" t="s">
        <v>912</v>
      </c>
      <c r="E697" s="6" t="s">
        <v>139</v>
      </c>
      <c r="F697" s="6" t="s">
        <v>933</v>
      </c>
      <c r="G697" s="6" t="s">
        <v>32</v>
      </c>
      <c r="H697" s="6">
        <v>35758280</v>
      </c>
      <c r="I697" s="6" t="s">
        <v>208</v>
      </c>
      <c r="J697" s="6" t="str">
        <f>IF(E697="KTG","KTG",(VLOOKUP(I697,'[1]list of outsource'!B:H,2,0)))</f>
        <v>ETC</v>
      </c>
      <c r="K697" s="6" t="s">
        <v>209</v>
      </c>
      <c r="L697" s="6">
        <v>10</v>
      </c>
      <c r="M697" s="6" t="s">
        <v>934</v>
      </c>
      <c r="N697" s="6" t="s">
        <v>935</v>
      </c>
      <c r="O697" s="6" t="s">
        <v>2185</v>
      </c>
      <c r="P697" s="6" t="s">
        <v>575</v>
      </c>
      <c r="Q697" s="8" t="s">
        <v>575</v>
      </c>
      <c r="R697" s="6" t="s">
        <v>575</v>
      </c>
      <c r="S697" s="6" t="s">
        <v>575</v>
      </c>
      <c r="T697" s="6"/>
      <c r="U697" s="6">
        <v>2</v>
      </c>
      <c r="V697" s="6" t="s">
        <v>569</v>
      </c>
      <c r="W697" s="6" t="s">
        <v>154</v>
      </c>
      <c r="X697" s="7">
        <v>45608</v>
      </c>
      <c r="Y697" s="7">
        <v>45615</v>
      </c>
      <c r="AB697" t="e">
        <v>#N/A</v>
      </c>
      <c r="AC697" t="e">
        <v>#N/A</v>
      </c>
      <c r="AE697" t="str">
        <f t="shared" si="89"/>
        <v>P000554</v>
      </c>
      <c r="AF697" t="str">
        <f>_xlfn.XLOOKUP(AE697, Hoja2!A:A, Hoja2!A:A)</f>
        <v>P000554</v>
      </c>
      <c r="AG697" t="str">
        <f t="shared" si="90"/>
        <v>PP00042-0001</v>
      </c>
      <c r="AH697">
        <f>_xlfn.XLOOKUP(AG697, Hoja3!A:A, Hoja3!B:B)</f>
        <v>5137</v>
      </c>
      <c r="AI697">
        <f>_xlfn.XLOOKUP(AH697, Hoja4!A:A, Hoja4!B:B)</f>
        <v>35758280</v>
      </c>
      <c r="AJ697" t="b">
        <f t="shared" si="91"/>
        <v>1</v>
      </c>
    </row>
    <row r="698" spans="1:36" ht="15.5" customHeight="1" x14ac:dyDescent="0.35">
      <c r="A698">
        <f t="shared" ca="1" si="88"/>
        <v>8</v>
      </c>
      <c r="B698" s="6" t="s">
        <v>1096</v>
      </c>
      <c r="C698" s="7">
        <v>45600</v>
      </c>
      <c r="D698" s="6" t="s">
        <v>912</v>
      </c>
      <c r="E698" s="6" t="s">
        <v>83</v>
      </c>
      <c r="F698" s="6" t="s">
        <v>933</v>
      </c>
      <c r="G698" s="6" t="s">
        <v>32</v>
      </c>
      <c r="H698" s="6">
        <v>35770188</v>
      </c>
      <c r="I698" s="6" t="s">
        <v>95</v>
      </c>
      <c r="J698" s="6" t="str">
        <f>IF(E698="KTG","KTG",(VLOOKUP(I698,'[1]list of outsource'!B:H,2,0)))</f>
        <v>Woer</v>
      </c>
      <c r="K698" s="6" t="s">
        <v>96</v>
      </c>
      <c r="L698" s="6">
        <v>2</v>
      </c>
      <c r="M698" s="6" t="s">
        <v>1097</v>
      </c>
      <c r="N698" s="6" t="s">
        <v>1098</v>
      </c>
      <c r="O698" s="6" t="s">
        <v>2186</v>
      </c>
      <c r="P698" s="6" t="s">
        <v>575</v>
      </c>
      <c r="Q698" s="8" t="s">
        <v>575</v>
      </c>
      <c r="R698" s="6" t="s">
        <v>575</v>
      </c>
      <c r="S698" s="6" t="s">
        <v>575</v>
      </c>
      <c r="T698" s="6"/>
      <c r="U698" s="6">
        <v>2</v>
      </c>
      <c r="V698" s="6" t="s">
        <v>569</v>
      </c>
      <c r="W698" s="6" t="s">
        <v>154</v>
      </c>
      <c r="X698" s="7">
        <v>45608</v>
      </c>
      <c r="Y698" s="7">
        <v>45615</v>
      </c>
      <c r="AB698" t="e">
        <v>#N/A</v>
      </c>
      <c r="AC698" t="e">
        <v>#N/A</v>
      </c>
      <c r="AE698" t="str">
        <f t="shared" si="89"/>
        <v>P000573</v>
      </c>
      <c r="AF698" t="str">
        <f>_xlfn.XLOOKUP(AE698, Hoja2!A:A, Hoja2!A:A)</f>
        <v>P000573</v>
      </c>
      <c r="AG698" t="str">
        <f t="shared" si="90"/>
        <v>PP00042-0002</v>
      </c>
      <c r="AH698">
        <f>_xlfn.XLOOKUP(AG698, Hoja3!A:A, Hoja3!B:B)</f>
        <v>3803</v>
      </c>
      <c r="AI698">
        <f>_xlfn.XLOOKUP(AH698, Hoja4!A:A, Hoja4!B:B)</f>
        <v>35770188</v>
      </c>
      <c r="AJ698" t="b">
        <f t="shared" si="91"/>
        <v>1</v>
      </c>
    </row>
    <row r="699" spans="1:36" ht="15.5" hidden="1" customHeight="1" x14ac:dyDescent="0.35">
      <c r="A699">
        <f t="shared" ca="1" si="88"/>
        <v>408</v>
      </c>
      <c r="B699" s="55" t="s">
        <v>2187</v>
      </c>
      <c r="C699" s="7">
        <v>45601</v>
      </c>
      <c r="D699" s="6"/>
      <c r="E699" s="6" t="s">
        <v>139</v>
      </c>
      <c r="F699" s="6" t="s">
        <v>1952</v>
      </c>
      <c r="G699" s="6" t="s">
        <v>299</v>
      </c>
      <c r="H699" s="6"/>
      <c r="I699" s="6" t="s">
        <v>494</v>
      </c>
      <c r="J699" s="6" t="str">
        <f>IF(E699="KTG","KTG",(VLOOKUP(I699,'[1]list of outsource'!B:H,2,0)))</f>
        <v>ETC</v>
      </c>
      <c r="K699" s="6" t="s">
        <v>495</v>
      </c>
      <c r="L699" s="6"/>
      <c r="M699" s="55" t="s">
        <v>2188</v>
      </c>
      <c r="N699" s="6" t="s">
        <v>2189</v>
      </c>
      <c r="O699" s="6"/>
      <c r="P699" s="6"/>
      <c r="Q699" s="8"/>
      <c r="R699" s="6"/>
      <c r="S699" s="6"/>
      <c r="T699" s="6"/>
      <c r="U699" s="6">
        <v>4</v>
      </c>
      <c r="V699" s="6" t="s">
        <v>665</v>
      </c>
      <c r="W699" s="6" t="s">
        <v>37</v>
      </c>
      <c r="X699" s="7"/>
      <c r="Y699" s="7"/>
      <c r="AB699" t="e">
        <v>#N/A</v>
      </c>
      <c r="AC699" t="e">
        <v>#N/A</v>
      </c>
      <c r="AE699" t="str">
        <f t="shared" si="89"/>
        <v>P001009</v>
      </c>
      <c r="AF699" t="e">
        <f>_xlfn.XLOOKUP(AE699, Hoja2!A:A, Hoja2!A:A)</f>
        <v>#N/A</v>
      </c>
    </row>
    <row r="700" spans="1:36" ht="15.5" hidden="1" customHeight="1" x14ac:dyDescent="0.35">
      <c r="A700">
        <f t="shared" ca="1" si="88"/>
        <v>408</v>
      </c>
      <c r="B700" s="55" t="s">
        <v>2190</v>
      </c>
      <c r="C700" s="7">
        <v>45601</v>
      </c>
      <c r="D700" s="6"/>
      <c r="E700" s="6" t="s">
        <v>139</v>
      </c>
      <c r="F700" s="6" t="s">
        <v>1952</v>
      </c>
      <c r="G700" s="6" t="s">
        <v>299</v>
      </c>
      <c r="H700" s="6"/>
      <c r="I700" s="6" t="s">
        <v>494</v>
      </c>
      <c r="J700" s="6" t="str">
        <f>IF(E700="KTG","KTG",(VLOOKUP(I700,'[1]list of outsource'!B:H,2,0)))</f>
        <v>ETC</v>
      </c>
      <c r="K700" s="6" t="s">
        <v>495</v>
      </c>
      <c r="L700" s="6"/>
      <c r="M700" s="55" t="s">
        <v>2191</v>
      </c>
      <c r="N700" s="6" t="s">
        <v>2192</v>
      </c>
      <c r="O700" s="6"/>
      <c r="P700" s="6"/>
      <c r="Q700" s="8"/>
      <c r="R700" s="6"/>
      <c r="S700" s="6"/>
      <c r="T700" s="6"/>
      <c r="U700" s="6">
        <v>4</v>
      </c>
      <c r="V700" s="6" t="s">
        <v>665</v>
      </c>
      <c r="W700" s="6" t="s">
        <v>37</v>
      </c>
      <c r="X700" s="7"/>
      <c r="Y700" s="7"/>
      <c r="AB700" t="e">
        <v>#N/A</v>
      </c>
      <c r="AC700" t="e">
        <v>#N/A</v>
      </c>
      <c r="AE700" t="str">
        <f t="shared" si="89"/>
        <v>P001010</v>
      </c>
      <c r="AF700" t="e">
        <f>_xlfn.XLOOKUP(AE700, Hoja2!A:A, Hoja2!A:A)</f>
        <v>#N/A</v>
      </c>
    </row>
    <row r="701" spans="1:36" ht="15.5" customHeight="1" x14ac:dyDescent="0.35">
      <c r="A701">
        <f t="shared" ca="1" si="88"/>
        <v>39</v>
      </c>
      <c r="B701" s="12" t="s">
        <v>2193</v>
      </c>
      <c r="C701" s="13">
        <v>45604</v>
      </c>
      <c r="D701" s="14" t="s">
        <v>121</v>
      </c>
      <c r="E701" s="14" t="s">
        <v>139</v>
      </c>
      <c r="F701" s="14" t="s">
        <v>933</v>
      </c>
      <c r="G701" s="14" t="s">
        <v>32</v>
      </c>
      <c r="H701" s="14">
        <v>35758275</v>
      </c>
      <c r="I701" s="14" t="s">
        <v>208</v>
      </c>
      <c r="J701" s="14" t="str">
        <f>IF(E701="KTG","KTG",(VLOOKUP(I701,'[1]list of outsource'!B:H,2,0)))</f>
        <v>ETC</v>
      </c>
      <c r="K701" s="14" t="s">
        <v>209</v>
      </c>
      <c r="L701" s="14" t="s">
        <v>1488</v>
      </c>
      <c r="M701" s="14" t="s">
        <v>296</v>
      </c>
      <c r="N701" s="14" t="s">
        <v>589</v>
      </c>
      <c r="O701" s="14" t="s">
        <v>2194</v>
      </c>
      <c r="P701" s="14"/>
      <c r="Q701" s="15"/>
      <c r="R701" s="14"/>
      <c r="S701" s="16"/>
      <c r="T701" s="14"/>
      <c r="U701" s="14">
        <v>4</v>
      </c>
      <c r="V701" s="14" t="s">
        <v>665</v>
      </c>
      <c r="W701" s="14" t="s">
        <v>37</v>
      </c>
      <c r="X701" s="13">
        <v>45643</v>
      </c>
      <c r="Y701" s="13"/>
      <c r="AB701" t="e">
        <v>#N/A</v>
      </c>
      <c r="AC701" t="e">
        <v>#N/A</v>
      </c>
      <c r="AE701" t="str">
        <f t="shared" si="89"/>
        <v>P000159</v>
      </c>
      <c r="AF701" t="str">
        <f>_xlfn.XLOOKUP(AE701, Hoja2!A:A, Hoja2!A:A)</f>
        <v>P000159</v>
      </c>
      <c r="AG701" t="str">
        <f t="shared" ref="AG701:AG718" si="92">LEFT(B701, FIND(" ", B701 &amp; " ") - 1)</f>
        <v>PP00042-0026</v>
      </c>
      <c r="AH701">
        <f>_xlfn.XLOOKUP(AG701, Hoja3!A:A, Hoja3!B:B)</f>
        <v>5145</v>
      </c>
      <c r="AI701">
        <f>_xlfn.XLOOKUP(AH701, Hoja4!A:A, Hoja4!B:B)</f>
        <v>35758275</v>
      </c>
      <c r="AJ701" t="b">
        <f t="shared" ref="AJ701:AJ718" si="93">H701=AI701</f>
        <v>1</v>
      </c>
    </row>
    <row r="702" spans="1:36" ht="15.5" customHeight="1" x14ac:dyDescent="0.35">
      <c r="A702">
        <f t="shared" ca="1" si="88"/>
        <v>27</v>
      </c>
      <c r="B702" s="6" t="s">
        <v>2195</v>
      </c>
      <c r="C702" s="7">
        <v>45596</v>
      </c>
      <c r="D702" s="6" t="s">
        <v>564</v>
      </c>
      <c r="E702" s="6" t="s">
        <v>139</v>
      </c>
      <c r="F702" s="6" t="s">
        <v>658</v>
      </c>
      <c r="G702" s="6" t="s">
        <v>32</v>
      </c>
      <c r="H702" s="6">
        <v>35738186</v>
      </c>
      <c r="I702" s="6" t="s">
        <v>402</v>
      </c>
      <c r="J702" s="6" t="str">
        <f>IF(E702="KTG","KTG",(VLOOKUP(I702,'[1]list of outsource'!B:H,2,0)))</f>
        <v>ETC</v>
      </c>
      <c r="K702" s="6" t="s">
        <v>403</v>
      </c>
      <c r="L702" s="6">
        <v>64</v>
      </c>
      <c r="M702" s="6" t="s">
        <v>1495</v>
      </c>
      <c r="N702" s="6" t="s">
        <v>1496</v>
      </c>
      <c r="O702" s="6" t="s">
        <v>2196</v>
      </c>
      <c r="P702" s="6"/>
      <c r="Q702" s="8"/>
      <c r="R702" s="6"/>
      <c r="S702" s="6"/>
      <c r="T702" s="6"/>
      <c r="U702" s="6">
        <v>4</v>
      </c>
      <c r="V702" s="6" t="s">
        <v>665</v>
      </c>
      <c r="W702" s="6" t="s">
        <v>37</v>
      </c>
      <c r="X702" s="7">
        <v>45623</v>
      </c>
      <c r="Y702" s="7">
        <v>45814</v>
      </c>
      <c r="AB702" t="e">
        <v>#N/A</v>
      </c>
      <c r="AC702" t="e">
        <v>#N/A</v>
      </c>
      <c r="AE702" t="str">
        <f t="shared" si="89"/>
        <v>P000353</v>
      </c>
      <c r="AF702" t="str">
        <f>_xlfn.XLOOKUP(AE702, Hoja2!A:A, Hoja2!A:A)</f>
        <v>P000353</v>
      </c>
      <c r="AG702" t="str">
        <f t="shared" si="92"/>
        <v>PP00034-37</v>
      </c>
      <c r="AH702">
        <f>_xlfn.XLOOKUP(AG702, Hoja3!A:A, Hoja3!B:B)</f>
        <v>4782</v>
      </c>
      <c r="AI702">
        <f>_xlfn.XLOOKUP(AH702, Hoja4!A:A, Hoja4!B:B)</f>
        <v>35738186</v>
      </c>
      <c r="AJ702" t="b">
        <f t="shared" si="93"/>
        <v>1</v>
      </c>
    </row>
    <row r="703" spans="1:36" ht="15.5" customHeight="1" x14ac:dyDescent="0.35">
      <c r="A703">
        <f t="shared" ca="1" si="88"/>
        <v>36</v>
      </c>
      <c r="B703" s="6" t="s">
        <v>2197</v>
      </c>
      <c r="C703" s="7">
        <v>45273</v>
      </c>
      <c r="D703" s="6" t="s">
        <v>912</v>
      </c>
      <c r="E703" s="6" t="s">
        <v>83</v>
      </c>
      <c r="F703" s="6" t="s">
        <v>84</v>
      </c>
      <c r="G703" s="6" t="s">
        <v>156</v>
      </c>
      <c r="H703" s="6" t="s">
        <v>2198</v>
      </c>
      <c r="I703" s="6" t="s">
        <v>158</v>
      </c>
      <c r="J703" s="6" t="str">
        <f>IF(E703="KTG","KTG",(VLOOKUP(I703,'[1]list of outsource'!B:H,2,0)))</f>
        <v>UPM</v>
      </c>
      <c r="K703" s="6" t="s">
        <v>159</v>
      </c>
      <c r="L703" s="6">
        <v>37</v>
      </c>
      <c r="M703" s="6" t="s">
        <v>2199</v>
      </c>
      <c r="N703" s="6" t="s">
        <v>2200</v>
      </c>
      <c r="O703" s="6">
        <v>1292705003</v>
      </c>
      <c r="P703" s="6"/>
      <c r="Q703" s="8" t="s">
        <v>575</v>
      </c>
      <c r="R703" s="6"/>
      <c r="S703" s="6"/>
      <c r="T703" s="6"/>
      <c r="U703" s="6">
        <v>4</v>
      </c>
      <c r="V703" s="6"/>
      <c r="W703" s="6" t="s">
        <v>37</v>
      </c>
      <c r="X703" s="7">
        <v>45309</v>
      </c>
      <c r="Y703" s="7">
        <v>45313</v>
      </c>
      <c r="AB703" t="e">
        <v>#N/A</v>
      </c>
      <c r="AC703" t="e">
        <v>#N/A</v>
      </c>
      <c r="AE703" t="str">
        <f t="shared" si="89"/>
        <v>P000137</v>
      </c>
      <c r="AF703" t="str">
        <f>_xlfn.XLOOKUP(AE703, Hoja2!A:A, Hoja2!A:A)</f>
        <v>P000137</v>
      </c>
      <c r="AG703" t="str">
        <f t="shared" si="92"/>
        <v>PP00028-47</v>
      </c>
      <c r="AH703">
        <f>_xlfn.XLOOKUP(AG703, Hoja3!A:A, Hoja3!B:B)</f>
        <v>5375</v>
      </c>
      <c r="AI703" t="str">
        <f>_xlfn.XLOOKUP(AH703, Hoja4!A:A, Hoja4!B:B)</f>
        <v>E34515700</v>
      </c>
      <c r="AJ703" t="b">
        <f t="shared" si="93"/>
        <v>1</v>
      </c>
    </row>
    <row r="704" spans="1:36" ht="15.5" customHeight="1" x14ac:dyDescent="0.35">
      <c r="A704">
        <f t="shared" ca="1" si="88"/>
        <v>23</v>
      </c>
      <c r="B704" s="6" t="s">
        <v>2197</v>
      </c>
      <c r="C704" s="7">
        <v>45648</v>
      </c>
      <c r="D704" s="6" t="s">
        <v>564</v>
      </c>
      <c r="E704" s="6" t="s">
        <v>83</v>
      </c>
      <c r="F704" s="6" t="s">
        <v>84</v>
      </c>
      <c r="G704" s="6" t="s">
        <v>156</v>
      </c>
      <c r="H704" s="6" t="s">
        <v>2198</v>
      </c>
      <c r="I704" s="6" t="s">
        <v>158</v>
      </c>
      <c r="J704" s="6" t="str">
        <f>IF(E704="KTG","KTG",(VLOOKUP(I704,'[1]list of outsource'!B:H,2,0)))</f>
        <v>UPM</v>
      </c>
      <c r="K704" s="6" t="s">
        <v>159</v>
      </c>
      <c r="L704" s="6">
        <v>45</v>
      </c>
      <c r="M704" s="6" t="s">
        <v>2199</v>
      </c>
      <c r="N704" s="6" t="s">
        <v>2200</v>
      </c>
      <c r="O704" s="6" t="s">
        <v>2201</v>
      </c>
      <c r="P704" s="6"/>
      <c r="Q704" s="8" t="s">
        <v>575</v>
      </c>
      <c r="R704" s="6"/>
      <c r="S704" s="6"/>
      <c r="T704" s="6"/>
      <c r="U704" s="6">
        <v>1</v>
      </c>
      <c r="V704" s="6" t="s">
        <v>569</v>
      </c>
      <c r="W704" s="6" t="s">
        <v>576</v>
      </c>
      <c r="X704" s="7">
        <v>45671</v>
      </c>
      <c r="Y704" s="7">
        <v>45678</v>
      </c>
      <c r="AB704" t="e">
        <v>#N/A</v>
      </c>
      <c r="AC704" t="e">
        <v>#N/A</v>
      </c>
      <c r="AE704" t="str">
        <f t="shared" si="89"/>
        <v>P000137</v>
      </c>
      <c r="AF704" t="str">
        <f>_xlfn.XLOOKUP(AE704, Hoja2!A:A, Hoja2!A:A)</f>
        <v>P000137</v>
      </c>
      <c r="AG704" t="str">
        <f t="shared" si="92"/>
        <v>PP00028-47</v>
      </c>
      <c r="AH704">
        <f>_xlfn.XLOOKUP(AG704, Hoja3!A:A, Hoja3!B:B)</f>
        <v>5375</v>
      </c>
      <c r="AI704" t="str">
        <f>_xlfn.XLOOKUP(AH704, Hoja4!A:A, Hoja4!B:B)</f>
        <v>E34515700</v>
      </c>
      <c r="AJ704" t="b">
        <f t="shared" si="93"/>
        <v>1</v>
      </c>
    </row>
    <row r="705" spans="1:36" ht="15.5" customHeight="1" x14ac:dyDescent="0.35">
      <c r="A705">
        <f t="shared" ca="1" si="88"/>
        <v>27</v>
      </c>
      <c r="B705" s="6" t="s">
        <v>2202</v>
      </c>
      <c r="C705" s="7">
        <v>45596</v>
      </c>
      <c r="D705" s="6" t="s">
        <v>564</v>
      </c>
      <c r="E705" s="6" t="s">
        <v>139</v>
      </c>
      <c r="F705" s="6" t="s">
        <v>658</v>
      </c>
      <c r="G705" s="6" t="s">
        <v>32</v>
      </c>
      <c r="H705" s="6">
        <v>35738189</v>
      </c>
      <c r="I705" s="6" t="s">
        <v>402</v>
      </c>
      <c r="J705" s="6" t="str">
        <f>IF(E705="KTG","KTG",(VLOOKUP(I705,'[1]list of outsource'!B:H,2,0)))</f>
        <v>ETC</v>
      </c>
      <c r="K705" s="6" t="s">
        <v>403</v>
      </c>
      <c r="L705" s="6">
        <v>64</v>
      </c>
      <c r="M705" s="6" t="s">
        <v>1740</v>
      </c>
      <c r="N705" s="6" t="s">
        <v>1741</v>
      </c>
      <c r="O705" s="6" t="s">
        <v>2203</v>
      </c>
      <c r="P705" s="6"/>
      <c r="Q705" s="8"/>
      <c r="R705" s="6"/>
      <c r="S705" s="6"/>
      <c r="T705" s="6"/>
      <c r="U705" s="6">
        <v>4</v>
      </c>
      <c r="V705" s="6" t="s">
        <v>665</v>
      </c>
      <c r="W705" s="6" t="s">
        <v>37</v>
      </c>
      <c r="X705" s="7">
        <v>45623</v>
      </c>
      <c r="Y705" s="7">
        <v>45814</v>
      </c>
      <c r="AB705" t="e">
        <v>#N/A</v>
      </c>
      <c r="AC705" t="e">
        <v>#N/A</v>
      </c>
      <c r="AE705" t="str">
        <f t="shared" si="89"/>
        <v>P000340</v>
      </c>
      <c r="AF705" t="str">
        <f>_xlfn.XLOOKUP(AE705, Hoja2!A:A, Hoja2!A:A)</f>
        <v>P000340</v>
      </c>
      <c r="AG705" t="str">
        <f t="shared" si="92"/>
        <v>PP00034-38</v>
      </c>
      <c r="AH705">
        <f>_xlfn.XLOOKUP(AG705, Hoja3!A:A, Hoja3!B:B)</f>
        <v>4776</v>
      </c>
      <c r="AI705">
        <f>_xlfn.XLOOKUP(AH705, Hoja4!A:A, Hoja4!B:B)</f>
        <v>35738189</v>
      </c>
      <c r="AJ705" t="b">
        <f t="shared" si="93"/>
        <v>1</v>
      </c>
    </row>
    <row r="706" spans="1:36" ht="15.5" customHeight="1" x14ac:dyDescent="0.35">
      <c r="A706">
        <f t="shared" ref="A706:A769" ca="1" si="94">IF(X706="",(TODAY()-C706),(X706-C706))</f>
        <v>27</v>
      </c>
      <c r="B706" s="6" t="s">
        <v>2204</v>
      </c>
      <c r="C706" s="7">
        <v>45596</v>
      </c>
      <c r="D706" s="6" t="s">
        <v>564</v>
      </c>
      <c r="E706" s="6" t="s">
        <v>139</v>
      </c>
      <c r="F706" s="6" t="s">
        <v>658</v>
      </c>
      <c r="G706" s="6" t="s">
        <v>32</v>
      </c>
      <c r="H706" s="6">
        <v>35738187</v>
      </c>
      <c r="I706" s="6" t="s">
        <v>402</v>
      </c>
      <c r="J706" s="6" t="str">
        <f>IF(E706="KTG","KTG",(VLOOKUP(I706,'[1]list of outsource'!B:H,2,0)))</f>
        <v>ETC</v>
      </c>
      <c r="K706" s="6" t="s">
        <v>403</v>
      </c>
      <c r="L706" s="6">
        <v>64</v>
      </c>
      <c r="M706" s="6" t="s">
        <v>1498</v>
      </c>
      <c r="N706" s="6" t="s">
        <v>1499</v>
      </c>
      <c r="O706" s="6" t="s">
        <v>2205</v>
      </c>
      <c r="P706" s="6"/>
      <c r="Q706" s="8"/>
      <c r="R706" s="6"/>
      <c r="S706" s="6"/>
      <c r="T706" s="6"/>
      <c r="U706" s="6">
        <v>4</v>
      </c>
      <c r="V706" s="6" t="s">
        <v>665</v>
      </c>
      <c r="W706" s="6" t="s">
        <v>37</v>
      </c>
      <c r="X706" s="7">
        <v>45623</v>
      </c>
      <c r="Y706" s="7">
        <v>45814</v>
      </c>
      <c r="AB706" t="e">
        <v>#N/A</v>
      </c>
      <c r="AC706" t="e">
        <v>#N/A</v>
      </c>
      <c r="AE706" t="str">
        <f t="shared" si="89"/>
        <v>P000338</v>
      </c>
      <c r="AF706" t="str">
        <f>_xlfn.XLOOKUP(AE706, Hoja2!A:A, Hoja2!A:A)</f>
        <v>P000338</v>
      </c>
      <c r="AG706" t="str">
        <f t="shared" si="92"/>
        <v>PP00034-39</v>
      </c>
      <c r="AH706">
        <f>_xlfn.XLOOKUP(AG706, Hoja3!A:A, Hoja3!B:B)</f>
        <v>4775</v>
      </c>
      <c r="AI706">
        <f>_xlfn.XLOOKUP(AH706, Hoja4!A:A, Hoja4!B:B)</f>
        <v>35738187</v>
      </c>
      <c r="AJ706" t="b">
        <f t="shared" si="93"/>
        <v>1</v>
      </c>
    </row>
    <row r="707" spans="1:36" ht="15.5" customHeight="1" x14ac:dyDescent="0.35">
      <c r="A707">
        <f t="shared" ca="1" si="94"/>
        <v>0</v>
      </c>
      <c r="B707" s="6" t="s">
        <v>2206</v>
      </c>
      <c r="C707" s="7">
        <v>45278</v>
      </c>
      <c r="D707" s="6" t="s">
        <v>507</v>
      </c>
      <c r="E707" s="6" t="s">
        <v>139</v>
      </c>
      <c r="F707" s="6" t="s">
        <v>84</v>
      </c>
      <c r="G707" s="6" t="s">
        <v>156</v>
      </c>
      <c r="H707" s="6" t="s">
        <v>854</v>
      </c>
      <c r="I707" s="6" t="s">
        <v>402</v>
      </c>
      <c r="J707" s="6" t="str">
        <f>IF(E707="KTG","KTG",(VLOOKUP(I707,'[1]list of outsource'!B:H,2,0)))</f>
        <v>ETC</v>
      </c>
      <c r="K707" s="6" t="s">
        <v>403</v>
      </c>
      <c r="L707" s="6">
        <v>56</v>
      </c>
      <c r="M707" s="6" t="s">
        <v>855</v>
      </c>
      <c r="N707" s="6" t="s">
        <v>856</v>
      </c>
      <c r="O707" s="6">
        <v>1230815655</v>
      </c>
      <c r="P707" s="6"/>
      <c r="Q707" s="8"/>
      <c r="R707" s="6"/>
      <c r="S707" s="6"/>
      <c r="T707" s="6"/>
      <c r="U707" s="6">
        <v>4</v>
      </c>
      <c r="V707" s="6"/>
      <c r="W707" s="6" t="s">
        <v>37</v>
      </c>
      <c r="X707" s="7">
        <v>45278</v>
      </c>
      <c r="Y707" s="7">
        <v>45335</v>
      </c>
      <c r="AB707" t="s">
        <v>2207</v>
      </c>
      <c r="AC707" t="e">
        <v>#N/A</v>
      </c>
      <c r="AE707" t="str">
        <f t="shared" ref="AE707:AE770" si="95">LEFT(M707, FIND(" ", M707 &amp; " ") - 1)</f>
        <v>P000251</v>
      </c>
      <c r="AF707" t="str">
        <f>_xlfn.XLOOKUP(AE707, Hoja2!A:A, Hoja2!A:A)</f>
        <v>P000251</v>
      </c>
      <c r="AG707" t="str">
        <f t="shared" si="92"/>
        <v>PP00028-48</v>
      </c>
      <c r="AH707">
        <f>_xlfn.XLOOKUP(AG707, Hoja3!A:A, Hoja3!B:B)</f>
        <v>54</v>
      </c>
      <c r="AI707" t="str">
        <f>_xlfn.XLOOKUP(AH707, Hoja4!A:A, Hoja4!B:B)</f>
        <v>E38846700</v>
      </c>
      <c r="AJ707" t="b">
        <f t="shared" si="93"/>
        <v>1</v>
      </c>
    </row>
    <row r="708" spans="1:36" ht="15.5" customHeight="1" x14ac:dyDescent="0.35">
      <c r="A708">
        <f t="shared" ca="1" si="94"/>
        <v>57</v>
      </c>
      <c r="B708" s="6" t="s">
        <v>2208</v>
      </c>
      <c r="C708" s="7">
        <v>45638</v>
      </c>
      <c r="D708" s="6" t="s">
        <v>564</v>
      </c>
      <c r="E708" s="6" t="s">
        <v>83</v>
      </c>
      <c r="F708" s="6" t="s">
        <v>1884</v>
      </c>
      <c r="G708" s="6" t="s">
        <v>299</v>
      </c>
      <c r="H708" s="6">
        <v>1029294</v>
      </c>
      <c r="I708" s="6" t="s">
        <v>95</v>
      </c>
      <c r="J708" s="6" t="str">
        <f>IF(E708="KTG","KTG",(VLOOKUP(I708,'[1]list of outsource'!B:H,2,0)))</f>
        <v>Woer</v>
      </c>
      <c r="K708" s="6" t="s">
        <v>96</v>
      </c>
      <c r="L708" s="6">
        <v>52</v>
      </c>
      <c r="M708" s="6" t="s">
        <v>2209</v>
      </c>
      <c r="N708" s="6" t="s">
        <v>2210</v>
      </c>
      <c r="O708" s="6" t="s">
        <v>2211</v>
      </c>
      <c r="P708" s="6"/>
      <c r="Q708" s="8">
        <v>45664</v>
      </c>
      <c r="R708" s="6"/>
      <c r="S708" s="6"/>
      <c r="T708" s="6"/>
      <c r="U708" s="6">
        <v>4</v>
      </c>
      <c r="V708" s="6" t="s">
        <v>665</v>
      </c>
      <c r="W708" s="6" t="s">
        <v>37</v>
      </c>
      <c r="X708" s="7">
        <v>45695</v>
      </c>
      <c r="Y708" s="7">
        <v>45800</v>
      </c>
      <c r="AB708" t="e">
        <v>#N/A</v>
      </c>
      <c r="AC708" t="e">
        <v>#N/A</v>
      </c>
      <c r="AE708" t="str">
        <f t="shared" si="95"/>
        <v>P000646</v>
      </c>
      <c r="AF708" t="str">
        <f>_xlfn.XLOOKUP(AE708, Hoja2!A:A, Hoja2!A:A)</f>
        <v>P000646</v>
      </c>
      <c r="AG708" t="str">
        <f t="shared" si="92"/>
        <v>PP00057-04</v>
      </c>
      <c r="AH708">
        <f>_xlfn.XLOOKUP(AG708, Hoja3!A:A, Hoja3!B:B)</f>
        <v>3783</v>
      </c>
      <c r="AI708">
        <f>_xlfn.XLOOKUP(AH708, Hoja4!A:A, Hoja4!B:B)</f>
        <v>1029294</v>
      </c>
      <c r="AJ708" t="b">
        <f t="shared" si="93"/>
        <v>1</v>
      </c>
    </row>
    <row r="709" spans="1:36" ht="15.5" customHeight="1" x14ac:dyDescent="0.35">
      <c r="A709">
        <f t="shared" ca="1" si="94"/>
        <v>32</v>
      </c>
      <c r="B709" s="6" t="s">
        <v>2212</v>
      </c>
      <c r="C709" s="7">
        <v>45638</v>
      </c>
      <c r="D709" s="6" t="s">
        <v>564</v>
      </c>
      <c r="E709" s="6" t="s">
        <v>83</v>
      </c>
      <c r="F709" s="6" t="s">
        <v>1884</v>
      </c>
      <c r="G709" s="6" t="s">
        <v>299</v>
      </c>
      <c r="H709" s="6">
        <v>1027553</v>
      </c>
      <c r="I709" s="6" t="s">
        <v>95</v>
      </c>
      <c r="J709" s="6" t="str">
        <f>IF(E709="KTG","KTG",(VLOOKUP(I709,'[1]list of outsource'!B:H,2,0)))</f>
        <v>Woer</v>
      </c>
      <c r="K709" s="6" t="s">
        <v>96</v>
      </c>
      <c r="L709" s="6">
        <v>52</v>
      </c>
      <c r="M709" s="6" t="s">
        <v>2213</v>
      </c>
      <c r="N709" s="6" t="s">
        <v>2214</v>
      </c>
      <c r="O709" s="6" t="s">
        <v>2215</v>
      </c>
      <c r="P709" s="6"/>
      <c r="Q709" s="8"/>
      <c r="R709" s="6"/>
      <c r="S709" s="6"/>
      <c r="T709" s="6"/>
      <c r="U709" s="6">
        <v>4</v>
      </c>
      <c r="V709" s="6" t="s">
        <v>665</v>
      </c>
      <c r="W709" s="6" t="s">
        <v>37</v>
      </c>
      <c r="X709" s="7">
        <v>45670</v>
      </c>
      <c r="Y709" s="7">
        <v>45800</v>
      </c>
      <c r="AB709" t="e">
        <v>#N/A</v>
      </c>
      <c r="AC709" t="s">
        <v>4210</v>
      </c>
      <c r="AE709" t="str">
        <f t="shared" si="95"/>
        <v>P000850</v>
      </c>
      <c r="AF709" t="str">
        <f>_xlfn.XLOOKUP(AE709, Hoja2!A:A, Hoja2!A:A)</f>
        <v>P000850</v>
      </c>
      <c r="AG709" t="str">
        <f t="shared" si="92"/>
        <v>PP00057-02</v>
      </c>
      <c r="AH709">
        <f>_xlfn.XLOOKUP(AG709, Hoja3!A:A, Hoja3!B:B)</f>
        <v>3784</v>
      </c>
      <c r="AI709">
        <f>_xlfn.XLOOKUP(AH709, Hoja4!A:A, Hoja4!B:B)</f>
        <v>1027553</v>
      </c>
      <c r="AJ709" t="b">
        <f t="shared" si="93"/>
        <v>1</v>
      </c>
    </row>
    <row r="710" spans="1:36" ht="15.5" customHeight="1" x14ac:dyDescent="0.35">
      <c r="A710">
        <f t="shared" ca="1" si="94"/>
        <v>32</v>
      </c>
      <c r="B710" s="6" t="s">
        <v>2216</v>
      </c>
      <c r="C710" s="7">
        <v>45638</v>
      </c>
      <c r="D710" s="6" t="s">
        <v>564</v>
      </c>
      <c r="E710" s="6" t="s">
        <v>83</v>
      </c>
      <c r="F710" s="6" t="s">
        <v>1884</v>
      </c>
      <c r="G710" s="6" t="s">
        <v>299</v>
      </c>
      <c r="H710" s="6">
        <v>1027554</v>
      </c>
      <c r="I710" s="6" t="s">
        <v>95</v>
      </c>
      <c r="J710" s="6" t="str">
        <f>IF(E710="KTG","KTG",(VLOOKUP(I710,'[1]list of outsource'!B:H,2,0)))</f>
        <v>Woer</v>
      </c>
      <c r="K710" s="6" t="s">
        <v>96</v>
      </c>
      <c r="L710" s="6">
        <v>52</v>
      </c>
      <c r="M710" s="6" t="s">
        <v>2217</v>
      </c>
      <c r="N710" s="6" t="s">
        <v>2218</v>
      </c>
      <c r="O710" s="6" t="s">
        <v>2219</v>
      </c>
      <c r="P710" s="6"/>
      <c r="Q710" s="8"/>
      <c r="R710" s="6"/>
      <c r="S710" s="6"/>
      <c r="T710" s="6"/>
      <c r="U710" s="6">
        <v>4</v>
      </c>
      <c r="V710" s="6" t="s">
        <v>665</v>
      </c>
      <c r="W710" s="6" t="s">
        <v>37</v>
      </c>
      <c r="X710" s="7">
        <v>45670</v>
      </c>
      <c r="Y710" s="7">
        <v>45800</v>
      </c>
      <c r="AB710" t="e">
        <v>#N/A</v>
      </c>
      <c r="AC710" t="e">
        <v>#N/A</v>
      </c>
      <c r="AE710" t="str">
        <f t="shared" si="95"/>
        <v>P000645</v>
      </c>
      <c r="AF710" t="str">
        <f>_xlfn.XLOOKUP(AE710, Hoja2!A:A, Hoja2!A:A)</f>
        <v>P000645</v>
      </c>
      <c r="AG710" t="str">
        <f t="shared" si="92"/>
        <v>PP00057-03</v>
      </c>
      <c r="AH710">
        <f>_xlfn.XLOOKUP(AG710, Hoja3!A:A, Hoja3!B:B)</f>
        <v>3782</v>
      </c>
      <c r="AI710">
        <f>_xlfn.XLOOKUP(AH710, Hoja4!A:A, Hoja4!B:B)</f>
        <v>1027554</v>
      </c>
      <c r="AJ710" t="b">
        <f t="shared" si="93"/>
        <v>1</v>
      </c>
    </row>
    <row r="711" spans="1:36" ht="15.5" customHeight="1" x14ac:dyDescent="0.35">
      <c r="A711">
        <f t="shared" ca="1" si="94"/>
        <v>18</v>
      </c>
      <c r="B711" s="12" t="s">
        <v>2220</v>
      </c>
      <c r="C711" s="13">
        <v>45645</v>
      </c>
      <c r="D711" s="14" t="s">
        <v>121</v>
      </c>
      <c r="E711" s="14" t="s">
        <v>30</v>
      </c>
      <c r="F711" s="14" t="s">
        <v>2221</v>
      </c>
      <c r="G711" s="14" t="s">
        <v>32</v>
      </c>
      <c r="H711" s="14" t="s">
        <v>2222</v>
      </c>
      <c r="I711" s="14"/>
      <c r="J711" s="14" t="str">
        <f>IF(E711="KTG","KTG",(VLOOKUP(I711,'[1]list of outsource'!B:H,2,0)))</f>
        <v>KTG</v>
      </c>
      <c r="K711" s="14"/>
      <c r="L711" s="14"/>
      <c r="M711" s="14" t="s">
        <v>2223</v>
      </c>
      <c r="N711" s="14" t="s">
        <v>2224</v>
      </c>
      <c r="O711" s="14"/>
      <c r="P711" s="14"/>
      <c r="Q711" s="15"/>
      <c r="R711" s="14"/>
      <c r="S711" s="16"/>
      <c r="T711" s="14"/>
      <c r="U711" s="14">
        <v>4</v>
      </c>
      <c r="V711" s="14" t="s">
        <v>665</v>
      </c>
      <c r="W711" s="14" t="s">
        <v>37</v>
      </c>
      <c r="X711" s="13">
        <v>45663</v>
      </c>
      <c r="Y711" s="13"/>
      <c r="AB711" t="e">
        <v>#N/A</v>
      </c>
      <c r="AC711" t="e">
        <v>#N/A</v>
      </c>
      <c r="AE711" t="str">
        <f t="shared" si="95"/>
        <v>E57011</v>
      </c>
      <c r="AF711" t="str">
        <f>_xlfn.XLOOKUP(AE711, Hoja2!A:A, Hoja2!A:A)</f>
        <v>E57011</v>
      </c>
      <c r="AG711" t="str">
        <f t="shared" si="92"/>
        <v>PP00066-01</v>
      </c>
      <c r="AH711">
        <f>_xlfn.XLOOKUP(AG711, Hoja3!A:A, Hoja3!B:B)</f>
        <v>5503</v>
      </c>
      <c r="AI711" t="str">
        <f>_xlfn.XLOOKUP(AH711, Hoja4!A:A, Hoja4!B:B)</f>
        <v>P00495963</v>
      </c>
      <c r="AJ711" t="b">
        <f t="shared" si="93"/>
        <v>1</v>
      </c>
    </row>
    <row r="712" spans="1:36" ht="15.5" customHeight="1" x14ac:dyDescent="0.35">
      <c r="A712">
        <f t="shared" ca="1" si="94"/>
        <v>15</v>
      </c>
      <c r="B712" s="6" t="s">
        <v>2206</v>
      </c>
      <c r="C712" s="7">
        <v>45670</v>
      </c>
      <c r="D712" s="6" t="s">
        <v>564</v>
      </c>
      <c r="E712" s="6" t="s">
        <v>139</v>
      </c>
      <c r="F712" s="6" t="s">
        <v>84</v>
      </c>
      <c r="G712" s="6" t="s">
        <v>156</v>
      </c>
      <c r="H712" s="6" t="s">
        <v>854</v>
      </c>
      <c r="I712" s="6" t="s">
        <v>402</v>
      </c>
      <c r="J712" s="6" t="str">
        <f>IF(E712="KTG","KTG",(VLOOKUP(I712,'[1]list of outsource'!B:H,2,0)))</f>
        <v>ETC</v>
      </c>
      <c r="K712" s="6" t="s">
        <v>403</v>
      </c>
      <c r="L712" s="6">
        <v>65</v>
      </c>
      <c r="M712" s="6" t="s">
        <v>855</v>
      </c>
      <c r="N712" s="6" t="s">
        <v>856</v>
      </c>
      <c r="O712" s="6" t="s">
        <v>2225</v>
      </c>
      <c r="P712" s="6"/>
      <c r="Q712" s="8"/>
      <c r="R712" s="6"/>
      <c r="S712" s="6"/>
      <c r="T712" s="6"/>
      <c r="U712" s="6">
        <v>1</v>
      </c>
      <c r="V712" s="6" t="s">
        <v>919</v>
      </c>
      <c r="W712" s="6" t="s">
        <v>576</v>
      </c>
      <c r="X712" s="7">
        <v>45685</v>
      </c>
      <c r="Y712" s="7">
        <v>45686</v>
      </c>
      <c r="AB712" t="s">
        <v>2207</v>
      </c>
      <c r="AC712" t="e">
        <v>#N/A</v>
      </c>
      <c r="AE712" t="str">
        <f t="shared" si="95"/>
        <v>P000251</v>
      </c>
      <c r="AF712" t="str">
        <f>_xlfn.XLOOKUP(AE712, Hoja2!A:A, Hoja2!A:A)</f>
        <v>P000251</v>
      </c>
      <c r="AG712" t="str">
        <f t="shared" si="92"/>
        <v>PP00028-48</v>
      </c>
      <c r="AH712">
        <f>_xlfn.XLOOKUP(AG712, Hoja3!A:A, Hoja3!B:B)</f>
        <v>54</v>
      </c>
      <c r="AI712" t="str">
        <f>_xlfn.XLOOKUP(AH712, Hoja4!A:A, Hoja4!B:B)</f>
        <v>E38846700</v>
      </c>
      <c r="AJ712" t="b">
        <f t="shared" si="93"/>
        <v>1</v>
      </c>
    </row>
    <row r="713" spans="1:36" ht="15.5" customHeight="1" x14ac:dyDescent="0.35">
      <c r="A713">
        <f t="shared" ca="1" si="94"/>
        <v>29</v>
      </c>
      <c r="B713" s="6" t="s">
        <v>654</v>
      </c>
      <c r="C713" s="7">
        <v>45666</v>
      </c>
      <c r="D713" s="6" t="s">
        <v>564</v>
      </c>
      <c r="E713" s="6" t="s">
        <v>139</v>
      </c>
      <c r="F713" s="6" t="s">
        <v>508</v>
      </c>
      <c r="G713" s="6" t="s">
        <v>32</v>
      </c>
      <c r="H713" s="6">
        <v>69321129</v>
      </c>
      <c r="I713" s="6" t="s">
        <v>529</v>
      </c>
      <c r="J713" s="6" t="str">
        <f>IF(E713="KTG","KTG",(VLOOKUP(I713,'[1]list of outsource'!B:H,2,0)))</f>
        <v>ETC</v>
      </c>
      <c r="K713" s="6" t="s">
        <v>530</v>
      </c>
      <c r="L713" s="6">
        <v>20</v>
      </c>
      <c r="M713" s="6" t="s">
        <v>655</v>
      </c>
      <c r="N713" s="6" t="s">
        <v>656</v>
      </c>
      <c r="O713" s="6" t="s">
        <v>2226</v>
      </c>
      <c r="P713" s="6"/>
      <c r="Q713" s="8"/>
      <c r="R713" s="6"/>
      <c r="S713" s="6"/>
      <c r="T713" s="6"/>
      <c r="U713" s="6">
        <v>4</v>
      </c>
      <c r="V713" s="6" t="s">
        <v>665</v>
      </c>
      <c r="W713" s="6" t="s">
        <v>37</v>
      </c>
      <c r="X713" s="7">
        <v>45695</v>
      </c>
      <c r="Y713" s="7">
        <v>45750</v>
      </c>
      <c r="AC713" t="e">
        <v>#N/A</v>
      </c>
      <c r="AE713" t="str">
        <f t="shared" si="95"/>
        <v>P000262</v>
      </c>
      <c r="AF713" t="str">
        <f>_xlfn.XLOOKUP(AE713, Hoja2!A:A, Hoja2!A:A)</f>
        <v>P000262</v>
      </c>
      <c r="AG713" t="str">
        <f t="shared" si="92"/>
        <v>PP00026-09</v>
      </c>
      <c r="AH713">
        <f>_xlfn.XLOOKUP(AG713, Hoja3!A:A, Hoja3!B:B)</f>
        <v>5611</v>
      </c>
      <c r="AI713">
        <f>_xlfn.XLOOKUP(AH713, Hoja4!A:A, Hoja4!B:B)</f>
        <v>69321129</v>
      </c>
      <c r="AJ713" t="b">
        <f t="shared" si="93"/>
        <v>1</v>
      </c>
    </row>
    <row r="714" spans="1:36" ht="15.5" customHeight="1" x14ac:dyDescent="0.35">
      <c r="A714">
        <f t="shared" ca="1" si="94"/>
        <v>29</v>
      </c>
      <c r="B714" s="6" t="s">
        <v>1074</v>
      </c>
      <c r="C714" s="7">
        <v>45666</v>
      </c>
      <c r="D714" s="6" t="s">
        <v>564</v>
      </c>
      <c r="E714" s="6" t="s">
        <v>139</v>
      </c>
      <c r="F714" s="6" t="s">
        <v>508</v>
      </c>
      <c r="G714" s="6" t="s">
        <v>32</v>
      </c>
      <c r="H714" s="6">
        <v>69321138</v>
      </c>
      <c r="I714" s="6" t="s">
        <v>402</v>
      </c>
      <c r="J714" s="6" t="str">
        <f>IF(E714="KTG","KTG",(VLOOKUP(I714,'[1]list of outsource'!B:H,2,0)))</f>
        <v>ETC</v>
      </c>
      <c r="K714" s="6" t="s">
        <v>403</v>
      </c>
      <c r="L714" s="6">
        <v>65</v>
      </c>
      <c r="M714" s="6" t="s">
        <v>827</v>
      </c>
      <c r="N714" s="6" t="s">
        <v>828</v>
      </c>
      <c r="O714" s="6" t="s">
        <v>2227</v>
      </c>
      <c r="P714" s="6"/>
      <c r="Q714" s="8"/>
      <c r="R714" s="6"/>
      <c r="S714" s="6"/>
      <c r="T714" s="6"/>
      <c r="U714" s="6">
        <v>4</v>
      </c>
      <c r="V714" s="6" t="s">
        <v>665</v>
      </c>
      <c r="W714" s="6" t="s">
        <v>576</v>
      </c>
      <c r="X714" s="7">
        <v>45695</v>
      </c>
      <c r="Y714" s="7">
        <v>45750</v>
      </c>
      <c r="AB714" t="s">
        <v>1075</v>
      </c>
      <c r="AC714" t="s">
        <v>4210</v>
      </c>
      <c r="AE714" t="str">
        <f t="shared" si="95"/>
        <v>P000215</v>
      </c>
      <c r="AF714" t="str">
        <f>_xlfn.XLOOKUP(AE714, Hoja2!A:A, Hoja2!A:A)</f>
        <v>P000215</v>
      </c>
      <c r="AG714" t="str">
        <f t="shared" si="92"/>
        <v>PP00026-10</v>
      </c>
      <c r="AH714">
        <f>_xlfn.XLOOKUP(AG714, Hoja3!A:A, Hoja3!B:B)</f>
        <v>5613</v>
      </c>
      <c r="AI714">
        <f>_xlfn.XLOOKUP(AH714, Hoja4!A:A, Hoja4!B:B)</f>
        <v>69321138</v>
      </c>
      <c r="AJ714" t="b">
        <f t="shared" si="93"/>
        <v>1</v>
      </c>
    </row>
    <row r="715" spans="1:36" ht="15.5" customHeight="1" x14ac:dyDescent="0.35">
      <c r="A715">
        <f t="shared" ca="1" si="94"/>
        <v>29</v>
      </c>
      <c r="B715" s="6" t="s">
        <v>1076</v>
      </c>
      <c r="C715" s="7">
        <v>45666</v>
      </c>
      <c r="D715" s="6" t="s">
        <v>564</v>
      </c>
      <c r="E715" s="6" t="s">
        <v>139</v>
      </c>
      <c r="F715" s="6" t="s">
        <v>508</v>
      </c>
      <c r="G715" s="6" t="s">
        <v>32</v>
      </c>
      <c r="H715" s="6">
        <v>69321141</v>
      </c>
      <c r="I715" s="6" t="s">
        <v>402</v>
      </c>
      <c r="J715" s="6" t="str">
        <f>IF(E715="KTG","KTG",(VLOOKUP(I715,'[1]list of outsource'!B:H,2,0)))</f>
        <v>ETC</v>
      </c>
      <c r="K715" s="6" t="s">
        <v>403</v>
      </c>
      <c r="L715" s="6">
        <v>65</v>
      </c>
      <c r="M715" s="6" t="s">
        <v>1077</v>
      </c>
      <c r="N715" s="6" t="s">
        <v>1078</v>
      </c>
      <c r="O715" s="6" t="s">
        <v>2228</v>
      </c>
      <c r="P715" s="6"/>
      <c r="Q715" s="8"/>
      <c r="R715" s="6"/>
      <c r="S715" s="6"/>
      <c r="T715" s="6"/>
      <c r="U715" s="6">
        <v>4</v>
      </c>
      <c r="V715" s="6" t="s">
        <v>665</v>
      </c>
      <c r="W715" s="6" t="s">
        <v>576</v>
      </c>
      <c r="X715" s="7">
        <v>45695</v>
      </c>
      <c r="Y715" s="7">
        <v>45750</v>
      </c>
      <c r="AB715" t="s">
        <v>1075</v>
      </c>
      <c r="AC715"/>
      <c r="AE715" t="str">
        <f t="shared" si="95"/>
        <v>P000216</v>
      </c>
      <c r="AF715" t="str">
        <f>_xlfn.XLOOKUP(AE715, Hoja2!A:A, Hoja2!A:A)</f>
        <v>P000216</v>
      </c>
      <c r="AG715" t="str">
        <f t="shared" si="92"/>
        <v>PP00026-11</v>
      </c>
      <c r="AH715">
        <f>_xlfn.XLOOKUP(AG715, Hoja3!A:A, Hoja3!B:B)</f>
        <v>5615</v>
      </c>
      <c r="AI715">
        <f>_xlfn.XLOOKUP(AH715, Hoja4!A:A, Hoja4!B:B)</f>
        <v>69321141</v>
      </c>
      <c r="AJ715" t="b">
        <f t="shared" si="93"/>
        <v>1</v>
      </c>
    </row>
    <row r="716" spans="1:36" ht="15.5" customHeight="1" x14ac:dyDescent="0.35">
      <c r="A716">
        <f t="shared" ca="1" si="94"/>
        <v>29</v>
      </c>
      <c r="B716" s="6" t="s">
        <v>1140</v>
      </c>
      <c r="C716" s="7">
        <v>45666</v>
      </c>
      <c r="D716" s="6" t="s">
        <v>564</v>
      </c>
      <c r="E716" s="6" t="s">
        <v>30</v>
      </c>
      <c r="F716" s="6" t="s">
        <v>508</v>
      </c>
      <c r="G716" s="6" t="s">
        <v>32</v>
      </c>
      <c r="H716" s="6">
        <v>69229870</v>
      </c>
      <c r="I716" s="6"/>
      <c r="J716" s="6" t="str">
        <f>IF(E716="KTG","KTG",(VLOOKUP(I716,'[1]list of outsource'!B:H,2,0)))</f>
        <v>KTG</v>
      </c>
      <c r="K716" s="6"/>
      <c r="L716" s="6"/>
      <c r="M716" s="6" t="s">
        <v>1141</v>
      </c>
      <c r="N716" s="6" t="s">
        <v>1142</v>
      </c>
      <c r="O716" s="6"/>
      <c r="P716" s="6"/>
      <c r="Q716" s="8">
        <v>45679</v>
      </c>
      <c r="R716" s="6"/>
      <c r="S716" s="6"/>
      <c r="T716" s="6"/>
      <c r="U716" s="6">
        <v>1</v>
      </c>
      <c r="V716" s="6" t="s">
        <v>569</v>
      </c>
      <c r="W716" s="6" t="s">
        <v>576</v>
      </c>
      <c r="X716" s="7">
        <v>45695</v>
      </c>
      <c r="Y716" s="7">
        <v>45750</v>
      </c>
      <c r="AB716" t="e">
        <v>#N/A</v>
      </c>
      <c r="AC716" t="s">
        <v>4210</v>
      </c>
      <c r="AE716" t="str">
        <f t="shared" si="95"/>
        <v>E62404</v>
      </c>
      <c r="AF716" t="str">
        <f>_xlfn.XLOOKUP(AE716, Hoja2!A:A, Hoja2!A:A)</f>
        <v>E62404</v>
      </c>
      <c r="AG716" t="str">
        <f t="shared" si="92"/>
        <v>PP00026-15</v>
      </c>
      <c r="AH716">
        <f>_xlfn.XLOOKUP(AG716, Hoja3!A:A, Hoja3!B:B)</f>
        <v>5620</v>
      </c>
      <c r="AI716">
        <f>_xlfn.XLOOKUP(AH716, Hoja4!A:A, Hoja4!B:B)</f>
        <v>69229870</v>
      </c>
      <c r="AJ716" t="b">
        <f t="shared" si="93"/>
        <v>1</v>
      </c>
    </row>
    <row r="717" spans="1:36" ht="15.5" customHeight="1" x14ac:dyDescent="0.35">
      <c r="A717">
        <f t="shared" ca="1" si="94"/>
        <v>36</v>
      </c>
      <c r="B717" s="12" t="s">
        <v>1126</v>
      </c>
      <c r="C717" s="13">
        <v>45666</v>
      </c>
      <c r="D717" s="14" t="s">
        <v>121</v>
      </c>
      <c r="E717" s="14" t="s">
        <v>30</v>
      </c>
      <c r="F717" s="14" t="s">
        <v>1127</v>
      </c>
      <c r="G717" s="14" t="s">
        <v>32</v>
      </c>
      <c r="H717" s="14" t="s">
        <v>1128</v>
      </c>
      <c r="I717" s="14"/>
      <c r="J717" s="14" t="str">
        <f>IF(E717="KTG","KTG",(VLOOKUP(I717,'[1]list of outsource'!B:H,2,0)))</f>
        <v>KTG</v>
      </c>
      <c r="K717" s="14"/>
      <c r="L717" s="14"/>
      <c r="M717" s="14" t="s">
        <v>2229</v>
      </c>
      <c r="N717" s="14" t="s">
        <v>1129</v>
      </c>
      <c r="O717" s="14"/>
      <c r="P717" s="14"/>
      <c r="Q717" s="15"/>
      <c r="R717" s="14"/>
      <c r="S717" s="16"/>
      <c r="T717" s="14"/>
      <c r="U717" s="14">
        <v>1</v>
      </c>
      <c r="V717" s="14" t="s">
        <v>569</v>
      </c>
      <c r="W717" s="14" t="s">
        <v>576</v>
      </c>
      <c r="X717" s="13">
        <v>45702</v>
      </c>
      <c r="Y717" s="13"/>
      <c r="AB717" t="e">
        <v>#N/A</v>
      </c>
      <c r="AC717" t="s">
        <v>4210</v>
      </c>
      <c r="AE717" t="str">
        <f t="shared" si="95"/>
        <v>E42803</v>
      </c>
      <c r="AF717" t="str">
        <f>_xlfn.XLOOKUP(AE717, Hoja2!A:A, Hoja2!A:A)</f>
        <v>E42803</v>
      </c>
      <c r="AG717" t="str">
        <f t="shared" si="92"/>
        <v>PP00046-01</v>
      </c>
      <c r="AH717">
        <f>_xlfn.XLOOKUP(AG717, Hoja3!A:A, Hoja3!B:B)</f>
        <v>4664</v>
      </c>
      <c r="AI717" t="str">
        <f>_xlfn.XLOOKUP(AH717, Hoja4!A:A, Hoja4!B:B)</f>
        <v>648052100A</v>
      </c>
      <c r="AJ717" t="b">
        <f t="shared" si="93"/>
        <v>1</v>
      </c>
    </row>
    <row r="718" spans="1:36" ht="15.5" customHeight="1" x14ac:dyDescent="0.35">
      <c r="A718">
        <f t="shared" ca="1" si="94"/>
        <v>36</v>
      </c>
      <c r="B718" s="12" t="s">
        <v>1130</v>
      </c>
      <c r="C718" s="13">
        <v>45666</v>
      </c>
      <c r="D718" s="14" t="s">
        <v>121</v>
      </c>
      <c r="E718" s="14" t="s">
        <v>30</v>
      </c>
      <c r="F718" s="14" t="s">
        <v>1127</v>
      </c>
      <c r="G718" s="14" t="s">
        <v>32</v>
      </c>
      <c r="H718" s="14" t="s">
        <v>1131</v>
      </c>
      <c r="I718" s="14"/>
      <c r="J718" s="14" t="str">
        <f>IF(E718="KTG","KTG",(VLOOKUP(I718,'[1]list of outsource'!B:H,2,0)))</f>
        <v>KTG</v>
      </c>
      <c r="K718" s="14"/>
      <c r="L718" s="14"/>
      <c r="M718" s="14" t="s">
        <v>2230</v>
      </c>
      <c r="N718" s="14" t="s">
        <v>2231</v>
      </c>
      <c r="O718" s="14"/>
      <c r="P718" s="14"/>
      <c r="Q718" s="15"/>
      <c r="R718" s="14"/>
      <c r="S718" s="16"/>
      <c r="T718" s="14"/>
      <c r="U718" s="14">
        <v>1</v>
      </c>
      <c r="V718" s="14" t="s">
        <v>569</v>
      </c>
      <c r="W718" s="14" t="s">
        <v>576</v>
      </c>
      <c r="X718" s="13">
        <v>45702</v>
      </c>
      <c r="Y718" s="13"/>
      <c r="AB718" t="e">
        <v>#N/A</v>
      </c>
      <c r="AC718" t="e">
        <v>#N/A</v>
      </c>
      <c r="AE718" t="str">
        <f t="shared" si="95"/>
        <v>E42801</v>
      </c>
      <c r="AF718" t="str">
        <f>_xlfn.XLOOKUP(AE718, Hoja2!A:A, Hoja2!A:A)</f>
        <v>E42801</v>
      </c>
      <c r="AG718" t="str">
        <f t="shared" si="92"/>
        <v>PP00046-02</v>
      </c>
      <c r="AH718">
        <f>_xlfn.XLOOKUP(AG718, Hoja3!A:A, Hoja3!B:B)</f>
        <v>4665</v>
      </c>
      <c r="AI718" t="str">
        <f>_xlfn.XLOOKUP(AH718, Hoja4!A:A, Hoja4!B:B)</f>
        <v>SHRINKTUBE15BLACK</v>
      </c>
      <c r="AJ718" t="b">
        <f t="shared" si="93"/>
        <v>1</v>
      </c>
    </row>
    <row r="719" spans="1:36" ht="15.5" hidden="1" customHeight="1" x14ac:dyDescent="0.35">
      <c r="A719">
        <f t="shared" ca="1" si="94"/>
        <v>39</v>
      </c>
      <c r="B719" s="56" t="s">
        <v>2232</v>
      </c>
      <c r="C719" s="13">
        <v>45666</v>
      </c>
      <c r="D719" s="14" t="s">
        <v>121</v>
      </c>
      <c r="E719" s="14" t="s">
        <v>30</v>
      </c>
      <c r="F719" s="14" t="s">
        <v>1127</v>
      </c>
      <c r="G719" s="14" t="s">
        <v>32</v>
      </c>
      <c r="H719" s="14" t="s">
        <v>2233</v>
      </c>
      <c r="I719" s="14"/>
      <c r="J719" s="14" t="str">
        <f>IF(E719="KTG","KTG",(VLOOKUP(I719,'[1]list of outsource'!B:H,2,0)))</f>
        <v>KTG</v>
      </c>
      <c r="K719" s="14"/>
      <c r="L719" s="14"/>
      <c r="M719" s="55" t="s">
        <v>2234</v>
      </c>
      <c r="N719" s="14" t="s">
        <v>2235</v>
      </c>
      <c r="O719" s="14"/>
      <c r="P719" s="14"/>
      <c r="Q719" s="15"/>
      <c r="R719" s="14"/>
      <c r="S719" s="16"/>
      <c r="T719" s="14"/>
      <c r="U719" s="14">
        <v>1</v>
      </c>
      <c r="V719" s="14" t="s">
        <v>569</v>
      </c>
      <c r="W719" s="14" t="s">
        <v>576</v>
      </c>
      <c r="X719" s="13">
        <v>45705</v>
      </c>
      <c r="Y719" s="13"/>
      <c r="AB719" t="e">
        <v>#N/A</v>
      </c>
      <c r="AC719" t="e">
        <v>#N/A</v>
      </c>
      <c r="AE719" t="str">
        <f t="shared" si="95"/>
        <v>E42804</v>
      </c>
      <c r="AF719" t="e">
        <f>_xlfn.XLOOKUP(AE719, Hoja2!A:A, Hoja2!A:A)</f>
        <v>#N/A</v>
      </c>
    </row>
    <row r="720" spans="1:36" ht="15.5" customHeight="1" x14ac:dyDescent="0.35">
      <c r="A720">
        <f t="shared" ca="1" si="94"/>
        <v>29</v>
      </c>
      <c r="B720" s="6" t="s">
        <v>1589</v>
      </c>
      <c r="C720" s="7">
        <v>45666</v>
      </c>
      <c r="D720" s="6" t="s">
        <v>564</v>
      </c>
      <c r="E720" s="6" t="s">
        <v>30</v>
      </c>
      <c r="F720" s="6" t="s">
        <v>508</v>
      </c>
      <c r="G720" s="6" t="s">
        <v>32</v>
      </c>
      <c r="H720" s="6">
        <v>69321269</v>
      </c>
      <c r="I720" s="6"/>
      <c r="J720" s="6" t="str">
        <f>IF(E720="KTG","KTG",(VLOOKUP(I720,'[1]list of outsource'!B:H,2,0)))</f>
        <v>KTG</v>
      </c>
      <c r="K720" s="6"/>
      <c r="L720" s="6"/>
      <c r="M720" s="6" t="s">
        <v>1590</v>
      </c>
      <c r="N720" s="6" t="s">
        <v>1591</v>
      </c>
      <c r="O720" s="6" t="s">
        <v>1592</v>
      </c>
      <c r="P720" s="6"/>
      <c r="Q720" s="8">
        <v>45679</v>
      </c>
      <c r="R720" s="6"/>
      <c r="S720" s="6"/>
      <c r="T720" s="6"/>
      <c r="U720" s="6">
        <v>1</v>
      </c>
      <c r="V720" s="6" t="s">
        <v>569</v>
      </c>
      <c r="W720" s="6" t="s">
        <v>576</v>
      </c>
      <c r="X720" s="7">
        <v>45695</v>
      </c>
      <c r="Y720" s="7">
        <v>45750</v>
      </c>
      <c r="AB720" t="e">
        <v>#N/A</v>
      </c>
      <c r="AC720" t="e">
        <v>#N/A</v>
      </c>
      <c r="AE720" t="str">
        <f t="shared" si="95"/>
        <v>E62428</v>
      </c>
      <c r="AF720" t="str">
        <f>_xlfn.XLOOKUP(AE720, Hoja2!A:A, Hoja2!A:A)</f>
        <v>E62428</v>
      </c>
      <c r="AG720" t="str">
        <f t="shared" ref="AG720:AG783" si="96">LEFT(B720, FIND(" ", B720 &amp; " ") - 1)</f>
        <v>PP00026-36</v>
      </c>
      <c r="AH720">
        <f>_xlfn.XLOOKUP(AG720, Hoja3!A:A, Hoja3!B:B)</f>
        <v>5642</v>
      </c>
      <c r="AI720">
        <f>_xlfn.XLOOKUP(AH720, Hoja4!A:A, Hoja4!B:B)</f>
        <v>69321269</v>
      </c>
      <c r="AJ720" t="b">
        <f t="shared" ref="AJ720:AJ783" si="97">H720=AI720</f>
        <v>1</v>
      </c>
    </row>
    <row r="721" spans="1:36" ht="15.5" customHeight="1" x14ac:dyDescent="0.35">
      <c r="A721">
        <f t="shared" ca="1" si="94"/>
        <v>29</v>
      </c>
      <c r="B721" s="6" t="s">
        <v>1593</v>
      </c>
      <c r="C721" s="7">
        <v>45666</v>
      </c>
      <c r="D721" s="6" t="s">
        <v>564</v>
      </c>
      <c r="E721" s="6" t="s">
        <v>30</v>
      </c>
      <c r="F721" s="6" t="s">
        <v>508</v>
      </c>
      <c r="G721" s="6" t="s">
        <v>32</v>
      </c>
      <c r="H721" s="6">
        <v>69321257</v>
      </c>
      <c r="I721" s="6"/>
      <c r="J721" s="6" t="str">
        <f>IF(E721="KTG","KTG",(VLOOKUP(I721,'[1]list of outsource'!B:H,2,0)))</f>
        <v>KTG</v>
      </c>
      <c r="K721" s="6"/>
      <c r="L721" s="6"/>
      <c r="M721" s="6" t="s">
        <v>1594</v>
      </c>
      <c r="N721" s="6" t="s">
        <v>1595</v>
      </c>
      <c r="O721" s="6" t="s">
        <v>1596</v>
      </c>
      <c r="P721" s="6"/>
      <c r="Q721" s="8">
        <v>45679</v>
      </c>
      <c r="R721" s="6"/>
      <c r="S721" s="6"/>
      <c r="T721" s="6"/>
      <c r="U721" s="6">
        <v>1</v>
      </c>
      <c r="V721" s="6" t="s">
        <v>569</v>
      </c>
      <c r="W721" s="6" t="s">
        <v>576</v>
      </c>
      <c r="X721" s="7">
        <v>45695</v>
      </c>
      <c r="Y721" s="7">
        <v>45750</v>
      </c>
      <c r="AB721" t="e">
        <v>#N/A</v>
      </c>
      <c r="AC721" t="e">
        <v>#N/A</v>
      </c>
      <c r="AE721" t="str">
        <f t="shared" si="95"/>
        <v>E62426</v>
      </c>
      <c r="AF721" t="str">
        <f>_xlfn.XLOOKUP(AE721, Hoja2!A:A, Hoja2!A:A)</f>
        <v>E62426</v>
      </c>
      <c r="AG721" t="str">
        <f t="shared" si="96"/>
        <v>PP00026-37</v>
      </c>
      <c r="AH721">
        <f>_xlfn.XLOOKUP(AG721, Hoja3!A:A, Hoja3!B:B)</f>
        <v>5644</v>
      </c>
      <c r="AI721">
        <f>_xlfn.XLOOKUP(AH721, Hoja4!A:A, Hoja4!B:B)</f>
        <v>69321257</v>
      </c>
      <c r="AJ721" t="b">
        <f t="shared" si="97"/>
        <v>1</v>
      </c>
    </row>
    <row r="722" spans="1:36" ht="15.5" customHeight="1" x14ac:dyDescent="0.35">
      <c r="A722">
        <f t="shared" ca="1" si="94"/>
        <v>29</v>
      </c>
      <c r="B722" s="6" t="s">
        <v>1623</v>
      </c>
      <c r="C722" s="7">
        <v>45666</v>
      </c>
      <c r="D722" s="6" t="s">
        <v>564</v>
      </c>
      <c r="E722" s="6" t="s">
        <v>30</v>
      </c>
      <c r="F722" s="6" t="s">
        <v>508</v>
      </c>
      <c r="G722" s="6" t="s">
        <v>32</v>
      </c>
      <c r="H722" s="6">
        <v>69321264</v>
      </c>
      <c r="I722" s="6"/>
      <c r="J722" s="6" t="str">
        <f>IF(E722="KTG","KTG",(VLOOKUP(I722,'[1]list of outsource'!B:H,2,0)))</f>
        <v>KTG</v>
      </c>
      <c r="K722" s="6"/>
      <c r="L722" s="6"/>
      <c r="M722" s="6" t="s">
        <v>1624</v>
      </c>
      <c r="N722" s="6" t="s">
        <v>1625</v>
      </c>
      <c r="O722" s="6"/>
      <c r="P722" s="6"/>
      <c r="Q722" s="8">
        <v>45679</v>
      </c>
      <c r="R722" s="6"/>
      <c r="S722" s="6"/>
      <c r="T722" s="6"/>
      <c r="U722" s="6">
        <v>1</v>
      </c>
      <c r="V722" s="6" t="s">
        <v>569</v>
      </c>
      <c r="W722" s="6" t="s">
        <v>576</v>
      </c>
      <c r="X722" s="7">
        <v>45695</v>
      </c>
      <c r="Y722" s="7">
        <v>45750</v>
      </c>
      <c r="AB722" t="e">
        <v>#N/A</v>
      </c>
      <c r="AC722" t="e">
        <v>#N/A</v>
      </c>
      <c r="AE722" t="str">
        <f t="shared" si="95"/>
        <v>E62427</v>
      </c>
      <c r="AF722" t="str">
        <f>_xlfn.XLOOKUP(AE722, Hoja2!A:A, Hoja2!A:A)</f>
        <v>E62427</v>
      </c>
      <c r="AG722" t="str">
        <f t="shared" si="96"/>
        <v>PP00026-38</v>
      </c>
      <c r="AH722">
        <f>_xlfn.XLOOKUP(AG722, Hoja3!A:A, Hoja3!B:B)</f>
        <v>5646</v>
      </c>
      <c r="AI722">
        <f>_xlfn.XLOOKUP(AH722, Hoja4!A:A, Hoja4!B:B)</f>
        <v>69321264</v>
      </c>
      <c r="AJ722" t="b">
        <f t="shared" si="97"/>
        <v>1</v>
      </c>
    </row>
    <row r="723" spans="1:36" ht="15.5" customHeight="1" x14ac:dyDescent="0.35">
      <c r="A723">
        <f t="shared" ca="1" si="94"/>
        <v>29</v>
      </c>
      <c r="B723" s="6" t="s">
        <v>1626</v>
      </c>
      <c r="C723" s="7">
        <v>45666</v>
      </c>
      <c r="D723" s="6" t="s">
        <v>564</v>
      </c>
      <c r="E723" s="6" t="s">
        <v>30</v>
      </c>
      <c r="F723" s="6" t="s">
        <v>508</v>
      </c>
      <c r="G723" s="6" t="s">
        <v>32</v>
      </c>
      <c r="H723" s="6">
        <v>69321271</v>
      </c>
      <c r="I723" s="6"/>
      <c r="J723" s="6" t="str">
        <f>IF(E723="KTG","KTG",(VLOOKUP(I723,'[1]list of outsource'!B:H,2,0)))</f>
        <v>KTG</v>
      </c>
      <c r="K723" s="6"/>
      <c r="L723" s="6"/>
      <c r="M723" s="6" t="s">
        <v>1627</v>
      </c>
      <c r="N723" s="6" t="s">
        <v>1628</v>
      </c>
      <c r="O723" s="6"/>
      <c r="P723" s="6"/>
      <c r="Q723" s="8">
        <v>45679</v>
      </c>
      <c r="R723" s="6"/>
      <c r="S723" s="6"/>
      <c r="T723" s="6"/>
      <c r="U723" s="6">
        <v>1</v>
      </c>
      <c r="V723" s="6" t="s">
        <v>569</v>
      </c>
      <c r="W723" s="6" t="s">
        <v>576</v>
      </c>
      <c r="X723" s="7">
        <v>45695</v>
      </c>
      <c r="Y723" s="7">
        <v>45750</v>
      </c>
      <c r="AB723" t="e">
        <v>#N/A</v>
      </c>
      <c r="AC723" t="e">
        <v>#N/A</v>
      </c>
      <c r="AE723" t="str">
        <f t="shared" si="95"/>
        <v>E62429</v>
      </c>
      <c r="AF723" t="str">
        <f>_xlfn.XLOOKUP(AE723, Hoja2!A:A, Hoja2!A:A)</f>
        <v>E62429</v>
      </c>
      <c r="AG723" t="str">
        <f t="shared" si="96"/>
        <v>PP00026-39</v>
      </c>
      <c r="AH723">
        <f>_xlfn.XLOOKUP(AG723, Hoja3!A:A, Hoja3!B:B)</f>
        <v>5648</v>
      </c>
      <c r="AI723">
        <f>_xlfn.XLOOKUP(AH723, Hoja4!A:A, Hoja4!B:B)</f>
        <v>69321271</v>
      </c>
      <c r="AJ723" t="b">
        <f t="shared" si="97"/>
        <v>1</v>
      </c>
    </row>
    <row r="724" spans="1:36" ht="15.5" customHeight="1" x14ac:dyDescent="0.35">
      <c r="A724">
        <f t="shared" ca="1" si="94"/>
        <v>29</v>
      </c>
      <c r="B724" s="6" t="s">
        <v>2236</v>
      </c>
      <c r="C724" s="7">
        <v>45666</v>
      </c>
      <c r="D724" s="6" t="s">
        <v>564</v>
      </c>
      <c r="E724" s="6" t="s">
        <v>30</v>
      </c>
      <c r="F724" s="6" t="s">
        <v>508</v>
      </c>
      <c r="G724" s="6" t="s">
        <v>32</v>
      </c>
      <c r="H724" s="6">
        <v>69321272</v>
      </c>
      <c r="I724" s="6"/>
      <c r="J724" s="6" t="str">
        <f>IF(E724="KTG","KTG",(VLOOKUP(I724,'[1]list of outsource'!B:H,2,0)))</f>
        <v>KTG</v>
      </c>
      <c r="K724" s="6"/>
      <c r="L724" s="6"/>
      <c r="M724" s="6" t="s">
        <v>2237</v>
      </c>
      <c r="N724" s="6" t="s">
        <v>2238</v>
      </c>
      <c r="O724" s="6"/>
      <c r="P724" s="6"/>
      <c r="Q724" s="8">
        <v>45679</v>
      </c>
      <c r="R724" s="6"/>
      <c r="S724" s="6"/>
      <c r="T724" s="6"/>
      <c r="U724" s="6">
        <v>1</v>
      </c>
      <c r="V724" s="6" t="s">
        <v>569</v>
      </c>
      <c r="W724" s="6" t="s">
        <v>576</v>
      </c>
      <c r="X724" s="7">
        <v>45695</v>
      </c>
      <c r="Y724" s="7">
        <v>45750</v>
      </c>
      <c r="AB724" t="e">
        <v>#N/A</v>
      </c>
      <c r="AC724" t="e">
        <v>#N/A</v>
      </c>
      <c r="AE724" t="str">
        <f t="shared" si="95"/>
        <v>E62431</v>
      </c>
      <c r="AF724" t="str">
        <f>_xlfn.XLOOKUP(AE724, Hoja2!A:A, Hoja2!A:A)</f>
        <v>E62431</v>
      </c>
      <c r="AG724" t="str">
        <f t="shared" si="96"/>
        <v>PP00026-45</v>
      </c>
      <c r="AH724">
        <f>_xlfn.XLOOKUP(AG724, Hoja3!A:A, Hoja3!B:B)</f>
        <v>5654</v>
      </c>
      <c r="AI724">
        <f>_xlfn.XLOOKUP(AH724, Hoja4!A:A, Hoja4!B:B)</f>
        <v>69321272</v>
      </c>
      <c r="AJ724" t="b">
        <f t="shared" si="97"/>
        <v>1</v>
      </c>
    </row>
    <row r="725" spans="1:36" ht="15.5" customHeight="1" x14ac:dyDescent="0.35">
      <c r="A725">
        <f t="shared" ca="1" si="94"/>
        <v>29</v>
      </c>
      <c r="B725" s="6" t="s">
        <v>2239</v>
      </c>
      <c r="C725" s="7">
        <v>45666</v>
      </c>
      <c r="D725" s="6" t="s">
        <v>564</v>
      </c>
      <c r="E725" s="6" t="s">
        <v>30</v>
      </c>
      <c r="F725" s="6" t="s">
        <v>508</v>
      </c>
      <c r="G725" s="6" t="s">
        <v>32</v>
      </c>
      <c r="H725" s="6">
        <v>69321278</v>
      </c>
      <c r="I725" s="6"/>
      <c r="J725" s="6" t="str">
        <f>IF(E725="KTG","KTG",(VLOOKUP(I725,'[1]list of outsource'!B:H,2,0)))</f>
        <v>KTG</v>
      </c>
      <c r="K725" s="6"/>
      <c r="L725" s="6"/>
      <c r="M725" s="6" t="s">
        <v>2240</v>
      </c>
      <c r="N725" s="6" t="s">
        <v>2241</v>
      </c>
      <c r="O725" s="6"/>
      <c r="P725" s="6"/>
      <c r="Q725" s="8">
        <v>45679</v>
      </c>
      <c r="R725" s="6"/>
      <c r="S725" s="6"/>
      <c r="T725" s="6"/>
      <c r="U725" s="6">
        <v>1</v>
      </c>
      <c r="V725" s="6" t="s">
        <v>569</v>
      </c>
      <c r="W725" s="6" t="s">
        <v>576</v>
      </c>
      <c r="X725" s="7">
        <v>45695</v>
      </c>
      <c r="Y725" s="7">
        <v>45750</v>
      </c>
      <c r="AB725" t="e">
        <v>#N/A</v>
      </c>
      <c r="AC725" t="e">
        <v>#N/A</v>
      </c>
      <c r="AE725" t="str">
        <f t="shared" si="95"/>
        <v>E62432</v>
      </c>
      <c r="AF725" t="str">
        <f>_xlfn.XLOOKUP(AE725, Hoja2!A:A, Hoja2!A:A)</f>
        <v>E62432</v>
      </c>
      <c r="AG725" t="str">
        <f t="shared" si="96"/>
        <v>PP00026-46</v>
      </c>
      <c r="AH725">
        <f>_xlfn.XLOOKUP(AG725, Hoja3!A:A, Hoja3!B:B)</f>
        <v>5655</v>
      </c>
      <c r="AI725">
        <f>_xlfn.XLOOKUP(AH725, Hoja4!A:A, Hoja4!B:B)</f>
        <v>69321278</v>
      </c>
      <c r="AJ725" t="b">
        <f t="shared" si="97"/>
        <v>1</v>
      </c>
    </row>
    <row r="726" spans="1:36" ht="15.5" customHeight="1" x14ac:dyDescent="0.35">
      <c r="A726">
        <f t="shared" ca="1" si="94"/>
        <v>29</v>
      </c>
      <c r="B726" s="6" t="s">
        <v>2242</v>
      </c>
      <c r="C726" s="7">
        <v>45666</v>
      </c>
      <c r="D726" s="6" t="s">
        <v>564</v>
      </c>
      <c r="E726" s="6" t="s">
        <v>30</v>
      </c>
      <c r="F726" s="6" t="s">
        <v>508</v>
      </c>
      <c r="G726" s="6" t="s">
        <v>32</v>
      </c>
      <c r="H726" s="6">
        <v>69321285</v>
      </c>
      <c r="I726" s="6"/>
      <c r="J726" s="6" t="str">
        <f>IF(E726="KTG","KTG",(VLOOKUP(I726,'[1]list of outsource'!B:H,2,0)))</f>
        <v>KTG</v>
      </c>
      <c r="K726" s="6"/>
      <c r="L726" s="6"/>
      <c r="M726" s="6" t="s">
        <v>2243</v>
      </c>
      <c r="N726" s="6" t="s">
        <v>2244</v>
      </c>
      <c r="O726" s="6"/>
      <c r="P726" s="6"/>
      <c r="Q726" s="8">
        <v>45679</v>
      </c>
      <c r="R726" s="6"/>
      <c r="S726" s="6"/>
      <c r="T726" s="6"/>
      <c r="U726" s="6">
        <v>1</v>
      </c>
      <c r="V726" s="6" t="s">
        <v>569</v>
      </c>
      <c r="W726" s="6" t="s">
        <v>576</v>
      </c>
      <c r="X726" s="7">
        <v>45695</v>
      </c>
      <c r="Y726" s="7">
        <v>45750</v>
      </c>
      <c r="AB726" t="e">
        <v>#N/A</v>
      </c>
      <c r="AC726" t="e">
        <v>#N/A</v>
      </c>
      <c r="AE726" t="str">
        <f t="shared" si="95"/>
        <v>E62430</v>
      </c>
      <c r="AF726" t="str">
        <f>_xlfn.XLOOKUP(AE726, Hoja2!A:A, Hoja2!A:A)</f>
        <v>E62430</v>
      </c>
      <c r="AG726" t="str">
        <f t="shared" si="96"/>
        <v>PP00026-47</v>
      </c>
      <c r="AH726">
        <f>_xlfn.XLOOKUP(AG726, Hoja3!A:A, Hoja3!B:B)</f>
        <v>5656</v>
      </c>
      <c r="AI726">
        <f>_xlfn.XLOOKUP(AH726, Hoja4!A:A, Hoja4!B:B)</f>
        <v>69321285</v>
      </c>
      <c r="AJ726" t="b">
        <f t="shared" si="97"/>
        <v>1</v>
      </c>
    </row>
    <row r="727" spans="1:36" ht="15.5" customHeight="1" x14ac:dyDescent="0.35">
      <c r="A727">
        <f t="shared" ca="1" si="94"/>
        <v>29</v>
      </c>
      <c r="B727" s="6" t="s">
        <v>2245</v>
      </c>
      <c r="C727" s="7">
        <v>45666</v>
      </c>
      <c r="D727" s="6" t="s">
        <v>564</v>
      </c>
      <c r="E727" s="6" t="s">
        <v>30</v>
      </c>
      <c r="F727" s="6" t="s">
        <v>508</v>
      </c>
      <c r="G727" s="6" t="s">
        <v>32</v>
      </c>
      <c r="H727" s="6">
        <v>69321582</v>
      </c>
      <c r="I727" s="6"/>
      <c r="J727" s="6" t="str">
        <f>IF(E727="KTG","KTG",(VLOOKUP(I727,'[1]list of outsource'!B:H,2,0)))</f>
        <v>KTG</v>
      </c>
      <c r="K727" s="6"/>
      <c r="L727" s="6"/>
      <c r="M727" s="6" t="s">
        <v>2246</v>
      </c>
      <c r="N727" s="6" t="s">
        <v>2247</v>
      </c>
      <c r="O727" s="6"/>
      <c r="P727" s="6"/>
      <c r="Q727" s="8">
        <v>45679</v>
      </c>
      <c r="R727" s="6"/>
      <c r="S727" s="6"/>
      <c r="T727" s="6"/>
      <c r="U727" s="6">
        <v>1</v>
      </c>
      <c r="V727" s="6" t="s">
        <v>569</v>
      </c>
      <c r="W727" s="6" t="s">
        <v>576</v>
      </c>
      <c r="X727" s="7">
        <v>45695</v>
      </c>
      <c r="Y727" s="7">
        <v>45750</v>
      </c>
      <c r="AB727" t="e">
        <v>#N/A</v>
      </c>
      <c r="AC727" t="e">
        <v>#N/A</v>
      </c>
      <c r="AE727" t="str">
        <f t="shared" si="95"/>
        <v>E62433</v>
      </c>
      <c r="AF727" t="str">
        <f>_xlfn.XLOOKUP(AE727, Hoja2!A:A, Hoja2!A:A)</f>
        <v>E62433</v>
      </c>
      <c r="AG727" t="str">
        <f t="shared" si="96"/>
        <v>PP00026-48</v>
      </c>
      <c r="AH727">
        <f>_xlfn.XLOOKUP(AG727, Hoja3!A:A, Hoja3!B:B)</f>
        <v>5657</v>
      </c>
      <c r="AI727">
        <f>_xlfn.XLOOKUP(AH727, Hoja4!A:A, Hoja4!B:B)</f>
        <v>69321582</v>
      </c>
      <c r="AJ727" t="b">
        <f t="shared" si="97"/>
        <v>1</v>
      </c>
    </row>
    <row r="728" spans="1:36" ht="15.5" customHeight="1" x14ac:dyDescent="0.35">
      <c r="A728">
        <f t="shared" ca="1" si="94"/>
        <v>13</v>
      </c>
      <c r="B728" s="6" t="s">
        <v>1480</v>
      </c>
      <c r="C728" s="7">
        <v>45666</v>
      </c>
      <c r="D728" s="6" t="s">
        <v>564</v>
      </c>
      <c r="E728" s="6" t="s">
        <v>30</v>
      </c>
      <c r="F728" s="6" t="s">
        <v>646</v>
      </c>
      <c r="G728" s="6" t="s">
        <v>32</v>
      </c>
      <c r="H728" s="6" t="s">
        <v>1481</v>
      </c>
      <c r="I728" s="6"/>
      <c r="J728" s="6" t="str">
        <f>IF(E728="KTG","KTG",(VLOOKUP(I728,'[1]list of outsource'!B:H,2,0)))</f>
        <v>KTG</v>
      </c>
      <c r="K728" s="6"/>
      <c r="L728" s="6"/>
      <c r="M728" s="6" t="s">
        <v>1482</v>
      </c>
      <c r="N728" s="6" t="s">
        <v>1483</v>
      </c>
      <c r="O728" s="6"/>
      <c r="P728" s="6"/>
      <c r="Q728" s="8">
        <v>45679</v>
      </c>
      <c r="R728" s="6"/>
      <c r="S728" s="6"/>
      <c r="T728" s="6"/>
      <c r="U728" s="6">
        <v>1</v>
      </c>
      <c r="V728" s="6" t="s">
        <v>569</v>
      </c>
      <c r="W728" s="6" t="s">
        <v>576</v>
      </c>
      <c r="X728" s="7">
        <v>45679</v>
      </c>
      <c r="Y728" s="7">
        <v>45693</v>
      </c>
      <c r="AB728" t="e">
        <v>#N/A</v>
      </c>
      <c r="AC728" t="e">
        <v>#N/A</v>
      </c>
      <c r="AE728" t="str">
        <f t="shared" si="95"/>
        <v>E53117</v>
      </c>
      <c r="AF728" t="str">
        <f>_xlfn.XLOOKUP(AE728, Hoja2!A:A, Hoja2!A:A)</f>
        <v>E53117</v>
      </c>
      <c r="AG728" t="str">
        <f t="shared" si="96"/>
        <v>PP00030-09</v>
      </c>
      <c r="AH728">
        <f>_xlfn.XLOOKUP(AG728, Hoja3!A:A, Hoja3!B:B)</f>
        <v>5230</v>
      </c>
      <c r="AI728" t="str">
        <f>_xlfn.XLOOKUP(AH728, Hoja4!A:A, Hoja4!B:B)</f>
        <v>707708 3 030</v>
      </c>
      <c r="AJ728" t="b">
        <f t="shared" si="97"/>
        <v>1</v>
      </c>
    </row>
    <row r="729" spans="1:36" ht="15.5" customHeight="1" x14ac:dyDescent="0.35">
      <c r="A729">
        <f t="shared" ca="1" si="94"/>
        <v>10</v>
      </c>
      <c r="B729" s="6" t="s">
        <v>2248</v>
      </c>
      <c r="C729" s="7">
        <v>45667</v>
      </c>
      <c r="D729" s="6" t="s">
        <v>564</v>
      </c>
      <c r="E729" s="6" t="s">
        <v>139</v>
      </c>
      <c r="F729" s="6" t="s">
        <v>2249</v>
      </c>
      <c r="G729" s="6" t="s">
        <v>2250</v>
      </c>
      <c r="H729" s="6">
        <v>69322334</v>
      </c>
      <c r="I729" s="6" t="s">
        <v>494</v>
      </c>
      <c r="J729" s="6" t="str">
        <f>IF(E729="KTG","KTG",(VLOOKUP(I729,'[1]list of outsource'!B:H,2,0)))</f>
        <v>ETC</v>
      </c>
      <c r="K729" s="6" t="s">
        <v>495</v>
      </c>
      <c r="L729" s="6">
        <v>30</v>
      </c>
      <c r="M729" s="6" t="s">
        <v>2080</v>
      </c>
      <c r="N729" s="6" t="s">
        <v>2081</v>
      </c>
      <c r="O729" s="6" t="s">
        <v>2251</v>
      </c>
      <c r="P729" s="6"/>
      <c r="Q729" s="8"/>
      <c r="R729" s="6"/>
      <c r="S729" s="6"/>
      <c r="T729" s="6"/>
      <c r="U729" s="6">
        <v>4</v>
      </c>
      <c r="V729" s="6" t="s">
        <v>665</v>
      </c>
      <c r="W729" s="6" t="s">
        <v>37</v>
      </c>
      <c r="X729" s="7">
        <v>45677</v>
      </c>
      <c r="Y729" s="7">
        <v>45694</v>
      </c>
      <c r="AB729" t="e">
        <v>#N/A</v>
      </c>
      <c r="AC729" t="e">
        <v>#N/A</v>
      </c>
      <c r="AE729" t="str">
        <f t="shared" si="95"/>
        <v>P000184</v>
      </c>
      <c r="AF729" t="str">
        <f>_xlfn.XLOOKUP(AE729, Hoja2!A:A, Hoja2!A:A)</f>
        <v>P000184</v>
      </c>
      <c r="AG729" t="str">
        <f t="shared" si="96"/>
        <v>PP00067-01</v>
      </c>
      <c r="AH729">
        <f>_xlfn.XLOOKUP(AG729, Hoja3!A:A, Hoja3!B:B)</f>
        <v>4425</v>
      </c>
      <c r="AI729">
        <f>_xlfn.XLOOKUP(AH729, Hoja4!A:A, Hoja4!B:B)</f>
        <v>69322334</v>
      </c>
      <c r="AJ729" t="b">
        <f t="shared" si="97"/>
        <v>1</v>
      </c>
    </row>
    <row r="730" spans="1:36" ht="15.5" customHeight="1" x14ac:dyDescent="0.35">
      <c r="A730">
        <f t="shared" ca="1" si="94"/>
        <v>10</v>
      </c>
      <c r="B730" s="6" t="s">
        <v>2252</v>
      </c>
      <c r="C730" s="7">
        <v>45667</v>
      </c>
      <c r="D730" s="6" t="s">
        <v>564</v>
      </c>
      <c r="E730" s="6" t="s">
        <v>139</v>
      </c>
      <c r="F730" s="6" t="s">
        <v>2249</v>
      </c>
      <c r="G730" s="6" t="s">
        <v>2250</v>
      </c>
      <c r="H730" s="6">
        <v>69322335</v>
      </c>
      <c r="I730" s="6" t="s">
        <v>494</v>
      </c>
      <c r="J730" s="6" t="str">
        <f>IF(E730="KTG","KTG",(VLOOKUP(I730,'[1]list of outsource'!B:H,2,0)))</f>
        <v>ETC</v>
      </c>
      <c r="K730" s="6" t="s">
        <v>495</v>
      </c>
      <c r="L730" s="6">
        <v>30</v>
      </c>
      <c r="M730" s="6" t="s">
        <v>730</v>
      </c>
      <c r="N730" s="6" t="s">
        <v>2093</v>
      </c>
      <c r="O730" s="6" t="s">
        <v>2253</v>
      </c>
      <c r="P730" s="6"/>
      <c r="Q730" s="8"/>
      <c r="R730" s="6"/>
      <c r="S730" s="6"/>
      <c r="T730" s="6"/>
      <c r="U730" s="6">
        <v>4</v>
      </c>
      <c r="V730" s="6" t="s">
        <v>665</v>
      </c>
      <c r="W730" s="6" t="s">
        <v>37</v>
      </c>
      <c r="X730" s="7">
        <v>45677</v>
      </c>
      <c r="Y730" s="7">
        <v>45694</v>
      </c>
      <c r="AB730" t="e">
        <v>#N/A</v>
      </c>
      <c r="AC730" t="e">
        <v>#N/A</v>
      </c>
      <c r="AE730" t="str">
        <f t="shared" si="95"/>
        <v>P000237</v>
      </c>
      <c r="AF730" t="str">
        <f>_xlfn.XLOOKUP(AE730, Hoja2!A:A, Hoja2!A:A)</f>
        <v>P000237</v>
      </c>
      <c r="AG730" t="str">
        <f t="shared" si="96"/>
        <v>PP00067-02</v>
      </c>
      <c r="AH730">
        <f>_xlfn.XLOOKUP(AG730, Hoja3!A:A, Hoja3!B:B)</f>
        <v>4428</v>
      </c>
      <c r="AI730">
        <f>_xlfn.XLOOKUP(AH730, Hoja4!A:A, Hoja4!B:B)</f>
        <v>69322335</v>
      </c>
      <c r="AJ730" t="b">
        <f t="shared" si="97"/>
        <v>1</v>
      </c>
    </row>
    <row r="731" spans="1:36" ht="15.5" customHeight="1" x14ac:dyDescent="0.35">
      <c r="A731">
        <f t="shared" ca="1" si="94"/>
        <v>10</v>
      </c>
      <c r="B731" s="6" t="s">
        <v>2254</v>
      </c>
      <c r="C731" s="7">
        <v>45667</v>
      </c>
      <c r="D731" s="6" t="s">
        <v>564</v>
      </c>
      <c r="E731" s="6" t="s">
        <v>139</v>
      </c>
      <c r="F731" s="6" t="s">
        <v>2249</v>
      </c>
      <c r="G731" s="6" t="s">
        <v>2250</v>
      </c>
      <c r="H731" s="6">
        <v>69322336</v>
      </c>
      <c r="I731" s="6" t="s">
        <v>494</v>
      </c>
      <c r="J731" s="6" t="str">
        <f>IF(E731="KTG","KTG",(VLOOKUP(I731,'[1]list of outsource'!B:H,2,0)))</f>
        <v>ETC</v>
      </c>
      <c r="K731" s="6" t="s">
        <v>495</v>
      </c>
      <c r="L731" s="6">
        <v>30</v>
      </c>
      <c r="M731" s="6" t="s">
        <v>894</v>
      </c>
      <c r="N731" s="6" t="s">
        <v>2089</v>
      </c>
      <c r="O731" s="6" t="s">
        <v>2255</v>
      </c>
      <c r="P731" s="6"/>
      <c r="Q731" s="8"/>
      <c r="R731" s="6"/>
      <c r="S731" s="6"/>
      <c r="T731" s="6"/>
      <c r="U731" s="6">
        <v>4</v>
      </c>
      <c r="V731" s="6" t="s">
        <v>665</v>
      </c>
      <c r="W731" s="6" t="s">
        <v>37</v>
      </c>
      <c r="X731" s="7">
        <v>45677</v>
      </c>
      <c r="Y731" s="7">
        <v>45694</v>
      </c>
      <c r="AB731" t="e">
        <v>#N/A</v>
      </c>
      <c r="AC731" t="e">
        <v>#N/A</v>
      </c>
      <c r="AE731" t="str">
        <f t="shared" si="95"/>
        <v>P000236</v>
      </c>
      <c r="AF731" t="str">
        <f>_xlfn.XLOOKUP(AE731, Hoja2!A:A, Hoja2!A:A)</f>
        <v>P000236</v>
      </c>
      <c r="AG731" t="str">
        <f t="shared" si="96"/>
        <v>PP00067-03</v>
      </c>
      <c r="AH731">
        <f>_xlfn.XLOOKUP(AG731, Hoja3!A:A, Hoja3!B:B)</f>
        <v>4427</v>
      </c>
      <c r="AI731">
        <f>_xlfn.XLOOKUP(AH731, Hoja4!A:A, Hoja4!B:B)</f>
        <v>69322336</v>
      </c>
      <c r="AJ731" t="b">
        <f t="shared" si="97"/>
        <v>1</v>
      </c>
    </row>
    <row r="732" spans="1:36" ht="15.5" customHeight="1" x14ac:dyDescent="0.35">
      <c r="A732">
        <f t="shared" ca="1" si="94"/>
        <v>10</v>
      </c>
      <c r="B732" s="6" t="s">
        <v>2256</v>
      </c>
      <c r="C732" s="7">
        <v>45667</v>
      </c>
      <c r="D732" s="6" t="s">
        <v>564</v>
      </c>
      <c r="E732" s="6" t="s">
        <v>139</v>
      </c>
      <c r="F732" s="6" t="s">
        <v>2249</v>
      </c>
      <c r="G732" s="6" t="s">
        <v>2250</v>
      </c>
      <c r="H732" s="6">
        <v>99932935</v>
      </c>
      <c r="I732" s="6" t="s">
        <v>494</v>
      </c>
      <c r="J732" s="6" t="str">
        <f>IF(E732="KTG","KTG",(VLOOKUP(I732,'[1]list of outsource'!B:H,2,0)))</f>
        <v>ETC</v>
      </c>
      <c r="K732" s="6" t="s">
        <v>495</v>
      </c>
      <c r="L732" s="6">
        <v>30</v>
      </c>
      <c r="M732" s="6" t="s">
        <v>2257</v>
      </c>
      <c r="N732" s="6" t="s">
        <v>2258</v>
      </c>
      <c r="O732" s="6" t="s">
        <v>2259</v>
      </c>
      <c r="P732" s="6"/>
      <c r="Q732" s="8"/>
      <c r="R732" s="6"/>
      <c r="S732" s="6"/>
      <c r="T732" s="6"/>
      <c r="U732" s="6">
        <v>4</v>
      </c>
      <c r="V732" s="6" t="s">
        <v>665</v>
      </c>
      <c r="W732" s="6" t="s">
        <v>37</v>
      </c>
      <c r="X732" s="7">
        <v>45677</v>
      </c>
      <c r="Y732" s="7">
        <v>45694</v>
      </c>
      <c r="AB732" t="e">
        <v>#N/A</v>
      </c>
      <c r="AC732" t="e">
        <v>#N/A</v>
      </c>
      <c r="AE732" t="str">
        <f t="shared" si="95"/>
        <v>P001068</v>
      </c>
      <c r="AF732" t="str">
        <f>_xlfn.XLOOKUP(AE732, Hoja2!A:A, Hoja2!A:A)</f>
        <v>P001068</v>
      </c>
      <c r="AG732" t="str">
        <f t="shared" si="96"/>
        <v>PP00067-04</v>
      </c>
      <c r="AH732">
        <f>_xlfn.XLOOKUP(AG732, Hoja3!A:A, Hoja3!B:B)</f>
        <v>4429</v>
      </c>
      <c r="AI732">
        <f>_xlfn.XLOOKUP(AH732, Hoja4!A:A, Hoja4!B:B)</f>
        <v>99932935</v>
      </c>
      <c r="AJ732" t="b">
        <f t="shared" si="97"/>
        <v>1</v>
      </c>
    </row>
    <row r="733" spans="1:36" ht="15.5" customHeight="1" x14ac:dyDescent="0.35">
      <c r="A733">
        <f t="shared" ca="1" si="94"/>
        <v>10</v>
      </c>
      <c r="B733" s="6" t="s">
        <v>2260</v>
      </c>
      <c r="C733" s="7">
        <v>45667</v>
      </c>
      <c r="D733" s="6" t="s">
        <v>564</v>
      </c>
      <c r="E733" s="6" t="s">
        <v>139</v>
      </c>
      <c r="F733" s="6" t="s">
        <v>2249</v>
      </c>
      <c r="G733" s="6" t="s">
        <v>2250</v>
      </c>
      <c r="H733" s="6">
        <v>99932949</v>
      </c>
      <c r="I733" s="6" t="s">
        <v>494</v>
      </c>
      <c r="J733" s="6" t="str">
        <f>IF(E733="KTG","KTG",(VLOOKUP(I733,'[1]list of outsource'!B:H,2,0)))</f>
        <v>ETC</v>
      </c>
      <c r="K733" s="6" t="s">
        <v>495</v>
      </c>
      <c r="L733" s="6">
        <v>30</v>
      </c>
      <c r="M733" s="6" t="s">
        <v>2261</v>
      </c>
      <c r="N733" s="6" t="s">
        <v>2262</v>
      </c>
      <c r="O733" s="6" t="s">
        <v>2263</v>
      </c>
      <c r="P733" s="6"/>
      <c r="Q733" s="8"/>
      <c r="R733" s="6"/>
      <c r="S733" s="6"/>
      <c r="T733" s="6"/>
      <c r="U733" s="6">
        <v>4</v>
      </c>
      <c r="V733" s="6" t="s">
        <v>665</v>
      </c>
      <c r="W733" s="6" t="s">
        <v>37</v>
      </c>
      <c r="X733" s="7">
        <v>45677</v>
      </c>
      <c r="Y733" s="7">
        <v>45694</v>
      </c>
      <c r="AB733" t="e">
        <v>#N/A</v>
      </c>
      <c r="AC733" t="e">
        <v>#N/A</v>
      </c>
      <c r="AE733" t="str">
        <f t="shared" si="95"/>
        <v>P001069</v>
      </c>
      <c r="AF733" t="str">
        <f>_xlfn.XLOOKUP(AE733, Hoja2!A:A, Hoja2!A:A)</f>
        <v>P001069</v>
      </c>
      <c r="AG733" t="str">
        <f t="shared" si="96"/>
        <v>PP00067-05</v>
      </c>
      <c r="AH733">
        <f>_xlfn.XLOOKUP(AG733, Hoja3!A:A, Hoja3!B:B)</f>
        <v>4430</v>
      </c>
      <c r="AI733">
        <f>_xlfn.XLOOKUP(AH733, Hoja4!A:A, Hoja4!B:B)</f>
        <v>99932949</v>
      </c>
      <c r="AJ733" t="b">
        <f t="shared" si="97"/>
        <v>1</v>
      </c>
    </row>
    <row r="734" spans="1:36" ht="15.5" customHeight="1" x14ac:dyDescent="0.35">
      <c r="A734">
        <f t="shared" ca="1" si="94"/>
        <v>4</v>
      </c>
      <c r="B734" s="6" t="s">
        <v>2264</v>
      </c>
      <c r="C734" s="7">
        <v>45394</v>
      </c>
      <c r="D734" s="6" t="s">
        <v>912</v>
      </c>
      <c r="E734" s="6" t="s">
        <v>83</v>
      </c>
      <c r="F734" s="6" t="s">
        <v>84</v>
      </c>
      <c r="G734" s="6" t="s">
        <v>156</v>
      </c>
      <c r="H734" s="6" t="s">
        <v>407</v>
      </c>
      <c r="I734" s="6" t="s">
        <v>158</v>
      </c>
      <c r="J734" s="6" t="str">
        <f>IF(E734="KTG","KTG",(VLOOKUP(I734,'[1]list of outsource'!B:H,2,0)))</f>
        <v>UPM</v>
      </c>
      <c r="K734" s="6" t="s">
        <v>159</v>
      </c>
      <c r="L734" s="6">
        <v>38</v>
      </c>
      <c r="M734" s="6" t="s">
        <v>408</v>
      </c>
      <c r="N734" s="6" t="s">
        <v>409</v>
      </c>
      <c r="O734" s="6">
        <v>1179806659</v>
      </c>
      <c r="P734" s="6"/>
      <c r="Q734" s="8" t="s">
        <v>575</v>
      </c>
      <c r="R734" s="6"/>
      <c r="S734" s="6"/>
      <c r="T734" s="6"/>
      <c r="U734" s="6">
        <v>1</v>
      </c>
      <c r="V734" s="6" t="s">
        <v>569</v>
      </c>
      <c r="W734" s="6" t="s">
        <v>154</v>
      </c>
      <c r="X734" s="7">
        <v>45398</v>
      </c>
      <c r="Y734" s="7">
        <v>45401</v>
      </c>
      <c r="AB734" t="e">
        <v>#N/A</v>
      </c>
      <c r="AC734" t="e">
        <v>#N/A</v>
      </c>
      <c r="AE734" t="str">
        <f t="shared" si="95"/>
        <v>P000177</v>
      </c>
      <c r="AF734" t="str">
        <f>_xlfn.XLOOKUP(AE734, Hoja2!A:A, Hoja2!A:A)</f>
        <v>P000177</v>
      </c>
      <c r="AG734" t="str">
        <f t="shared" si="96"/>
        <v>PP00028-49</v>
      </c>
      <c r="AH734">
        <f>_xlfn.XLOOKUP(AG734, Hoja3!A:A, Hoja3!B:B)</f>
        <v>5376</v>
      </c>
      <c r="AI734" t="str">
        <f>_xlfn.XLOOKUP(AH734, Hoja4!A:A, Hoja4!B:B)</f>
        <v>E39043100</v>
      </c>
      <c r="AJ734" t="b">
        <f t="shared" si="97"/>
        <v>1</v>
      </c>
    </row>
    <row r="735" spans="1:36" ht="15.5" customHeight="1" x14ac:dyDescent="0.35">
      <c r="A735">
        <f t="shared" ca="1" si="94"/>
        <v>13</v>
      </c>
      <c r="B735" s="6" t="s">
        <v>2265</v>
      </c>
      <c r="C735" s="7">
        <v>45672</v>
      </c>
      <c r="D735" s="6" t="s">
        <v>564</v>
      </c>
      <c r="E735" s="6" t="s">
        <v>83</v>
      </c>
      <c r="F735" s="6" t="s">
        <v>84</v>
      </c>
      <c r="G735" s="6" t="s">
        <v>578</v>
      </c>
      <c r="H735" s="6" t="s">
        <v>243</v>
      </c>
      <c r="I735" s="6" t="s">
        <v>158</v>
      </c>
      <c r="J735" s="6" t="str">
        <f>IF(E735="KTG","KTG",(VLOOKUP(I735,'[1]list of outsource'!B:H,2,0)))</f>
        <v>UPM</v>
      </c>
      <c r="K735" s="6" t="s">
        <v>159</v>
      </c>
      <c r="L735" s="6">
        <v>45</v>
      </c>
      <c r="M735" s="6" t="s">
        <v>244</v>
      </c>
      <c r="N735" s="6" t="s">
        <v>245</v>
      </c>
      <c r="O735" s="6" t="s">
        <v>2266</v>
      </c>
      <c r="P735" s="6"/>
      <c r="Q735" s="8">
        <v>45344</v>
      </c>
      <c r="R735" s="6"/>
      <c r="S735" s="6"/>
      <c r="T735" s="6"/>
      <c r="U735" s="6">
        <v>4</v>
      </c>
      <c r="V735" s="6" t="s">
        <v>665</v>
      </c>
      <c r="W735" s="6" t="s">
        <v>37</v>
      </c>
      <c r="X735" s="7">
        <v>45685</v>
      </c>
      <c r="Y735" s="7">
        <v>45713</v>
      </c>
      <c r="AB735" t="e">
        <v>#N/A</v>
      </c>
      <c r="AC735" t="e">
        <v>#N/A</v>
      </c>
      <c r="AE735" t="str">
        <f t="shared" si="95"/>
        <v>P000138</v>
      </c>
      <c r="AF735" t="str">
        <f>_xlfn.XLOOKUP(AE735, Hoja2!A:A, Hoja2!A:A)</f>
        <v>P000138</v>
      </c>
      <c r="AG735" t="str">
        <f t="shared" si="96"/>
        <v>PP00032-35</v>
      </c>
      <c r="AH735">
        <f>_xlfn.XLOOKUP(AG735, Hoja3!A:A, Hoja3!B:B)</f>
        <v>5459</v>
      </c>
      <c r="AI735" t="str">
        <f>_xlfn.XLOOKUP(AH735, Hoja4!A:A, Hoja4!B:B)</f>
        <v>E34516400</v>
      </c>
      <c r="AJ735" t="b">
        <f t="shared" si="97"/>
        <v>1</v>
      </c>
    </row>
    <row r="736" spans="1:36" ht="15.5" customHeight="1" x14ac:dyDescent="0.35">
      <c r="A736">
        <f t="shared" ca="1" si="94"/>
        <v>33</v>
      </c>
      <c r="B736" s="6" t="s">
        <v>2267</v>
      </c>
      <c r="C736" s="7">
        <v>45674</v>
      </c>
      <c r="D736" s="6" t="s">
        <v>564</v>
      </c>
      <c r="E736" s="6" t="s">
        <v>139</v>
      </c>
      <c r="F736" s="6" t="s">
        <v>2249</v>
      </c>
      <c r="G736" s="6" t="s">
        <v>2250</v>
      </c>
      <c r="H736" s="6">
        <v>99932934</v>
      </c>
      <c r="I736" s="6" t="s">
        <v>494</v>
      </c>
      <c r="J736" s="6" t="str">
        <f>IF(E736="KTG","KTG",(VLOOKUP(I736,'[1]list of outsource'!B:H,2,0)))</f>
        <v>ETC</v>
      </c>
      <c r="K736" s="6" t="s">
        <v>495</v>
      </c>
      <c r="L736" s="6">
        <v>31</v>
      </c>
      <c r="M736" s="6" t="s">
        <v>2268</v>
      </c>
      <c r="N736" s="6" t="s">
        <v>2269</v>
      </c>
      <c r="O736" s="6" t="s">
        <v>2270</v>
      </c>
      <c r="P736" s="6"/>
      <c r="Q736" s="8"/>
      <c r="R736" s="6"/>
      <c r="S736" s="6"/>
      <c r="T736" s="6"/>
      <c r="U736" s="6">
        <v>4</v>
      </c>
      <c r="V736" s="6" t="s">
        <v>665</v>
      </c>
      <c r="W736" s="6" t="s">
        <v>2029</v>
      </c>
      <c r="X736" s="7">
        <v>45707</v>
      </c>
      <c r="Y736" s="7">
        <v>45719</v>
      </c>
      <c r="AB736" t="e">
        <v>#N/A</v>
      </c>
      <c r="AC736" t="e">
        <v>#N/A</v>
      </c>
      <c r="AE736" t="str">
        <f t="shared" si="95"/>
        <v>P001090</v>
      </c>
      <c r="AF736" t="str">
        <f>_xlfn.XLOOKUP(AE736, Hoja2!A:A, Hoja2!A:A)</f>
        <v>P001090</v>
      </c>
      <c r="AG736" t="str">
        <f t="shared" si="96"/>
        <v>PP00067-22</v>
      </c>
      <c r="AH736">
        <f>_xlfn.XLOOKUP(AG736, Hoja3!A:A, Hoja3!B:B)</f>
        <v>4448</v>
      </c>
      <c r="AI736">
        <f>_xlfn.XLOOKUP(AH736, Hoja4!A:A, Hoja4!B:B)</f>
        <v>99932934</v>
      </c>
      <c r="AJ736" t="b">
        <f t="shared" si="97"/>
        <v>1</v>
      </c>
    </row>
    <row r="737" spans="1:36" ht="15.5" customHeight="1" x14ac:dyDescent="0.35">
      <c r="A737">
        <f t="shared" ca="1" si="94"/>
        <v>33</v>
      </c>
      <c r="B737" s="6" t="s">
        <v>2271</v>
      </c>
      <c r="C737" s="7">
        <v>45674</v>
      </c>
      <c r="D737" s="6" t="s">
        <v>564</v>
      </c>
      <c r="E737" s="6" t="s">
        <v>139</v>
      </c>
      <c r="F737" s="6" t="s">
        <v>2249</v>
      </c>
      <c r="G737" s="6" t="s">
        <v>2250</v>
      </c>
      <c r="H737" s="6">
        <v>99932936</v>
      </c>
      <c r="I737" s="6" t="s">
        <v>494</v>
      </c>
      <c r="J737" s="6" t="str">
        <f>IF(E737="KTG","KTG",(VLOOKUP(I737,'[1]list of outsource'!B:H,2,0)))</f>
        <v>ETC</v>
      </c>
      <c r="K737" s="6" t="s">
        <v>495</v>
      </c>
      <c r="L737" s="6">
        <v>31</v>
      </c>
      <c r="M737" s="6" t="s">
        <v>2272</v>
      </c>
      <c r="N737" s="6" t="s">
        <v>2273</v>
      </c>
      <c r="O737" s="6" t="s">
        <v>2274</v>
      </c>
      <c r="P737" s="6"/>
      <c r="Q737" s="8"/>
      <c r="R737" s="6"/>
      <c r="S737" s="6"/>
      <c r="T737" s="6"/>
      <c r="U737" s="6">
        <v>4</v>
      </c>
      <c r="V737" s="6" t="s">
        <v>665</v>
      </c>
      <c r="W737" s="6" t="s">
        <v>2029</v>
      </c>
      <c r="X737" s="7">
        <v>45707</v>
      </c>
      <c r="Y737" s="7">
        <v>45719</v>
      </c>
      <c r="AB737" t="e">
        <v>#N/A</v>
      </c>
      <c r="AC737" t="e">
        <v>#N/A</v>
      </c>
      <c r="AE737" t="str">
        <f t="shared" si="95"/>
        <v>P001087</v>
      </c>
      <c r="AF737" t="str">
        <f>_xlfn.XLOOKUP(AE737, Hoja2!A:A, Hoja2!A:A)</f>
        <v>P001087</v>
      </c>
      <c r="AG737" t="str">
        <f t="shared" si="96"/>
        <v>PP00067-23</v>
      </c>
      <c r="AH737">
        <f>_xlfn.XLOOKUP(AG737, Hoja3!A:A, Hoja3!B:B)</f>
        <v>4446</v>
      </c>
      <c r="AI737">
        <f>_xlfn.XLOOKUP(AH737, Hoja4!A:A, Hoja4!B:B)</f>
        <v>99932936</v>
      </c>
      <c r="AJ737" t="b">
        <f t="shared" si="97"/>
        <v>1</v>
      </c>
    </row>
    <row r="738" spans="1:36" ht="15.5" customHeight="1" x14ac:dyDescent="0.35">
      <c r="A738">
        <f t="shared" ca="1" si="94"/>
        <v>33</v>
      </c>
      <c r="B738" s="6" t="s">
        <v>2275</v>
      </c>
      <c r="C738" s="7">
        <v>45674</v>
      </c>
      <c r="D738" s="6" t="s">
        <v>564</v>
      </c>
      <c r="E738" s="6" t="s">
        <v>139</v>
      </c>
      <c r="F738" s="6" t="s">
        <v>2249</v>
      </c>
      <c r="G738" s="6" t="s">
        <v>2250</v>
      </c>
      <c r="H738" s="6">
        <v>99932937</v>
      </c>
      <c r="I738" s="6" t="s">
        <v>494</v>
      </c>
      <c r="J738" s="6" t="str">
        <f>IF(E738="KTG","KTG",(VLOOKUP(I738,'[1]list of outsource'!B:H,2,0)))</f>
        <v>ETC</v>
      </c>
      <c r="K738" s="6" t="s">
        <v>495</v>
      </c>
      <c r="L738" s="6">
        <v>31</v>
      </c>
      <c r="M738" s="6" t="s">
        <v>2276</v>
      </c>
      <c r="N738" s="6" t="s">
        <v>2277</v>
      </c>
      <c r="O738" s="6" t="s">
        <v>2278</v>
      </c>
      <c r="P738" s="6"/>
      <c r="Q738" s="8"/>
      <c r="R738" s="6"/>
      <c r="S738" s="6"/>
      <c r="T738" s="6"/>
      <c r="U738" s="6">
        <v>4</v>
      </c>
      <c r="V738" s="6" t="s">
        <v>665</v>
      </c>
      <c r="W738" s="6" t="s">
        <v>2029</v>
      </c>
      <c r="X738" s="7">
        <v>45707</v>
      </c>
      <c r="Y738" s="7">
        <v>45719</v>
      </c>
      <c r="AB738" t="e">
        <v>#N/A</v>
      </c>
      <c r="AC738" t="e">
        <v>#N/A</v>
      </c>
      <c r="AE738" t="str">
        <f t="shared" si="95"/>
        <v>P001088</v>
      </c>
      <c r="AF738" t="str">
        <f>_xlfn.XLOOKUP(AE738, Hoja2!A:A, Hoja2!A:A)</f>
        <v>P001088</v>
      </c>
      <c r="AG738" t="str">
        <f t="shared" si="96"/>
        <v>PP00067-24</v>
      </c>
      <c r="AH738">
        <f>_xlfn.XLOOKUP(AG738, Hoja3!A:A, Hoja3!B:B)</f>
        <v>4447</v>
      </c>
      <c r="AI738">
        <f>_xlfn.XLOOKUP(AH738, Hoja4!A:A, Hoja4!B:B)</f>
        <v>99932937</v>
      </c>
      <c r="AJ738" t="b">
        <f t="shared" si="97"/>
        <v>1</v>
      </c>
    </row>
    <row r="739" spans="1:36" ht="15.5" customHeight="1" x14ac:dyDescent="0.35">
      <c r="A739">
        <f t="shared" ca="1" si="94"/>
        <v>34</v>
      </c>
      <c r="B739" s="12" t="s">
        <v>2279</v>
      </c>
      <c r="C739" s="13">
        <v>45302</v>
      </c>
      <c r="D739" s="14" t="s">
        <v>121</v>
      </c>
      <c r="E739" s="14" t="s">
        <v>83</v>
      </c>
      <c r="F739" s="14" t="s">
        <v>84</v>
      </c>
      <c r="G739" s="14" t="s">
        <v>156</v>
      </c>
      <c r="H739" s="14" t="s">
        <v>181</v>
      </c>
      <c r="I739" s="14" t="s">
        <v>176</v>
      </c>
      <c r="J739" s="14" t="str">
        <f>IF(E739="KTG","KTG",(VLOOKUP(I739,'[1]list of outsource'!B:H,2,0)))</f>
        <v>UPM</v>
      </c>
      <c r="K739" s="14" t="s">
        <v>177</v>
      </c>
      <c r="L739" s="14">
        <v>12</v>
      </c>
      <c r="M739" s="14" t="s">
        <v>182</v>
      </c>
      <c r="N739" s="14" t="s">
        <v>183</v>
      </c>
      <c r="O739" s="14">
        <v>1134426525</v>
      </c>
      <c r="P739" s="14"/>
      <c r="Q739" s="15" t="s">
        <v>575</v>
      </c>
      <c r="R739" s="14"/>
      <c r="S739" s="16"/>
      <c r="T739" s="14"/>
      <c r="U739" s="14">
        <v>1</v>
      </c>
      <c r="V739" s="14" t="s">
        <v>569</v>
      </c>
      <c r="W739" s="14" t="s">
        <v>154</v>
      </c>
      <c r="X739" s="13">
        <v>45336</v>
      </c>
      <c r="Y739" s="13"/>
      <c r="AB739" t="e">
        <v>#N/A</v>
      </c>
      <c r="AC739" t="e">
        <v>#N/A</v>
      </c>
      <c r="AE739" t="str">
        <f t="shared" si="95"/>
        <v>P000150</v>
      </c>
      <c r="AF739" t="str">
        <f>_xlfn.XLOOKUP(AE739, Hoja2!A:A, Hoja2!A:A)</f>
        <v>P000150</v>
      </c>
      <c r="AG739" t="str">
        <f t="shared" si="96"/>
        <v>PP00028-50</v>
      </c>
      <c r="AH739">
        <f>_xlfn.XLOOKUP(AG739, Hoja3!A:A, Hoja3!B:B)</f>
        <v>50</v>
      </c>
      <c r="AI739" t="str">
        <f>_xlfn.XLOOKUP(AH739, Hoja4!A:A, Hoja4!B:B)</f>
        <v>E35099100</v>
      </c>
      <c r="AJ739" t="b">
        <f t="shared" si="97"/>
        <v>1</v>
      </c>
    </row>
    <row r="740" spans="1:36" ht="15.5" customHeight="1" x14ac:dyDescent="0.35">
      <c r="A740">
        <f t="shared" ca="1" si="94"/>
        <v>11</v>
      </c>
      <c r="B740" s="6" t="s">
        <v>2280</v>
      </c>
      <c r="C740" s="7">
        <v>45674</v>
      </c>
      <c r="D740" s="6" t="s">
        <v>564</v>
      </c>
      <c r="E740" s="6" t="s">
        <v>139</v>
      </c>
      <c r="F740" s="6" t="s">
        <v>2249</v>
      </c>
      <c r="G740" s="6" t="s">
        <v>2250</v>
      </c>
      <c r="H740" s="6">
        <v>99932941</v>
      </c>
      <c r="I740" s="6" t="s">
        <v>494</v>
      </c>
      <c r="J740" s="6" t="str">
        <f>IF(E740="KTG","KTG",(VLOOKUP(I740,'[1]list of outsource'!B:H,2,0)))</f>
        <v>ETC</v>
      </c>
      <c r="K740" s="6" t="s">
        <v>495</v>
      </c>
      <c r="L740" s="6">
        <v>30</v>
      </c>
      <c r="M740" s="6" t="s">
        <v>2281</v>
      </c>
      <c r="N740" s="6" t="s">
        <v>2282</v>
      </c>
      <c r="O740" s="6" t="s">
        <v>2283</v>
      </c>
      <c r="P740" s="6"/>
      <c r="Q740" s="8">
        <v>45680</v>
      </c>
      <c r="R740" s="6"/>
      <c r="S740" s="6"/>
      <c r="T740" s="6"/>
      <c r="U740" s="6">
        <v>4</v>
      </c>
      <c r="V740" s="6" t="s">
        <v>665</v>
      </c>
      <c r="W740" s="6" t="s">
        <v>2029</v>
      </c>
      <c r="X740" s="7">
        <v>45685</v>
      </c>
      <c r="Y740" s="7">
        <v>45750</v>
      </c>
      <c r="AB740" t="e">
        <v>#N/A</v>
      </c>
      <c r="AC740" t="e">
        <v>#N/A</v>
      </c>
      <c r="AE740" t="str">
        <f t="shared" si="95"/>
        <v>P001080</v>
      </c>
      <c r="AF740" t="str">
        <f>_xlfn.XLOOKUP(AE740, Hoja2!A:A, Hoja2!A:A)</f>
        <v>P001080</v>
      </c>
      <c r="AG740" t="str">
        <f t="shared" si="96"/>
        <v>PP00067-13</v>
      </c>
      <c r="AH740">
        <f>_xlfn.XLOOKUP(AG740, Hoja3!A:A, Hoja3!B:B)</f>
        <v>4439</v>
      </c>
      <c r="AI740">
        <f>_xlfn.XLOOKUP(AH740, Hoja4!A:A, Hoja4!B:B)</f>
        <v>99932941</v>
      </c>
      <c r="AJ740" t="b">
        <f t="shared" si="97"/>
        <v>1</v>
      </c>
    </row>
    <row r="741" spans="1:36" ht="15.5" customHeight="1" x14ac:dyDescent="0.35">
      <c r="A741">
        <f t="shared" ca="1" si="94"/>
        <v>11</v>
      </c>
      <c r="B741" s="12" t="s">
        <v>2284</v>
      </c>
      <c r="C741" s="13">
        <v>45674</v>
      </c>
      <c r="D741" s="14" t="s">
        <v>121</v>
      </c>
      <c r="E741" s="14" t="s">
        <v>139</v>
      </c>
      <c r="F741" s="14" t="s">
        <v>2249</v>
      </c>
      <c r="G741" s="14" t="s">
        <v>2250</v>
      </c>
      <c r="H741" s="14">
        <v>99932951</v>
      </c>
      <c r="I741" s="14" t="s">
        <v>494</v>
      </c>
      <c r="J741" s="14" t="str">
        <f>IF(E741="KTG","KTG",(VLOOKUP(I741,'[1]list of outsource'!B:H,2,0)))</f>
        <v>ETC</v>
      </c>
      <c r="K741" s="14" t="s">
        <v>495</v>
      </c>
      <c r="L741" s="14">
        <v>30</v>
      </c>
      <c r="M741" s="14" t="s">
        <v>2285</v>
      </c>
      <c r="N741" s="14" t="s">
        <v>2286</v>
      </c>
      <c r="O741" s="14" t="s">
        <v>2287</v>
      </c>
      <c r="P741" s="14"/>
      <c r="Q741" s="15">
        <v>45680</v>
      </c>
      <c r="R741" s="14"/>
      <c r="S741" s="16"/>
      <c r="T741" s="14"/>
      <c r="U741" s="14">
        <v>4</v>
      </c>
      <c r="V741" s="14" t="s">
        <v>665</v>
      </c>
      <c r="W741" s="14" t="s">
        <v>2029</v>
      </c>
      <c r="X741" s="13">
        <v>45685</v>
      </c>
      <c r="Y741" s="13"/>
      <c r="AB741" t="e">
        <v>#N/A</v>
      </c>
      <c r="AC741" t="e">
        <v>#N/A</v>
      </c>
      <c r="AE741" t="str">
        <f t="shared" si="95"/>
        <v>P001083</v>
      </c>
      <c r="AF741" t="str">
        <f>_xlfn.XLOOKUP(AE741, Hoja2!A:A, Hoja2!A:A)</f>
        <v>P001083</v>
      </c>
      <c r="AG741" t="str">
        <f t="shared" si="96"/>
        <v>PP00067-14</v>
      </c>
      <c r="AH741">
        <f>_xlfn.XLOOKUP(AG741, Hoja3!A:A, Hoja3!B:B)</f>
        <v>4442</v>
      </c>
      <c r="AI741">
        <f>_xlfn.XLOOKUP(AH741, Hoja4!A:A, Hoja4!B:B)</f>
        <v>99932951</v>
      </c>
      <c r="AJ741" t="b">
        <f t="shared" si="97"/>
        <v>1</v>
      </c>
    </row>
    <row r="742" spans="1:36" ht="15.5" customHeight="1" x14ac:dyDescent="0.35">
      <c r="A742">
        <f t="shared" ca="1" si="94"/>
        <v>11</v>
      </c>
      <c r="B742" s="6" t="s">
        <v>2288</v>
      </c>
      <c r="C742" s="7">
        <v>45674</v>
      </c>
      <c r="D742" s="6" t="s">
        <v>564</v>
      </c>
      <c r="E742" s="6" t="s">
        <v>139</v>
      </c>
      <c r="F742" s="6" t="s">
        <v>2249</v>
      </c>
      <c r="G742" s="6" t="s">
        <v>2250</v>
      </c>
      <c r="H742" s="6">
        <v>99932943</v>
      </c>
      <c r="I742" s="6" t="s">
        <v>494</v>
      </c>
      <c r="J742" s="6" t="str">
        <f>IF(E742="KTG","KTG",(VLOOKUP(I742,'[1]list of outsource'!B:H,2,0)))</f>
        <v>ETC</v>
      </c>
      <c r="K742" s="6" t="s">
        <v>495</v>
      </c>
      <c r="L742" s="6">
        <v>30</v>
      </c>
      <c r="M742" s="6" t="s">
        <v>2289</v>
      </c>
      <c r="N742" s="6" t="s">
        <v>2290</v>
      </c>
      <c r="O742" s="6" t="s">
        <v>2291</v>
      </c>
      <c r="P742" s="6"/>
      <c r="Q742" s="8">
        <v>45680</v>
      </c>
      <c r="R742" s="6"/>
      <c r="S742" s="6"/>
      <c r="T742" s="6"/>
      <c r="U742" s="6">
        <v>4</v>
      </c>
      <c r="V742" s="6" t="s">
        <v>665</v>
      </c>
      <c r="W742" s="6" t="s">
        <v>2029</v>
      </c>
      <c r="X742" s="7">
        <v>45685</v>
      </c>
      <c r="Y742" s="7">
        <v>45750</v>
      </c>
      <c r="AB742" t="e">
        <v>#N/A</v>
      </c>
      <c r="AC742" t="e">
        <v>#N/A</v>
      </c>
      <c r="AE742" t="str">
        <f t="shared" si="95"/>
        <v>P001085</v>
      </c>
      <c r="AF742" t="str">
        <f>_xlfn.XLOOKUP(AE742, Hoja2!A:A, Hoja2!A:A)</f>
        <v>P001085</v>
      </c>
      <c r="AG742" t="str">
        <f t="shared" si="96"/>
        <v>PP00067-15</v>
      </c>
      <c r="AH742">
        <f>_xlfn.XLOOKUP(AG742, Hoja3!A:A, Hoja3!B:B)</f>
        <v>4444</v>
      </c>
      <c r="AI742">
        <f>_xlfn.XLOOKUP(AH742, Hoja4!A:A, Hoja4!B:B)</f>
        <v>99932943</v>
      </c>
      <c r="AJ742" t="b">
        <f t="shared" si="97"/>
        <v>1</v>
      </c>
    </row>
    <row r="743" spans="1:36" ht="15.5" customHeight="1" x14ac:dyDescent="0.35">
      <c r="A743">
        <f t="shared" ca="1" si="94"/>
        <v>11</v>
      </c>
      <c r="B743" s="6" t="s">
        <v>2292</v>
      </c>
      <c r="C743" s="7">
        <v>45674</v>
      </c>
      <c r="D743" s="6" t="s">
        <v>564</v>
      </c>
      <c r="E743" s="6" t="s">
        <v>139</v>
      </c>
      <c r="F743" s="6" t="s">
        <v>2249</v>
      </c>
      <c r="G743" s="6" t="s">
        <v>2250</v>
      </c>
      <c r="H743" s="6">
        <v>99932942</v>
      </c>
      <c r="I743" s="6" t="s">
        <v>494</v>
      </c>
      <c r="J743" s="6" t="str">
        <f>IF(E743="KTG","KTG",(VLOOKUP(I743,'[1]list of outsource'!B:H,2,0)))</f>
        <v>ETC</v>
      </c>
      <c r="K743" s="6" t="s">
        <v>495</v>
      </c>
      <c r="L743" s="6">
        <v>30</v>
      </c>
      <c r="M743" s="6" t="s">
        <v>2293</v>
      </c>
      <c r="N743" s="6" t="s">
        <v>2294</v>
      </c>
      <c r="O743" s="6" t="s">
        <v>2295</v>
      </c>
      <c r="P743" s="6"/>
      <c r="Q743" s="8">
        <v>45680</v>
      </c>
      <c r="R743" s="6"/>
      <c r="S743" s="6"/>
      <c r="T743" s="6"/>
      <c r="U743" s="6">
        <v>4</v>
      </c>
      <c r="V743" s="6" t="s">
        <v>665</v>
      </c>
      <c r="W743" s="6" t="s">
        <v>2029</v>
      </c>
      <c r="X743" s="7">
        <v>45685</v>
      </c>
      <c r="Y743" s="7">
        <v>45750</v>
      </c>
      <c r="AB743" t="e">
        <v>#N/A</v>
      </c>
      <c r="AC743" t="e">
        <v>#N/A</v>
      </c>
      <c r="AE743" t="str">
        <f t="shared" si="95"/>
        <v>P001081</v>
      </c>
      <c r="AF743" t="str">
        <f>_xlfn.XLOOKUP(AE743, Hoja2!A:A, Hoja2!A:A)</f>
        <v>P001081</v>
      </c>
      <c r="AG743" t="str">
        <f t="shared" si="96"/>
        <v>PP00067-16</v>
      </c>
      <c r="AH743">
        <f>_xlfn.XLOOKUP(AG743, Hoja3!A:A, Hoja3!B:B)</f>
        <v>4440</v>
      </c>
      <c r="AI743">
        <f>_xlfn.XLOOKUP(AH743, Hoja4!A:A, Hoja4!B:B)</f>
        <v>99932942</v>
      </c>
      <c r="AJ743" t="b">
        <f t="shared" si="97"/>
        <v>1</v>
      </c>
    </row>
    <row r="744" spans="1:36" ht="15.5" customHeight="1" x14ac:dyDescent="0.35">
      <c r="A744">
        <f t="shared" ca="1" si="94"/>
        <v>11</v>
      </c>
      <c r="B744" s="6" t="s">
        <v>2296</v>
      </c>
      <c r="C744" s="7">
        <v>45674</v>
      </c>
      <c r="D744" s="6" t="s">
        <v>564</v>
      </c>
      <c r="E744" s="6" t="s">
        <v>139</v>
      </c>
      <c r="F744" s="6" t="s">
        <v>2249</v>
      </c>
      <c r="G744" s="6" t="s">
        <v>2250</v>
      </c>
      <c r="H744" s="6">
        <v>99932952</v>
      </c>
      <c r="I744" s="6" t="s">
        <v>494</v>
      </c>
      <c r="J744" s="6" t="str">
        <f>IF(E744="KTG","KTG",(VLOOKUP(I744,'[1]list of outsource'!B:H,2,0)))</f>
        <v>ETC</v>
      </c>
      <c r="K744" s="6" t="s">
        <v>495</v>
      </c>
      <c r="L744" s="6">
        <v>30</v>
      </c>
      <c r="M744" s="6" t="s">
        <v>2297</v>
      </c>
      <c r="N744" s="6" t="s">
        <v>2298</v>
      </c>
      <c r="O744" s="6" t="s">
        <v>2299</v>
      </c>
      <c r="P744" s="6"/>
      <c r="Q744" s="8">
        <v>45680</v>
      </c>
      <c r="R744" s="6"/>
      <c r="S744" s="6"/>
      <c r="T744" s="6"/>
      <c r="U744" s="6">
        <v>4</v>
      </c>
      <c r="V744" s="6" t="s">
        <v>665</v>
      </c>
      <c r="W744" s="6" t="s">
        <v>2029</v>
      </c>
      <c r="X744" s="7">
        <v>45685</v>
      </c>
      <c r="Y744" s="7">
        <v>45750</v>
      </c>
      <c r="AB744" t="e">
        <v>#N/A</v>
      </c>
      <c r="AC744" t="e">
        <v>#N/A</v>
      </c>
      <c r="AE744" t="str">
        <f t="shared" si="95"/>
        <v>P001084</v>
      </c>
      <c r="AF744" t="str">
        <f>_xlfn.XLOOKUP(AE744, Hoja2!A:A, Hoja2!A:A)</f>
        <v>P001084</v>
      </c>
      <c r="AG744" t="str">
        <f t="shared" si="96"/>
        <v>PP00067-17</v>
      </c>
      <c r="AH744">
        <f>_xlfn.XLOOKUP(AG744, Hoja3!A:A, Hoja3!B:B)</f>
        <v>4443</v>
      </c>
      <c r="AI744">
        <f>_xlfn.XLOOKUP(AH744, Hoja4!A:A, Hoja4!B:B)</f>
        <v>99932952</v>
      </c>
      <c r="AJ744" t="b">
        <f t="shared" si="97"/>
        <v>1</v>
      </c>
    </row>
    <row r="745" spans="1:36" ht="15.5" customHeight="1" x14ac:dyDescent="0.35">
      <c r="A745">
        <f t="shared" ca="1" si="94"/>
        <v>11</v>
      </c>
      <c r="B745" s="6" t="s">
        <v>2300</v>
      </c>
      <c r="C745" s="7">
        <v>45674</v>
      </c>
      <c r="D745" s="6" t="s">
        <v>564</v>
      </c>
      <c r="E745" s="6" t="s">
        <v>139</v>
      </c>
      <c r="F745" s="6" t="s">
        <v>2249</v>
      </c>
      <c r="G745" s="6" t="s">
        <v>2250</v>
      </c>
      <c r="H745" s="6">
        <v>99932953</v>
      </c>
      <c r="I745" s="6" t="s">
        <v>494</v>
      </c>
      <c r="J745" s="6" t="str">
        <f>IF(E745="KTG","KTG",(VLOOKUP(I745,'[1]list of outsource'!B:H,2,0)))</f>
        <v>ETC</v>
      </c>
      <c r="K745" s="6" t="s">
        <v>495</v>
      </c>
      <c r="L745" s="6">
        <v>30</v>
      </c>
      <c r="M745" s="6" t="s">
        <v>2301</v>
      </c>
      <c r="N745" s="6" t="s">
        <v>2302</v>
      </c>
      <c r="O745" s="6" t="s">
        <v>2303</v>
      </c>
      <c r="P745" s="6"/>
      <c r="Q745" s="8">
        <v>45680</v>
      </c>
      <c r="R745" s="6"/>
      <c r="S745" s="6"/>
      <c r="T745" s="6"/>
      <c r="U745" s="6">
        <v>4</v>
      </c>
      <c r="V745" s="6" t="s">
        <v>665</v>
      </c>
      <c r="W745" s="6" t="s">
        <v>2029</v>
      </c>
      <c r="X745" s="7">
        <v>45685</v>
      </c>
      <c r="Y745" s="7">
        <v>45757</v>
      </c>
      <c r="AB745" t="e">
        <v>#N/A</v>
      </c>
      <c r="AC745" t="e">
        <v>#N/A</v>
      </c>
      <c r="AE745" t="str">
        <f t="shared" si="95"/>
        <v>P001086</v>
      </c>
      <c r="AF745" t="str">
        <f>_xlfn.XLOOKUP(AE745, Hoja2!A:A, Hoja2!A:A)</f>
        <v>P001086</v>
      </c>
      <c r="AG745" t="str">
        <f t="shared" si="96"/>
        <v>PP00067-18</v>
      </c>
      <c r="AH745">
        <f>_xlfn.XLOOKUP(AG745, Hoja3!A:A, Hoja3!B:B)</f>
        <v>4445</v>
      </c>
      <c r="AI745">
        <f>_xlfn.XLOOKUP(AH745, Hoja4!A:A, Hoja4!B:B)</f>
        <v>99932953</v>
      </c>
      <c r="AJ745" t="b">
        <f t="shared" si="97"/>
        <v>1</v>
      </c>
    </row>
    <row r="746" spans="1:36" ht="15.5" customHeight="1" x14ac:dyDescent="0.35">
      <c r="A746">
        <f t="shared" ca="1" si="94"/>
        <v>33</v>
      </c>
      <c r="B746" s="6" t="s">
        <v>2304</v>
      </c>
      <c r="C746" s="7">
        <v>45674</v>
      </c>
      <c r="D746" s="6" t="s">
        <v>564</v>
      </c>
      <c r="E746" s="6" t="s">
        <v>83</v>
      </c>
      <c r="F746" s="6" t="s">
        <v>2249</v>
      </c>
      <c r="G746" s="6" t="s">
        <v>2250</v>
      </c>
      <c r="H746" s="6">
        <v>99932955</v>
      </c>
      <c r="I746" s="6" t="s">
        <v>2305</v>
      </c>
      <c r="J746" s="6" t="str">
        <f>IF(E746="KTG","KTG",(VLOOKUP(I746,'[1]list of outsource'!B:H,2,0)))</f>
        <v>UPM</v>
      </c>
      <c r="K746" s="6" t="s">
        <v>2306</v>
      </c>
      <c r="L746" s="6">
        <v>5</v>
      </c>
      <c r="M746" s="6" t="s">
        <v>2307</v>
      </c>
      <c r="N746" s="6" t="s">
        <v>2308</v>
      </c>
      <c r="O746" s="6" t="s">
        <v>2309</v>
      </c>
      <c r="P746" s="6"/>
      <c r="Q746" s="8"/>
      <c r="R746" s="6"/>
      <c r="S746" s="6"/>
      <c r="T746" s="6"/>
      <c r="U746" s="6">
        <v>4</v>
      </c>
      <c r="V746" s="6" t="s">
        <v>665</v>
      </c>
      <c r="W746" s="6" t="s">
        <v>2029</v>
      </c>
      <c r="X746" s="7">
        <v>45707</v>
      </c>
      <c r="Y746" s="7">
        <v>45719</v>
      </c>
      <c r="AB746" t="e">
        <v>#N/A</v>
      </c>
      <c r="AC746" t="e">
        <v>#N/A</v>
      </c>
      <c r="AE746" t="str">
        <f t="shared" si="95"/>
        <v>P001072</v>
      </c>
      <c r="AF746" t="str">
        <f>_xlfn.XLOOKUP(AE746, Hoja2!A:A, Hoja2!A:A)</f>
        <v>P001072</v>
      </c>
      <c r="AG746" t="str">
        <f t="shared" si="96"/>
        <v>PP00067-06</v>
      </c>
      <c r="AH746">
        <f>_xlfn.XLOOKUP(AG746, Hoja3!A:A, Hoja3!B:B)</f>
        <v>4431</v>
      </c>
      <c r="AI746">
        <f>_xlfn.XLOOKUP(AH746, Hoja4!A:A, Hoja4!B:B)</f>
        <v>99932955</v>
      </c>
      <c r="AJ746" t="b">
        <f t="shared" si="97"/>
        <v>1</v>
      </c>
    </row>
    <row r="747" spans="1:36" ht="15.5" customHeight="1" x14ac:dyDescent="0.35">
      <c r="A747">
        <f t="shared" ca="1" si="94"/>
        <v>11</v>
      </c>
      <c r="B747" s="6" t="s">
        <v>2310</v>
      </c>
      <c r="C747" s="7">
        <v>45674</v>
      </c>
      <c r="D747" s="6" t="s">
        <v>564</v>
      </c>
      <c r="E747" s="6" t="s">
        <v>139</v>
      </c>
      <c r="F747" s="6" t="s">
        <v>2249</v>
      </c>
      <c r="G747" s="6" t="s">
        <v>2250</v>
      </c>
      <c r="H747" s="6">
        <v>99932940</v>
      </c>
      <c r="I747" s="6" t="s">
        <v>494</v>
      </c>
      <c r="J747" s="6" t="str">
        <f>IF(E747="KTG","KTG",(VLOOKUP(I747,'[1]list of outsource'!B:H,2,0)))</f>
        <v>ETC</v>
      </c>
      <c r="K747" s="6" t="s">
        <v>495</v>
      </c>
      <c r="L747" s="6">
        <v>31</v>
      </c>
      <c r="M747" s="6" t="s">
        <v>2311</v>
      </c>
      <c r="N747" s="6" t="s">
        <v>2312</v>
      </c>
      <c r="O747" s="6" t="s">
        <v>2313</v>
      </c>
      <c r="P747" s="6"/>
      <c r="Q747" s="8">
        <v>45680</v>
      </c>
      <c r="R747" s="6"/>
      <c r="S747" s="6"/>
      <c r="T747" s="6"/>
      <c r="U747" s="6">
        <v>4</v>
      </c>
      <c r="V747" s="6" t="s">
        <v>665</v>
      </c>
      <c r="W747" s="6" t="s">
        <v>2029</v>
      </c>
      <c r="X747" s="7">
        <v>45685</v>
      </c>
      <c r="Y747" s="7">
        <v>45750</v>
      </c>
      <c r="AB747" t="e">
        <v>#N/A</v>
      </c>
      <c r="AC747" t="e">
        <v>#N/A</v>
      </c>
      <c r="AE747" t="str">
        <f t="shared" si="95"/>
        <v>P001079</v>
      </c>
      <c r="AF747" t="str">
        <f>_xlfn.XLOOKUP(AE747, Hoja2!A:A, Hoja2!A:A)</f>
        <v>P001079</v>
      </c>
      <c r="AG747" t="str">
        <f t="shared" si="96"/>
        <v>PP00067-19</v>
      </c>
      <c r="AH747">
        <f>_xlfn.XLOOKUP(AG747, Hoja3!A:A, Hoja3!B:B)</f>
        <v>4438</v>
      </c>
      <c r="AI747">
        <f>_xlfn.XLOOKUP(AH747, Hoja4!A:A, Hoja4!B:B)</f>
        <v>99932940</v>
      </c>
      <c r="AJ747" t="b">
        <f t="shared" si="97"/>
        <v>1</v>
      </c>
    </row>
    <row r="748" spans="1:36" ht="15.5" customHeight="1" x14ac:dyDescent="0.35">
      <c r="A748">
        <f t="shared" ca="1" si="94"/>
        <v>11</v>
      </c>
      <c r="B748" s="6" t="s">
        <v>2314</v>
      </c>
      <c r="C748" s="7">
        <v>45674</v>
      </c>
      <c r="D748" s="6" t="s">
        <v>564</v>
      </c>
      <c r="E748" s="6" t="s">
        <v>139</v>
      </c>
      <c r="F748" s="6" t="s">
        <v>2249</v>
      </c>
      <c r="G748" s="6" t="s">
        <v>2250</v>
      </c>
      <c r="H748" s="6">
        <v>99932950</v>
      </c>
      <c r="I748" s="6" t="s">
        <v>494</v>
      </c>
      <c r="J748" s="6" t="str">
        <f>IF(E748="KTG","KTG",(VLOOKUP(I748,'[1]list of outsource'!B:H,2,0)))</f>
        <v>ETC</v>
      </c>
      <c r="K748" s="6" t="s">
        <v>495</v>
      </c>
      <c r="L748" s="6">
        <v>31</v>
      </c>
      <c r="M748" s="6" t="s">
        <v>2315</v>
      </c>
      <c r="N748" s="6" t="s">
        <v>2316</v>
      </c>
      <c r="O748" s="6" t="s">
        <v>2317</v>
      </c>
      <c r="P748" s="6"/>
      <c r="Q748" s="8">
        <v>45680</v>
      </c>
      <c r="R748" s="6"/>
      <c r="S748" s="6"/>
      <c r="T748" s="6"/>
      <c r="U748" s="6">
        <v>4</v>
      </c>
      <c r="V748" s="6" t="s">
        <v>665</v>
      </c>
      <c r="W748" s="6" t="s">
        <v>2029</v>
      </c>
      <c r="X748" s="7">
        <v>45685</v>
      </c>
      <c r="Y748" s="7">
        <v>45750</v>
      </c>
      <c r="AB748" t="e">
        <v>#N/A</v>
      </c>
      <c r="AC748" t="e">
        <v>#N/A</v>
      </c>
      <c r="AE748" t="str">
        <f t="shared" si="95"/>
        <v>P001082</v>
      </c>
      <c r="AF748" t="str">
        <f>_xlfn.XLOOKUP(AE748, Hoja2!A:A, Hoja2!A:A)</f>
        <v>P001082</v>
      </c>
      <c r="AG748" t="str">
        <f t="shared" si="96"/>
        <v>PP00067-20</v>
      </c>
      <c r="AH748">
        <f>_xlfn.XLOOKUP(AG748, Hoja3!A:A, Hoja3!B:B)</f>
        <v>4441</v>
      </c>
      <c r="AI748">
        <f>_xlfn.XLOOKUP(AH748, Hoja4!A:A, Hoja4!B:B)</f>
        <v>99932950</v>
      </c>
      <c r="AJ748" t="b">
        <f t="shared" si="97"/>
        <v>1</v>
      </c>
    </row>
    <row r="749" spans="1:36" ht="15.5" customHeight="1" x14ac:dyDescent="0.35">
      <c r="A749">
        <f t="shared" ca="1" si="94"/>
        <v>33</v>
      </c>
      <c r="B749" s="6" t="s">
        <v>2318</v>
      </c>
      <c r="C749" s="7">
        <v>45674</v>
      </c>
      <c r="D749" s="6" t="s">
        <v>564</v>
      </c>
      <c r="E749" s="6" t="s">
        <v>83</v>
      </c>
      <c r="F749" s="6" t="s">
        <v>2249</v>
      </c>
      <c r="G749" s="6" t="s">
        <v>2250</v>
      </c>
      <c r="H749" s="6">
        <v>99932948</v>
      </c>
      <c r="I749" s="6" t="s">
        <v>2305</v>
      </c>
      <c r="J749" s="6" t="str">
        <f>IF(E749="KTG","KTG",(VLOOKUP(I749,'[1]list of outsource'!B:H,2,0)))</f>
        <v>UPM</v>
      </c>
      <c r="K749" s="6" t="s">
        <v>2306</v>
      </c>
      <c r="L749" s="6">
        <v>5</v>
      </c>
      <c r="M749" s="6" t="s">
        <v>2319</v>
      </c>
      <c r="N749" s="6" t="s">
        <v>2320</v>
      </c>
      <c r="O749" s="6" t="s">
        <v>2321</v>
      </c>
      <c r="P749" s="6"/>
      <c r="Q749" s="8"/>
      <c r="R749" s="6"/>
      <c r="S749" s="6"/>
      <c r="T749" s="6"/>
      <c r="U749" s="6">
        <v>4</v>
      </c>
      <c r="V749" s="6" t="s">
        <v>665</v>
      </c>
      <c r="W749" s="6" t="s">
        <v>2029</v>
      </c>
      <c r="X749" s="7">
        <v>45707</v>
      </c>
      <c r="Y749" s="7">
        <v>45719</v>
      </c>
      <c r="AB749" t="e">
        <v>#N/A</v>
      </c>
      <c r="AC749" t="e">
        <v>#N/A</v>
      </c>
      <c r="AE749" t="str">
        <f t="shared" si="95"/>
        <v>P001073</v>
      </c>
      <c r="AF749" t="str">
        <f>_xlfn.XLOOKUP(AE749, Hoja2!A:A, Hoja2!A:A)</f>
        <v>P001073</v>
      </c>
      <c r="AG749" t="str">
        <f t="shared" si="96"/>
        <v>PP00067-07</v>
      </c>
      <c r="AH749">
        <f>_xlfn.XLOOKUP(AG749, Hoja3!A:A, Hoja3!B:B)</f>
        <v>4432</v>
      </c>
      <c r="AI749">
        <f>_xlfn.XLOOKUP(AH749, Hoja4!A:A, Hoja4!B:B)</f>
        <v>99932948</v>
      </c>
      <c r="AJ749" t="b">
        <f t="shared" si="97"/>
        <v>1</v>
      </c>
    </row>
    <row r="750" spans="1:36" ht="15.5" customHeight="1" x14ac:dyDescent="0.35">
      <c r="A750">
        <f t="shared" ca="1" si="94"/>
        <v>33</v>
      </c>
      <c r="B750" s="6" t="s">
        <v>2322</v>
      </c>
      <c r="C750" s="7">
        <v>45674</v>
      </c>
      <c r="D750" s="6" t="s">
        <v>564</v>
      </c>
      <c r="E750" s="6" t="s">
        <v>83</v>
      </c>
      <c r="F750" s="6" t="s">
        <v>2249</v>
      </c>
      <c r="G750" s="6" t="s">
        <v>2250</v>
      </c>
      <c r="H750" s="6">
        <v>99932944</v>
      </c>
      <c r="I750" s="6" t="s">
        <v>2305</v>
      </c>
      <c r="J750" s="6" t="str">
        <f>IF(E750="KTG","KTG",(VLOOKUP(I750,'[1]list of outsource'!B:H,2,0)))</f>
        <v>UPM</v>
      </c>
      <c r="K750" s="6" t="s">
        <v>2306</v>
      </c>
      <c r="L750" s="6">
        <v>5</v>
      </c>
      <c r="M750" s="6" t="s">
        <v>2323</v>
      </c>
      <c r="N750" s="6" t="s">
        <v>2324</v>
      </c>
      <c r="O750" s="6" t="s">
        <v>2325</v>
      </c>
      <c r="P750" s="6"/>
      <c r="Q750" s="8"/>
      <c r="R750" s="6"/>
      <c r="S750" s="6"/>
      <c r="T750" s="6"/>
      <c r="U750" s="6">
        <v>4</v>
      </c>
      <c r="V750" s="6" t="s">
        <v>665</v>
      </c>
      <c r="W750" s="6" t="s">
        <v>2029</v>
      </c>
      <c r="X750" s="7">
        <v>45707</v>
      </c>
      <c r="Y750" s="7">
        <v>45719</v>
      </c>
      <c r="AB750" t="e">
        <v>#N/A</v>
      </c>
      <c r="AC750" t="e">
        <v>#N/A</v>
      </c>
      <c r="AE750" t="str">
        <f t="shared" si="95"/>
        <v>P001074</v>
      </c>
      <c r="AF750" t="str">
        <f>_xlfn.XLOOKUP(AE750, Hoja2!A:A, Hoja2!A:A)</f>
        <v>P001074</v>
      </c>
      <c r="AG750" t="str">
        <f t="shared" si="96"/>
        <v>PP00067-08</v>
      </c>
      <c r="AH750">
        <f>_xlfn.XLOOKUP(AG750, Hoja3!A:A, Hoja3!B:B)</f>
        <v>4433</v>
      </c>
      <c r="AI750">
        <f>_xlfn.XLOOKUP(AH750, Hoja4!A:A, Hoja4!B:B)</f>
        <v>99932944</v>
      </c>
      <c r="AJ750" t="b">
        <f t="shared" si="97"/>
        <v>1</v>
      </c>
    </row>
    <row r="751" spans="1:36" ht="15.5" customHeight="1" x14ac:dyDescent="0.35">
      <c r="A751">
        <f t="shared" ca="1" si="94"/>
        <v>33</v>
      </c>
      <c r="B751" s="6" t="s">
        <v>2326</v>
      </c>
      <c r="C751" s="7">
        <v>45674</v>
      </c>
      <c r="D751" s="6" t="s">
        <v>564</v>
      </c>
      <c r="E751" s="6" t="s">
        <v>83</v>
      </c>
      <c r="F751" s="6" t="s">
        <v>2249</v>
      </c>
      <c r="G751" s="6" t="s">
        <v>2250</v>
      </c>
      <c r="H751" s="6">
        <v>99932954</v>
      </c>
      <c r="I751" s="6" t="s">
        <v>2305</v>
      </c>
      <c r="J751" s="6" t="str">
        <f>IF(E751="KTG","KTG",(VLOOKUP(I751,'[1]list of outsource'!B:H,2,0)))</f>
        <v>UPM</v>
      </c>
      <c r="K751" s="6" t="s">
        <v>2306</v>
      </c>
      <c r="L751" s="6">
        <v>5</v>
      </c>
      <c r="M751" s="6" t="s">
        <v>2327</v>
      </c>
      <c r="N751" s="6" t="s">
        <v>2328</v>
      </c>
      <c r="O751" s="6" t="s">
        <v>2329</v>
      </c>
      <c r="P751" s="6"/>
      <c r="Q751" s="8"/>
      <c r="R751" s="6"/>
      <c r="S751" s="6"/>
      <c r="T751" s="6"/>
      <c r="U751" s="6">
        <v>4</v>
      </c>
      <c r="V751" s="6" t="s">
        <v>665</v>
      </c>
      <c r="W751" s="6" t="s">
        <v>2029</v>
      </c>
      <c r="X751" s="7">
        <v>45707</v>
      </c>
      <c r="Y751" s="7">
        <v>45719</v>
      </c>
      <c r="AB751" t="e">
        <v>#N/A</v>
      </c>
      <c r="AC751" t="e">
        <v>#N/A</v>
      </c>
      <c r="AE751" t="str">
        <f t="shared" si="95"/>
        <v>P001075</v>
      </c>
      <c r="AF751" t="str">
        <f>_xlfn.XLOOKUP(AE751, Hoja2!A:A, Hoja2!A:A)</f>
        <v>P001075</v>
      </c>
      <c r="AG751" t="str">
        <f t="shared" si="96"/>
        <v>PP00067-09</v>
      </c>
      <c r="AH751">
        <f>_xlfn.XLOOKUP(AG751, Hoja3!A:A, Hoja3!B:B)</f>
        <v>4434</v>
      </c>
      <c r="AI751">
        <f>_xlfn.XLOOKUP(AH751, Hoja4!A:A, Hoja4!B:B)</f>
        <v>99932954</v>
      </c>
      <c r="AJ751" t="b">
        <f t="shared" si="97"/>
        <v>1</v>
      </c>
    </row>
    <row r="752" spans="1:36" ht="15.5" customHeight="1" x14ac:dyDescent="0.35">
      <c r="A752">
        <f t="shared" ca="1" si="94"/>
        <v>33</v>
      </c>
      <c r="B752" s="6" t="s">
        <v>2330</v>
      </c>
      <c r="C752" s="7">
        <v>45674</v>
      </c>
      <c r="D752" s="6" t="s">
        <v>564</v>
      </c>
      <c r="E752" s="6" t="s">
        <v>83</v>
      </c>
      <c r="F752" s="6" t="s">
        <v>2249</v>
      </c>
      <c r="G752" s="6" t="s">
        <v>2250</v>
      </c>
      <c r="H752" s="6">
        <v>99932945</v>
      </c>
      <c r="I752" s="6" t="s">
        <v>2305</v>
      </c>
      <c r="J752" s="6" t="str">
        <f>IF(E752="KTG","KTG",(VLOOKUP(I752,'[1]list of outsource'!B:H,2,0)))</f>
        <v>UPM</v>
      </c>
      <c r="K752" s="6" t="s">
        <v>2306</v>
      </c>
      <c r="L752" s="6">
        <v>5</v>
      </c>
      <c r="M752" s="6" t="s">
        <v>2331</v>
      </c>
      <c r="N752" s="6" t="s">
        <v>2332</v>
      </c>
      <c r="O752" s="6" t="s">
        <v>2333</v>
      </c>
      <c r="P752" s="6"/>
      <c r="Q752" s="8"/>
      <c r="R752" s="6"/>
      <c r="S752" s="6"/>
      <c r="T752" s="6"/>
      <c r="U752" s="6">
        <v>4</v>
      </c>
      <c r="V752" s="6" t="s">
        <v>665</v>
      </c>
      <c r="W752" s="6" t="s">
        <v>2029</v>
      </c>
      <c r="X752" s="7">
        <v>45707</v>
      </c>
      <c r="Y752" s="7">
        <v>45719</v>
      </c>
      <c r="AB752" t="e">
        <v>#N/A</v>
      </c>
      <c r="AC752" t="e">
        <v>#N/A</v>
      </c>
      <c r="AE752" t="str">
        <f t="shared" si="95"/>
        <v>P001076</v>
      </c>
      <c r="AF752" t="str">
        <f>_xlfn.XLOOKUP(AE752, Hoja2!A:A, Hoja2!A:A)</f>
        <v>P001076</v>
      </c>
      <c r="AG752" t="str">
        <f t="shared" si="96"/>
        <v>PP00067-10</v>
      </c>
      <c r="AH752">
        <f>_xlfn.XLOOKUP(AG752, Hoja3!A:A, Hoja3!B:B)</f>
        <v>4435</v>
      </c>
      <c r="AI752">
        <f>_xlfn.XLOOKUP(AH752, Hoja4!A:A, Hoja4!B:B)</f>
        <v>99932945</v>
      </c>
      <c r="AJ752" t="b">
        <f t="shared" si="97"/>
        <v>1</v>
      </c>
    </row>
    <row r="753" spans="1:36" ht="15.5" customHeight="1" x14ac:dyDescent="0.35">
      <c r="A753">
        <f t="shared" ca="1" si="94"/>
        <v>33</v>
      </c>
      <c r="B753" s="6" t="s">
        <v>2334</v>
      </c>
      <c r="C753" s="7">
        <v>45674</v>
      </c>
      <c r="D753" s="6" t="s">
        <v>564</v>
      </c>
      <c r="E753" s="6" t="s">
        <v>83</v>
      </c>
      <c r="F753" s="6" t="s">
        <v>2249</v>
      </c>
      <c r="G753" s="6" t="s">
        <v>2250</v>
      </c>
      <c r="H753" s="6">
        <v>99932946</v>
      </c>
      <c r="I753" s="6" t="s">
        <v>2305</v>
      </c>
      <c r="J753" s="6" t="str">
        <f>IF(E753="KTG","KTG",(VLOOKUP(I753,'[1]list of outsource'!B:H,2,0)))</f>
        <v>UPM</v>
      </c>
      <c r="K753" s="6" t="s">
        <v>2306</v>
      </c>
      <c r="L753" s="6">
        <v>5</v>
      </c>
      <c r="M753" s="6" t="s">
        <v>2335</v>
      </c>
      <c r="N753" s="6" t="s">
        <v>2336</v>
      </c>
      <c r="O753" s="6" t="s">
        <v>2337</v>
      </c>
      <c r="P753" s="6"/>
      <c r="Q753" s="8"/>
      <c r="R753" s="6"/>
      <c r="S753" s="6"/>
      <c r="T753" s="6"/>
      <c r="U753" s="6">
        <v>4</v>
      </c>
      <c r="V753" s="6" t="s">
        <v>665</v>
      </c>
      <c r="W753" s="6" t="s">
        <v>2029</v>
      </c>
      <c r="X753" s="7">
        <v>45707</v>
      </c>
      <c r="Y753" s="7">
        <v>45719</v>
      </c>
      <c r="AB753" t="e">
        <v>#N/A</v>
      </c>
      <c r="AC753" t="e">
        <v>#N/A</v>
      </c>
      <c r="AE753" t="str">
        <f t="shared" si="95"/>
        <v>P001077</v>
      </c>
      <c r="AF753" t="str">
        <f>_xlfn.XLOOKUP(AE753, Hoja2!A:A, Hoja2!A:A)</f>
        <v>P001077</v>
      </c>
      <c r="AG753" t="str">
        <f t="shared" si="96"/>
        <v>PP00067-11</v>
      </c>
      <c r="AH753">
        <f>_xlfn.XLOOKUP(AG753, Hoja3!A:A, Hoja3!B:B)</f>
        <v>4436</v>
      </c>
      <c r="AI753">
        <f>_xlfn.XLOOKUP(AH753, Hoja4!A:A, Hoja4!B:B)</f>
        <v>99932946</v>
      </c>
      <c r="AJ753" t="b">
        <f t="shared" si="97"/>
        <v>1</v>
      </c>
    </row>
    <row r="754" spans="1:36" ht="15.5" customHeight="1" x14ac:dyDescent="0.35">
      <c r="A754">
        <f t="shared" ca="1" si="94"/>
        <v>33</v>
      </c>
      <c r="B754" s="12" t="s">
        <v>2338</v>
      </c>
      <c r="C754" s="13">
        <v>45674</v>
      </c>
      <c r="D754" s="14" t="s">
        <v>121</v>
      </c>
      <c r="E754" s="14" t="s">
        <v>83</v>
      </c>
      <c r="F754" s="14" t="s">
        <v>2249</v>
      </c>
      <c r="G754" s="14" t="s">
        <v>2250</v>
      </c>
      <c r="H754" s="14">
        <v>99932947</v>
      </c>
      <c r="I754" s="14" t="s">
        <v>2305</v>
      </c>
      <c r="J754" s="14" t="str">
        <f>IF(E754="KTG","KTG",(VLOOKUP(I754,'[1]list of outsource'!B:H,2,0)))</f>
        <v>UPM</v>
      </c>
      <c r="K754" s="14" t="s">
        <v>2306</v>
      </c>
      <c r="L754" s="14">
        <v>5</v>
      </c>
      <c r="M754" s="14" t="s">
        <v>2339</v>
      </c>
      <c r="N754" s="14" t="s">
        <v>2340</v>
      </c>
      <c r="O754" s="14" t="s">
        <v>2341</v>
      </c>
      <c r="P754" s="14"/>
      <c r="Q754" s="15"/>
      <c r="R754" s="14"/>
      <c r="S754" s="16"/>
      <c r="T754" s="14"/>
      <c r="U754" s="14">
        <v>4</v>
      </c>
      <c r="V754" s="14" t="s">
        <v>665</v>
      </c>
      <c r="W754" s="14" t="s">
        <v>2029</v>
      </c>
      <c r="X754" s="13">
        <v>45707</v>
      </c>
      <c r="Y754" s="13"/>
      <c r="AB754" t="e">
        <v>#N/A</v>
      </c>
      <c r="AC754" t="e">
        <v>#N/A</v>
      </c>
      <c r="AE754" t="str">
        <f t="shared" si="95"/>
        <v>P001078</v>
      </c>
      <c r="AF754" t="str">
        <f>_xlfn.XLOOKUP(AE754, Hoja2!A:A, Hoja2!A:A)</f>
        <v>P001078</v>
      </c>
      <c r="AG754" t="str">
        <f t="shared" si="96"/>
        <v>PP00067-12</v>
      </c>
      <c r="AH754">
        <f>_xlfn.XLOOKUP(AG754, Hoja3!A:A, Hoja3!B:B)</f>
        <v>4437</v>
      </c>
      <c r="AI754">
        <f>_xlfn.XLOOKUP(AH754, Hoja4!A:A, Hoja4!B:B)</f>
        <v>99932947</v>
      </c>
      <c r="AJ754" t="b">
        <f t="shared" si="97"/>
        <v>1</v>
      </c>
    </row>
    <row r="755" spans="1:36" ht="15.5" customHeight="1" x14ac:dyDescent="0.35">
      <c r="A755">
        <f t="shared" ca="1" si="94"/>
        <v>1</v>
      </c>
      <c r="B755" s="6" t="s">
        <v>2342</v>
      </c>
      <c r="C755" s="7">
        <v>45678</v>
      </c>
      <c r="D755" s="6" t="s">
        <v>564</v>
      </c>
      <c r="E755" s="6" t="s">
        <v>139</v>
      </c>
      <c r="F755" s="6" t="s">
        <v>2249</v>
      </c>
      <c r="G755" s="6" t="s">
        <v>2250</v>
      </c>
      <c r="H755" s="6">
        <v>69322246</v>
      </c>
      <c r="I755" s="6" t="s">
        <v>494</v>
      </c>
      <c r="J755" s="6" t="str">
        <f>IF(E755="KTG","KTG",(VLOOKUP(I755,'[1]list of outsource'!B:H,2,0)))</f>
        <v>ETC</v>
      </c>
      <c r="K755" s="6" t="s">
        <v>495</v>
      </c>
      <c r="L755" s="6">
        <v>30</v>
      </c>
      <c r="M755" s="6" t="s">
        <v>496</v>
      </c>
      <c r="N755" s="6" t="s">
        <v>2085</v>
      </c>
      <c r="O755" s="6" t="s">
        <v>2343</v>
      </c>
      <c r="P755" s="6"/>
      <c r="Q755" s="8"/>
      <c r="R755" s="6"/>
      <c r="S755" s="6"/>
      <c r="T755" s="6"/>
      <c r="U755" s="6">
        <v>4</v>
      </c>
      <c r="V755" s="6" t="s">
        <v>665</v>
      </c>
      <c r="W755" s="6" t="s">
        <v>2029</v>
      </c>
      <c r="X755" s="7">
        <v>45679</v>
      </c>
      <c r="Y755" s="7">
        <v>45694</v>
      </c>
      <c r="AB755" t="e">
        <v>#N/A</v>
      </c>
      <c r="AC755" t="e">
        <v>#N/A</v>
      </c>
      <c r="AE755" t="str">
        <f t="shared" si="95"/>
        <v>P000235</v>
      </c>
      <c r="AF755" t="str">
        <f>_xlfn.XLOOKUP(AE755, Hoja2!A:A, Hoja2!A:A)</f>
        <v>P000235</v>
      </c>
      <c r="AG755" t="str">
        <f t="shared" si="96"/>
        <v>PP00067-21</v>
      </c>
      <c r="AH755">
        <f>_xlfn.XLOOKUP(AG755, Hoja3!A:A, Hoja3!B:B)</f>
        <v>4426</v>
      </c>
      <c r="AI755">
        <f>_xlfn.XLOOKUP(AH755, Hoja4!A:A, Hoja4!B:B)</f>
        <v>69322246</v>
      </c>
      <c r="AJ755" t="b">
        <f t="shared" si="97"/>
        <v>1</v>
      </c>
    </row>
    <row r="756" spans="1:36" ht="15.5" customHeight="1" x14ac:dyDescent="0.35">
      <c r="A756">
        <f t="shared" ca="1" si="94"/>
        <v>6</v>
      </c>
      <c r="B756" s="17" t="s">
        <v>2279</v>
      </c>
      <c r="C756" s="7">
        <v>45791</v>
      </c>
      <c r="D756" s="6" t="s">
        <v>564</v>
      </c>
      <c r="E756" s="6" t="s">
        <v>83</v>
      </c>
      <c r="F756" s="6" t="s">
        <v>84</v>
      </c>
      <c r="G756" s="6" t="s">
        <v>156</v>
      </c>
      <c r="H756" s="6" t="s">
        <v>181</v>
      </c>
      <c r="I756" s="6" t="s">
        <v>176</v>
      </c>
      <c r="J756" s="6" t="str">
        <f>IF(E756="KTG","KTG",(VLOOKUP(I756,'[1]list of outsource'!B:H,2,0)))</f>
        <v>UPM</v>
      </c>
      <c r="K756" s="6" t="s">
        <v>177</v>
      </c>
      <c r="L756" s="6">
        <v>14</v>
      </c>
      <c r="M756" s="6" t="s">
        <v>182</v>
      </c>
      <c r="N756" s="6" t="s">
        <v>183</v>
      </c>
      <c r="O756" s="6" t="s">
        <v>2344</v>
      </c>
      <c r="P756" s="6"/>
      <c r="Q756" s="8"/>
      <c r="R756" s="6"/>
      <c r="S756" s="18"/>
      <c r="T756" s="6"/>
      <c r="U756" s="6">
        <v>1</v>
      </c>
      <c r="V756" s="6" t="s">
        <v>569</v>
      </c>
      <c r="W756" s="6" t="s">
        <v>154</v>
      </c>
      <c r="X756" s="7">
        <v>45797</v>
      </c>
      <c r="Y756" s="7">
        <v>45803</v>
      </c>
      <c r="AB756" t="e">
        <v>#N/A</v>
      </c>
      <c r="AC756" t="e">
        <v>#N/A</v>
      </c>
      <c r="AE756" t="str">
        <f t="shared" si="95"/>
        <v>P000150</v>
      </c>
      <c r="AF756" t="str">
        <f>_xlfn.XLOOKUP(AE756, Hoja2!A:A, Hoja2!A:A)</f>
        <v>P000150</v>
      </c>
      <c r="AG756" t="str">
        <f t="shared" si="96"/>
        <v>PP00028-50</v>
      </c>
      <c r="AH756">
        <f>_xlfn.XLOOKUP(AG756, Hoja3!A:A, Hoja3!B:B)</f>
        <v>50</v>
      </c>
      <c r="AI756" t="str">
        <f>_xlfn.XLOOKUP(AH756, Hoja4!A:A, Hoja4!B:B)</f>
        <v>E35099100</v>
      </c>
      <c r="AJ756" t="b">
        <f t="shared" si="97"/>
        <v>1</v>
      </c>
    </row>
    <row r="757" spans="1:36" ht="15.5" customHeight="1" x14ac:dyDescent="0.35">
      <c r="A757">
        <f t="shared" ca="1" si="94"/>
        <v>19</v>
      </c>
      <c r="B757" s="6" t="s">
        <v>2345</v>
      </c>
      <c r="C757" s="7">
        <v>45695</v>
      </c>
      <c r="D757" s="6" t="s">
        <v>564</v>
      </c>
      <c r="E757" s="6" t="s">
        <v>83</v>
      </c>
      <c r="F757" s="6" t="s">
        <v>933</v>
      </c>
      <c r="G757" s="6" t="s">
        <v>32</v>
      </c>
      <c r="H757" s="6">
        <v>35946893</v>
      </c>
      <c r="I757" s="6" t="s">
        <v>95</v>
      </c>
      <c r="J757" s="6" t="str">
        <f>IF(E757="KTG","KTG",(VLOOKUP(I757,'[1]list of outsource'!B:H,2,0)))</f>
        <v>Woer</v>
      </c>
      <c r="K757" s="6" t="s">
        <v>96</v>
      </c>
      <c r="L757" s="6">
        <v>1</v>
      </c>
      <c r="M757" s="6" t="s">
        <v>2346</v>
      </c>
      <c r="N757" s="6" t="s">
        <v>2347</v>
      </c>
      <c r="O757" s="6" t="s">
        <v>2348</v>
      </c>
      <c r="P757" s="6"/>
      <c r="Q757" s="8"/>
      <c r="R757" s="6"/>
      <c r="S757" s="6"/>
      <c r="T757" s="6"/>
      <c r="U757" s="6">
        <v>3</v>
      </c>
      <c r="V757" s="6" t="s">
        <v>919</v>
      </c>
      <c r="W757" s="6" t="s">
        <v>37</v>
      </c>
      <c r="X757" s="7">
        <v>45714</v>
      </c>
      <c r="Y757" s="7">
        <v>45722</v>
      </c>
      <c r="AB757" t="s">
        <v>2349</v>
      </c>
      <c r="AC757" t="e">
        <v>#N/A</v>
      </c>
      <c r="AE757" t="str">
        <f t="shared" si="95"/>
        <v>P000499</v>
      </c>
      <c r="AF757" t="str">
        <f>_xlfn.XLOOKUP(AE757, Hoja2!A:A, Hoja2!A:A)</f>
        <v>P000499</v>
      </c>
      <c r="AG757" t="str">
        <f t="shared" si="96"/>
        <v>PP00042-0027</v>
      </c>
      <c r="AH757">
        <f>_xlfn.XLOOKUP(AG757, Hoja3!A:A, Hoja3!B:B)</f>
        <v>3802</v>
      </c>
      <c r="AI757">
        <f>_xlfn.XLOOKUP(AH757, Hoja4!A:A, Hoja4!B:B)</f>
        <v>35946893</v>
      </c>
      <c r="AJ757" t="b">
        <f t="shared" si="97"/>
        <v>1</v>
      </c>
    </row>
    <row r="758" spans="1:36" ht="15.5" customHeight="1" x14ac:dyDescent="0.35">
      <c r="A758">
        <f t="shared" ca="1" si="94"/>
        <v>12</v>
      </c>
      <c r="B758" s="6" t="s">
        <v>2350</v>
      </c>
      <c r="C758" s="7">
        <v>45696</v>
      </c>
      <c r="D758" s="6" t="s">
        <v>564</v>
      </c>
      <c r="E758" s="6" t="s">
        <v>139</v>
      </c>
      <c r="F758" s="6" t="s">
        <v>1697</v>
      </c>
      <c r="G758" s="6" t="s">
        <v>156</v>
      </c>
      <c r="H758" s="6" t="s">
        <v>2351</v>
      </c>
      <c r="I758" s="6" t="s">
        <v>529</v>
      </c>
      <c r="J758" s="6" t="str">
        <f>IF(E758="KTG","KTG",(VLOOKUP(I758,'[1]list of outsource'!B:H,2,0)))</f>
        <v>ETC</v>
      </c>
      <c r="K758" s="6" t="s">
        <v>530</v>
      </c>
      <c r="L758" s="6">
        <v>20</v>
      </c>
      <c r="M758" s="6" t="s">
        <v>1804</v>
      </c>
      <c r="N758" s="6" t="s">
        <v>1805</v>
      </c>
      <c r="O758" s="6" t="s">
        <v>2352</v>
      </c>
      <c r="P758" s="6" t="s">
        <v>574</v>
      </c>
      <c r="Q758" s="8">
        <v>45453</v>
      </c>
      <c r="R758" s="6"/>
      <c r="S758" s="18"/>
      <c r="T758" s="6"/>
      <c r="U758" s="6">
        <v>4</v>
      </c>
      <c r="V758" s="6" t="s">
        <v>569</v>
      </c>
      <c r="W758" s="6" t="s">
        <v>37</v>
      </c>
      <c r="X758" s="7">
        <v>45708</v>
      </c>
      <c r="Y758" s="7">
        <v>45756</v>
      </c>
      <c r="AB758" t="e">
        <v>#N/A</v>
      </c>
      <c r="AC758" t="e">
        <v>#N/A</v>
      </c>
      <c r="AE758" t="str">
        <f t="shared" si="95"/>
        <v>P000588</v>
      </c>
      <c r="AF758" t="str">
        <f>_xlfn.XLOOKUP(AE758, Hoja2!A:A, Hoja2!A:A)</f>
        <v>P000588</v>
      </c>
      <c r="AG758" t="str">
        <f t="shared" si="96"/>
        <v>PP00061-07</v>
      </c>
      <c r="AH758">
        <f>_xlfn.XLOOKUP(AG758, Hoja3!A:A, Hoja3!B:B)</f>
        <v>5697</v>
      </c>
      <c r="AI758" t="str">
        <f>_xlfn.XLOOKUP(AH758, Hoja4!A:A, Hoja4!B:B)</f>
        <v>7094174930 Document ID 2673163</v>
      </c>
      <c r="AJ758" t="b">
        <f t="shared" si="97"/>
        <v>1</v>
      </c>
    </row>
    <row r="759" spans="1:36" ht="15.5" customHeight="1" x14ac:dyDescent="0.35">
      <c r="A759">
        <f t="shared" ca="1" si="94"/>
        <v>12</v>
      </c>
      <c r="B759" s="12" t="s">
        <v>2353</v>
      </c>
      <c r="C759" s="13">
        <v>45696</v>
      </c>
      <c r="D759" s="14" t="s">
        <v>121</v>
      </c>
      <c r="E759" s="14" t="s">
        <v>139</v>
      </c>
      <c r="F759" s="14" t="s">
        <v>1697</v>
      </c>
      <c r="G759" s="14" t="s">
        <v>156</v>
      </c>
      <c r="H759" s="14" t="s">
        <v>2354</v>
      </c>
      <c r="I759" s="14" t="s">
        <v>529</v>
      </c>
      <c r="J759" s="14" t="str">
        <f>IF(E759="KTG","KTG",(VLOOKUP(I759,'[1]list of outsource'!B:H,2,0)))</f>
        <v>ETC</v>
      </c>
      <c r="K759" s="14" t="s">
        <v>530</v>
      </c>
      <c r="L759" s="14">
        <v>20</v>
      </c>
      <c r="M759" s="14" t="s">
        <v>1786</v>
      </c>
      <c r="N759" s="14" t="s">
        <v>1787</v>
      </c>
      <c r="O759" s="14" t="s">
        <v>2355</v>
      </c>
      <c r="P759" s="14" t="s">
        <v>574</v>
      </c>
      <c r="Q759" s="15">
        <v>45453</v>
      </c>
      <c r="R759" s="14"/>
      <c r="S759" s="16"/>
      <c r="T759" s="14"/>
      <c r="U759" s="14">
        <v>4</v>
      </c>
      <c r="V759" s="14" t="s">
        <v>569</v>
      </c>
      <c r="W759" s="14" t="s">
        <v>37</v>
      </c>
      <c r="X759" s="13">
        <v>45708</v>
      </c>
      <c r="Y759" s="13"/>
      <c r="AB759" t="e">
        <v>#N/A</v>
      </c>
      <c r="AC759" t="s">
        <v>4210</v>
      </c>
      <c r="AE759" t="str">
        <f t="shared" si="95"/>
        <v>P000454</v>
      </c>
      <c r="AF759" t="str">
        <f>_xlfn.XLOOKUP(AE759, Hoja2!A:A, Hoja2!A:A)</f>
        <v>P000454</v>
      </c>
      <c r="AG759" t="str">
        <f t="shared" si="96"/>
        <v>PP00061-08</v>
      </c>
      <c r="AH759">
        <f>_xlfn.XLOOKUP(AG759, Hoja3!A:A, Hoja3!B:B)</f>
        <v>5698</v>
      </c>
      <c r="AI759" t="str">
        <f>_xlfn.XLOOKUP(AH759, Hoja4!A:A, Hoja4!B:B)</f>
        <v>7094174530 Document ID 2673193</v>
      </c>
      <c r="AJ759" t="b">
        <f t="shared" si="97"/>
        <v>1</v>
      </c>
    </row>
    <row r="760" spans="1:36" ht="15.5" customHeight="1" x14ac:dyDescent="0.35">
      <c r="A760">
        <f t="shared" ca="1" si="94"/>
        <v>12</v>
      </c>
      <c r="B760" s="12" t="s">
        <v>2356</v>
      </c>
      <c r="C760" s="13">
        <v>45696</v>
      </c>
      <c r="D760" s="14" t="s">
        <v>121</v>
      </c>
      <c r="E760" s="14" t="s">
        <v>139</v>
      </c>
      <c r="F760" s="14" t="s">
        <v>1697</v>
      </c>
      <c r="G760" s="14" t="s">
        <v>156</v>
      </c>
      <c r="H760" s="14" t="s">
        <v>2357</v>
      </c>
      <c r="I760" s="14" t="s">
        <v>529</v>
      </c>
      <c r="J760" s="14" t="str">
        <f>IF(E760="KTG","KTG",(VLOOKUP(I760,'[1]list of outsource'!B:H,2,0)))</f>
        <v>ETC</v>
      </c>
      <c r="K760" s="14" t="s">
        <v>530</v>
      </c>
      <c r="L760" s="14">
        <v>20</v>
      </c>
      <c r="M760" s="14" t="s">
        <v>1796</v>
      </c>
      <c r="N760" s="14" t="s">
        <v>1797</v>
      </c>
      <c r="O760" s="14" t="s">
        <v>2358</v>
      </c>
      <c r="P760" s="14" t="s">
        <v>574</v>
      </c>
      <c r="Q760" s="15">
        <v>45453</v>
      </c>
      <c r="R760" s="14"/>
      <c r="S760" s="16"/>
      <c r="T760" s="14"/>
      <c r="U760" s="14">
        <v>4</v>
      </c>
      <c r="V760" s="14" t="s">
        <v>569</v>
      </c>
      <c r="W760" s="14" t="s">
        <v>37</v>
      </c>
      <c r="X760" s="13">
        <v>45708</v>
      </c>
      <c r="Y760" s="13"/>
      <c r="AB760" t="e">
        <v>#N/A</v>
      </c>
      <c r="AC760" t="e">
        <v>#N/A</v>
      </c>
      <c r="AE760" t="str">
        <f t="shared" si="95"/>
        <v>P000368</v>
      </c>
      <c r="AF760" t="str">
        <f>_xlfn.XLOOKUP(AE760, Hoja2!A:A, Hoja2!A:A)</f>
        <v>P000368</v>
      </c>
      <c r="AG760" t="str">
        <f t="shared" si="96"/>
        <v>PP00061-09</v>
      </c>
      <c r="AH760">
        <f>_xlfn.XLOOKUP(AG760, Hoja3!A:A, Hoja3!B:B)</f>
        <v>5699</v>
      </c>
      <c r="AI760" t="str">
        <f>_xlfn.XLOOKUP(AH760, Hoja4!A:A, Hoja4!B:B)</f>
        <v>7094174730 Document ID 2673191</v>
      </c>
      <c r="AJ760" t="b">
        <f t="shared" si="97"/>
        <v>1</v>
      </c>
    </row>
    <row r="761" spans="1:36" ht="15.5" customHeight="1" x14ac:dyDescent="0.35">
      <c r="A761">
        <f t="shared" ca="1" si="94"/>
        <v>12</v>
      </c>
      <c r="B761" s="6" t="s">
        <v>2359</v>
      </c>
      <c r="C761" s="7">
        <v>45700</v>
      </c>
      <c r="D761" s="6" t="s">
        <v>564</v>
      </c>
      <c r="E761" s="6" t="s">
        <v>139</v>
      </c>
      <c r="F761" s="6" t="s">
        <v>2360</v>
      </c>
      <c r="G761" s="6" t="s">
        <v>32</v>
      </c>
      <c r="H761" s="6" t="s">
        <v>2361</v>
      </c>
      <c r="I761" s="6" t="s">
        <v>494</v>
      </c>
      <c r="J761" s="6" t="str">
        <f>IF(E761="KTG","KTG",(VLOOKUP(I761,'[1]list of outsource'!B:H,2,0)))</f>
        <v>ETC</v>
      </c>
      <c r="K761" s="6" t="s">
        <v>495</v>
      </c>
      <c r="L761" s="6">
        <v>32</v>
      </c>
      <c r="M761" s="6" t="s">
        <v>1051</v>
      </c>
      <c r="N761" s="6" t="s">
        <v>2362</v>
      </c>
      <c r="O761" s="6" t="s">
        <v>2363</v>
      </c>
      <c r="P761" s="6"/>
      <c r="Q761" s="8"/>
      <c r="R761" s="6"/>
      <c r="S761" s="6"/>
      <c r="T761" s="6"/>
      <c r="U761" s="6">
        <v>4</v>
      </c>
      <c r="V761" s="6" t="s">
        <v>665</v>
      </c>
      <c r="W761" s="6" t="s">
        <v>37</v>
      </c>
      <c r="X761" s="7">
        <v>45712</v>
      </c>
      <c r="Y761" s="7">
        <v>45736</v>
      </c>
      <c r="AB761" t="e">
        <v>#N/A</v>
      </c>
      <c r="AC761" t="e">
        <v>#N/A</v>
      </c>
      <c r="AE761" t="str">
        <f t="shared" si="95"/>
        <v>P000628</v>
      </c>
      <c r="AF761" t="str">
        <f>_xlfn.XLOOKUP(AE761, Hoja2!A:A, Hoja2!A:A)</f>
        <v>P000628</v>
      </c>
      <c r="AG761" t="str">
        <f t="shared" si="96"/>
        <v>PP00068-01</v>
      </c>
      <c r="AH761">
        <f>_xlfn.XLOOKUP(AG761, Hoja3!A:A, Hoja3!B:B)</f>
        <v>4313</v>
      </c>
      <c r="AI761" t="str">
        <f>_xlfn.XLOOKUP(AH761, Hoja4!A:A, Hoja4!B:B)</f>
        <v>ET87 7.6/1.7</v>
      </c>
      <c r="AJ761" t="b">
        <f t="shared" si="97"/>
        <v>1</v>
      </c>
    </row>
    <row r="762" spans="1:36" ht="15.5" customHeight="1" x14ac:dyDescent="0.35">
      <c r="A762">
        <f t="shared" ca="1" si="94"/>
        <v>34</v>
      </c>
      <c r="B762" s="12" t="s">
        <v>2364</v>
      </c>
      <c r="C762" s="13">
        <v>45302</v>
      </c>
      <c r="D762" s="14" t="s">
        <v>121</v>
      </c>
      <c r="E762" s="14" t="s">
        <v>139</v>
      </c>
      <c r="F762" s="14" t="s">
        <v>84</v>
      </c>
      <c r="G762" s="14" t="s">
        <v>156</v>
      </c>
      <c r="H762" s="14" t="s">
        <v>335</v>
      </c>
      <c r="I762" s="14" t="s">
        <v>208</v>
      </c>
      <c r="J762" s="14" t="str">
        <f>IF(E762="KTG","KTG",(VLOOKUP(I762,'[1]list of outsource'!B:H,2,0)))</f>
        <v>ETC</v>
      </c>
      <c r="K762" s="14" t="s">
        <v>209</v>
      </c>
      <c r="L762" s="14">
        <v>20</v>
      </c>
      <c r="M762" s="14" t="s">
        <v>336</v>
      </c>
      <c r="N762" s="14" t="s">
        <v>337</v>
      </c>
      <c r="O762" s="14">
        <v>1171172004</v>
      </c>
      <c r="P762" s="14"/>
      <c r="Q762" s="15" t="s">
        <v>575</v>
      </c>
      <c r="R762" s="14" t="s">
        <v>575</v>
      </c>
      <c r="S762" s="16"/>
      <c r="T762" s="14"/>
      <c r="U762" s="14">
        <v>1</v>
      </c>
      <c r="V762" s="14" t="s">
        <v>569</v>
      </c>
      <c r="W762" s="14" t="s">
        <v>154</v>
      </c>
      <c r="X762" s="13">
        <v>45336</v>
      </c>
      <c r="Y762" s="13"/>
      <c r="AB762" t="e">
        <v>#N/A</v>
      </c>
      <c r="AC762" t="e">
        <v>#N/A</v>
      </c>
      <c r="AE762" t="str">
        <f t="shared" si="95"/>
        <v>P000164</v>
      </c>
      <c r="AF762" t="str">
        <f>_xlfn.XLOOKUP(AE762, Hoja2!A:A, Hoja2!A:A)</f>
        <v>P000164</v>
      </c>
      <c r="AG762" t="str">
        <f t="shared" si="96"/>
        <v>PP00028-51</v>
      </c>
      <c r="AH762">
        <f>_xlfn.XLOOKUP(AG762, Hoja3!A:A, Hoja3!B:B)</f>
        <v>5377</v>
      </c>
      <c r="AI762" t="str">
        <f>_xlfn.XLOOKUP(AH762, Hoja4!A:A, Hoja4!B:B)</f>
        <v>E35100300</v>
      </c>
      <c r="AJ762" t="b">
        <f t="shared" si="97"/>
        <v>1</v>
      </c>
    </row>
    <row r="763" spans="1:36" ht="15.5" customHeight="1" x14ac:dyDescent="0.35">
      <c r="A763">
        <f t="shared" ca="1" si="94"/>
        <v>14</v>
      </c>
      <c r="B763" s="12" t="s">
        <v>2365</v>
      </c>
      <c r="C763" s="13">
        <v>45609</v>
      </c>
      <c r="D763" s="14" t="s">
        <v>121</v>
      </c>
      <c r="E763" s="14" t="s">
        <v>139</v>
      </c>
      <c r="F763" s="14" t="s">
        <v>658</v>
      </c>
      <c r="G763" s="14" t="s">
        <v>32</v>
      </c>
      <c r="H763" s="14">
        <v>35758255</v>
      </c>
      <c r="I763" s="14" t="s">
        <v>529</v>
      </c>
      <c r="J763" s="14" t="str">
        <f>IF(E763="KTG","KTG",(VLOOKUP(I763,'[1]list of outsource'!B:H,2,0)))</f>
        <v>ETC</v>
      </c>
      <c r="K763" s="14" t="s">
        <v>530</v>
      </c>
      <c r="L763" s="14">
        <v>20</v>
      </c>
      <c r="M763" s="14" t="s">
        <v>1387</v>
      </c>
      <c r="N763" s="14" t="s">
        <v>1388</v>
      </c>
      <c r="O763" s="14" t="s">
        <v>2366</v>
      </c>
      <c r="P763" s="14"/>
      <c r="Q763" s="15"/>
      <c r="R763" s="14"/>
      <c r="S763" s="16"/>
      <c r="T763" s="14"/>
      <c r="U763" s="14">
        <v>4</v>
      </c>
      <c r="V763" s="14" t="s">
        <v>665</v>
      </c>
      <c r="W763" s="14" t="s">
        <v>37</v>
      </c>
      <c r="X763" s="13">
        <v>45623</v>
      </c>
      <c r="Y763" s="13"/>
      <c r="AB763" t="e">
        <v>#N/A</v>
      </c>
      <c r="AC763" t="e">
        <v>#N/A</v>
      </c>
      <c r="AE763" t="str">
        <f t="shared" si="95"/>
        <v>P000451</v>
      </c>
      <c r="AF763" t="str">
        <f>_xlfn.XLOOKUP(AE763, Hoja2!A:A, Hoja2!A:A)</f>
        <v>P000451</v>
      </c>
      <c r="AG763" t="str">
        <f t="shared" si="96"/>
        <v>PP00034-40</v>
      </c>
      <c r="AH763">
        <f>_xlfn.XLOOKUP(AG763, Hoja3!A:A, Hoja3!B:B)</f>
        <v>4796</v>
      </c>
      <c r="AI763">
        <f>_xlfn.XLOOKUP(AH763, Hoja4!A:A, Hoja4!B:B)</f>
        <v>35758255</v>
      </c>
      <c r="AJ763" t="b">
        <f t="shared" si="97"/>
        <v>1</v>
      </c>
    </row>
    <row r="764" spans="1:36" ht="15.5" customHeight="1" x14ac:dyDescent="0.35">
      <c r="A764">
        <f t="shared" ca="1" si="94"/>
        <v>34</v>
      </c>
      <c r="B764" s="6" t="s">
        <v>2367</v>
      </c>
      <c r="C764" s="7">
        <v>45302</v>
      </c>
      <c r="D764" s="6" t="s">
        <v>912</v>
      </c>
      <c r="E764" s="6" t="s">
        <v>83</v>
      </c>
      <c r="F764" s="6" t="s">
        <v>84</v>
      </c>
      <c r="G764" s="6" t="s">
        <v>156</v>
      </c>
      <c r="H764" s="6" t="s">
        <v>213</v>
      </c>
      <c r="I764" s="6" t="s">
        <v>95</v>
      </c>
      <c r="J764" s="6" t="str">
        <f>IF(E764="KTG","KTG",(VLOOKUP(I764,'[1]list of outsource'!B:H,2,0)))</f>
        <v>Woer</v>
      </c>
      <c r="K764" s="6" t="s">
        <v>96</v>
      </c>
      <c r="L764" s="6">
        <v>40</v>
      </c>
      <c r="M764" s="6" t="s">
        <v>214</v>
      </c>
      <c r="N764" s="6" t="s">
        <v>215</v>
      </c>
      <c r="O764" s="6">
        <v>1153182014</v>
      </c>
      <c r="P764" s="6"/>
      <c r="Q764" s="8" t="s">
        <v>575</v>
      </c>
      <c r="R764" s="6"/>
      <c r="S764" s="6"/>
      <c r="T764" s="6"/>
      <c r="U764" s="6">
        <v>1</v>
      </c>
      <c r="V764" s="6" t="s">
        <v>569</v>
      </c>
      <c r="W764" s="6" t="s">
        <v>154</v>
      </c>
      <c r="X764" s="7">
        <v>45336</v>
      </c>
      <c r="Y764" s="7">
        <v>45497</v>
      </c>
      <c r="AB764" t="e">
        <v>#N/A</v>
      </c>
      <c r="AC764" t="e">
        <v>#N/A</v>
      </c>
      <c r="AE764" t="str">
        <f t="shared" si="95"/>
        <v>P000167</v>
      </c>
      <c r="AF764" t="str">
        <f>_xlfn.XLOOKUP(AE764, Hoja2!A:A, Hoja2!A:A)</f>
        <v>P000167</v>
      </c>
      <c r="AG764" t="str">
        <f t="shared" si="96"/>
        <v>PP00028-52</v>
      </c>
      <c r="AH764">
        <f>_xlfn.XLOOKUP(AG764, Hoja3!A:A, Hoja3!B:B)</f>
        <v>5378</v>
      </c>
      <c r="AI764" t="str">
        <f>_xlfn.XLOOKUP(AH764, Hoja4!A:A, Hoja4!B:B)</f>
        <v>E35101000</v>
      </c>
      <c r="AJ764" t="b">
        <f t="shared" si="97"/>
        <v>1</v>
      </c>
    </row>
    <row r="765" spans="1:36" ht="15.5" customHeight="1" x14ac:dyDescent="0.35">
      <c r="A765">
        <f t="shared" ca="1" si="94"/>
        <v>34</v>
      </c>
      <c r="B765" s="12" t="s">
        <v>2368</v>
      </c>
      <c r="C765" s="13">
        <v>45302</v>
      </c>
      <c r="D765" s="14" t="s">
        <v>121</v>
      </c>
      <c r="E765" s="14" t="s">
        <v>83</v>
      </c>
      <c r="F765" s="14" t="s">
        <v>84</v>
      </c>
      <c r="G765" s="14" t="s">
        <v>156</v>
      </c>
      <c r="H765" s="14" t="s">
        <v>263</v>
      </c>
      <c r="I765" s="14" t="s">
        <v>176</v>
      </c>
      <c r="J765" s="14" t="str">
        <f>IF(E765="KTG","KTG",(VLOOKUP(I765,'[1]list of outsource'!B:H,2,0)))</f>
        <v>UPM</v>
      </c>
      <c r="K765" s="14" t="s">
        <v>177</v>
      </c>
      <c r="L765" s="14">
        <v>12</v>
      </c>
      <c r="M765" s="14" t="s">
        <v>264</v>
      </c>
      <c r="N765" s="14" t="s">
        <v>265</v>
      </c>
      <c r="O765" s="14">
        <v>1165241008</v>
      </c>
      <c r="P765" s="14"/>
      <c r="Q765" s="15" t="s">
        <v>575</v>
      </c>
      <c r="R765" s="14"/>
      <c r="S765" s="16"/>
      <c r="T765" s="14"/>
      <c r="U765" s="14">
        <v>1</v>
      </c>
      <c r="V765" s="14" t="s">
        <v>569</v>
      </c>
      <c r="W765" s="14" t="s">
        <v>154</v>
      </c>
      <c r="X765" s="13">
        <v>45336</v>
      </c>
      <c r="Y765" s="13"/>
      <c r="AB765" t="e">
        <v>#N/A</v>
      </c>
      <c r="AC765" t="e">
        <v>#N/A</v>
      </c>
      <c r="AE765" t="str">
        <f t="shared" si="95"/>
        <v>P000151</v>
      </c>
      <c r="AF765" t="str">
        <f>_xlfn.XLOOKUP(AE765, Hoja2!A:A, Hoja2!A:A)</f>
        <v>P000151</v>
      </c>
      <c r="AG765" t="str">
        <f t="shared" si="96"/>
        <v>PP00028-53</v>
      </c>
      <c r="AH765">
        <f>_xlfn.XLOOKUP(AG765, Hoja3!A:A, Hoja3!B:B)</f>
        <v>5380</v>
      </c>
      <c r="AI765" t="str">
        <f>_xlfn.XLOOKUP(AH765, Hoja4!A:A, Hoja4!B:B)</f>
        <v>E35099300</v>
      </c>
      <c r="AJ765" t="b">
        <f t="shared" si="97"/>
        <v>1</v>
      </c>
    </row>
    <row r="766" spans="1:36" ht="15.5" customHeight="1" x14ac:dyDescent="0.35">
      <c r="A766">
        <f t="shared" ca="1" si="94"/>
        <v>29</v>
      </c>
      <c r="B766" s="12" t="s">
        <v>800</v>
      </c>
      <c r="C766" s="13">
        <v>45713</v>
      </c>
      <c r="D766" s="14" t="s">
        <v>121</v>
      </c>
      <c r="E766" s="14" t="s">
        <v>83</v>
      </c>
      <c r="F766" s="14" t="s">
        <v>101</v>
      </c>
      <c r="G766" s="14" t="s">
        <v>299</v>
      </c>
      <c r="H766" s="14" t="s">
        <v>801</v>
      </c>
      <c r="I766" s="14" t="s">
        <v>133</v>
      </c>
      <c r="J766" s="14" t="str">
        <f>IF(E766="KTG","KTG",(VLOOKUP(I766,'[1]list of outsource'!B:H,2,0)))</f>
        <v>UPM</v>
      </c>
      <c r="K766" s="14" t="s">
        <v>301</v>
      </c>
      <c r="L766" s="14">
        <v>26</v>
      </c>
      <c r="M766" s="14" t="s">
        <v>802</v>
      </c>
      <c r="N766" s="14" t="s">
        <v>803</v>
      </c>
      <c r="O766" s="14" t="s">
        <v>2369</v>
      </c>
      <c r="P766" s="14"/>
      <c r="Q766" s="15">
        <v>45720</v>
      </c>
      <c r="R766" s="14"/>
      <c r="S766" s="16"/>
      <c r="T766" s="14"/>
      <c r="U766" s="14">
        <v>2</v>
      </c>
      <c r="V766" s="14" t="s">
        <v>569</v>
      </c>
      <c r="W766" s="14" t="s">
        <v>37</v>
      </c>
      <c r="X766" s="13">
        <v>45742</v>
      </c>
      <c r="Y766" s="13"/>
      <c r="AB766" t="s">
        <v>804</v>
      </c>
      <c r="AC766" t="e">
        <v>#N/A</v>
      </c>
      <c r="AE766" t="str">
        <f t="shared" si="95"/>
        <v>P000025</v>
      </c>
      <c r="AF766" t="str">
        <f>_xlfn.XLOOKUP(AE766, Hoja2!A:A, Hoja2!A:A)</f>
        <v>P000025</v>
      </c>
      <c r="AG766" t="str">
        <f t="shared" si="96"/>
        <v>PP00027-01</v>
      </c>
      <c r="AH766">
        <f>_xlfn.XLOOKUP(AG766, Hoja3!A:A, Hoja3!B:B)</f>
        <v>4569</v>
      </c>
      <c r="AI766" t="str">
        <f>_xlfn.XLOOKUP(AH766, Hoja4!A:A, Hoja4!B:B)</f>
        <v>GP088845</v>
      </c>
      <c r="AJ766" t="b">
        <f t="shared" si="97"/>
        <v>1</v>
      </c>
    </row>
    <row r="767" spans="1:36" ht="15.5" customHeight="1" x14ac:dyDescent="0.35">
      <c r="A767">
        <f t="shared" ca="1" si="94"/>
        <v>29</v>
      </c>
      <c r="B767" s="12" t="s">
        <v>798</v>
      </c>
      <c r="C767" s="13">
        <v>45713</v>
      </c>
      <c r="D767" s="14" t="s">
        <v>121</v>
      </c>
      <c r="E767" s="14" t="s">
        <v>83</v>
      </c>
      <c r="F767" s="14" t="s">
        <v>101</v>
      </c>
      <c r="G767" s="14" t="s">
        <v>299</v>
      </c>
      <c r="H767" s="14" t="s">
        <v>132</v>
      </c>
      <c r="I767" s="14" t="s">
        <v>133</v>
      </c>
      <c r="J767" s="14" t="str">
        <f>IF(E767="KTG","KTG",(VLOOKUP(I767,'[1]list of outsource'!B:H,2,0)))</f>
        <v>UPM</v>
      </c>
      <c r="K767" s="14" t="s">
        <v>301</v>
      </c>
      <c r="L767" s="14">
        <v>26</v>
      </c>
      <c r="M767" s="14" t="s">
        <v>135</v>
      </c>
      <c r="N767" s="14" t="s">
        <v>799</v>
      </c>
      <c r="O767" s="14" t="s">
        <v>2370</v>
      </c>
      <c r="P767" s="14"/>
      <c r="Q767" s="15"/>
      <c r="R767" s="14"/>
      <c r="S767" s="16"/>
      <c r="T767" s="14"/>
      <c r="U767" s="14">
        <v>2</v>
      </c>
      <c r="V767" s="14" t="s">
        <v>569</v>
      </c>
      <c r="W767" s="14" t="s">
        <v>37</v>
      </c>
      <c r="X767" s="13">
        <v>45742</v>
      </c>
      <c r="Y767" s="13"/>
      <c r="AB767" t="e">
        <v>#N/A</v>
      </c>
      <c r="AC767" t="e">
        <v>#N/A</v>
      </c>
      <c r="AE767" t="str">
        <f t="shared" si="95"/>
        <v>P000028</v>
      </c>
      <c r="AF767" t="str">
        <f>_xlfn.XLOOKUP(AE767, Hoja2!A:A, Hoja2!A:A)</f>
        <v>P000028</v>
      </c>
      <c r="AG767" t="str">
        <f t="shared" si="96"/>
        <v>PP00027-06</v>
      </c>
      <c r="AH767">
        <f>_xlfn.XLOOKUP(AG767, Hoja3!A:A, Hoja3!B:B)</f>
        <v>4572</v>
      </c>
      <c r="AI767" t="str">
        <f>_xlfn.XLOOKUP(AH767, Hoja4!A:A, Hoja4!B:B)</f>
        <v>GP085283</v>
      </c>
      <c r="AJ767" t="b">
        <f t="shared" si="97"/>
        <v>1</v>
      </c>
    </row>
    <row r="768" spans="1:36" ht="15.5" customHeight="1" x14ac:dyDescent="0.35">
      <c r="A768">
        <f t="shared" ca="1" si="94"/>
        <v>29</v>
      </c>
      <c r="B768" s="12" t="s">
        <v>1102</v>
      </c>
      <c r="C768" s="13">
        <v>45713</v>
      </c>
      <c r="D768" s="14" t="s">
        <v>121</v>
      </c>
      <c r="E768" s="14" t="s">
        <v>83</v>
      </c>
      <c r="F768" s="14" t="s">
        <v>101</v>
      </c>
      <c r="G768" s="14" t="s">
        <v>299</v>
      </c>
      <c r="H768" s="14" t="s">
        <v>1103</v>
      </c>
      <c r="I768" s="14" t="s">
        <v>133</v>
      </c>
      <c r="J768" s="14" t="str">
        <f>IF(E768="KTG","KTG",(VLOOKUP(I768,'[1]list of outsource'!B:H,2,0)))</f>
        <v>UPM</v>
      </c>
      <c r="K768" s="14" t="s">
        <v>301</v>
      </c>
      <c r="L768" s="14">
        <v>26</v>
      </c>
      <c r="M768" s="14" t="s">
        <v>1104</v>
      </c>
      <c r="N768" s="14" t="s">
        <v>1105</v>
      </c>
      <c r="O768" s="14" t="s">
        <v>2371</v>
      </c>
      <c r="P768" s="14"/>
      <c r="Q768" s="15"/>
      <c r="R768" s="14"/>
      <c r="S768" s="16"/>
      <c r="T768" s="14"/>
      <c r="U768" s="14">
        <v>2</v>
      </c>
      <c r="V768" s="14" t="s">
        <v>569</v>
      </c>
      <c r="W768" s="14" t="s">
        <v>37</v>
      </c>
      <c r="X768" s="13">
        <v>45742</v>
      </c>
      <c r="Y768" s="13"/>
      <c r="AB768" t="e">
        <v>#N/A</v>
      </c>
      <c r="AC768" t="s">
        <v>4209</v>
      </c>
      <c r="AE768" t="str">
        <f t="shared" si="95"/>
        <v>P000029</v>
      </c>
      <c r="AF768" t="str">
        <f>_xlfn.XLOOKUP(AE768, Hoja2!A:A, Hoja2!A:A)</f>
        <v>P000029</v>
      </c>
      <c r="AG768" t="str">
        <f t="shared" si="96"/>
        <v>PP00027-07</v>
      </c>
      <c r="AH768">
        <f>_xlfn.XLOOKUP(AG768, Hoja3!A:A, Hoja3!B:B)</f>
        <v>4573</v>
      </c>
      <c r="AI768" t="str">
        <f>_xlfn.XLOOKUP(AH768, Hoja4!A:A, Hoja4!B:B)</f>
        <v>GP088848</v>
      </c>
      <c r="AJ768" t="b">
        <f t="shared" si="97"/>
        <v>1</v>
      </c>
    </row>
    <row r="769" spans="1:36" ht="15.5" customHeight="1" x14ac:dyDescent="0.35">
      <c r="A769">
        <f t="shared" ca="1" si="94"/>
        <v>29</v>
      </c>
      <c r="B769" s="12" t="s">
        <v>796</v>
      </c>
      <c r="C769" s="13">
        <v>45713</v>
      </c>
      <c r="D769" s="14" t="s">
        <v>121</v>
      </c>
      <c r="E769" s="14" t="s">
        <v>83</v>
      </c>
      <c r="F769" s="14" t="s">
        <v>101</v>
      </c>
      <c r="G769" s="14" t="s">
        <v>299</v>
      </c>
      <c r="H769" s="14" t="s">
        <v>756</v>
      </c>
      <c r="I769" s="14" t="s">
        <v>133</v>
      </c>
      <c r="J769" s="14" t="str">
        <f>IF(E769="KTG","KTG",(VLOOKUP(I769,'[1]list of outsource'!B:H,2,0)))</f>
        <v>UPM</v>
      </c>
      <c r="K769" s="14" t="s">
        <v>301</v>
      </c>
      <c r="L769" s="14">
        <v>26</v>
      </c>
      <c r="M769" s="14" t="s">
        <v>757</v>
      </c>
      <c r="N769" s="14" t="s">
        <v>797</v>
      </c>
      <c r="O769" s="14" t="s">
        <v>2372</v>
      </c>
      <c r="P769" s="14"/>
      <c r="Q769" s="15"/>
      <c r="R769" s="14"/>
      <c r="S769" s="16"/>
      <c r="T769" s="14"/>
      <c r="U769" s="14">
        <v>4</v>
      </c>
      <c r="V769" s="14" t="s">
        <v>569</v>
      </c>
      <c r="W769" s="14" t="s">
        <v>37</v>
      </c>
      <c r="X769" s="13">
        <v>45742</v>
      </c>
      <c r="Y769" s="13"/>
      <c r="AB769" t="e">
        <v>#N/A</v>
      </c>
      <c r="AC769" t="e">
        <v>#N/A</v>
      </c>
      <c r="AE769" t="str">
        <f t="shared" si="95"/>
        <v>P000027</v>
      </c>
      <c r="AF769" t="str">
        <f>_xlfn.XLOOKUP(AE769, Hoja2!A:A, Hoja2!A:A)</f>
        <v>P000027</v>
      </c>
      <c r="AG769" t="str">
        <f t="shared" si="96"/>
        <v>PP00027-05</v>
      </c>
      <c r="AH769">
        <f>_xlfn.XLOOKUP(AG769, Hoja3!A:A, Hoja3!B:B)</f>
        <v>4571</v>
      </c>
      <c r="AI769" t="str">
        <f>_xlfn.XLOOKUP(AH769, Hoja4!A:A, Hoja4!B:B)</f>
        <v>GP088847</v>
      </c>
      <c r="AJ769" t="b">
        <f t="shared" si="97"/>
        <v>1</v>
      </c>
    </row>
    <row r="770" spans="1:36" ht="15.5" customHeight="1" x14ac:dyDescent="0.35">
      <c r="A770">
        <f t="shared" ref="A770:A833" ca="1" si="98">IF(X770="",(TODAY()-C770),(X770-C770))</f>
        <v>5</v>
      </c>
      <c r="B770" s="12" t="s">
        <v>1889</v>
      </c>
      <c r="C770" s="13">
        <v>45715</v>
      </c>
      <c r="D770" s="14" t="s">
        <v>121</v>
      </c>
      <c r="E770" s="14" t="s">
        <v>83</v>
      </c>
      <c r="F770" s="14" t="s">
        <v>1890</v>
      </c>
      <c r="G770" s="14" t="s">
        <v>32</v>
      </c>
      <c r="H770" s="14" t="s">
        <v>2373</v>
      </c>
      <c r="I770" s="14" t="s">
        <v>1892</v>
      </c>
      <c r="J770" s="14" t="str">
        <f>IF(E770="KTG","KTG",(VLOOKUP(I770,'[1]list of outsource'!B:H,2,0)))</f>
        <v>ETC design and Kebao manufacture</v>
      </c>
      <c r="K770" s="14" t="s">
        <v>1893</v>
      </c>
      <c r="L770" s="14">
        <v>9</v>
      </c>
      <c r="M770" s="14" t="s">
        <v>1894</v>
      </c>
      <c r="N770" s="14" t="s">
        <v>1895</v>
      </c>
      <c r="O770" s="14" t="s">
        <v>1896</v>
      </c>
      <c r="P770" s="14"/>
      <c r="Q770" s="15"/>
      <c r="R770" s="14"/>
      <c r="S770" s="16"/>
      <c r="T770" s="14"/>
      <c r="U770" s="14">
        <v>4</v>
      </c>
      <c r="V770" s="14" t="s">
        <v>879</v>
      </c>
      <c r="W770" s="14" t="s">
        <v>37</v>
      </c>
      <c r="X770" s="13">
        <v>45720</v>
      </c>
      <c r="Y770" s="13"/>
      <c r="AB770" t="e">
        <v>#N/A</v>
      </c>
      <c r="AC770" t="e">
        <v>#N/A</v>
      </c>
      <c r="AE770" t="str">
        <f t="shared" si="95"/>
        <v>P000929</v>
      </c>
      <c r="AF770" t="str">
        <f>_xlfn.XLOOKUP(AE770, Hoja2!A:A, Hoja2!A:A)</f>
        <v>P000929</v>
      </c>
      <c r="AG770" t="str">
        <f t="shared" si="96"/>
        <v>PP00058-01</v>
      </c>
      <c r="AH770">
        <v>4304</v>
      </c>
      <c r="AI770" t="str">
        <f>_xlfn.XLOOKUP(AH770, Hoja4!A:A, Hoja4!B:B)</f>
        <v>8M01760168M</v>
      </c>
      <c r="AJ770" t="b">
        <f t="shared" si="97"/>
        <v>1</v>
      </c>
    </row>
    <row r="771" spans="1:36" ht="15.5" customHeight="1" x14ac:dyDescent="0.35">
      <c r="A771">
        <f t="shared" ca="1" si="98"/>
        <v>5</v>
      </c>
      <c r="B771" s="12" t="s">
        <v>1897</v>
      </c>
      <c r="C771" s="13">
        <v>45715</v>
      </c>
      <c r="D771" s="14" t="s">
        <v>121</v>
      </c>
      <c r="E771" s="14" t="s">
        <v>83</v>
      </c>
      <c r="F771" s="14" t="s">
        <v>1890</v>
      </c>
      <c r="G771" s="14" t="s">
        <v>32</v>
      </c>
      <c r="H771" s="14" t="s">
        <v>2374</v>
      </c>
      <c r="I771" s="14" t="s">
        <v>1892</v>
      </c>
      <c r="J771" s="14" t="str">
        <f>IF(E771="KTG","KTG",(VLOOKUP(I771,'[1]list of outsource'!B:H,2,0)))</f>
        <v>ETC design and Kebao manufacture</v>
      </c>
      <c r="K771" s="14" t="s">
        <v>1893</v>
      </c>
      <c r="L771" s="14">
        <v>9</v>
      </c>
      <c r="M771" s="14" t="s">
        <v>1899</v>
      </c>
      <c r="N771" s="14" t="s">
        <v>1900</v>
      </c>
      <c r="O771" s="14" t="s">
        <v>1901</v>
      </c>
      <c r="P771" s="14"/>
      <c r="Q771" s="15"/>
      <c r="R771" s="14"/>
      <c r="S771" s="16"/>
      <c r="T771" s="14"/>
      <c r="U771" s="14">
        <v>4</v>
      </c>
      <c r="V771" s="14" t="s">
        <v>879</v>
      </c>
      <c r="W771" s="14" t="s">
        <v>37</v>
      </c>
      <c r="X771" s="13">
        <v>45720</v>
      </c>
      <c r="Y771" s="13"/>
      <c r="AB771" t="e">
        <v>#N/A</v>
      </c>
      <c r="AC771" t="e">
        <v>#N/A</v>
      </c>
      <c r="AE771" t="str">
        <f t="shared" ref="AE771:AE834" si="99">LEFT(M771, FIND(" ", M771 &amp; " ") - 1)</f>
        <v>P000928</v>
      </c>
      <c r="AF771" t="str">
        <f>_xlfn.XLOOKUP(AE771, Hoja2!A:A, Hoja2!A:A)</f>
        <v>P000928</v>
      </c>
      <c r="AG771" t="str">
        <f t="shared" si="96"/>
        <v>PP00058-02</v>
      </c>
      <c r="AH771">
        <v>4302</v>
      </c>
      <c r="AI771" t="str">
        <f>_xlfn.XLOOKUP(AH771, Hoja4!A:A, Hoja4!B:B)</f>
        <v>8M01760167M</v>
      </c>
      <c r="AJ771" t="b">
        <f t="shared" si="97"/>
        <v>1</v>
      </c>
    </row>
    <row r="772" spans="1:36" ht="15.5" customHeight="1" x14ac:dyDescent="0.35">
      <c r="A772">
        <f t="shared" ca="1" si="98"/>
        <v>5</v>
      </c>
      <c r="B772" s="12" t="s">
        <v>1902</v>
      </c>
      <c r="C772" s="13">
        <v>45715</v>
      </c>
      <c r="D772" s="14" t="s">
        <v>121</v>
      </c>
      <c r="E772" s="14" t="s">
        <v>83</v>
      </c>
      <c r="F772" s="14" t="s">
        <v>1890</v>
      </c>
      <c r="G772" s="14" t="s">
        <v>32</v>
      </c>
      <c r="H772" s="14" t="s">
        <v>2375</v>
      </c>
      <c r="I772" s="14" t="s">
        <v>133</v>
      </c>
      <c r="J772" s="14" t="str">
        <f>IF(E772="KTG","KTG",(VLOOKUP(I772,'[1]list of outsource'!B:H,2,0)))</f>
        <v>UPM</v>
      </c>
      <c r="K772" s="14" t="s">
        <v>301</v>
      </c>
      <c r="L772" s="14">
        <v>25</v>
      </c>
      <c r="M772" s="14" t="s">
        <v>1104</v>
      </c>
      <c r="N772" s="14" t="s">
        <v>1903</v>
      </c>
      <c r="O772" s="14" t="s">
        <v>1904</v>
      </c>
      <c r="P772" s="14"/>
      <c r="Q772" s="15"/>
      <c r="R772" s="14"/>
      <c r="S772" s="16"/>
      <c r="T772" s="14"/>
      <c r="U772" s="14">
        <v>4</v>
      </c>
      <c r="V772" s="14" t="s">
        <v>879</v>
      </c>
      <c r="W772" s="14" t="s">
        <v>37</v>
      </c>
      <c r="X772" s="13">
        <v>45720</v>
      </c>
      <c r="Y772" s="13"/>
      <c r="AB772" t="e">
        <v>#N/A</v>
      </c>
      <c r="AC772" t="e">
        <v>#N/A</v>
      </c>
      <c r="AE772" t="str">
        <f t="shared" si="99"/>
        <v>P000029</v>
      </c>
      <c r="AF772" t="str">
        <f>_xlfn.XLOOKUP(AE772, Hoja2!A:A, Hoja2!A:A)</f>
        <v>P000029</v>
      </c>
      <c r="AG772" t="str">
        <f t="shared" si="96"/>
        <v>PP00058-03</v>
      </c>
      <c r="AH772">
        <v>4300</v>
      </c>
      <c r="AI772" t="str">
        <f>_xlfn.XLOOKUP(AH772, Hoja4!A:A, Hoja4!B:B)</f>
        <v>8001113010M</v>
      </c>
      <c r="AJ772" t="b">
        <f t="shared" si="97"/>
        <v>1</v>
      </c>
    </row>
    <row r="773" spans="1:36" ht="15.5" customHeight="1" x14ac:dyDescent="0.35">
      <c r="A773">
        <f t="shared" ca="1" si="98"/>
        <v>5</v>
      </c>
      <c r="B773" s="12" t="s">
        <v>1905</v>
      </c>
      <c r="C773" s="13">
        <v>45715</v>
      </c>
      <c r="D773" s="14" t="s">
        <v>121</v>
      </c>
      <c r="E773" s="14" t="s">
        <v>83</v>
      </c>
      <c r="F773" s="14" t="s">
        <v>1890</v>
      </c>
      <c r="G773" s="14" t="s">
        <v>32</v>
      </c>
      <c r="H773" s="14" t="s">
        <v>2376</v>
      </c>
      <c r="I773" s="14" t="s">
        <v>133</v>
      </c>
      <c r="J773" s="14" t="str">
        <f>IF(E773="KTG","KTG",(VLOOKUP(I773,'[1]list of outsource'!B:H,2,0)))</f>
        <v>UPM</v>
      </c>
      <c r="K773" s="14" t="s">
        <v>301</v>
      </c>
      <c r="L773" s="14">
        <v>25</v>
      </c>
      <c r="M773" s="14" t="s">
        <v>135</v>
      </c>
      <c r="N773" s="14" t="s">
        <v>1906</v>
      </c>
      <c r="O773" s="14" t="s">
        <v>1907</v>
      </c>
      <c r="P773" s="14"/>
      <c r="Q773" s="15"/>
      <c r="R773" s="14"/>
      <c r="S773" s="16"/>
      <c r="T773" s="14"/>
      <c r="U773" s="14">
        <v>4</v>
      </c>
      <c r="V773" s="14" t="s">
        <v>879</v>
      </c>
      <c r="W773" s="14" t="s">
        <v>37</v>
      </c>
      <c r="X773" s="13">
        <v>45720</v>
      </c>
      <c r="Y773" s="13"/>
      <c r="AB773" t="e">
        <v>#N/A</v>
      </c>
      <c r="AC773" t="e">
        <v>#N/A</v>
      </c>
      <c r="AE773" t="str">
        <f t="shared" si="99"/>
        <v>P000028</v>
      </c>
      <c r="AF773" t="str">
        <f>_xlfn.XLOOKUP(AE773, Hoja2!A:A, Hoja2!A:A)</f>
        <v>P000028</v>
      </c>
      <c r="AG773" t="str">
        <f t="shared" si="96"/>
        <v>PP00058-04</v>
      </c>
      <c r="AH773">
        <v>4298</v>
      </c>
      <c r="AI773" t="str">
        <f>_xlfn.XLOOKUP(AH773, Hoja4!A:A, Hoja4!B:B)</f>
        <v>8001113009M</v>
      </c>
      <c r="AJ773" t="b">
        <f t="shared" si="97"/>
        <v>1</v>
      </c>
    </row>
    <row r="774" spans="1:36" ht="15.5" customHeight="1" x14ac:dyDescent="0.35">
      <c r="A774">
        <f t="shared" ca="1" si="98"/>
        <v>5</v>
      </c>
      <c r="B774" s="12" t="s">
        <v>1908</v>
      </c>
      <c r="C774" s="13">
        <v>45715</v>
      </c>
      <c r="D774" s="14" t="s">
        <v>121</v>
      </c>
      <c r="E774" s="14" t="s">
        <v>83</v>
      </c>
      <c r="F774" s="14" t="s">
        <v>1890</v>
      </c>
      <c r="G774" s="14" t="s">
        <v>32</v>
      </c>
      <c r="H774" s="14" t="s">
        <v>2377</v>
      </c>
      <c r="I774" s="14" t="s">
        <v>133</v>
      </c>
      <c r="J774" s="14" t="str">
        <f>IF(E774="KTG","KTG",(VLOOKUP(I774,'[1]list of outsource'!B:H,2,0)))</f>
        <v>UPM</v>
      </c>
      <c r="K774" s="14" t="s">
        <v>301</v>
      </c>
      <c r="L774" s="14">
        <v>25</v>
      </c>
      <c r="M774" s="14" t="s">
        <v>807</v>
      </c>
      <c r="N774" s="14" t="s">
        <v>1909</v>
      </c>
      <c r="O774" s="14" t="s">
        <v>1910</v>
      </c>
      <c r="P774" s="14"/>
      <c r="Q774" s="15"/>
      <c r="R774" s="14"/>
      <c r="S774" s="16"/>
      <c r="T774" s="14"/>
      <c r="U774" s="14">
        <v>4</v>
      </c>
      <c r="V774" s="14" t="s">
        <v>879</v>
      </c>
      <c r="W774" s="14" t="s">
        <v>37</v>
      </c>
      <c r="X774" s="13">
        <v>45720</v>
      </c>
      <c r="Y774" s="13"/>
      <c r="AB774" t="e">
        <v>#N/A</v>
      </c>
      <c r="AC774" t="e">
        <v>#N/A</v>
      </c>
      <c r="AE774" t="str">
        <f t="shared" si="99"/>
        <v>P100355</v>
      </c>
      <c r="AF774" t="str">
        <f>_xlfn.XLOOKUP(AE774, Hoja2!A:A, Hoja2!A:A)</f>
        <v>P100355</v>
      </c>
      <c r="AG774" t="str">
        <f t="shared" si="96"/>
        <v>PP00058-05</v>
      </c>
      <c r="AH774">
        <v>4306</v>
      </c>
      <c r="AI774" t="str">
        <f>_xlfn.XLOOKUP(AH774, Hoja4!A:A, Hoja4!B:B)</f>
        <v>8001113005M</v>
      </c>
      <c r="AJ774" t="b">
        <f t="shared" si="97"/>
        <v>1</v>
      </c>
    </row>
    <row r="775" spans="1:36" ht="15.5" customHeight="1" x14ac:dyDescent="0.35">
      <c r="A775">
        <f t="shared" ca="1" si="98"/>
        <v>5</v>
      </c>
      <c r="B775" s="12" t="s">
        <v>1911</v>
      </c>
      <c r="C775" s="13">
        <v>45715</v>
      </c>
      <c r="D775" s="14" t="s">
        <v>121</v>
      </c>
      <c r="E775" s="14" t="s">
        <v>83</v>
      </c>
      <c r="F775" s="14" t="s">
        <v>1890</v>
      </c>
      <c r="G775" s="14" t="s">
        <v>32</v>
      </c>
      <c r="H775" s="14" t="s">
        <v>2378</v>
      </c>
      <c r="I775" s="14" t="s">
        <v>133</v>
      </c>
      <c r="J775" s="14" t="str">
        <f>IF(E775="KTG","KTG",(VLOOKUP(I775,'[1]list of outsource'!B:H,2,0)))</f>
        <v>UPM</v>
      </c>
      <c r="K775" s="14" t="s">
        <v>301</v>
      </c>
      <c r="L775" s="14">
        <v>25</v>
      </c>
      <c r="M775" s="14" t="s">
        <v>757</v>
      </c>
      <c r="N775" s="14" t="s">
        <v>1912</v>
      </c>
      <c r="O775" s="14" t="s">
        <v>1913</v>
      </c>
      <c r="P775" s="14"/>
      <c r="Q775" s="15"/>
      <c r="R775" s="14"/>
      <c r="S775" s="16"/>
      <c r="T775" s="14"/>
      <c r="U775" s="14">
        <v>4</v>
      </c>
      <c r="V775" s="14" t="s">
        <v>879</v>
      </c>
      <c r="W775" s="14" t="s">
        <v>37</v>
      </c>
      <c r="X775" s="13">
        <v>45720</v>
      </c>
      <c r="Y775" s="13"/>
      <c r="AB775" t="e">
        <v>#N/A</v>
      </c>
      <c r="AC775" t="e">
        <v>#N/A</v>
      </c>
      <c r="AE775" t="str">
        <f t="shared" si="99"/>
        <v>P000027</v>
      </c>
      <c r="AF775" t="str">
        <f>_xlfn.XLOOKUP(AE775, Hoja2!A:A, Hoja2!A:A)</f>
        <v>P000027</v>
      </c>
      <c r="AG775" t="str">
        <f t="shared" si="96"/>
        <v>PP00058-06</v>
      </c>
      <c r="AH775">
        <v>4296</v>
      </c>
      <c r="AI775" t="str">
        <f>_xlfn.XLOOKUP(AH775, Hoja4!A:A, Hoja4!B:B)</f>
        <v>8001113008M</v>
      </c>
      <c r="AJ775" t="b">
        <f t="shared" si="97"/>
        <v>1</v>
      </c>
    </row>
    <row r="776" spans="1:36" ht="15.5" customHeight="1" x14ac:dyDescent="0.35">
      <c r="A776">
        <f t="shared" ca="1" si="98"/>
        <v>7</v>
      </c>
      <c r="B776" s="6" t="s">
        <v>2379</v>
      </c>
      <c r="C776" s="7">
        <v>45635</v>
      </c>
      <c r="D776" s="6" t="s">
        <v>912</v>
      </c>
      <c r="E776" s="6" t="s">
        <v>139</v>
      </c>
      <c r="F776" s="6" t="s">
        <v>658</v>
      </c>
      <c r="G776" s="6" t="s">
        <v>32</v>
      </c>
      <c r="H776" s="6">
        <v>35738185</v>
      </c>
      <c r="I776" s="6" t="s">
        <v>402</v>
      </c>
      <c r="J776" s="6" t="str">
        <f>IF(E776="KTG","KTG",(VLOOKUP(I776,'[1]list of outsource'!B:H,2,0)))</f>
        <v>ETC</v>
      </c>
      <c r="K776" s="6" t="s">
        <v>403</v>
      </c>
      <c r="L776" s="6">
        <v>65</v>
      </c>
      <c r="M776" s="6" t="s">
        <v>1318</v>
      </c>
      <c r="N776" s="6" t="s">
        <v>1319</v>
      </c>
      <c r="O776" s="6" t="s">
        <v>2380</v>
      </c>
      <c r="P776" s="6"/>
      <c r="Q776" s="8"/>
      <c r="R776" s="6"/>
      <c r="S776" s="6"/>
      <c r="T776" s="6"/>
      <c r="U776" s="6">
        <v>4</v>
      </c>
      <c r="V776" s="6" t="s">
        <v>665</v>
      </c>
      <c r="W776" s="6" t="s">
        <v>37</v>
      </c>
      <c r="X776" s="7">
        <v>45642</v>
      </c>
      <c r="Y776" s="7">
        <v>45642</v>
      </c>
      <c r="AB776" t="e">
        <v>#N/A</v>
      </c>
      <c r="AC776" t="e">
        <v>#N/A</v>
      </c>
      <c r="AE776" t="str">
        <f t="shared" si="99"/>
        <v>P000352</v>
      </c>
      <c r="AF776" t="str">
        <f>_xlfn.XLOOKUP(AE776, Hoja2!A:A, Hoja2!A:A)</f>
        <v>P000352</v>
      </c>
      <c r="AG776" t="str">
        <f t="shared" si="96"/>
        <v>PP00034-41</v>
      </c>
      <c r="AH776">
        <f>_xlfn.XLOOKUP(AG776, Hoja3!A:A, Hoja3!B:B)</f>
        <v>4781</v>
      </c>
      <c r="AI776">
        <f>_xlfn.XLOOKUP(AH776, Hoja4!A:A, Hoja4!B:B)</f>
        <v>35738185</v>
      </c>
      <c r="AJ776" t="b">
        <f t="shared" si="97"/>
        <v>1</v>
      </c>
    </row>
    <row r="777" spans="1:36" ht="15.5" customHeight="1" x14ac:dyDescent="0.35">
      <c r="A777">
        <f t="shared" ca="1" si="98"/>
        <v>2</v>
      </c>
      <c r="B777" s="6" t="s">
        <v>2368</v>
      </c>
      <c r="C777" s="7">
        <v>45791</v>
      </c>
      <c r="D777" s="6" t="s">
        <v>564</v>
      </c>
      <c r="E777" s="6" t="s">
        <v>83</v>
      </c>
      <c r="F777" s="6" t="s">
        <v>84</v>
      </c>
      <c r="G777" s="6" t="s">
        <v>156</v>
      </c>
      <c r="H777" s="6" t="s">
        <v>263</v>
      </c>
      <c r="I777" s="6" t="s">
        <v>176</v>
      </c>
      <c r="J777" s="6" t="str">
        <f>IF(E777="KTG","KTG",(VLOOKUP(I777,'[1]list of outsource'!B:H,2,0)))</f>
        <v>UPM</v>
      </c>
      <c r="K777" s="6" t="s">
        <v>177</v>
      </c>
      <c r="L777" s="6">
        <v>14</v>
      </c>
      <c r="M777" s="6" t="s">
        <v>264</v>
      </c>
      <c r="N777" s="6" t="s">
        <v>265</v>
      </c>
      <c r="O777" s="6" t="s">
        <v>2381</v>
      </c>
      <c r="P777" s="6"/>
      <c r="Q777" s="8"/>
      <c r="R777" s="6"/>
      <c r="S777" s="6"/>
      <c r="T777" s="6"/>
      <c r="U777" s="6">
        <v>1</v>
      </c>
      <c r="V777" s="6" t="s">
        <v>569</v>
      </c>
      <c r="W777" s="6" t="s">
        <v>154</v>
      </c>
      <c r="X777" s="7">
        <v>45793</v>
      </c>
      <c r="Y777" s="7">
        <v>45806</v>
      </c>
      <c r="AB777" t="e">
        <v>#N/A</v>
      </c>
      <c r="AC777" t="e">
        <v>#N/A</v>
      </c>
      <c r="AE777" t="str">
        <f t="shared" si="99"/>
        <v>P000151</v>
      </c>
      <c r="AF777" t="str">
        <f>_xlfn.XLOOKUP(AE777, Hoja2!A:A, Hoja2!A:A)</f>
        <v>P000151</v>
      </c>
      <c r="AG777" t="str">
        <f t="shared" si="96"/>
        <v>PP00028-53</v>
      </c>
      <c r="AH777">
        <f>_xlfn.XLOOKUP(AG777, Hoja3!A:A, Hoja3!B:B)</f>
        <v>5380</v>
      </c>
      <c r="AI777" t="str">
        <f>_xlfn.XLOOKUP(AH777, Hoja4!A:A, Hoja4!B:B)</f>
        <v>E35099300</v>
      </c>
      <c r="AJ777" t="b">
        <f t="shared" si="97"/>
        <v>1</v>
      </c>
    </row>
    <row r="778" spans="1:36" ht="15.5" customHeight="1" x14ac:dyDescent="0.35">
      <c r="A778">
        <f t="shared" ca="1" si="98"/>
        <v>26</v>
      </c>
      <c r="B778" s="12" t="s">
        <v>1247</v>
      </c>
      <c r="C778" s="13">
        <v>45722</v>
      </c>
      <c r="D778" s="14" t="s">
        <v>121</v>
      </c>
      <c r="E778" s="14" t="s">
        <v>83</v>
      </c>
      <c r="F778" s="14" t="s">
        <v>441</v>
      </c>
      <c r="G778" s="14" t="s">
        <v>32</v>
      </c>
      <c r="H778" s="14" t="s">
        <v>442</v>
      </c>
      <c r="I778" s="14" t="s">
        <v>95</v>
      </c>
      <c r="J778" s="14" t="str">
        <f>IF(E778="KTG","KTG",(VLOOKUP(I778,'[1]list of outsource'!B:H,2,0)))</f>
        <v>Woer</v>
      </c>
      <c r="K778" s="14" t="s">
        <v>96</v>
      </c>
      <c r="L778" s="14">
        <v>39</v>
      </c>
      <c r="M778" s="14" t="s">
        <v>443</v>
      </c>
      <c r="N778" s="14" t="s">
        <v>444</v>
      </c>
      <c r="O778" s="14" t="s">
        <v>2382</v>
      </c>
      <c r="P778" s="14" t="s">
        <v>575</v>
      </c>
      <c r="Q778" s="15"/>
      <c r="R778" s="14"/>
      <c r="S778" s="16"/>
      <c r="T778" s="14"/>
      <c r="U778" s="14">
        <v>1</v>
      </c>
      <c r="V778" s="14" t="s">
        <v>879</v>
      </c>
      <c r="W778" s="14" t="s">
        <v>154</v>
      </c>
      <c r="X778" s="13">
        <v>45748</v>
      </c>
      <c r="Y778" s="13"/>
      <c r="AB778" t="e">
        <v>#N/A</v>
      </c>
      <c r="AC778" t="e">
        <v>#N/A</v>
      </c>
      <c r="AE778" t="str">
        <f t="shared" si="99"/>
        <v>P000110</v>
      </c>
      <c r="AF778" t="str">
        <f>_xlfn.XLOOKUP(AE778, Hoja2!A:A, Hoja2!A:A)</f>
        <v>P000110</v>
      </c>
      <c r="AG778" t="str">
        <f t="shared" si="96"/>
        <v>PP00025-01</v>
      </c>
      <c r="AH778">
        <v>75</v>
      </c>
      <c r="AI778" t="str">
        <f>_xlfn.XLOOKUP(AH778, Hoja4!A:A, Hoja4!B:B)</f>
        <v>ZRM-982381-20</v>
      </c>
      <c r="AJ778" t="b">
        <f t="shared" si="97"/>
        <v>1</v>
      </c>
    </row>
    <row r="779" spans="1:36" ht="15.5" customHeight="1" x14ac:dyDescent="0.35">
      <c r="A779">
        <f t="shared" ca="1" si="98"/>
        <v>26</v>
      </c>
      <c r="B779" s="12" t="s">
        <v>1248</v>
      </c>
      <c r="C779" s="13">
        <v>45722</v>
      </c>
      <c r="D779" s="14" t="s">
        <v>121</v>
      </c>
      <c r="E779" s="14" t="s">
        <v>83</v>
      </c>
      <c r="F779" s="14" t="s">
        <v>441</v>
      </c>
      <c r="G779" s="14" t="s">
        <v>32</v>
      </c>
      <c r="H779" s="14" t="s">
        <v>446</v>
      </c>
      <c r="I779" s="14" t="s">
        <v>447</v>
      </c>
      <c r="J779" s="14" t="str">
        <f>IF(E779="KTG","KTG",(VLOOKUP(I779,'[1]list of outsource'!B:H,2,0)))</f>
        <v>UPM</v>
      </c>
      <c r="K779" s="14" t="s">
        <v>448</v>
      </c>
      <c r="L779" s="14">
        <v>6</v>
      </c>
      <c r="M779" s="14" t="s">
        <v>449</v>
      </c>
      <c r="N779" s="14" t="s">
        <v>450</v>
      </c>
      <c r="O779" s="14" t="s">
        <v>2383</v>
      </c>
      <c r="P779" s="14"/>
      <c r="Q779" s="15"/>
      <c r="R779" s="14"/>
      <c r="S779" s="16"/>
      <c r="T779" s="14"/>
      <c r="U779" s="14">
        <v>1</v>
      </c>
      <c r="V779" s="14" t="s">
        <v>879</v>
      </c>
      <c r="W779" s="14" t="s">
        <v>154</v>
      </c>
      <c r="X779" s="13">
        <v>45748</v>
      </c>
      <c r="Y779" s="13"/>
      <c r="AB779">
        <v>0</v>
      </c>
      <c r="AC779" t="e">
        <v>#N/A</v>
      </c>
      <c r="AE779" t="str">
        <f t="shared" si="99"/>
        <v>P000105</v>
      </c>
      <c r="AF779" t="str">
        <f>_xlfn.XLOOKUP(AE779, Hoja2!A:A, Hoja2!A:A)</f>
        <v>P000105</v>
      </c>
      <c r="AG779" t="str">
        <f t="shared" si="96"/>
        <v>PP00025-02</v>
      </c>
      <c r="AH779">
        <f>_xlfn.XLOOKUP(AG779, Hoja3!A:A, Hoja3!B:B)</f>
        <v>73</v>
      </c>
      <c r="AI779" t="str">
        <f>_xlfn.XLOOKUP(AH779, Hoja4!A:A, Hoja4!B:B)</f>
        <v>ZRM-982367-17</v>
      </c>
      <c r="AJ779" t="b">
        <f t="shared" si="97"/>
        <v>1</v>
      </c>
    </row>
    <row r="780" spans="1:36" ht="15.5" customHeight="1" x14ac:dyDescent="0.35">
      <c r="A780">
        <f t="shared" ca="1" si="98"/>
        <v>26</v>
      </c>
      <c r="B780" s="12" t="s">
        <v>1253</v>
      </c>
      <c r="C780" s="13">
        <v>45722</v>
      </c>
      <c r="D780" s="14" t="s">
        <v>121</v>
      </c>
      <c r="E780" s="14" t="s">
        <v>83</v>
      </c>
      <c r="F780" s="14" t="s">
        <v>441</v>
      </c>
      <c r="G780" s="14" t="s">
        <v>32</v>
      </c>
      <c r="H780" s="14" t="s">
        <v>1254</v>
      </c>
      <c r="I780" s="14" t="s">
        <v>447</v>
      </c>
      <c r="J780" s="14" t="str">
        <f>IF(E780="KTG","KTG",(VLOOKUP(I780,'[1]list of outsource'!B:H,2,0)))</f>
        <v>UPM</v>
      </c>
      <c r="K780" s="14" t="s">
        <v>448</v>
      </c>
      <c r="L780" s="14">
        <v>6</v>
      </c>
      <c r="M780" s="14" t="s">
        <v>1255</v>
      </c>
      <c r="N780" s="14" t="s">
        <v>1256</v>
      </c>
      <c r="O780" s="14" t="s">
        <v>2384</v>
      </c>
      <c r="P780" s="14"/>
      <c r="Q780" s="15"/>
      <c r="R780" s="14"/>
      <c r="S780" s="16"/>
      <c r="T780" s="14"/>
      <c r="U780" s="14">
        <v>1</v>
      </c>
      <c r="V780" s="14" t="s">
        <v>879</v>
      </c>
      <c r="W780" s="14" t="s">
        <v>154</v>
      </c>
      <c r="X780" s="13">
        <v>45748</v>
      </c>
      <c r="Y780" s="13"/>
      <c r="AB780">
        <v>0</v>
      </c>
      <c r="AC780" t="e">
        <v>#N/A</v>
      </c>
      <c r="AE780" t="str">
        <f t="shared" si="99"/>
        <v>P000075</v>
      </c>
      <c r="AF780" t="str">
        <f>_xlfn.XLOOKUP(AE780, Hoja2!A:A, Hoja2!A:A)</f>
        <v>P000075</v>
      </c>
      <c r="AG780" t="str">
        <f t="shared" si="96"/>
        <v>PP00025-03</v>
      </c>
      <c r="AH780">
        <f>_xlfn.XLOOKUP(AG780, Hoja3!A:A, Hoja3!B:B)</f>
        <v>72</v>
      </c>
      <c r="AI780" t="str">
        <f>_xlfn.XLOOKUP(AH780, Hoja4!A:A, Hoja4!B:B)</f>
        <v>ZRM-982319-16</v>
      </c>
      <c r="AJ780" t="b">
        <f t="shared" si="97"/>
        <v>1</v>
      </c>
    </row>
    <row r="781" spans="1:36" ht="15.5" customHeight="1" x14ac:dyDescent="0.35">
      <c r="A781">
        <f t="shared" ca="1" si="98"/>
        <v>26</v>
      </c>
      <c r="B781" s="12" t="s">
        <v>1249</v>
      </c>
      <c r="C781" s="13">
        <v>45722</v>
      </c>
      <c r="D781" s="14" t="s">
        <v>121</v>
      </c>
      <c r="E781" s="14" t="s">
        <v>83</v>
      </c>
      <c r="F781" s="14" t="s">
        <v>441</v>
      </c>
      <c r="G781" s="14" t="s">
        <v>32</v>
      </c>
      <c r="H781" s="14" t="s">
        <v>1250</v>
      </c>
      <c r="I781" s="14" t="s">
        <v>95</v>
      </c>
      <c r="J781" s="14" t="str">
        <f>IF(E781="KTG","KTG",(VLOOKUP(I781,'[1]list of outsource'!B:H,2,0)))</f>
        <v>Woer</v>
      </c>
      <c r="K781" s="14" t="s">
        <v>96</v>
      </c>
      <c r="L781" s="14">
        <v>39</v>
      </c>
      <c r="M781" s="14" t="s">
        <v>248</v>
      </c>
      <c r="N781" s="14" t="s">
        <v>1251</v>
      </c>
      <c r="O781" s="14" t="s">
        <v>2385</v>
      </c>
      <c r="P781" s="14" t="s">
        <v>575</v>
      </c>
      <c r="Q781" s="15"/>
      <c r="R781" s="14"/>
      <c r="S781" s="16"/>
      <c r="T781" s="14"/>
      <c r="U781" s="14">
        <v>1</v>
      </c>
      <c r="V781" s="14" t="s">
        <v>569</v>
      </c>
      <c r="W781" s="14" t="s">
        <v>154</v>
      </c>
      <c r="X781" s="13">
        <v>45748</v>
      </c>
      <c r="Y781" s="13"/>
      <c r="AB781" t="s">
        <v>1252</v>
      </c>
      <c r="AC781" t="s">
        <v>4210</v>
      </c>
      <c r="AE781" t="str">
        <f t="shared" si="99"/>
        <v>P000107</v>
      </c>
      <c r="AF781" t="str">
        <f>_xlfn.XLOOKUP(AE781, Hoja2!A:A, Hoja2!A:A)</f>
        <v>P000107</v>
      </c>
      <c r="AG781" t="str">
        <f t="shared" si="96"/>
        <v>PP00025-04</v>
      </c>
      <c r="AH781">
        <f>_xlfn.XLOOKUP(AG781, Hoja3!A:A, Hoja3!B:B)</f>
        <v>74</v>
      </c>
      <c r="AI781" t="str">
        <f>_xlfn.XLOOKUP(AH781, Hoja4!A:A, Hoja4!B:B)</f>
        <v>ZRM-98845-11</v>
      </c>
      <c r="AJ781" t="b">
        <f t="shared" si="97"/>
        <v>1</v>
      </c>
    </row>
    <row r="782" spans="1:36" ht="15.5" customHeight="1" x14ac:dyDescent="0.35">
      <c r="A782">
        <f t="shared" ca="1" si="98"/>
        <v>1</v>
      </c>
      <c r="B782" s="12" t="s">
        <v>2143</v>
      </c>
      <c r="C782" s="13">
        <v>45726</v>
      </c>
      <c r="D782" s="14" t="s">
        <v>1947</v>
      </c>
      <c r="E782" s="14" t="s">
        <v>139</v>
      </c>
      <c r="F782" s="14" t="s">
        <v>2144</v>
      </c>
      <c r="G782" s="14" t="s">
        <v>126</v>
      </c>
      <c r="H782" s="14" t="s">
        <v>2386</v>
      </c>
      <c r="I782" s="14" t="s">
        <v>2146</v>
      </c>
      <c r="J782" s="14" t="e">
        <f>IF(E782="KTG","KTG",(VLOOKUP(I782,'[1]list of outsource'!B:H,2,0)))</f>
        <v>#N/A</v>
      </c>
      <c r="K782" s="14" t="s">
        <v>2147</v>
      </c>
      <c r="L782" s="14">
        <v>0</v>
      </c>
      <c r="M782" s="14" t="s">
        <v>2148</v>
      </c>
      <c r="N782" s="14" t="s">
        <v>2387</v>
      </c>
      <c r="O782" s="14" t="s">
        <v>2388</v>
      </c>
      <c r="P782" s="14"/>
      <c r="Q782" s="15"/>
      <c r="R782" s="14"/>
      <c r="S782" s="16"/>
      <c r="T782" s="14"/>
      <c r="U782" s="14" t="s">
        <v>348</v>
      </c>
      <c r="V782" s="14" t="s">
        <v>569</v>
      </c>
      <c r="W782" s="14" t="s">
        <v>1608</v>
      </c>
      <c r="X782" s="13">
        <v>45727</v>
      </c>
      <c r="Y782" s="13"/>
      <c r="AB782" t="e">
        <v>#N/A</v>
      </c>
      <c r="AC782" t="s">
        <v>4210</v>
      </c>
      <c r="AE782" t="str">
        <f t="shared" si="99"/>
        <v>P001006</v>
      </c>
      <c r="AF782" t="str">
        <f>_xlfn.XLOOKUP(AE782, Hoja2!A:A, Hoja2!A:A)</f>
        <v>P001006</v>
      </c>
      <c r="AG782" t="str">
        <f t="shared" si="96"/>
        <v>PP00065-01</v>
      </c>
      <c r="AH782">
        <v>4561</v>
      </c>
      <c r="AI782" t="str">
        <f>_xlfn.XLOOKUP(AH782, Hoja4!A:A, Hoja4!B:B)</f>
        <v>G8G1W5-101</v>
      </c>
      <c r="AJ782" t="b">
        <f t="shared" si="97"/>
        <v>1</v>
      </c>
    </row>
    <row r="783" spans="1:36" ht="15.5" customHeight="1" x14ac:dyDescent="0.35">
      <c r="A783">
        <f t="shared" ca="1" si="98"/>
        <v>34</v>
      </c>
      <c r="B783" s="12" t="s">
        <v>2389</v>
      </c>
      <c r="C783" s="13">
        <v>45302</v>
      </c>
      <c r="D783" s="14" t="s">
        <v>121</v>
      </c>
      <c r="E783" s="14" t="s">
        <v>83</v>
      </c>
      <c r="F783" s="14" t="s">
        <v>84</v>
      </c>
      <c r="G783" s="14" t="s">
        <v>156</v>
      </c>
      <c r="H783" s="14" t="s">
        <v>369</v>
      </c>
      <c r="I783" s="14" t="s">
        <v>340</v>
      </c>
      <c r="J783" s="14" t="str">
        <f>IF(E783="KTG","KTG",(VLOOKUP(I783,'[1]list of outsource'!B:H,2,0)))</f>
        <v>UPM</v>
      </c>
      <c r="K783" s="14" t="s">
        <v>341</v>
      </c>
      <c r="L783" s="14">
        <v>10</v>
      </c>
      <c r="M783" s="14" t="s">
        <v>370</v>
      </c>
      <c r="N783" s="14" t="s">
        <v>371</v>
      </c>
      <c r="O783" s="14">
        <v>1173445164</v>
      </c>
      <c r="P783" s="14"/>
      <c r="Q783" s="15" t="s">
        <v>575</v>
      </c>
      <c r="R783" s="14"/>
      <c r="S783" s="16"/>
      <c r="T783" s="14"/>
      <c r="U783" s="14">
        <v>1</v>
      </c>
      <c r="V783" s="14" t="s">
        <v>569</v>
      </c>
      <c r="W783" s="14" t="s">
        <v>154</v>
      </c>
      <c r="X783" s="13">
        <v>45336</v>
      </c>
      <c r="Y783" s="13"/>
      <c r="AB783" t="e">
        <v>#N/A</v>
      </c>
      <c r="AC783" t="s">
        <v>4210</v>
      </c>
      <c r="AE783" t="str">
        <f t="shared" si="99"/>
        <v>P000149</v>
      </c>
      <c r="AF783" t="str">
        <f>_xlfn.XLOOKUP(AE783, Hoja2!A:A, Hoja2!A:A)</f>
        <v>P000149</v>
      </c>
      <c r="AG783" t="str">
        <f t="shared" si="96"/>
        <v>PP00028-54</v>
      </c>
      <c r="AH783">
        <f>_xlfn.XLOOKUP(AG783, Hoja3!A:A, Hoja3!B:B)</f>
        <v>5381</v>
      </c>
      <c r="AI783" t="str">
        <f>_xlfn.XLOOKUP(AH783, Hoja4!A:A, Hoja4!B:B)</f>
        <v>E35101200</v>
      </c>
      <c r="AJ783" t="b">
        <f t="shared" si="97"/>
        <v>1</v>
      </c>
    </row>
    <row r="784" spans="1:36" ht="15.5" customHeight="1" x14ac:dyDescent="0.35">
      <c r="A784">
        <f t="shared" ca="1" si="98"/>
        <v>34</v>
      </c>
      <c r="B784" s="12" t="s">
        <v>2390</v>
      </c>
      <c r="C784" s="13">
        <v>45302</v>
      </c>
      <c r="D784" s="14" t="s">
        <v>121</v>
      </c>
      <c r="E784" s="14" t="s">
        <v>83</v>
      </c>
      <c r="F784" s="14" t="s">
        <v>84</v>
      </c>
      <c r="G784" s="14" t="s">
        <v>156</v>
      </c>
      <c r="H784" s="14" t="s">
        <v>227</v>
      </c>
      <c r="I784" s="14" t="s">
        <v>218</v>
      </c>
      <c r="J784" s="14" t="str">
        <f>IF(E784="KTG","KTG",(VLOOKUP(I784,'[1]list of outsource'!B:H,2,0)))</f>
        <v>UPM</v>
      </c>
      <c r="K784" s="14" t="s">
        <v>219</v>
      </c>
      <c r="L784" s="14">
        <v>10</v>
      </c>
      <c r="M784" s="14" t="s">
        <v>228</v>
      </c>
      <c r="N784" s="14" t="s">
        <v>229</v>
      </c>
      <c r="O784" s="14">
        <v>1153164534</v>
      </c>
      <c r="P784" s="14"/>
      <c r="Q784" s="15" t="s">
        <v>575</v>
      </c>
      <c r="R784" s="14"/>
      <c r="S784" s="16"/>
      <c r="T784" s="14"/>
      <c r="U784" s="14">
        <v>1</v>
      </c>
      <c r="V784" s="14" t="s">
        <v>569</v>
      </c>
      <c r="W784" s="14" t="s">
        <v>154</v>
      </c>
      <c r="X784" s="13">
        <v>45336</v>
      </c>
      <c r="Y784" s="13"/>
      <c r="AB784" t="e">
        <v>#N/A</v>
      </c>
      <c r="AC784" t="e">
        <v>#N/A</v>
      </c>
      <c r="AE784" t="str">
        <f t="shared" si="99"/>
        <v>P000131</v>
      </c>
      <c r="AF784" t="str">
        <f>_xlfn.XLOOKUP(AE784, Hoja2!A:A, Hoja2!A:A)</f>
        <v>P000131</v>
      </c>
      <c r="AG784" t="str">
        <f t="shared" ref="AG784:AG822" si="100">LEFT(B784, FIND(" ", B784 &amp; " ") - 1)</f>
        <v>PP00028-55</v>
      </c>
      <c r="AH784">
        <f>_xlfn.XLOOKUP(AG784, Hoja3!A:A, Hoja3!B:B)</f>
        <v>5383</v>
      </c>
      <c r="AI784" t="str">
        <f>_xlfn.XLOOKUP(AH784, Hoja4!A:A, Hoja4!B:B)</f>
        <v>E34748400</v>
      </c>
      <c r="AJ784" t="b">
        <f t="shared" ref="AJ784:AJ822" si="101">H784=AI784</f>
        <v>1</v>
      </c>
    </row>
    <row r="785" spans="1:36" ht="15.5" customHeight="1" x14ac:dyDescent="0.35">
      <c r="A785">
        <f t="shared" ca="1" si="98"/>
        <v>2</v>
      </c>
      <c r="B785" s="6" t="s">
        <v>2390</v>
      </c>
      <c r="C785" s="7">
        <v>45791</v>
      </c>
      <c r="D785" s="6" t="s">
        <v>564</v>
      </c>
      <c r="E785" s="6" t="s">
        <v>83</v>
      </c>
      <c r="F785" s="6" t="s">
        <v>84</v>
      </c>
      <c r="G785" s="6" t="s">
        <v>156</v>
      </c>
      <c r="H785" s="6" t="s">
        <v>227</v>
      </c>
      <c r="I785" s="6" t="s">
        <v>218</v>
      </c>
      <c r="J785" s="6" t="str">
        <f>IF(E785="KTG","KTG",(VLOOKUP(I785,'[1]list of outsource'!B:H,2,0)))</f>
        <v>UPM</v>
      </c>
      <c r="K785" s="6" t="s">
        <v>219</v>
      </c>
      <c r="L785" s="6">
        <v>13</v>
      </c>
      <c r="M785" s="6" t="s">
        <v>228</v>
      </c>
      <c r="N785" s="6" t="s">
        <v>229</v>
      </c>
      <c r="O785" s="6" t="s">
        <v>2391</v>
      </c>
      <c r="P785" s="6"/>
      <c r="Q785" s="8"/>
      <c r="R785" s="6"/>
      <c r="S785" s="6"/>
      <c r="T785" s="6"/>
      <c r="U785" s="6">
        <v>1</v>
      </c>
      <c r="V785" s="6" t="s">
        <v>569</v>
      </c>
      <c r="W785" s="6" t="s">
        <v>154</v>
      </c>
      <c r="X785" s="7">
        <v>45793</v>
      </c>
      <c r="Y785" s="7">
        <v>45797</v>
      </c>
      <c r="AB785" t="e">
        <v>#N/A</v>
      </c>
      <c r="AC785" t="e">
        <v>#N/A</v>
      </c>
      <c r="AE785" t="str">
        <f t="shared" si="99"/>
        <v>P000131</v>
      </c>
      <c r="AF785" t="str">
        <f>_xlfn.XLOOKUP(AE785, Hoja2!A:A, Hoja2!A:A)</f>
        <v>P000131</v>
      </c>
      <c r="AG785" t="str">
        <f t="shared" si="100"/>
        <v>PP00028-55</v>
      </c>
      <c r="AH785">
        <f>_xlfn.XLOOKUP(AG785, Hoja3!A:A, Hoja3!B:B)</f>
        <v>5383</v>
      </c>
      <c r="AI785" t="str">
        <f>_xlfn.XLOOKUP(AH785, Hoja4!A:A, Hoja4!B:B)</f>
        <v>E34748400</v>
      </c>
      <c r="AJ785" t="b">
        <f t="shared" si="101"/>
        <v>1</v>
      </c>
    </row>
    <row r="786" spans="1:36" ht="15.5" customHeight="1" x14ac:dyDescent="0.35">
      <c r="A786">
        <f t="shared" ca="1" si="98"/>
        <v>33</v>
      </c>
      <c r="B786" s="6" t="s">
        <v>2392</v>
      </c>
      <c r="C786" s="7">
        <v>45303</v>
      </c>
      <c r="D786" s="6" t="s">
        <v>912</v>
      </c>
      <c r="E786" s="6" t="s">
        <v>83</v>
      </c>
      <c r="F786" s="6" t="s">
        <v>84</v>
      </c>
      <c r="G786" s="6" t="s">
        <v>156</v>
      </c>
      <c r="H786" s="6" t="s">
        <v>217</v>
      </c>
      <c r="I786" s="6" t="s">
        <v>218</v>
      </c>
      <c r="J786" s="6" t="str">
        <f>IF(E786="KTG","KTG",(VLOOKUP(I786,'[1]list of outsource'!B:H,2,0)))</f>
        <v>UPM</v>
      </c>
      <c r="K786" s="6" t="s">
        <v>219</v>
      </c>
      <c r="L786" s="6">
        <v>10</v>
      </c>
      <c r="M786" s="6" t="s">
        <v>220</v>
      </c>
      <c r="N786" s="6" t="s">
        <v>1115</v>
      </c>
      <c r="O786" s="6">
        <v>1153163904</v>
      </c>
      <c r="P786" s="6"/>
      <c r="Q786" s="8" t="s">
        <v>575</v>
      </c>
      <c r="R786" s="6"/>
      <c r="S786" s="6"/>
      <c r="T786" s="6"/>
      <c r="U786" s="6">
        <v>1</v>
      </c>
      <c r="V786" s="6" t="s">
        <v>569</v>
      </c>
      <c r="W786" s="6" t="s">
        <v>154</v>
      </c>
      <c r="X786" s="7">
        <v>45336</v>
      </c>
      <c r="Y786" s="7">
        <v>45398</v>
      </c>
      <c r="AB786" t="e">
        <v>#N/A</v>
      </c>
      <c r="AC786" t="e">
        <v>#N/A</v>
      </c>
      <c r="AE786" t="str">
        <f t="shared" si="99"/>
        <v>P000129</v>
      </c>
      <c r="AF786" t="str">
        <f>_xlfn.XLOOKUP(AE786, Hoja2!A:A, Hoja2!A:A)</f>
        <v>P000129</v>
      </c>
      <c r="AG786" t="str">
        <f t="shared" si="100"/>
        <v>PP00028-56</v>
      </c>
      <c r="AH786">
        <f>_xlfn.XLOOKUP(AG786, Hoja3!A:A, Hoja3!B:B)</f>
        <v>5385</v>
      </c>
      <c r="AI786" t="str">
        <f>_xlfn.XLOOKUP(AH786, Hoja4!A:A, Hoja4!B:B)</f>
        <v>E34750100</v>
      </c>
      <c r="AJ786" t="b">
        <f t="shared" si="101"/>
        <v>1</v>
      </c>
    </row>
    <row r="787" spans="1:36" ht="15.5" customHeight="1" x14ac:dyDescent="0.35">
      <c r="A787">
        <f t="shared" ca="1" si="98"/>
        <v>2</v>
      </c>
      <c r="B787" s="6" t="s">
        <v>2392</v>
      </c>
      <c r="C787" s="7">
        <v>45791</v>
      </c>
      <c r="D787" s="6" t="s">
        <v>564</v>
      </c>
      <c r="E787" s="6" t="s">
        <v>83</v>
      </c>
      <c r="F787" s="6" t="s">
        <v>84</v>
      </c>
      <c r="G787" s="6" t="s">
        <v>156</v>
      </c>
      <c r="H787" s="6" t="s">
        <v>217</v>
      </c>
      <c r="I787" s="6" t="s">
        <v>218</v>
      </c>
      <c r="J787" s="6" t="str">
        <f>IF(E787="KTG","KTG",(VLOOKUP(I787,'[1]list of outsource'!B:H,2,0)))</f>
        <v>UPM</v>
      </c>
      <c r="K787" s="6" t="s">
        <v>219</v>
      </c>
      <c r="L787" s="6">
        <v>13</v>
      </c>
      <c r="M787" s="6" t="s">
        <v>220</v>
      </c>
      <c r="N787" s="6" t="s">
        <v>1115</v>
      </c>
      <c r="O787" s="6" t="s">
        <v>2393</v>
      </c>
      <c r="P787" s="6"/>
      <c r="Q787" s="8"/>
      <c r="R787" s="6"/>
      <c r="S787" s="6"/>
      <c r="T787" s="6"/>
      <c r="U787" s="6">
        <v>1</v>
      </c>
      <c r="V787" s="6" t="s">
        <v>569</v>
      </c>
      <c r="W787" s="6" t="s">
        <v>154</v>
      </c>
      <c r="X787" s="7">
        <v>45793</v>
      </c>
      <c r="Y787" s="7">
        <v>45797</v>
      </c>
      <c r="AB787" t="e">
        <v>#N/A</v>
      </c>
      <c r="AC787" t="e">
        <v>#N/A</v>
      </c>
      <c r="AE787" t="str">
        <f t="shared" si="99"/>
        <v>P000129</v>
      </c>
      <c r="AF787" t="str">
        <f>_xlfn.XLOOKUP(AE787, Hoja2!A:A, Hoja2!A:A)</f>
        <v>P000129</v>
      </c>
      <c r="AG787" t="str">
        <f t="shared" si="100"/>
        <v>PP00028-56</v>
      </c>
      <c r="AH787">
        <f>_xlfn.XLOOKUP(AG787, Hoja3!A:A, Hoja3!B:B)</f>
        <v>5385</v>
      </c>
      <c r="AI787" t="str">
        <f>_xlfn.XLOOKUP(AH787, Hoja4!A:A, Hoja4!B:B)</f>
        <v>E34750100</v>
      </c>
      <c r="AJ787" t="b">
        <f t="shared" si="101"/>
        <v>1</v>
      </c>
    </row>
    <row r="788" spans="1:36" ht="15.5" customHeight="1" x14ac:dyDescent="0.35">
      <c r="A788">
        <f t="shared" ca="1" si="98"/>
        <v>4</v>
      </c>
      <c r="B788" s="6" t="s">
        <v>2394</v>
      </c>
      <c r="C788" s="7">
        <v>45394</v>
      </c>
      <c r="D788" s="6" t="s">
        <v>912</v>
      </c>
      <c r="E788" s="6" t="s">
        <v>83</v>
      </c>
      <c r="F788" s="6" t="s">
        <v>84</v>
      </c>
      <c r="G788" s="6" t="s">
        <v>156</v>
      </c>
      <c r="H788" s="6" t="s">
        <v>243</v>
      </c>
      <c r="I788" s="6" t="s">
        <v>158</v>
      </c>
      <c r="J788" s="6" t="str">
        <f>IF(E788="KTG","KTG",(VLOOKUP(I788,'[1]list of outsource'!B:H,2,0)))</f>
        <v>UPM</v>
      </c>
      <c r="K788" s="6" t="s">
        <v>159</v>
      </c>
      <c r="L788" s="6">
        <v>38</v>
      </c>
      <c r="M788" s="6" t="s">
        <v>244</v>
      </c>
      <c r="N788" s="6" t="s">
        <v>245</v>
      </c>
      <c r="O788" s="6">
        <v>1161359076</v>
      </c>
      <c r="P788" s="6"/>
      <c r="Q788" s="8" t="s">
        <v>575</v>
      </c>
      <c r="R788" s="6"/>
      <c r="S788" s="6"/>
      <c r="T788" s="6"/>
      <c r="U788" s="6">
        <v>1</v>
      </c>
      <c r="V788" s="6" t="s">
        <v>569</v>
      </c>
      <c r="W788" s="6" t="s">
        <v>154</v>
      </c>
      <c r="X788" s="7">
        <v>45398</v>
      </c>
      <c r="Y788" s="7">
        <v>45401</v>
      </c>
      <c r="AB788" t="e">
        <v>#N/A</v>
      </c>
      <c r="AC788" t="e">
        <v>#N/A</v>
      </c>
      <c r="AE788" t="str">
        <f t="shared" si="99"/>
        <v>P000138</v>
      </c>
      <c r="AF788" t="str">
        <f>_xlfn.XLOOKUP(AE788, Hoja2!A:A, Hoja2!A:A)</f>
        <v>P000138</v>
      </c>
      <c r="AG788" t="str">
        <f t="shared" si="100"/>
        <v>PP00028-57</v>
      </c>
      <c r="AH788">
        <f>_xlfn.XLOOKUP(AG788, Hoja3!A:A, Hoja3!B:B)</f>
        <v>49</v>
      </c>
      <c r="AI788" t="str">
        <f>_xlfn.XLOOKUP(AH788, Hoja4!A:A, Hoja4!B:B)</f>
        <v>E34516400</v>
      </c>
      <c r="AJ788" t="b">
        <f t="shared" si="101"/>
        <v>1</v>
      </c>
    </row>
    <row r="789" spans="1:36" ht="15.5" customHeight="1" x14ac:dyDescent="0.35">
      <c r="A789">
        <f t="shared" ca="1" si="98"/>
        <v>17</v>
      </c>
      <c r="B789" s="12" t="s">
        <v>2395</v>
      </c>
      <c r="C789" s="13">
        <v>45740</v>
      </c>
      <c r="D789" s="14" t="s">
        <v>121</v>
      </c>
      <c r="E789" s="14" t="s">
        <v>30</v>
      </c>
      <c r="F789" s="14" t="s">
        <v>329</v>
      </c>
      <c r="G789" s="14" t="s">
        <v>299</v>
      </c>
      <c r="H789" s="14" t="s">
        <v>1673</v>
      </c>
      <c r="I789" s="14"/>
      <c r="J789" s="14" t="str">
        <f>IF(E789="KTG","KTG",(VLOOKUP(I789,'[1]list of outsource'!B:H,2,0)))</f>
        <v>KTG</v>
      </c>
      <c r="K789" s="14"/>
      <c r="L789" s="14"/>
      <c r="M789" s="14" t="s">
        <v>1373</v>
      </c>
      <c r="N789" s="14" t="s">
        <v>1674</v>
      </c>
      <c r="O789" s="14" t="s">
        <v>2396</v>
      </c>
      <c r="P789" s="14"/>
      <c r="Q789" s="15"/>
      <c r="R789" s="14"/>
      <c r="S789" s="16"/>
      <c r="T789" s="14"/>
      <c r="U789" s="14">
        <v>1</v>
      </c>
      <c r="V789" s="14" t="s">
        <v>569</v>
      </c>
      <c r="W789" s="14" t="s">
        <v>576</v>
      </c>
      <c r="X789" s="13">
        <v>45757</v>
      </c>
      <c r="Y789" s="13"/>
      <c r="AB789" t="e">
        <v>#N/A</v>
      </c>
      <c r="AC789" t="e">
        <v>#N/A</v>
      </c>
      <c r="AE789" t="str">
        <f t="shared" si="99"/>
        <v>E74926</v>
      </c>
      <c r="AF789" t="str">
        <f>_xlfn.XLOOKUP(AE789, Hoja2!A:A, Hoja2!A:A)</f>
        <v>E74926</v>
      </c>
      <c r="AG789" t="str">
        <f t="shared" si="100"/>
        <v>PP00024-24</v>
      </c>
      <c r="AH789">
        <f>_xlfn.XLOOKUP(AG789, Hoja3!A:A, Hoja3!B:B)</f>
        <v>5497</v>
      </c>
      <c r="AI789" t="str">
        <f>_xlfn.XLOOKUP(AH789, Hoja4!A:A, Hoja4!B:B)</f>
        <v>E16718500</v>
      </c>
      <c r="AJ789" t="b">
        <f t="shared" si="101"/>
        <v>1</v>
      </c>
    </row>
    <row r="790" spans="1:36" ht="15.5" customHeight="1" x14ac:dyDescent="0.35">
      <c r="A790">
        <f t="shared" ca="1" si="98"/>
        <v>14</v>
      </c>
      <c r="B790" s="12" t="s">
        <v>2397</v>
      </c>
      <c r="C790" s="13">
        <v>45741</v>
      </c>
      <c r="D790" s="14" t="s">
        <v>121</v>
      </c>
      <c r="E790" s="14" t="s">
        <v>139</v>
      </c>
      <c r="F790" s="14" t="s">
        <v>1952</v>
      </c>
      <c r="G790" s="14" t="s">
        <v>299</v>
      </c>
      <c r="H790" s="14" t="s">
        <v>2398</v>
      </c>
      <c r="I790" s="14" t="s">
        <v>849</v>
      </c>
      <c r="J790" s="14" t="str">
        <f>IF(E790="KTG","KTG",(VLOOKUP(I790,'[1]list of outsource'!B:H,2,0)))</f>
        <v>ETC</v>
      </c>
      <c r="K790" s="14" t="s">
        <v>850</v>
      </c>
      <c r="L790" s="14"/>
      <c r="M790" s="14" t="s">
        <v>1460</v>
      </c>
      <c r="N790" s="14" t="s">
        <v>1831</v>
      </c>
      <c r="O790" s="14" t="s">
        <v>2399</v>
      </c>
      <c r="P790" s="14"/>
      <c r="Q790" s="15"/>
      <c r="R790" s="14"/>
      <c r="S790" s="16"/>
      <c r="T790" s="14"/>
      <c r="U790" s="14">
        <v>4</v>
      </c>
      <c r="V790" s="14" t="s">
        <v>665</v>
      </c>
      <c r="W790" s="14" t="s">
        <v>37</v>
      </c>
      <c r="X790" s="13">
        <v>45755</v>
      </c>
      <c r="Y790" s="13"/>
      <c r="AB790">
        <v>0</v>
      </c>
      <c r="AC790" t="e">
        <v>#N/A</v>
      </c>
      <c r="AE790" t="str">
        <f t="shared" si="99"/>
        <v>P000374</v>
      </c>
      <c r="AF790" t="str">
        <f>_xlfn.XLOOKUP(AE790, Hoja2!A:A, Hoja2!A:A)</f>
        <v>P000374</v>
      </c>
      <c r="AG790" t="str">
        <f t="shared" si="100"/>
        <v>PP00060-34</v>
      </c>
      <c r="AH790">
        <f>_xlfn.XLOOKUP(AG790, Hoja3!A:A, Hoja3!B:B)</f>
        <v>5122</v>
      </c>
      <c r="AI790" t="str">
        <f>_xlfn.XLOOKUP(AH790, Hoja4!A:A, Hoja4!B:B)</f>
        <v>7094177530 Doc ID 2581097</v>
      </c>
      <c r="AJ790" t="b">
        <f t="shared" si="101"/>
        <v>1</v>
      </c>
    </row>
    <row r="791" spans="1:36" ht="15.5" customHeight="1" x14ac:dyDescent="0.35">
      <c r="A791">
        <f t="shared" ca="1" si="98"/>
        <v>39</v>
      </c>
      <c r="B791" s="6" t="s">
        <v>2400</v>
      </c>
      <c r="C791" s="7">
        <v>45743</v>
      </c>
      <c r="D791" s="6" t="s">
        <v>564</v>
      </c>
      <c r="E791" s="6" t="s">
        <v>139</v>
      </c>
      <c r="F791" s="6" t="s">
        <v>2401</v>
      </c>
      <c r="G791" s="6" t="s">
        <v>32</v>
      </c>
      <c r="H791" s="6" t="s">
        <v>2402</v>
      </c>
      <c r="I791" s="6" t="s">
        <v>208</v>
      </c>
      <c r="J791" s="6" t="str">
        <f>IF(E791="KTG","KTG",(VLOOKUP(I791,'[1]list of outsource'!B:H,2,0)))</f>
        <v>ETC</v>
      </c>
      <c r="K791" s="6" t="s">
        <v>209</v>
      </c>
      <c r="L791" s="6">
        <v>23</v>
      </c>
      <c r="M791" s="6" t="s">
        <v>416</v>
      </c>
      <c r="N791" s="6" t="s">
        <v>579</v>
      </c>
      <c r="O791" s="6" t="s">
        <v>2403</v>
      </c>
      <c r="P791" s="6"/>
      <c r="Q791" s="8"/>
      <c r="R791" s="6"/>
      <c r="S791" s="6"/>
      <c r="T791" s="6"/>
      <c r="U791" s="6">
        <v>3</v>
      </c>
      <c r="V791" s="6" t="s">
        <v>665</v>
      </c>
      <c r="W791" s="6" t="s">
        <v>37</v>
      </c>
      <c r="X791" s="7">
        <v>45782</v>
      </c>
      <c r="Y791" s="7">
        <v>45810</v>
      </c>
      <c r="AB791">
        <v>0</v>
      </c>
      <c r="AC791" t="e">
        <v>#N/A</v>
      </c>
      <c r="AE791" t="str">
        <f t="shared" si="99"/>
        <v>P000163</v>
      </c>
      <c r="AF791" t="str">
        <f>_xlfn.XLOOKUP(AE791, Hoja2!A:A, Hoja2!A:A)</f>
        <v>P000163</v>
      </c>
      <c r="AG791" t="str">
        <f t="shared" si="100"/>
        <v>PP00069-01</v>
      </c>
      <c r="AH791">
        <f>_xlfn.XLOOKUP(AG791, Hoja3!A:A, Hoja3!B:B)</f>
        <v>3987</v>
      </c>
      <c r="AI791" t="str">
        <f>_xlfn.XLOOKUP(AH791, Hoja4!A:A, Hoja4!B:B)</f>
        <v>S8100199</v>
      </c>
      <c r="AJ791" t="b">
        <f t="shared" si="101"/>
        <v>1</v>
      </c>
    </row>
    <row r="792" spans="1:36" ht="15.5" customHeight="1" x14ac:dyDescent="0.35">
      <c r="A792">
        <f t="shared" ca="1" si="98"/>
        <v>13</v>
      </c>
      <c r="B792" s="12" t="s">
        <v>2404</v>
      </c>
      <c r="C792" s="13">
        <v>45750</v>
      </c>
      <c r="D792" s="14" t="s">
        <v>121</v>
      </c>
      <c r="E792" s="14" t="s">
        <v>30</v>
      </c>
      <c r="F792" s="14" t="s">
        <v>329</v>
      </c>
      <c r="G792" s="14" t="s">
        <v>299</v>
      </c>
      <c r="H792" s="14" t="s">
        <v>2405</v>
      </c>
      <c r="I792" s="14"/>
      <c r="J792" s="14" t="str">
        <f>IF(E792="KTG","KTG",(VLOOKUP(I792,'[1]list of outsource'!B:H,2,0)))</f>
        <v>KTG</v>
      </c>
      <c r="K792" s="14"/>
      <c r="L792" s="14"/>
      <c r="M792" s="14" t="s">
        <v>2406</v>
      </c>
      <c r="N792" s="14" t="s">
        <v>2407</v>
      </c>
      <c r="O792" s="14"/>
      <c r="P792" s="14"/>
      <c r="Q792" s="15"/>
      <c r="R792" s="14"/>
      <c r="S792" s="16"/>
      <c r="T792" s="14"/>
      <c r="U792" s="14">
        <v>1</v>
      </c>
      <c r="V792" s="14" t="s">
        <v>569</v>
      </c>
      <c r="W792" s="14" t="s">
        <v>576</v>
      </c>
      <c r="X792" s="13">
        <v>45763</v>
      </c>
      <c r="Y792" s="13"/>
      <c r="AB792" t="e">
        <v>#N/A</v>
      </c>
      <c r="AC792" t="s">
        <v>4210</v>
      </c>
      <c r="AE792" t="str">
        <f t="shared" si="99"/>
        <v>E74905</v>
      </c>
      <c r="AF792" t="str">
        <f>_xlfn.XLOOKUP(AE792, Hoja2!A:A, Hoja2!A:A)</f>
        <v>E74905</v>
      </c>
      <c r="AG792" t="str">
        <f t="shared" si="100"/>
        <v>PP00024-25</v>
      </c>
      <c r="AH792">
        <f>_xlfn.XLOOKUP(AG792, Hoja3!A:A, Hoja3!B:B)</f>
        <v>5498</v>
      </c>
      <c r="AI792" t="str">
        <f>_xlfn.XLOOKUP(AH792, Hoja4!A:A, Hoja4!B:B)</f>
        <v>E13723600</v>
      </c>
      <c r="AJ792" t="b">
        <f t="shared" si="101"/>
        <v>1</v>
      </c>
    </row>
    <row r="793" spans="1:36" ht="15.5" customHeight="1" x14ac:dyDescent="0.35">
      <c r="A793">
        <f t="shared" ca="1" si="98"/>
        <v>13</v>
      </c>
      <c r="B793" s="12" t="s">
        <v>2408</v>
      </c>
      <c r="C793" s="13">
        <v>45750</v>
      </c>
      <c r="D793" s="14" t="s">
        <v>121</v>
      </c>
      <c r="E793" s="14" t="s">
        <v>30</v>
      </c>
      <c r="F793" s="14" t="s">
        <v>329</v>
      </c>
      <c r="G793" s="14" t="s">
        <v>299</v>
      </c>
      <c r="H793" s="14" t="s">
        <v>2409</v>
      </c>
      <c r="I793" s="14"/>
      <c r="J793" s="14" t="str">
        <f>IF(E793="KTG","KTG",(VLOOKUP(I793,'[1]list of outsource'!B:H,2,0)))</f>
        <v>KTG</v>
      </c>
      <c r="K793" s="14"/>
      <c r="L793" s="14"/>
      <c r="M793" s="14" t="s">
        <v>2410</v>
      </c>
      <c r="N793" s="14" t="s">
        <v>2411</v>
      </c>
      <c r="O793" s="14"/>
      <c r="P793" s="14"/>
      <c r="Q793" s="15"/>
      <c r="R793" s="14"/>
      <c r="S793" s="16"/>
      <c r="T793" s="14"/>
      <c r="U793" s="14">
        <v>1</v>
      </c>
      <c r="V793" s="14" t="s">
        <v>569</v>
      </c>
      <c r="W793" s="14" t="s">
        <v>576</v>
      </c>
      <c r="X793" s="13">
        <v>45763</v>
      </c>
      <c r="Y793" s="13"/>
      <c r="AB793" t="e">
        <v>#N/A</v>
      </c>
      <c r="AC793" t="s">
        <v>4210</v>
      </c>
      <c r="AE793" t="str">
        <f t="shared" si="99"/>
        <v>E74907</v>
      </c>
      <c r="AF793" t="str">
        <f>_xlfn.XLOOKUP(AE793, Hoja2!A:A, Hoja2!A:A)</f>
        <v>E74907</v>
      </c>
      <c r="AG793" t="str">
        <f t="shared" si="100"/>
        <v>PP00024-26</v>
      </c>
      <c r="AH793">
        <f>_xlfn.XLOOKUP(AG793, Hoja3!A:A, Hoja3!B:B)</f>
        <v>5499</v>
      </c>
      <c r="AI793" t="str">
        <f>_xlfn.XLOOKUP(AH793, Hoja4!A:A, Hoja4!B:B)</f>
        <v>E13723900</v>
      </c>
      <c r="AJ793" t="b">
        <f t="shared" si="101"/>
        <v>1</v>
      </c>
    </row>
    <row r="794" spans="1:36" ht="15.5" customHeight="1" x14ac:dyDescent="0.35">
      <c r="A794">
        <f t="shared" ca="1" si="98"/>
        <v>29</v>
      </c>
      <c r="B794" s="12" t="s">
        <v>2412</v>
      </c>
      <c r="C794" s="13">
        <v>45635</v>
      </c>
      <c r="D794" s="14" t="s">
        <v>121</v>
      </c>
      <c r="E794" s="14" t="s">
        <v>139</v>
      </c>
      <c r="F794" s="14" t="s">
        <v>658</v>
      </c>
      <c r="G794" s="14" t="s">
        <v>32</v>
      </c>
      <c r="H794" s="14">
        <v>35738172</v>
      </c>
      <c r="I794" s="14" t="s">
        <v>529</v>
      </c>
      <c r="J794" s="14" t="str">
        <f>IF(E794="KTG","KTG",(VLOOKUP(I794,'[1]list of outsource'!B:H,2,0)))</f>
        <v>ETC</v>
      </c>
      <c r="K794" s="14" t="s">
        <v>530</v>
      </c>
      <c r="L794" s="14">
        <v>20</v>
      </c>
      <c r="M794" s="14" t="s">
        <v>2031</v>
      </c>
      <c r="N794" s="14" t="s">
        <v>2032</v>
      </c>
      <c r="O794" s="14" t="s">
        <v>2413</v>
      </c>
      <c r="P794" s="14"/>
      <c r="Q794" s="15"/>
      <c r="R794" s="14"/>
      <c r="S794" s="16"/>
      <c r="T794" s="14"/>
      <c r="U794" s="14">
        <v>4</v>
      </c>
      <c r="V794" s="14" t="s">
        <v>665</v>
      </c>
      <c r="W794" s="14" t="s">
        <v>37</v>
      </c>
      <c r="X794" s="13">
        <v>45664</v>
      </c>
      <c r="Y794" s="13"/>
      <c r="AB794" t="e">
        <v>#N/A</v>
      </c>
      <c r="AC794" t="e">
        <v>#N/A</v>
      </c>
      <c r="AE794" t="str">
        <f t="shared" si="99"/>
        <v>P000364</v>
      </c>
      <c r="AF794" t="str">
        <f>_xlfn.XLOOKUP(AE794, Hoja2!A:A, Hoja2!A:A)</f>
        <v>P000364</v>
      </c>
      <c r="AG794" t="str">
        <f t="shared" si="100"/>
        <v>PP00034-42</v>
      </c>
      <c r="AH794">
        <f>_xlfn.XLOOKUP(AG794, Hoja3!A:A, Hoja3!B:B)</f>
        <v>4785</v>
      </c>
      <c r="AI794">
        <f>_xlfn.XLOOKUP(AH794, Hoja4!A:A, Hoja4!B:B)</f>
        <v>35738172</v>
      </c>
      <c r="AJ794" t="b">
        <f t="shared" si="101"/>
        <v>1</v>
      </c>
    </row>
    <row r="795" spans="1:36" ht="15.5" customHeight="1" x14ac:dyDescent="0.35">
      <c r="A795">
        <f t="shared" ca="1" si="98"/>
        <v>17</v>
      </c>
      <c r="B795" s="12" t="s">
        <v>2414</v>
      </c>
      <c r="C795" s="13">
        <v>45720</v>
      </c>
      <c r="D795" s="14" t="s">
        <v>2415</v>
      </c>
      <c r="E795" s="14" t="s">
        <v>139</v>
      </c>
      <c r="F795" s="14" t="s">
        <v>658</v>
      </c>
      <c r="G795" s="14" t="s">
        <v>32</v>
      </c>
      <c r="H795" s="14" t="s">
        <v>3135</v>
      </c>
      <c r="I795" s="14" t="s">
        <v>2416</v>
      </c>
      <c r="J795" s="14" t="str">
        <f>IF(E795="KTG","KTG",(VLOOKUP(I795,'[1]list of outsource'!B:H,2,0)))</f>
        <v xml:space="preserve">KEJIAN </v>
      </c>
      <c r="K795" s="14" t="s">
        <v>2417</v>
      </c>
      <c r="L795" s="14"/>
      <c r="M795" s="14" t="s">
        <v>2418</v>
      </c>
      <c r="N795" s="14"/>
      <c r="O795" s="14"/>
      <c r="P795" s="14"/>
      <c r="Q795" s="15"/>
      <c r="R795" s="14"/>
      <c r="S795" s="16"/>
      <c r="T795" s="14"/>
      <c r="U795" s="14" t="s">
        <v>569</v>
      </c>
      <c r="V795" s="14" t="s">
        <v>569</v>
      </c>
      <c r="W795" s="14" t="s">
        <v>2419</v>
      </c>
      <c r="X795" s="13">
        <v>45737</v>
      </c>
      <c r="Y795" s="13"/>
      <c r="AB795" t="e">
        <v>#N/A</v>
      </c>
      <c r="AC795" t="e">
        <v>#N/A</v>
      </c>
      <c r="AE795" t="str">
        <f t="shared" si="99"/>
        <v>P000989</v>
      </c>
      <c r="AF795" t="str">
        <f>_xlfn.XLOOKUP(AE795, Hoja2!A:A, Hoja2!A:A)</f>
        <v>P000989</v>
      </c>
      <c r="AG795" t="str">
        <f t="shared" si="100"/>
        <v>PP00034-43</v>
      </c>
      <c r="AH795">
        <f>_xlfn.XLOOKUP(AG795, Hoja3!A:A, Hoja3!B:B)</f>
        <v>4807</v>
      </c>
      <c r="AI795" t="str">
        <f>_xlfn.XLOOKUP(AH795, Hoja4!A:A, Hoja4!B:B)</f>
        <v>6211915105D</v>
      </c>
      <c r="AJ795" t="b">
        <f t="shared" si="101"/>
        <v>1</v>
      </c>
    </row>
    <row r="796" spans="1:36" ht="15.5" customHeight="1" x14ac:dyDescent="0.35">
      <c r="A796">
        <f t="shared" ca="1" si="98"/>
        <v>2</v>
      </c>
      <c r="B796" s="6" t="s">
        <v>2394</v>
      </c>
      <c r="C796" s="7">
        <v>45791</v>
      </c>
      <c r="D796" s="6" t="s">
        <v>564</v>
      </c>
      <c r="E796" s="6" t="s">
        <v>83</v>
      </c>
      <c r="F796" s="6" t="s">
        <v>84</v>
      </c>
      <c r="G796" s="6" t="s">
        <v>156</v>
      </c>
      <c r="H796" s="6" t="s">
        <v>243</v>
      </c>
      <c r="I796" s="6" t="s">
        <v>158</v>
      </c>
      <c r="J796" s="6" t="str">
        <f>IF(E796="KTG","KTG",(VLOOKUP(I796,'[1]list of outsource'!B:H,2,0)))</f>
        <v>UPM</v>
      </c>
      <c r="K796" s="6" t="s">
        <v>159</v>
      </c>
      <c r="L796" s="6">
        <v>45</v>
      </c>
      <c r="M796" s="6" t="s">
        <v>244</v>
      </c>
      <c r="N796" s="6" t="s">
        <v>245</v>
      </c>
      <c r="O796" s="6" t="s">
        <v>2266</v>
      </c>
      <c r="P796" s="6"/>
      <c r="Q796" s="8"/>
      <c r="R796" s="6"/>
      <c r="S796" s="6"/>
      <c r="T796" s="6"/>
      <c r="U796" s="6">
        <v>1</v>
      </c>
      <c r="V796" s="6" t="s">
        <v>569</v>
      </c>
      <c r="W796" s="6" t="s">
        <v>154</v>
      </c>
      <c r="X796" s="7">
        <v>45793</v>
      </c>
      <c r="Y796" s="7">
        <v>45797</v>
      </c>
      <c r="AB796" t="e">
        <v>#N/A</v>
      </c>
      <c r="AC796" t="e">
        <v>#N/A</v>
      </c>
      <c r="AE796" t="str">
        <f t="shared" si="99"/>
        <v>P000138</v>
      </c>
      <c r="AF796" t="str">
        <f>_xlfn.XLOOKUP(AE796, Hoja2!A:A, Hoja2!A:A)</f>
        <v>P000138</v>
      </c>
      <c r="AG796" t="str">
        <f t="shared" si="100"/>
        <v>PP00028-57</v>
      </c>
      <c r="AH796">
        <f>_xlfn.XLOOKUP(AG796, Hoja3!A:A, Hoja3!B:B)</f>
        <v>49</v>
      </c>
      <c r="AI796" t="str">
        <f>_xlfn.XLOOKUP(AH796, Hoja4!A:A, Hoja4!B:B)</f>
        <v>E34516400</v>
      </c>
      <c r="AJ796" t="b">
        <f t="shared" si="101"/>
        <v>1</v>
      </c>
    </row>
    <row r="797" spans="1:36" ht="15.5" customHeight="1" x14ac:dyDescent="0.35">
      <c r="A797">
        <f t="shared" ca="1" si="98"/>
        <v>19</v>
      </c>
      <c r="B797" s="12" t="s">
        <v>1946</v>
      </c>
      <c r="C797" s="13">
        <v>45758</v>
      </c>
      <c r="D797" s="14" t="s">
        <v>121</v>
      </c>
      <c r="E797" s="14" t="s">
        <v>30</v>
      </c>
      <c r="F797" s="14" t="s">
        <v>1371</v>
      </c>
      <c r="G797" s="14" t="s">
        <v>32</v>
      </c>
      <c r="H797" s="14" t="s">
        <v>1948</v>
      </c>
      <c r="I797" s="14"/>
      <c r="J797" s="14" t="str">
        <f>IF(E797="KTG","KTG",(VLOOKUP(I797,'[1]list of outsource'!B:H,2,0)))</f>
        <v>KTG</v>
      </c>
      <c r="K797" s="14"/>
      <c r="L797" s="14"/>
      <c r="M797" s="14" t="s">
        <v>1949</v>
      </c>
      <c r="N797" s="14" t="s">
        <v>2420</v>
      </c>
      <c r="O797" s="14"/>
      <c r="P797" s="14"/>
      <c r="Q797" s="15"/>
      <c r="R797" s="14"/>
      <c r="S797" s="16"/>
      <c r="T797" s="14"/>
      <c r="U797" s="14">
        <v>4</v>
      </c>
      <c r="V797" s="14" t="s">
        <v>569</v>
      </c>
      <c r="W797" s="14" t="s">
        <v>37</v>
      </c>
      <c r="X797" s="13">
        <v>45777</v>
      </c>
      <c r="Y797" s="13"/>
      <c r="AB797" t="e">
        <v>#N/A</v>
      </c>
      <c r="AC797" t="e">
        <v>#N/A</v>
      </c>
      <c r="AE797" t="str">
        <f t="shared" si="99"/>
        <v>E58331</v>
      </c>
      <c r="AF797" t="str">
        <f>_xlfn.XLOOKUP(AE797, Hoja2!A:A, Hoja2!A:A)</f>
        <v>E58331</v>
      </c>
      <c r="AG797" t="str">
        <f t="shared" si="100"/>
        <v>PP00047-11</v>
      </c>
      <c r="AH797">
        <f>_xlfn.XLOOKUP(AG797, Hoja3!A:A, Hoja3!B:B)</f>
        <v>5519</v>
      </c>
      <c r="AI797" t="str">
        <f>_xlfn.XLOOKUP(AH797, Hoja4!A:A, Hoja4!B:B)</f>
        <v>DWT-RO-1-25</v>
      </c>
      <c r="AJ797" t="b">
        <f t="shared" si="101"/>
        <v>1</v>
      </c>
    </row>
    <row r="798" spans="1:36" ht="15.5" customHeight="1" x14ac:dyDescent="0.35">
      <c r="A798">
        <f t="shared" ca="1" si="98"/>
        <v>19</v>
      </c>
      <c r="B798" s="12" t="s">
        <v>2421</v>
      </c>
      <c r="C798" s="13">
        <v>45758</v>
      </c>
      <c r="D798" s="14" t="s">
        <v>121</v>
      </c>
      <c r="E798" s="14" t="s">
        <v>30</v>
      </c>
      <c r="F798" s="14" t="s">
        <v>1371</v>
      </c>
      <c r="G798" s="14" t="s">
        <v>32</v>
      </c>
      <c r="H798" s="14" t="s">
        <v>2422</v>
      </c>
      <c r="I798" s="14"/>
      <c r="J798" s="14" t="str">
        <f>IF(E798="KTG","KTG",(VLOOKUP(I798,'[1]list of outsource'!B:H,2,0)))</f>
        <v>KTG</v>
      </c>
      <c r="K798" s="14"/>
      <c r="L798" s="14"/>
      <c r="M798" s="14" t="s">
        <v>2423</v>
      </c>
      <c r="N798" s="14" t="s">
        <v>2424</v>
      </c>
      <c r="O798" s="14"/>
      <c r="P798" s="14"/>
      <c r="Q798" s="15"/>
      <c r="R798" s="14"/>
      <c r="S798" s="16"/>
      <c r="T798" s="14"/>
      <c r="U798" s="14">
        <v>4</v>
      </c>
      <c r="V798" s="14" t="s">
        <v>569</v>
      </c>
      <c r="W798" s="14" t="s">
        <v>37</v>
      </c>
      <c r="X798" s="13">
        <v>45777</v>
      </c>
      <c r="Y798" s="13"/>
      <c r="AB798" t="e">
        <v>#N/A</v>
      </c>
      <c r="AC798" t="e">
        <v>#N/A</v>
      </c>
      <c r="AE798" t="str">
        <f t="shared" si="99"/>
        <v>E58302</v>
      </c>
      <c r="AF798" t="str">
        <f>_xlfn.XLOOKUP(AE798, Hoja2!A:A, Hoja2!A:A)</f>
        <v>E58302</v>
      </c>
      <c r="AG798" t="str">
        <f t="shared" si="100"/>
        <v>PP00047-13</v>
      </c>
      <c r="AH798">
        <f>_xlfn.XLOOKUP(AG798, Hoja3!A:A, Hoja3!B:B)</f>
        <v>5521</v>
      </c>
      <c r="AI798" t="str">
        <f>_xlfn.XLOOKUP(AH798, Hoja4!A:A, Hoja4!B:B)</f>
        <v>DWT-RO-1-STK</v>
      </c>
      <c r="AJ798" t="b">
        <f t="shared" si="101"/>
        <v>1</v>
      </c>
    </row>
    <row r="799" spans="1:36" ht="15.5" customHeight="1" x14ac:dyDescent="0.35">
      <c r="A799">
        <f t="shared" ca="1" si="98"/>
        <v>19</v>
      </c>
      <c r="B799" s="12" t="s">
        <v>2425</v>
      </c>
      <c r="C799" s="13">
        <v>45758</v>
      </c>
      <c r="D799" s="14" t="s">
        <v>121</v>
      </c>
      <c r="E799" s="14" t="s">
        <v>30</v>
      </c>
      <c r="F799" s="14" t="s">
        <v>1371</v>
      </c>
      <c r="G799" s="14" t="s">
        <v>32</v>
      </c>
      <c r="H799" s="14" t="s">
        <v>2426</v>
      </c>
      <c r="I799" s="14"/>
      <c r="J799" s="14" t="str">
        <f>IF(E799="KTG","KTG",(VLOOKUP(I799,'[1]list of outsource'!B:H,2,0)))</f>
        <v>KTG</v>
      </c>
      <c r="K799" s="14"/>
      <c r="L799" s="14"/>
      <c r="M799" s="14" t="s">
        <v>2427</v>
      </c>
      <c r="N799" s="14" t="s">
        <v>2428</v>
      </c>
      <c r="O799" s="14"/>
      <c r="P799" s="14"/>
      <c r="Q799" s="15"/>
      <c r="R799" s="14"/>
      <c r="S799" s="16"/>
      <c r="T799" s="14"/>
      <c r="U799" s="14">
        <v>4</v>
      </c>
      <c r="V799" s="14" t="s">
        <v>569</v>
      </c>
      <c r="W799" s="14" t="s">
        <v>37</v>
      </c>
      <c r="X799" s="13">
        <v>45777</v>
      </c>
      <c r="Y799" s="13"/>
      <c r="AB799" t="e">
        <v>#N/A</v>
      </c>
      <c r="AC799" t="e">
        <v>#N/A</v>
      </c>
      <c r="AE799" t="str">
        <f t="shared" si="99"/>
        <v>E58307</v>
      </c>
      <c r="AF799" t="str">
        <f>_xlfn.XLOOKUP(AE799, Hoja2!A:A, Hoja2!A:A)</f>
        <v>E58307</v>
      </c>
      <c r="AG799" t="str">
        <f t="shared" si="100"/>
        <v>PP00047-14</v>
      </c>
      <c r="AH799">
        <f>_xlfn.XLOOKUP(AG799, Hoja3!A:A, Hoja3!B:B)</f>
        <v>5522</v>
      </c>
      <c r="AI799" t="str">
        <f>_xlfn.XLOOKUP(AH799, Hoja4!A:A, Hoja4!B:B)</f>
        <v>DWT-RO-2-STK</v>
      </c>
      <c r="AJ799" t="b">
        <f t="shared" si="101"/>
        <v>1</v>
      </c>
    </row>
    <row r="800" spans="1:36" ht="15.5" customHeight="1" x14ac:dyDescent="0.35">
      <c r="A800">
        <f t="shared" ca="1" si="98"/>
        <v>31</v>
      </c>
      <c r="B800" s="6" t="s">
        <v>2429</v>
      </c>
      <c r="C800" s="7">
        <v>45758</v>
      </c>
      <c r="D800" s="6" t="s">
        <v>564</v>
      </c>
      <c r="E800" s="6" t="s">
        <v>83</v>
      </c>
      <c r="F800" s="6" t="s">
        <v>101</v>
      </c>
      <c r="G800" s="6" t="s">
        <v>32</v>
      </c>
      <c r="H800" s="6">
        <v>3491990</v>
      </c>
      <c r="I800" s="6" t="s">
        <v>428</v>
      </c>
      <c r="J800" s="6" t="str">
        <f>IF(E800="KTG","KTG",(VLOOKUP(I800,'[1]list of outsource'!B:H,2,0)))</f>
        <v>UPM</v>
      </c>
      <c r="K800" s="6" t="s">
        <v>429</v>
      </c>
      <c r="L800" s="6">
        <v>24</v>
      </c>
      <c r="M800" s="6" t="s">
        <v>2430</v>
      </c>
      <c r="N800" s="6" t="s">
        <v>2431</v>
      </c>
      <c r="O800" s="6" t="s">
        <v>2432</v>
      </c>
      <c r="P800" s="6"/>
      <c r="Q800" s="8">
        <v>45772</v>
      </c>
      <c r="R800" s="6"/>
      <c r="S800" s="6"/>
      <c r="T800" s="6"/>
      <c r="U800" s="6">
        <v>4</v>
      </c>
      <c r="V800" s="6" t="s">
        <v>665</v>
      </c>
      <c r="W800" s="6" t="s">
        <v>37</v>
      </c>
      <c r="X800" s="7">
        <v>45789</v>
      </c>
      <c r="Y800" s="7">
        <v>45792</v>
      </c>
      <c r="AB800" t="s">
        <v>2433</v>
      </c>
      <c r="AC800" t="e">
        <v>#N/A</v>
      </c>
      <c r="AE800" t="str">
        <f t="shared" si="99"/>
        <v>P000813</v>
      </c>
      <c r="AF800" t="str">
        <f>_xlfn.XLOOKUP(AE800, Hoja2!A:A, Hoja2!A:A)</f>
        <v>P000813</v>
      </c>
      <c r="AG800" t="str">
        <f t="shared" si="100"/>
        <v>PP00053-11</v>
      </c>
      <c r="AH800">
        <f>_xlfn.XLOOKUP(AG800, Hoja3!A:A, Hoja3!B:B)</f>
        <v>3971</v>
      </c>
      <c r="AI800">
        <f>_xlfn.XLOOKUP(AH800, Hoja4!A:A, Hoja4!B:B)</f>
        <v>3491990</v>
      </c>
      <c r="AJ800" t="b">
        <f t="shared" si="101"/>
        <v>1</v>
      </c>
    </row>
    <row r="801" spans="1:36" ht="15.5" customHeight="1" x14ac:dyDescent="0.35">
      <c r="A801">
        <f t="shared" ca="1" si="98"/>
        <v>14</v>
      </c>
      <c r="B801" s="6" t="s">
        <v>2434</v>
      </c>
      <c r="C801" s="7">
        <v>45763</v>
      </c>
      <c r="D801" s="6" t="s">
        <v>1947</v>
      </c>
      <c r="E801" s="6" t="s">
        <v>30</v>
      </c>
      <c r="F801" s="6" t="s">
        <v>1371</v>
      </c>
      <c r="G801" s="6" t="s">
        <v>32</v>
      </c>
      <c r="H801" s="6" t="s">
        <v>2435</v>
      </c>
      <c r="I801" s="6"/>
      <c r="J801" s="6" t="str">
        <f>IF(E801="KTG","KTG",(VLOOKUP(I801,'[1]list of outsource'!B:H,2,0)))</f>
        <v>KTG</v>
      </c>
      <c r="K801" s="6"/>
      <c r="L801" s="6"/>
      <c r="M801" s="6" t="s">
        <v>2436</v>
      </c>
      <c r="N801" s="6" t="s">
        <v>2437</v>
      </c>
      <c r="O801" s="6"/>
      <c r="P801" s="6"/>
      <c r="Q801" s="8"/>
      <c r="R801" s="6"/>
      <c r="S801" s="6"/>
      <c r="T801" s="6"/>
      <c r="U801" s="6" t="s">
        <v>569</v>
      </c>
      <c r="V801" s="6" t="s">
        <v>569</v>
      </c>
      <c r="W801" s="6" t="s">
        <v>1608</v>
      </c>
      <c r="X801" s="7">
        <v>45777</v>
      </c>
      <c r="Y801" s="7">
        <v>45777</v>
      </c>
      <c r="AB801" t="e">
        <v>#N/A</v>
      </c>
      <c r="AC801" t="e">
        <v>#N/A</v>
      </c>
      <c r="AE801" t="str">
        <f t="shared" si="99"/>
        <v>E58332</v>
      </c>
      <c r="AF801" t="str">
        <f>_xlfn.XLOOKUP(AE801, Hoja2!A:A, Hoja2!A:A)</f>
        <v>E58332</v>
      </c>
      <c r="AG801" t="str">
        <f t="shared" si="100"/>
        <v>PP00047-16</v>
      </c>
      <c r="AH801">
        <f>_xlfn.XLOOKUP(AG801, Hoja3!A:A, Hoja3!B:B)</f>
        <v>5524</v>
      </c>
      <c r="AI801" t="str">
        <f>_xlfn.XLOOKUP(AH801, Hoja4!A:A, Hoja4!B:B)</f>
        <v>CYG-135F-1/4-40-BLK</v>
      </c>
      <c r="AJ801" t="b">
        <f t="shared" si="101"/>
        <v>1</v>
      </c>
    </row>
    <row r="802" spans="1:36" ht="15.5" customHeight="1" x14ac:dyDescent="0.35">
      <c r="A802">
        <f t="shared" ca="1" si="98"/>
        <v>33</v>
      </c>
      <c r="B802" s="12" t="s">
        <v>2438</v>
      </c>
      <c r="C802" s="13">
        <v>45303</v>
      </c>
      <c r="D802" s="14" t="s">
        <v>121</v>
      </c>
      <c r="E802" s="14" t="s">
        <v>139</v>
      </c>
      <c r="F802" s="14" t="s">
        <v>84</v>
      </c>
      <c r="G802" s="14" t="s">
        <v>156</v>
      </c>
      <c r="H802" s="14" t="s">
        <v>287</v>
      </c>
      <c r="I802" s="14" t="s">
        <v>208</v>
      </c>
      <c r="J802" s="14" t="str">
        <f>IF(E802="KTG","KTG",(VLOOKUP(I802,'[1]list of outsource'!B:H,2,0)))</f>
        <v>ETC</v>
      </c>
      <c r="K802" s="14" t="s">
        <v>209</v>
      </c>
      <c r="L802" s="14">
        <v>20</v>
      </c>
      <c r="M802" s="14" t="s">
        <v>288</v>
      </c>
      <c r="N802" s="14" t="s">
        <v>591</v>
      </c>
      <c r="O802" s="14">
        <v>1171171980</v>
      </c>
      <c r="P802" s="14"/>
      <c r="Q802" s="15" t="s">
        <v>575</v>
      </c>
      <c r="R802" s="14"/>
      <c r="S802" s="16"/>
      <c r="T802" s="14"/>
      <c r="U802" s="14">
        <v>1</v>
      </c>
      <c r="V802" s="14" t="s">
        <v>569</v>
      </c>
      <c r="W802" s="14" t="s">
        <v>154</v>
      </c>
      <c r="X802" s="13">
        <v>45336</v>
      </c>
      <c r="Y802" s="13"/>
      <c r="AB802" t="e">
        <v>#N/A</v>
      </c>
      <c r="AC802" t="s">
        <v>4210</v>
      </c>
      <c r="AE802" t="str">
        <f t="shared" si="99"/>
        <v>P000162</v>
      </c>
      <c r="AF802" t="str">
        <f>_xlfn.XLOOKUP(AE802, Hoja2!A:A, Hoja2!A:A)</f>
        <v>P000162</v>
      </c>
      <c r="AG802" t="str">
        <f t="shared" si="100"/>
        <v>PP00028-58</v>
      </c>
      <c r="AH802">
        <f>_xlfn.XLOOKUP(AG802, Hoja3!A:A, Hoja3!B:B)</f>
        <v>5387</v>
      </c>
      <c r="AI802" t="str">
        <f>_xlfn.XLOOKUP(AH802, Hoja4!A:A, Hoja4!B:B)</f>
        <v>E35100000</v>
      </c>
      <c r="AJ802" t="b">
        <f t="shared" si="101"/>
        <v>1</v>
      </c>
    </row>
    <row r="803" spans="1:36" ht="15.5" customHeight="1" x14ac:dyDescent="0.35">
      <c r="A803">
        <f t="shared" ca="1" si="98"/>
        <v>2</v>
      </c>
      <c r="B803" s="6" t="s">
        <v>2438</v>
      </c>
      <c r="C803" s="7">
        <v>45791</v>
      </c>
      <c r="D803" s="6" t="s">
        <v>564</v>
      </c>
      <c r="E803" s="6" t="s">
        <v>139</v>
      </c>
      <c r="F803" s="6" t="s">
        <v>84</v>
      </c>
      <c r="G803" s="6" t="s">
        <v>156</v>
      </c>
      <c r="H803" s="6" t="s">
        <v>287</v>
      </c>
      <c r="I803" s="6" t="s">
        <v>208</v>
      </c>
      <c r="J803" s="6" t="str">
        <f>IF(E803="KTG","KTG",(VLOOKUP(I803,'[1]list of outsource'!B:H,2,0)))</f>
        <v>ETC</v>
      </c>
      <c r="K803" s="6" t="s">
        <v>209</v>
      </c>
      <c r="L803" s="6">
        <v>23</v>
      </c>
      <c r="M803" s="6" t="s">
        <v>288</v>
      </c>
      <c r="N803" s="6" t="s">
        <v>591</v>
      </c>
      <c r="O803" s="6" t="s">
        <v>2439</v>
      </c>
      <c r="P803" s="6"/>
      <c r="Q803" s="8"/>
      <c r="R803" s="6"/>
      <c r="S803" s="6"/>
      <c r="T803" s="6"/>
      <c r="U803" s="6">
        <v>1</v>
      </c>
      <c r="V803" s="6" t="s">
        <v>569</v>
      </c>
      <c r="W803" s="6" t="s">
        <v>154</v>
      </c>
      <c r="X803" s="7">
        <v>45793</v>
      </c>
      <c r="Y803" s="7">
        <v>45806</v>
      </c>
      <c r="AB803" t="e">
        <v>#N/A</v>
      </c>
      <c r="AC803" t="e">
        <v>#N/A</v>
      </c>
      <c r="AE803" t="str">
        <f t="shared" si="99"/>
        <v>P000162</v>
      </c>
      <c r="AF803" t="str">
        <f>_xlfn.XLOOKUP(AE803, Hoja2!A:A, Hoja2!A:A)</f>
        <v>P000162</v>
      </c>
      <c r="AG803" t="str">
        <f t="shared" si="100"/>
        <v>PP00028-58</v>
      </c>
      <c r="AH803">
        <f>_xlfn.XLOOKUP(AG803, Hoja3!A:A, Hoja3!B:B)</f>
        <v>5387</v>
      </c>
      <c r="AI803" t="str">
        <f>_xlfn.XLOOKUP(AH803, Hoja4!A:A, Hoja4!B:B)</f>
        <v>E35100000</v>
      </c>
      <c r="AJ803" t="b">
        <f t="shared" si="101"/>
        <v>1</v>
      </c>
    </row>
    <row r="804" spans="1:36" ht="15.5" customHeight="1" x14ac:dyDescent="0.35">
      <c r="A804">
        <f t="shared" ca="1" si="98"/>
        <v>24</v>
      </c>
      <c r="B804" s="6" t="s">
        <v>2440</v>
      </c>
      <c r="C804" s="7">
        <v>45768</v>
      </c>
      <c r="D804" s="6" t="s">
        <v>564</v>
      </c>
      <c r="E804" s="6" t="s">
        <v>139</v>
      </c>
      <c r="F804" s="6" t="s">
        <v>933</v>
      </c>
      <c r="G804" s="6" t="s">
        <v>32</v>
      </c>
      <c r="H804" s="6">
        <v>35758259</v>
      </c>
      <c r="I804" s="6" t="s">
        <v>529</v>
      </c>
      <c r="J804" s="6" t="str">
        <f>IF(E804="KTG","KTG",(VLOOKUP(I804,'[1]list of outsource'!B:H,2,0)))</f>
        <v>ETC</v>
      </c>
      <c r="K804" s="6" t="s">
        <v>530</v>
      </c>
      <c r="L804" s="6">
        <v>2</v>
      </c>
      <c r="M804" s="6" t="s">
        <v>2441</v>
      </c>
      <c r="N804" s="6" t="s">
        <v>2442</v>
      </c>
      <c r="O804" s="6" t="s">
        <v>2443</v>
      </c>
      <c r="P804" s="6"/>
      <c r="Q804" s="8"/>
      <c r="R804" s="6"/>
      <c r="S804" s="6"/>
      <c r="T804" s="6"/>
      <c r="U804" s="6">
        <v>4</v>
      </c>
      <c r="V804" s="6" t="s">
        <v>919</v>
      </c>
      <c r="W804" s="6" t="s">
        <v>37</v>
      </c>
      <c r="X804" s="7">
        <v>45792</v>
      </c>
      <c r="Y804" s="7">
        <v>45820</v>
      </c>
      <c r="AB804">
        <v>0</v>
      </c>
      <c r="AC804" t="e">
        <v>#N/A</v>
      </c>
      <c r="AE804" t="str">
        <f t="shared" si="99"/>
        <v>P000455</v>
      </c>
      <c r="AF804" t="str">
        <f>_xlfn.XLOOKUP(AE804, Hoja2!A:A, Hoja2!A:A)</f>
        <v>P000455</v>
      </c>
      <c r="AG804" t="str">
        <f t="shared" si="100"/>
        <v>PP00042-0028</v>
      </c>
      <c r="AH804">
        <f>_xlfn.XLOOKUP(AG804, Hoja3!A:A, Hoja3!B:B)</f>
        <v>5146</v>
      </c>
      <c r="AI804">
        <f>_xlfn.XLOOKUP(AH804, Hoja4!A:A, Hoja4!B:B)</f>
        <v>35758259</v>
      </c>
      <c r="AJ804" t="b">
        <f t="shared" si="101"/>
        <v>1</v>
      </c>
    </row>
    <row r="805" spans="1:36" ht="15.5" customHeight="1" x14ac:dyDescent="0.35">
      <c r="A805">
        <f t="shared" ca="1" si="98"/>
        <v>8</v>
      </c>
      <c r="B805" s="6" t="s">
        <v>2444</v>
      </c>
      <c r="C805" s="7">
        <v>45775</v>
      </c>
      <c r="D805" s="6" t="s">
        <v>1947</v>
      </c>
      <c r="E805" s="6" t="s">
        <v>30</v>
      </c>
      <c r="F805" s="6" t="s">
        <v>1371</v>
      </c>
      <c r="G805" s="6" t="s">
        <v>32</v>
      </c>
      <c r="H805" s="6" t="s">
        <v>2445</v>
      </c>
      <c r="I805" s="6"/>
      <c r="J805" s="6" t="str">
        <f>IF(E805="KTG","KTG",(VLOOKUP(I805,'[1]list of outsource'!B:H,2,0)))</f>
        <v>KTG</v>
      </c>
      <c r="K805" s="6"/>
      <c r="L805" s="6"/>
      <c r="M805" s="6" t="s">
        <v>2446</v>
      </c>
      <c r="N805" s="6" t="s">
        <v>2447</v>
      </c>
      <c r="O805" s="6"/>
      <c r="P805" s="6"/>
      <c r="Q805" s="8"/>
      <c r="R805" s="6"/>
      <c r="S805" s="6"/>
      <c r="T805" s="6"/>
      <c r="U805" s="6" t="s">
        <v>569</v>
      </c>
      <c r="V805" s="6" t="s">
        <v>569</v>
      </c>
      <c r="W805" s="6" t="s">
        <v>1608</v>
      </c>
      <c r="X805" s="7">
        <v>45783</v>
      </c>
      <c r="Y805" s="7">
        <v>45783</v>
      </c>
      <c r="AB805" t="e">
        <v>#N/A</v>
      </c>
      <c r="AC805" t="e">
        <v>#N/A</v>
      </c>
      <c r="AE805" t="str">
        <f t="shared" si="99"/>
        <v>E58341</v>
      </c>
      <c r="AF805" t="str">
        <f>_xlfn.XLOOKUP(AE805, Hoja2!A:A, Hoja2!A:A)</f>
        <v>E58341</v>
      </c>
      <c r="AG805" t="str">
        <f t="shared" si="100"/>
        <v>PP00047-17</v>
      </c>
      <c r="AH805">
        <f>_xlfn.XLOOKUP(AG805, Hoja3!A:A, Hoja3!B:B)</f>
        <v>5525</v>
      </c>
      <c r="AI805" t="str">
        <f>_xlfn.XLOOKUP(AH805, Hoja4!A:A, Hoja4!B:B)</f>
        <v>CYG-135F-3/8-1000-BLK</v>
      </c>
      <c r="AJ805" t="b">
        <f t="shared" si="101"/>
        <v>1</v>
      </c>
    </row>
    <row r="806" spans="1:36" ht="15.5" customHeight="1" x14ac:dyDescent="0.35">
      <c r="A806">
        <f t="shared" ca="1" si="98"/>
        <v>8</v>
      </c>
      <c r="B806" s="6" t="s">
        <v>2448</v>
      </c>
      <c r="C806" s="7">
        <v>45775</v>
      </c>
      <c r="D806" s="6" t="s">
        <v>1947</v>
      </c>
      <c r="E806" s="6" t="s">
        <v>30</v>
      </c>
      <c r="F806" s="6" t="s">
        <v>1371</v>
      </c>
      <c r="G806" s="6" t="s">
        <v>32</v>
      </c>
      <c r="H806" s="6" t="s">
        <v>1376</v>
      </c>
      <c r="I806" s="6"/>
      <c r="J806" s="6" t="str">
        <f>IF(E806="KTG","KTG",(VLOOKUP(I806,'[1]list of outsource'!B:H,2,0)))</f>
        <v>KTG</v>
      </c>
      <c r="K806" s="6"/>
      <c r="L806" s="6"/>
      <c r="M806" s="6" t="s">
        <v>1377</v>
      </c>
      <c r="N806" s="6" t="s">
        <v>2449</v>
      </c>
      <c r="O806" s="6"/>
      <c r="P806" s="6"/>
      <c r="Q806" s="8"/>
      <c r="R806" s="6"/>
      <c r="S806" s="6"/>
      <c r="T806" s="6"/>
      <c r="U806" s="6" t="s">
        <v>569</v>
      </c>
      <c r="V806" s="6" t="s">
        <v>569</v>
      </c>
      <c r="W806" s="6" t="s">
        <v>1608</v>
      </c>
      <c r="X806" s="7">
        <v>45783</v>
      </c>
      <c r="Y806" s="7">
        <v>45783</v>
      </c>
      <c r="AB806" t="e">
        <v>#N/A</v>
      </c>
      <c r="AC806" t="s">
        <v>4210</v>
      </c>
      <c r="AE806" t="str">
        <f t="shared" si="99"/>
        <v>E58346</v>
      </c>
      <c r="AF806" t="str">
        <f>_xlfn.XLOOKUP(AE806, Hoja2!A:A, Hoja2!A:A)</f>
        <v>E58346</v>
      </c>
      <c r="AG806" t="str">
        <f t="shared" si="100"/>
        <v>PP00047-18</v>
      </c>
      <c r="AH806">
        <f>_xlfn.XLOOKUP(AG806, Hoja3!A:A, Hoja3!B:B)</f>
        <v>5526</v>
      </c>
      <c r="AI806" t="str">
        <f>_xlfn.XLOOKUP(AH806, Hoja4!A:A, Hoja4!B:B)</f>
        <v>CYG-135F-1/2-50-BLK</v>
      </c>
      <c r="AJ806" t="b">
        <f t="shared" si="101"/>
        <v>1</v>
      </c>
    </row>
    <row r="807" spans="1:36" ht="15.5" customHeight="1" x14ac:dyDescent="0.35">
      <c r="A807">
        <f t="shared" ca="1" si="98"/>
        <v>8</v>
      </c>
      <c r="B807" s="6" t="s">
        <v>2450</v>
      </c>
      <c r="C807" s="7">
        <v>45775</v>
      </c>
      <c r="D807" s="6" t="s">
        <v>1947</v>
      </c>
      <c r="E807" s="6" t="s">
        <v>30</v>
      </c>
      <c r="F807" s="6" t="s">
        <v>1371</v>
      </c>
      <c r="G807" s="6" t="s">
        <v>32</v>
      </c>
      <c r="H807" s="6" t="s">
        <v>2451</v>
      </c>
      <c r="I807" s="6"/>
      <c r="J807" s="6" t="str">
        <f>IF(E807="KTG","KTG",(VLOOKUP(I807,'[1]list of outsource'!B:H,2,0)))</f>
        <v>KTG</v>
      </c>
      <c r="K807" s="6"/>
      <c r="L807" s="6"/>
      <c r="M807" s="6" t="s">
        <v>2452</v>
      </c>
      <c r="N807" s="6" t="s">
        <v>2453</v>
      </c>
      <c r="O807" s="6"/>
      <c r="P807" s="6"/>
      <c r="Q807" s="8"/>
      <c r="R807" s="6"/>
      <c r="S807" s="6"/>
      <c r="T807" s="6"/>
      <c r="U807" s="6" t="s">
        <v>569</v>
      </c>
      <c r="V807" s="6" t="s">
        <v>569</v>
      </c>
      <c r="W807" s="6" t="s">
        <v>1608</v>
      </c>
      <c r="X807" s="7">
        <v>45783</v>
      </c>
      <c r="Y807" s="7">
        <v>45783</v>
      </c>
      <c r="AB807" t="e">
        <v>#N/A</v>
      </c>
      <c r="AC807" t="e">
        <v>#N/A</v>
      </c>
      <c r="AE807" t="str">
        <f t="shared" si="99"/>
        <v>E58306</v>
      </c>
      <c r="AF807" t="str">
        <f>_xlfn.XLOOKUP(AE807, Hoja2!A:A, Hoja2!A:A)</f>
        <v>E58306</v>
      </c>
      <c r="AG807" t="str">
        <f t="shared" si="100"/>
        <v>PP00047-19</v>
      </c>
      <c r="AH807">
        <f>_xlfn.XLOOKUP(AG807, Hoja3!A:A, Hoja3!B:B)</f>
        <v>5527</v>
      </c>
      <c r="AI807" t="str">
        <f>_xlfn.XLOOKUP(AH807, Hoja4!A:A, Hoja4!B:B)</f>
        <v>DWT-RO-2-75MM</v>
      </c>
      <c r="AJ807" t="b">
        <f t="shared" si="101"/>
        <v>1</v>
      </c>
    </row>
    <row r="808" spans="1:36" ht="15.5" customHeight="1" x14ac:dyDescent="0.35">
      <c r="A808">
        <f t="shared" ca="1" si="98"/>
        <v>22</v>
      </c>
      <c r="B808" s="6" t="s">
        <v>2454</v>
      </c>
      <c r="C808" s="7">
        <v>45777</v>
      </c>
      <c r="D808" s="6" t="s">
        <v>564</v>
      </c>
      <c r="E808" s="6" t="s">
        <v>83</v>
      </c>
      <c r="F808" s="6" t="s">
        <v>84</v>
      </c>
      <c r="G808" s="6" t="s">
        <v>578</v>
      </c>
      <c r="H808" s="6" t="s">
        <v>247</v>
      </c>
      <c r="I808" s="6" t="s">
        <v>95</v>
      </c>
      <c r="J808" s="6" t="str">
        <f>IF(E808="KTG","KTG",(VLOOKUP(I808,'[1]list of outsource'!B:H,2,0)))</f>
        <v>Woer</v>
      </c>
      <c r="K808" s="6" t="s">
        <v>96</v>
      </c>
      <c r="L808" s="6">
        <v>56</v>
      </c>
      <c r="M808" s="6" t="s">
        <v>248</v>
      </c>
      <c r="N808" s="6" t="s">
        <v>1954</v>
      </c>
      <c r="O808" s="6" t="s">
        <v>2455</v>
      </c>
      <c r="P808" s="6"/>
      <c r="Q808" s="8"/>
      <c r="R808" s="6"/>
      <c r="S808" s="6"/>
      <c r="T808" s="6"/>
      <c r="U808" s="6">
        <v>4</v>
      </c>
      <c r="V808" s="6" t="s">
        <v>569</v>
      </c>
      <c r="W808" s="6" t="s">
        <v>37</v>
      </c>
      <c r="X808" s="7">
        <v>45799</v>
      </c>
      <c r="Y808" s="7">
        <v>45825</v>
      </c>
      <c r="AB808" t="s">
        <v>1252</v>
      </c>
      <c r="AC808" t="e">
        <v>#N/A</v>
      </c>
      <c r="AE808" t="str">
        <f t="shared" si="99"/>
        <v>P000107</v>
      </c>
      <c r="AF808" t="str">
        <f>_xlfn.XLOOKUP(AE808, Hoja2!A:A, Hoja2!A:A)</f>
        <v>P000107</v>
      </c>
      <c r="AG808" t="str">
        <f t="shared" si="100"/>
        <v>PP00032-36</v>
      </c>
      <c r="AH808">
        <f>_xlfn.XLOOKUP(AG808, Hoja3!A:A, Hoja3!B:B)</f>
        <v>5460</v>
      </c>
      <c r="AI808" t="str">
        <f>_xlfn.XLOOKUP(AH808, Hoja4!A:A, Hoja4!B:B)</f>
        <v>E35217000</v>
      </c>
      <c r="AJ808" t="b">
        <f t="shared" si="101"/>
        <v>1</v>
      </c>
    </row>
    <row r="809" spans="1:36" ht="15.5" customHeight="1" x14ac:dyDescent="0.35">
      <c r="A809">
        <f t="shared" ca="1" si="98"/>
        <v>22</v>
      </c>
      <c r="B809" s="6" t="s">
        <v>2456</v>
      </c>
      <c r="C809" s="7">
        <v>45777</v>
      </c>
      <c r="D809" s="6" t="s">
        <v>564</v>
      </c>
      <c r="E809" s="6" t="s">
        <v>83</v>
      </c>
      <c r="F809" s="6" t="s">
        <v>84</v>
      </c>
      <c r="G809" s="6" t="s">
        <v>578</v>
      </c>
      <c r="H809" s="6" t="s">
        <v>2457</v>
      </c>
      <c r="I809" s="6" t="s">
        <v>95</v>
      </c>
      <c r="J809" s="6" t="str">
        <f>IF(E809="KTG","KTG",(VLOOKUP(I809,'[1]list of outsource'!B:H,2,0)))</f>
        <v>Woer</v>
      </c>
      <c r="K809" s="6" t="s">
        <v>96</v>
      </c>
      <c r="L809" s="6">
        <v>56</v>
      </c>
      <c r="M809" s="6" t="s">
        <v>2458</v>
      </c>
      <c r="N809" s="6" t="s">
        <v>2459</v>
      </c>
      <c r="O809" s="6" t="s">
        <v>2460</v>
      </c>
      <c r="P809" s="6"/>
      <c r="Q809" s="8">
        <v>45796</v>
      </c>
      <c r="R809" s="6"/>
      <c r="S809" s="6"/>
      <c r="T809" s="6"/>
      <c r="U809" s="6">
        <v>4</v>
      </c>
      <c r="V809" s="6" t="s">
        <v>569</v>
      </c>
      <c r="W809" s="6" t="s">
        <v>37</v>
      </c>
      <c r="X809" s="7">
        <v>45799</v>
      </c>
      <c r="Y809" s="7">
        <v>45825</v>
      </c>
      <c r="AB809" t="s">
        <v>2461</v>
      </c>
      <c r="AC809" t="e">
        <v>#N/A</v>
      </c>
      <c r="AE809" t="str">
        <f t="shared" si="99"/>
        <v>P001029</v>
      </c>
      <c r="AF809" t="str">
        <f>_xlfn.XLOOKUP(AE809, Hoja2!A:A, Hoja2!A:A)</f>
        <v>P001029</v>
      </c>
      <c r="AG809" t="str">
        <f t="shared" si="100"/>
        <v>PP00032-37</v>
      </c>
      <c r="AH809">
        <f>_xlfn.XLOOKUP(AG809, Hoja3!A:A, Hoja3!B:B)</f>
        <v>5461</v>
      </c>
      <c r="AI809" t="str">
        <f>_xlfn.XLOOKUP(AH809, Hoja4!A:A, Hoja4!B:B)</f>
        <v>E50924900</v>
      </c>
      <c r="AJ809" t="b">
        <f t="shared" si="101"/>
        <v>1</v>
      </c>
    </row>
    <row r="810" spans="1:36" ht="15.5" customHeight="1" x14ac:dyDescent="0.35">
      <c r="A810">
        <f t="shared" ca="1" si="98"/>
        <v>33</v>
      </c>
      <c r="B810" s="6" t="s">
        <v>2462</v>
      </c>
      <c r="C810" s="7">
        <v>45303</v>
      </c>
      <c r="D810" s="6" t="s">
        <v>912</v>
      </c>
      <c r="E810" s="6" t="s">
        <v>83</v>
      </c>
      <c r="F810" s="6" t="s">
        <v>84</v>
      </c>
      <c r="G810" s="6" t="s">
        <v>156</v>
      </c>
      <c r="H810" s="6" t="s">
        <v>247</v>
      </c>
      <c r="I810" s="6" t="s">
        <v>95</v>
      </c>
      <c r="J810" s="6" t="str">
        <f>IF(E810="KTG","KTG",(VLOOKUP(I810,'[1]list of outsource'!B:H,2,0)))</f>
        <v>Woer</v>
      </c>
      <c r="K810" s="6" t="s">
        <v>96</v>
      </c>
      <c r="L810" s="6">
        <v>40</v>
      </c>
      <c r="M810" s="6" t="s">
        <v>248</v>
      </c>
      <c r="N810" s="6" t="s">
        <v>249</v>
      </c>
      <c r="O810" s="6">
        <v>1160608585</v>
      </c>
      <c r="P810" s="6"/>
      <c r="Q810" s="8" t="s">
        <v>575</v>
      </c>
      <c r="R810" s="6"/>
      <c r="S810" s="6"/>
      <c r="T810" s="6"/>
      <c r="U810" s="6">
        <v>1</v>
      </c>
      <c r="V810" s="6" t="s">
        <v>569</v>
      </c>
      <c r="W810" s="6" t="s">
        <v>154</v>
      </c>
      <c r="X810" s="7">
        <v>45336</v>
      </c>
      <c r="Y810" s="7">
        <v>45497</v>
      </c>
      <c r="AB810" t="s">
        <v>1252</v>
      </c>
      <c r="AC810" t="s">
        <v>4210</v>
      </c>
      <c r="AE810" t="str">
        <f t="shared" si="99"/>
        <v>P000107</v>
      </c>
      <c r="AF810" t="str">
        <f>_xlfn.XLOOKUP(AE810, Hoja2!A:A, Hoja2!A:A)</f>
        <v>P000107</v>
      </c>
      <c r="AG810" t="str">
        <f t="shared" si="100"/>
        <v>PP00028-59</v>
      </c>
      <c r="AH810">
        <f>_xlfn.XLOOKUP(AG810, Hoja3!A:A, Hoja3!B:B)</f>
        <v>41</v>
      </c>
      <c r="AI810" t="str">
        <f>_xlfn.XLOOKUP(AH810, Hoja4!A:A, Hoja4!B:B)</f>
        <v>E35217000</v>
      </c>
      <c r="AJ810" t="b">
        <f t="shared" si="101"/>
        <v>1</v>
      </c>
    </row>
    <row r="811" spans="1:36" ht="15.5" customHeight="1" x14ac:dyDescent="0.35">
      <c r="A811">
        <f t="shared" ca="1" si="98"/>
        <v>36</v>
      </c>
      <c r="B811" s="12" t="s">
        <v>2463</v>
      </c>
      <c r="C811" s="13">
        <v>45784</v>
      </c>
      <c r="D811" s="14" t="s">
        <v>121</v>
      </c>
      <c r="E811" s="14" t="s">
        <v>30</v>
      </c>
      <c r="F811" s="14" t="s">
        <v>1371</v>
      </c>
      <c r="G811" s="14" t="s">
        <v>32</v>
      </c>
      <c r="H811" s="14" t="s">
        <v>2464</v>
      </c>
      <c r="I811" s="14"/>
      <c r="J811" s="14" t="str">
        <f>IF(E811="KTG","KTG",(VLOOKUP(I811,'[1]list of outsource'!B:H,2,0)))</f>
        <v>KTG</v>
      </c>
      <c r="K811" s="14"/>
      <c r="L811" s="14"/>
      <c r="M811" s="14" t="s">
        <v>2465</v>
      </c>
      <c r="N811" s="14" t="s">
        <v>2466</v>
      </c>
      <c r="O811" s="14" t="s">
        <v>2467</v>
      </c>
      <c r="P811" s="14"/>
      <c r="Q811" s="15"/>
      <c r="R811" s="14"/>
      <c r="S811" s="16"/>
      <c r="T811" s="14"/>
      <c r="U811" s="14">
        <v>4</v>
      </c>
      <c r="V811" s="14" t="s">
        <v>665</v>
      </c>
      <c r="W811" s="14" t="s">
        <v>37</v>
      </c>
      <c r="X811" s="13">
        <v>45820</v>
      </c>
      <c r="Y811" s="13"/>
      <c r="Z811" t="s">
        <v>1264</v>
      </c>
      <c r="AB811" t="e">
        <v>#N/A</v>
      </c>
      <c r="AC811" t="s">
        <v>4210</v>
      </c>
      <c r="AE811" t="str">
        <f t="shared" si="99"/>
        <v>E58333</v>
      </c>
      <c r="AF811" t="str">
        <f>_xlfn.XLOOKUP(AE811, Hoja2!A:A, Hoja2!A:A)</f>
        <v>E58333</v>
      </c>
      <c r="AG811" t="str">
        <f t="shared" si="100"/>
        <v>PP00047-12</v>
      </c>
      <c r="AH811">
        <f>_xlfn.XLOOKUP(AG811, Hoja3!A:A, Hoja3!B:B)</f>
        <v>5520</v>
      </c>
      <c r="AI811" t="str">
        <f>_xlfn.XLOOKUP(AH811, Hoja4!A:A, Hoja4!B:B)</f>
        <v>CYG-135F-1/2-1000-BLK</v>
      </c>
      <c r="AJ811" t="b">
        <f t="shared" si="101"/>
        <v>1</v>
      </c>
    </row>
    <row r="812" spans="1:36" ht="15.5" customHeight="1" x14ac:dyDescent="0.35">
      <c r="A812">
        <f t="shared" ca="1" si="98"/>
        <v>36</v>
      </c>
      <c r="B812" s="12" t="s">
        <v>2468</v>
      </c>
      <c r="C812" s="13">
        <v>45784</v>
      </c>
      <c r="D812" s="14" t="s">
        <v>121</v>
      </c>
      <c r="E812" s="14" t="s">
        <v>30</v>
      </c>
      <c r="F812" s="14" t="s">
        <v>1371</v>
      </c>
      <c r="G812" s="14" t="s">
        <v>32</v>
      </c>
      <c r="H812" s="14" t="s">
        <v>2469</v>
      </c>
      <c r="I812" s="14"/>
      <c r="J812" s="14" t="str">
        <f>IF(E812="KTG","KTG",(VLOOKUP(I812,'[1]list of outsource'!B:H,2,0)))</f>
        <v>KTG</v>
      </c>
      <c r="K812" s="14"/>
      <c r="L812" s="14"/>
      <c r="M812" s="14" t="s">
        <v>2470</v>
      </c>
      <c r="N812" s="14" t="s">
        <v>2471</v>
      </c>
      <c r="O812" s="14"/>
      <c r="P812" s="14"/>
      <c r="Q812" s="15"/>
      <c r="R812" s="14"/>
      <c r="S812" s="16"/>
      <c r="T812" s="14"/>
      <c r="U812" s="14">
        <v>4</v>
      </c>
      <c r="V812" s="14" t="s">
        <v>665</v>
      </c>
      <c r="W812" s="14" t="s">
        <v>37</v>
      </c>
      <c r="X812" s="13">
        <v>45820</v>
      </c>
      <c r="Y812" s="13"/>
      <c r="Z812" t="s">
        <v>1264</v>
      </c>
      <c r="AB812" t="e">
        <v>#N/A</v>
      </c>
      <c r="AC812" t="s">
        <v>4210</v>
      </c>
      <c r="AE812" t="str">
        <f t="shared" si="99"/>
        <v>E58339</v>
      </c>
      <c r="AF812" t="str">
        <f>_xlfn.XLOOKUP(AE812, Hoja2!A:A, Hoja2!A:A)</f>
        <v>E58339</v>
      </c>
      <c r="AG812" t="str">
        <f t="shared" si="100"/>
        <v>PP00047-15</v>
      </c>
      <c r="AH812">
        <f>_xlfn.XLOOKUP(AG812, Hoja3!A:A, Hoja3!B:B)</f>
        <v>5523</v>
      </c>
      <c r="AI812" t="str">
        <f>_xlfn.XLOOKUP(AH812, Hoja4!A:A, Hoja4!B:B)</f>
        <v>CYG-135F-1/4-1000-BLK</v>
      </c>
      <c r="AJ812" t="b">
        <f t="shared" si="101"/>
        <v>1</v>
      </c>
    </row>
    <row r="813" spans="1:36" ht="15.5" customHeight="1" x14ac:dyDescent="0.35">
      <c r="A813">
        <f t="shared" ca="1" si="98"/>
        <v>0</v>
      </c>
      <c r="B813" s="6" t="s">
        <v>2472</v>
      </c>
      <c r="C813" s="7">
        <v>45790</v>
      </c>
      <c r="D813" s="6" t="s">
        <v>138</v>
      </c>
      <c r="E813" s="6" t="s">
        <v>30</v>
      </c>
      <c r="F813" s="6" t="s">
        <v>1117</v>
      </c>
      <c r="G813" s="6" t="s">
        <v>32</v>
      </c>
      <c r="H813" s="6">
        <v>51203</v>
      </c>
      <c r="I813" s="6"/>
      <c r="J813" s="6" t="str">
        <f>IF(E813="KTG","KTG",(VLOOKUP(I813,'[1]list of outsource'!B:H,2,0)))</f>
        <v>KTG</v>
      </c>
      <c r="K813" s="6"/>
      <c r="L813" s="6"/>
      <c r="M813" s="6" t="s">
        <v>2473</v>
      </c>
      <c r="N813" s="6" t="s">
        <v>2474</v>
      </c>
      <c r="O813" s="6"/>
      <c r="P813" s="6"/>
      <c r="Q813" s="8"/>
      <c r="R813" s="6"/>
      <c r="S813" s="6"/>
      <c r="T813" s="6"/>
      <c r="U813" s="6">
        <v>4</v>
      </c>
      <c r="V813" s="6" t="s">
        <v>569</v>
      </c>
      <c r="W813" s="6" t="s">
        <v>37</v>
      </c>
      <c r="X813" s="7">
        <v>45790</v>
      </c>
      <c r="Y813" s="7">
        <v>44616</v>
      </c>
      <c r="Z813" t="s">
        <v>1264</v>
      </c>
      <c r="AB813" t="e">
        <v>#N/A</v>
      </c>
      <c r="AC813" t="e">
        <v>#N/A</v>
      </c>
      <c r="AE813" t="str">
        <f t="shared" si="99"/>
        <v>E4407</v>
      </c>
      <c r="AF813" t="str">
        <f>_xlfn.XLOOKUP(AE813, Hoja2!A:A, Hoja2!A:A)</f>
        <v>E4407</v>
      </c>
      <c r="AG813" t="str">
        <f t="shared" si="100"/>
        <v>PP00045-05</v>
      </c>
      <c r="AH813">
        <f>_xlfn.XLOOKUP(AG813, Hoja3!A:A, Hoja3!B:B)</f>
        <v>4722</v>
      </c>
      <c r="AI813">
        <f>_xlfn.XLOOKUP(AH813, Hoja4!A:A, Hoja4!B:B)</f>
        <v>51203</v>
      </c>
      <c r="AJ813" t="b">
        <f t="shared" si="101"/>
        <v>1</v>
      </c>
    </row>
    <row r="814" spans="1:36" ht="15.5" customHeight="1" x14ac:dyDescent="0.35">
      <c r="A814">
        <f t="shared" ca="1" si="98"/>
        <v>0</v>
      </c>
      <c r="B814" s="6" t="s">
        <v>2475</v>
      </c>
      <c r="C814" s="7">
        <v>45790</v>
      </c>
      <c r="D814" s="6" t="s">
        <v>507</v>
      </c>
      <c r="E814" s="6" t="s">
        <v>30</v>
      </c>
      <c r="F814" s="6" t="s">
        <v>148</v>
      </c>
      <c r="G814" s="6" t="s">
        <v>32</v>
      </c>
      <c r="H814" s="6" t="s">
        <v>2476</v>
      </c>
      <c r="I814" s="6"/>
      <c r="J814" s="6" t="str">
        <f>IF(E814="KTG","KTG",(VLOOKUP(I814,'[1]list of outsource'!B:H,2,0)))</f>
        <v>KTG</v>
      </c>
      <c r="K814" s="6"/>
      <c r="L814" s="6"/>
      <c r="M814" s="6" t="s">
        <v>2477</v>
      </c>
      <c r="N814" s="6" t="s">
        <v>2478</v>
      </c>
      <c r="O814" s="6"/>
      <c r="P814" s="6"/>
      <c r="Q814" s="8"/>
      <c r="R814" s="6"/>
      <c r="S814" s="6"/>
      <c r="T814" s="6"/>
      <c r="U814" s="6">
        <v>4</v>
      </c>
      <c r="V814" s="6" t="s">
        <v>569</v>
      </c>
      <c r="W814" s="6" t="s">
        <v>37</v>
      </c>
      <c r="X814" s="7">
        <v>45790</v>
      </c>
      <c r="Y814" s="7">
        <v>45217</v>
      </c>
      <c r="Z814" t="s">
        <v>1264</v>
      </c>
      <c r="AB814" t="e">
        <v>#N/A</v>
      </c>
      <c r="AC814" t="e">
        <v>#N/A</v>
      </c>
      <c r="AE814" t="str">
        <f t="shared" si="99"/>
        <v>E69612</v>
      </c>
      <c r="AF814" t="str">
        <f>_xlfn.XLOOKUP(AE814, Hoja2!A:A, Hoja2!A:A)</f>
        <v>E69612</v>
      </c>
      <c r="AG814" t="str">
        <f t="shared" si="100"/>
        <v>PP00029-17</v>
      </c>
      <c r="AH814">
        <f>_xlfn.XLOOKUP(AG814, Hoja3!A:A, Hoja3!B:B)</f>
        <v>5135</v>
      </c>
      <c r="AI814" t="str">
        <f>_xlfn.XLOOKUP(AH814, Hoja4!A:A, Hoja4!B:B)</f>
        <v>DWT(VTS) #4-40mm</v>
      </c>
      <c r="AJ814" t="b">
        <f t="shared" si="101"/>
        <v>1</v>
      </c>
    </row>
    <row r="815" spans="1:36" ht="15.5" customHeight="1" x14ac:dyDescent="0.35">
      <c r="A815">
        <f t="shared" ca="1" si="98"/>
        <v>33</v>
      </c>
      <c r="B815" s="12" t="s">
        <v>2479</v>
      </c>
      <c r="C815" s="13">
        <v>45303</v>
      </c>
      <c r="D815" s="14" t="s">
        <v>121</v>
      </c>
      <c r="E815" s="14" t="s">
        <v>83</v>
      </c>
      <c r="F815" s="14" t="s">
        <v>84</v>
      </c>
      <c r="G815" s="14" t="s">
        <v>156</v>
      </c>
      <c r="H815" s="14" t="s">
        <v>377</v>
      </c>
      <c r="I815" s="14" t="s">
        <v>218</v>
      </c>
      <c r="J815" s="14" t="str">
        <f>IF(E815="KTG","KTG",(VLOOKUP(I815,'[1]list of outsource'!B:H,2,0)))</f>
        <v>UPM</v>
      </c>
      <c r="K815" s="14" t="s">
        <v>219</v>
      </c>
      <c r="L815" s="14">
        <v>10</v>
      </c>
      <c r="M815" s="14" t="s">
        <v>378</v>
      </c>
      <c r="N815" s="14" t="s">
        <v>379</v>
      </c>
      <c r="O815" s="14">
        <v>1173453366</v>
      </c>
      <c r="P815" s="14"/>
      <c r="Q815" s="15" t="s">
        <v>575</v>
      </c>
      <c r="R815" s="14"/>
      <c r="S815" s="16"/>
      <c r="T815" s="14"/>
      <c r="U815" s="14">
        <v>1</v>
      </c>
      <c r="V815" s="14" t="s">
        <v>569</v>
      </c>
      <c r="W815" s="14" t="s">
        <v>154</v>
      </c>
      <c r="X815" s="13">
        <v>45336</v>
      </c>
      <c r="Y815" s="13"/>
      <c r="AB815" t="e">
        <v>#N/A</v>
      </c>
      <c r="AC815" t="e">
        <v>#N/A</v>
      </c>
      <c r="AE815" t="str">
        <f t="shared" si="99"/>
        <v>P000128</v>
      </c>
      <c r="AF815" t="str">
        <f>_xlfn.XLOOKUP(AE815, Hoja2!A:A, Hoja2!A:A)</f>
        <v>P000128</v>
      </c>
      <c r="AG815" t="str">
        <f t="shared" si="100"/>
        <v>PP00028-60</v>
      </c>
      <c r="AH815">
        <f>_xlfn.XLOOKUP(AG815, Hoja3!A:A, Hoja3!B:B)</f>
        <v>5388</v>
      </c>
      <c r="AI815" t="str">
        <f>_xlfn.XLOOKUP(AH815, Hoja4!A:A, Hoja4!B:B)</f>
        <v>E34750200</v>
      </c>
      <c r="AJ815" t="b">
        <f t="shared" si="101"/>
        <v>1</v>
      </c>
    </row>
    <row r="816" spans="1:36" ht="15.5" customHeight="1" x14ac:dyDescent="0.35">
      <c r="A816">
        <f t="shared" ca="1" si="98"/>
        <v>33</v>
      </c>
      <c r="B816" s="12" t="s">
        <v>2480</v>
      </c>
      <c r="C816" s="13">
        <v>45303</v>
      </c>
      <c r="D816" s="14" t="s">
        <v>121</v>
      </c>
      <c r="E816" s="14" t="s">
        <v>139</v>
      </c>
      <c r="F816" s="14" t="s">
        <v>84</v>
      </c>
      <c r="G816" s="14" t="s">
        <v>156</v>
      </c>
      <c r="H816" s="14" t="s">
        <v>295</v>
      </c>
      <c r="I816" s="14" t="s">
        <v>208</v>
      </c>
      <c r="J816" s="14" t="str">
        <f>IF(E816="KTG","KTG",(VLOOKUP(I816,'[1]list of outsource'!B:H,2,0)))</f>
        <v>ETC</v>
      </c>
      <c r="K816" s="14" t="s">
        <v>209</v>
      </c>
      <c r="L816" s="14">
        <v>20</v>
      </c>
      <c r="M816" s="14" t="s">
        <v>296</v>
      </c>
      <c r="N816" s="14" t="s">
        <v>589</v>
      </c>
      <c r="O816" s="14">
        <v>1172779258</v>
      </c>
      <c r="P816" s="14"/>
      <c r="Q816" s="15" t="s">
        <v>575</v>
      </c>
      <c r="R816" s="14"/>
      <c r="S816" s="16"/>
      <c r="T816" s="14"/>
      <c r="U816" s="14">
        <v>1</v>
      </c>
      <c r="V816" s="14" t="s">
        <v>569</v>
      </c>
      <c r="W816" s="14" t="s">
        <v>154</v>
      </c>
      <c r="X816" s="13">
        <v>45336</v>
      </c>
      <c r="Y816" s="13"/>
      <c r="AB816" t="e">
        <v>#N/A</v>
      </c>
      <c r="AC816" t="e">
        <v>#N/A</v>
      </c>
      <c r="AE816" t="str">
        <f t="shared" si="99"/>
        <v>P000159</v>
      </c>
      <c r="AF816" t="str">
        <f>_xlfn.XLOOKUP(AE816, Hoja2!A:A, Hoja2!A:A)</f>
        <v>P000159</v>
      </c>
      <c r="AG816" t="str">
        <f t="shared" si="100"/>
        <v>PP00028-61</v>
      </c>
      <c r="AH816">
        <f>_xlfn.XLOOKUP(AG816, Hoja3!A:A, Hoja3!B:B)</f>
        <v>4015</v>
      </c>
      <c r="AI816" t="str">
        <f>_xlfn.XLOOKUP(AH816, Hoja4!A:A, Hoja4!B:B)</f>
        <v>E35099700</v>
      </c>
      <c r="AJ816" t="b">
        <f t="shared" si="101"/>
        <v>1</v>
      </c>
    </row>
    <row r="817" spans="1:36" ht="15.5" customHeight="1" x14ac:dyDescent="0.35">
      <c r="A817">
        <f t="shared" ca="1" si="98"/>
        <v>1</v>
      </c>
      <c r="B817" s="6" t="s">
        <v>2480</v>
      </c>
      <c r="C817" s="7">
        <v>45791</v>
      </c>
      <c r="D817" s="6" t="s">
        <v>564</v>
      </c>
      <c r="E817" s="6" t="s">
        <v>139</v>
      </c>
      <c r="F817" s="6" t="s">
        <v>84</v>
      </c>
      <c r="G817" s="6" t="s">
        <v>156</v>
      </c>
      <c r="H817" s="6" t="s">
        <v>295</v>
      </c>
      <c r="I817" s="6" t="s">
        <v>208</v>
      </c>
      <c r="J817" s="6" t="str">
        <f>IF(E817="KTG","KTG",(VLOOKUP(I817,'[1]list of outsource'!B:H,2,0)))</f>
        <v>ETC</v>
      </c>
      <c r="K817" s="6" t="s">
        <v>209</v>
      </c>
      <c r="L817" s="6">
        <v>23</v>
      </c>
      <c r="M817" s="6" t="s">
        <v>296</v>
      </c>
      <c r="N817" s="6" t="s">
        <v>589</v>
      </c>
      <c r="O817" s="6" t="s">
        <v>2481</v>
      </c>
      <c r="P817" s="6"/>
      <c r="Q817" s="8"/>
      <c r="R817" s="6"/>
      <c r="S817" s="6"/>
      <c r="T817" s="6"/>
      <c r="U817" s="6">
        <v>1</v>
      </c>
      <c r="V817" s="6" t="s">
        <v>569</v>
      </c>
      <c r="W817" s="6" t="s">
        <v>154</v>
      </c>
      <c r="X817" s="7">
        <v>45792</v>
      </c>
      <c r="Y817" s="7">
        <v>45804</v>
      </c>
      <c r="AB817" t="e">
        <v>#N/A</v>
      </c>
      <c r="AC817" t="e">
        <v>#N/A</v>
      </c>
      <c r="AE817" t="str">
        <f t="shared" si="99"/>
        <v>P000159</v>
      </c>
      <c r="AF817" t="str">
        <f>_xlfn.XLOOKUP(AE817, Hoja2!A:A, Hoja2!A:A)</f>
        <v>P000159</v>
      </c>
      <c r="AG817" t="str">
        <f t="shared" si="100"/>
        <v>PP00028-61</v>
      </c>
      <c r="AH817">
        <f>_xlfn.XLOOKUP(AG817, Hoja3!A:A, Hoja3!B:B)</f>
        <v>4015</v>
      </c>
      <c r="AI817" t="str">
        <f>_xlfn.XLOOKUP(AH817, Hoja4!A:A, Hoja4!B:B)</f>
        <v>E35099700</v>
      </c>
      <c r="AJ817" t="b">
        <f t="shared" si="101"/>
        <v>1</v>
      </c>
    </row>
    <row r="818" spans="1:36" ht="15.5" customHeight="1" x14ac:dyDescent="0.35">
      <c r="A818">
        <f t="shared" ca="1" si="98"/>
        <v>33</v>
      </c>
      <c r="B818" s="12" t="s">
        <v>2482</v>
      </c>
      <c r="C818" s="13">
        <v>45303</v>
      </c>
      <c r="D818" s="14" t="s">
        <v>121</v>
      </c>
      <c r="E818" s="14" t="s">
        <v>83</v>
      </c>
      <c r="F818" s="14" t="s">
        <v>84</v>
      </c>
      <c r="G818" s="14" t="s">
        <v>156</v>
      </c>
      <c r="H818" s="14" t="s">
        <v>339</v>
      </c>
      <c r="I818" s="14" t="s">
        <v>340</v>
      </c>
      <c r="J818" s="14" t="str">
        <f>IF(E818="KTG","KTG",(VLOOKUP(I818,'[1]list of outsource'!B:H,2,0)))</f>
        <v>UPM</v>
      </c>
      <c r="K818" s="14" t="s">
        <v>341</v>
      </c>
      <c r="L818" s="14">
        <v>10</v>
      </c>
      <c r="M818" s="14" t="s">
        <v>342</v>
      </c>
      <c r="N818" s="14" t="s">
        <v>343</v>
      </c>
      <c r="O818" s="14">
        <v>1173444937</v>
      </c>
      <c r="P818" s="14"/>
      <c r="Q818" s="15" t="s">
        <v>575</v>
      </c>
      <c r="R818" s="14"/>
      <c r="S818" s="16"/>
      <c r="T818" s="14"/>
      <c r="U818" s="14">
        <v>1</v>
      </c>
      <c r="V818" s="14" t="s">
        <v>569</v>
      </c>
      <c r="W818" s="14" t="s">
        <v>154</v>
      </c>
      <c r="X818" s="13">
        <v>45336</v>
      </c>
      <c r="Y818" s="13"/>
      <c r="AB818" t="e">
        <v>#N/A</v>
      </c>
      <c r="AC818" t="e">
        <v>#N/A</v>
      </c>
      <c r="AE818" t="str">
        <f t="shared" si="99"/>
        <v>P000148</v>
      </c>
      <c r="AF818" t="str">
        <f>_xlfn.XLOOKUP(AE818, Hoja2!A:A, Hoja2!A:A)</f>
        <v>P000148</v>
      </c>
      <c r="AG818" t="str">
        <f t="shared" si="100"/>
        <v>PP00028-62</v>
      </c>
      <c r="AH818">
        <f>_xlfn.XLOOKUP(AG818, Hoja3!A:A, Hoja3!B:B)</f>
        <v>5389</v>
      </c>
      <c r="AI818" t="str">
        <f>_xlfn.XLOOKUP(AH818, Hoja4!A:A, Hoja4!B:B)</f>
        <v>E35101100</v>
      </c>
      <c r="AJ818" t="b">
        <f t="shared" si="101"/>
        <v>1</v>
      </c>
    </row>
    <row r="819" spans="1:36" ht="15.5" customHeight="1" x14ac:dyDescent="0.35">
      <c r="A819">
        <f t="shared" ca="1" si="98"/>
        <v>33</v>
      </c>
      <c r="B819" s="6" t="s">
        <v>2483</v>
      </c>
      <c r="C819" s="7">
        <v>45303</v>
      </c>
      <c r="D819" s="6" t="s">
        <v>912</v>
      </c>
      <c r="E819" s="6" t="s">
        <v>139</v>
      </c>
      <c r="F819" s="6" t="s">
        <v>84</v>
      </c>
      <c r="G819" s="6" t="s">
        <v>156</v>
      </c>
      <c r="H819" s="6" t="s">
        <v>231</v>
      </c>
      <c r="I819" s="6" t="s">
        <v>208</v>
      </c>
      <c r="J819" s="6" t="str">
        <f>IF(E819="KTG","KTG",(VLOOKUP(I819,'[1]list of outsource'!B:H,2,0)))</f>
        <v>ETC</v>
      </c>
      <c r="K819" s="6" t="s">
        <v>209</v>
      </c>
      <c r="L819" s="6">
        <v>20</v>
      </c>
      <c r="M819" s="6" t="s">
        <v>232</v>
      </c>
      <c r="N819" s="6" t="s">
        <v>583</v>
      </c>
      <c r="O819" s="6">
        <v>1139567657</v>
      </c>
      <c r="P819" s="6"/>
      <c r="Q819" s="8" t="s">
        <v>575</v>
      </c>
      <c r="R819" s="6"/>
      <c r="S819" s="6"/>
      <c r="T819" s="6"/>
      <c r="U819" s="6">
        <v>1</v>
      </c>
      <c r="V819" s="6" t="s">
        <v>569</v>
      </c>
      <c r="W819" s="6" t="s">
        <v>154</v>
      </c>
      <c r="X819" s="7">
        <v>45336</v>
      </c>
      <c r="Y819" s="7">
        <v>45497</v>
      </c>
      <c r="AB819" t="e">
        <v>#N/A</v>
      </c>
      <c r="AC819" t="e">
        <v>#N/A</v>
      </c>
      <c r="AE819" t="str">
        <f t="shared" si="99"/>
        <v>P000161</v>
      </c>
      <c r="AF819" t="str">
        <f>_xlfn.XLOOKUP(AE819, Hoja2!A:A, Hoja2!A:A)</f>
        <v>P000161</v>
      </c>
      <c r="AG819" t="str">
        <f t="shared" si="100"/>
        <v>PP00028-63</v>
      </c>
      <c r="AH819">
        <f>_xlfn.XLOOKUP(AG819, Hoja3!A:A, Hoja3!B:B)</f>
        <v>5390</v>
      </c>
      <c r="AI819" t="str">
        <f>_xlfn.XLOOKUP(AH819, Hoja4!A:A, Hoja4!B:B)</f>
        <v>E35099900</v>
      </c>
      <c r="AJ819" t="b">
        <f t="shared" si="101"/>
        <v>1</v>
      </c>
    </row>
    <row r="820" spans="1:36" ht="15.5" customHeight="1" x14ac:dyDescent="0.35">
      <c r="A820">
        <f t="shared" ca="1" si="98"/>
        <v>33</v>
      </c>
      <c r="B820" s="6" t="s">
        <v>2484</v>
      </c>
      <c r="C820" s="7">
        <v>45303</v>
      </c>
      <c r="D820" s="6" t="s">
        <v>912</v>
      </c>
      <c r="E820" s="6" t="s">
        <v>83</v>
      </c>
      <c r="F820" s="6" t="s">
        <v>84</v>
      </c>
      <c r="G820" s="6" t="s">
        <v>156</v>
      </c>
      <c r="H820" s="6" t="s">
        <v>235</v>
      </c>
      <c r="I820" s="6" t="s">
        <v>95</v>
      </c>
      <c r="J820" s="6" t="str">
        <f>IF(E820="KTG","KTG",(VLOOKUP(I820,'[1]list of outsource'!B:H,2,0)))</f>
        <v>Woer</v>
      </c>
      <c r="K820" s="6" t="s">
        <v>96</v>
      </c>
      <c r="L820" s="6">
        <v>40</v>
      </c>
      <c r="M820" s="6" t="s">
        <v>236</v>
      </c>
      <c r="N820" s="6" t="s">
        <v>237</v>
      </c>
      <c r="O820" s="6">
        <v>1152763539</v>
      </c>
      <c r="P820" s="6"/>
      <c r="Q820" s="8" t="s">
        <v>575</v>
      </c>
      <c r="R820" s="6"/>
      <c r="S820" s="6"/>
      <c r="T820" s="6"/>
      <c r="U820" s="6">
        <v>1</v>
      </c>
      <c r="V820" s="6" t="s">
        <v>569</v>
      </c>
      <c r="W820" s="6" t="s">
        <v>154</v>
      </c>
      <c r="X820" s="7">
        <v>45336</v>
      </c>
      <c r="Y820" s="7">
        <v>45483</v>
      </c>
      <c r="AB820" t="e">
        <v>#N/A</v>
      </c>
      <c r="AC820" t="e">
        <v>#N/A</v>
      </c>
      <c r="AE820" t="str">
        <f t="shared" si="99"/>
        <v>P000249</v>
      </c>
      <c r="AF820" t="str">
        <f>_xlfn.XLOOKUP(AE820, Hoja2!A:A, Hoja2!A:A)</f>
        <v>P000249</v>
      </c>
      <c r="AG820" t="str">
        <f t="shared" si="100"/>
        <v>PP00028-64</v>
      </c>
      <c r="AH820">
        <f>_xlfn.XLOOKUP(AG820, Hoja3!A:A, Hoja3!B:B)</f>
        <v>5391</v>
      </c>
      <c r="AI820" t="str">
        <f>_xlfn.XLOOKUP(AH820, Hoja4!A:A, Hoja4!B:B)</f>
        <v>E37241800</v>
      </c>
      <c r="AJ820" t="b">
        <f t="shared" si="101"/>
        <v>1</v>
      </c>
    </row>
    <row r="821" spans="1:36" ht="15.5" customHeight="1" x14ac:dyDescent="0.35">
      <c r="A821">
        <f t="shared" ca="1" si="98"/>
        <v>33</v>
      </c>
      <c r="B821" s="12" t="s">
        <v>2485</v>
      </c>
      <c r="C821" s="13">
        <v>45303</v>
      </c>
      <c r="D821" s="14" t="s">
        <v>121</v>
      </c>
      <c r="E821" s="14" t="s">
        <v>30</v>
      </c>
      <c r="F821" s="14" t="s">
        <v>84</v>
      </c>
      <c r="G821" s="14" t="s">
        <v>156</v>
      </c>
      <c r="H821" s="14" t="s">
        <v>2486</v>
      </c>
      <c r="I821" s="14"/>
      <c r="J821" s="14" t="str">
        <f>IF(E821="KTG","KTG",(VLOOKUP(I821,'[1]list of outsource'!B:H,2,0)))</f>
        <v>KTG</v>
      </c>
      <c r="K821" s="14"/>
      <c r="L821" s="14" t="s">
        <v>1676</v>
      </c>
      <c r="M821" s="14" t="s">
        <v>2487</v>
      </c>
      <c r="N821" s="14" t="s">
        <v>2488</v>
      </c>
      <c r="O821" s="14">
        <v>984817423</v>
      </c>
      <c r="P821" s="14"/>
      <c r="Q821" s="15" t="s">
        <v>575</v>
      </c>
      <c r="R821" s="14"/>
      <c r="S821" s="16"/>
      <c r="T821" s="14"/>
      <c r="U821" s="14">
        <v>4</v>
      </c>
      <c r="V821" s="14" t="s">
        <v>569</v>
      </c>
      <c r="W821" s="14" t="s">
        <v>154</v>
      </c>
      <c r="X821" s="13">
        <v>45336</v>
      </c>
      <c r="Y821" s="13"/>
      <c r="AB821" t="e">
        <v>#N/A</v>
      </c>
      <c r="AC821" t="e">
        <v>#N/A</v>
      </c>
      <c r="AE821" t="str">
        <f t="shared" si="99"/>
        <v>E74937</v>
      </c>
      <c r="AF821" t="str">
        <f>_xlfn.XLOOKUP(AE821, Hoja2!A:A, Hoja2!A:A)</f>
        <v>E74937</v>
      </c>
      <c r="AG821" t="str">
        <f t="shared" si="100"/>
        <v>PP00028-65</v>
      </c>
      <c r="AH821">
        <f>_xlfn.XLOOKUP(AG821, Hoja3!A:A, Hoja3!B:B)</f>
        <v>5393</v>
      </c>
      <c r="AI821" t="str">
        <f>_xlfn.XLOOKUP(AH821, Hoja4!A:A, Hoja4!B:B)</f>
        <v>E25727200</v>
      </c>
      <c r="AJ821" t="b">
        <f t="shared" si="101"/>
        <v>1</v>
      </c>
    </row>
    <row r="822" spans="1:36" ht="15.5" customHeight="1" x14ac:dyDescent="0.35">
      <c r="A822">
        <f t="shared" ca="1" si="98"/>
        <v>35</v>
      </c>
      <c r="B822" s="6" t="s">
        <v>2485</v>
      </c>
      <c r="C822" s="7">
        <v>45791</v>
      </c>
      <c r="D822" s="6" t="s">
        <v>564</v>
      </c>
      <c r="E822" s="6" t="s">
        <v>30</v>
      </c>
      <c r="F822" s="6" t="s">
        <v>84</v>
      </c>
      <c r="G822" s="6" t="s">
        <v>156</v>
      </c>
      <c r="H822" s="6" t="s">
        <v>2486</v>
      </c>
      <c r="I822" s="6"/>
      <c r="J822" s="6" t="str">
        <f>IF(E822="KTG","KTG",(VLOOKUP(I822,'[1]list of outsource'!B:H,2,0)))</f>
        <v>KTG</v>
      </c>
      <c r="K822" s="6"/>
      <c r="L822" s="6"/>
      <c r="M822" s="6" t="s">
        <v>2487</v>
      </c>
      <c r="N822" s="6" t="s">
        <v>2488</v>
      </c>
      <c r="O822" s="6" t="s">
        <v>2489</v>
      </c>
      <c r="P822" s="6"/>
      <c r="Q822" s="8"/>
      <c r="R822" s="6"/>
      <c r="S822" s="6"/>
      <c r="T822" s="6"/>
      <c r="U822" s="6">
        <v>1</v>
      </c>
      <c r="V822" s="6" t="s">
        <v>569</v>
      </c>
      <c r="W822" s="6" t="s">
        <v>154</v>
      </c>
      <c r="X822" s="7">
        <v>45826</v>
      </c>
      <c r="Y822" s="7">
        <v>45987</v>
      </c>
      <c r="AB822" t="e">
        <v>#N/A</v>
      </c>
      <c r="AC822" t="e">
        <v>#N/A</v>
      </c>
      <c r="AE822" t="str">
        <f t="shared" si="99"/>
        <v>E74937</v>
      </c>
      <c r="AF822" t="str">
        <f>_xlfn.XLOOKUP(AE822, Hoja2!A:A, Hoja2!A:A)</f>
        <v>E74937</v>
      </c>
      <c r="AG822" t="str">
        <f t="shared" si="100"/>
        <v>PP00028-65</v>
      </c>
      <c r="AH822">
        <f>_xlfn.XLOOKUP(AG822, Hoja3!A:A, Hoja3!B:B)</f>
        <v>5393</v>
      </c>
      <c r="AI822" t="str">
        <f>_xlfn.XLOOKUP(AH822, Hoja4!A:A, Hoja4!B:B)</f>
        <v>E25727200</v>
      </c>
      <c r="AJ822" t="b">
        <f t="shared" si="101"/>
        <v>1</v>
      </c>
    </row>
    <row r="823" spans="1:36" ht="15.5" hidden="1" customHeight="1" x14ac:dyDescent="0.35">
      <c r="A823">
        <f t="shared" ca="1" si="98"/>
        <v>33</v>
      </c>
      <c r="B823" s="56" t="s">
        <v>2490</v>
      </c>
      <c r="C823" s="13">
        <v>45303</v>
      </c>
      <c r="D823" s="14" t="s">
        <v>121</v>
      </c>
      <c r="E823" s="14" t="s">
        <v>30</v>
      </c>
      <c r="F823" s="14" t="s">
        <v>84</v>
      </c>
      <c r="G823" s="14" t="s">
        <v>156</v>
      </c>
      <c r="H823" s="14" t="s">
        <v>2491</v>
      </c>
      <c r="I823" s="14"/>
      <c r="J823" s="14" t="str">
        <f>IF(E823="KTG","KTG",(VLOOKUP(I823,'[1]list of outsource'!B:H,2,0)))</f>
        <v>KTG</v>
      </c>
      <c r="K823" s="14"/>
      <c r="L823" s="14" t="s">
        <v>1676</v>
      </c>
      <c r="M823" s="55" t="s">
        <v>2492</v>
      </c>
      <c r="N823" s="14" t="s">
        <v>2493</v>
      </c>
      <c r="O823" s="14">
        <v>847010205</v>
      </c>
      <c r="P823" s="14"/>
      <c r="Q823" s="15" t="s">
        <v>575</v>
      </c>
      <c r="R823" s="14"/>
      <c r="S823" s="16"/>
      <c r="T823" s="14"/>
      <c r="U823" s="14">
        <v>4</v>
      </c>
      <c r="V823" s="14" t="s">
        <v>569</v>
      </c>
      <c r="W823" s="14" t="s">
        <v>154</v>
      </c>
      <c r="X823" s="13">
        <v>45336</v>
      </c>
      <c r="Y823" s="13"/>
      <c r="AB823" t="e">
        <v>#N/A</v>
      </c>
      <c r="AC823" t="e">
        <v>#N/A</v>
      </c>
      <c r="AE823" t="str">
        <f t="shared" si="99"/>
        <v>E74921</v>
      </c>
      <c r="AF823" t="e">
        <f>_xlfn.XLOOKUP(AE823, Hoja2!A:A, Hoja2!A:A)</f>
        <v>#N/A</v>
      </c>
    </row>
    <row r="824" spans="1:36" ht="15.5" customHeight="1" x14ac:dyDescent="0.35">
      <c r="A824">
        <f t="shared" ca="1" si="98"/>
        <v>33</v>
      </c>
      <c r="B824" s="12" t="s">
        <v>2494</v>
      </c>
      <c r="C824" s="13">
        <v>45303</v>
      </c>
      <c r="D824" s="14" t="s">
        <v>121</v>
      </c>
      <c r="E824" s="14" t="s">
        <v>30</v>
      </c>
      <c r="F824" s="14" t="s">
        <v>84</v>
      </c>
      <c r="G824" s="14" t="s">
        <v>156</v>
      </c>
      <c r="H824" s="14" t="s">
        <v>2495</v>
      </c>
      <c r="I824" s="14"/>
      <c r="J824" s="14" t="str">
        <f>IF(E824="KTG","KTG",(VLOOKUP(I824,'[1]list of outsource'!B:H,2,0)))</f>
        <v>KTG</v>
      </c>
      <c r="K824" s="14"/>
      <c r="L824" s="14" t="s">
        <v>1556</v>
      </c>
      <c r="M824" s="14" t="s">
        <v>2496</v>
      </c>
      <c r="N824" s="14" t="s">
        <v>2497</v>
      </c>
      <c r="O824" s="14">
        <v>912298266</v>
      </c>
      <c r="P824" s="14"/>
      <c r="Q824" s="15" t="s">
        <v>575</v>
      </c>
      <c r="R824" s="14"/>
      <c r="S824" s="16"/>
      <c r="T824" s="14"/>
      <c r="U824" s="14">
        <v>4</v>
      </c>
      <c r="V824" s="14" t="s">
        <v>569</v>
      </c>
      <c r="W824" s="14" t="s">
        <v>154</v>
      </c>
      <c r="X824" s="13">
        <v>45336</v>
      </c>
      <c r="Y824" s="13"/>
      <c r="AB824" t="e">
        <v>#N/A</v>
      </c>
      <c r="AC824" t="e">
        <v>#N/A</v>
      </c>
      <c r="AE824" t="str">
        <f t="shared" si="99"/>
        <v>E74935</v>
      </c>
      <c r="AF824" t="str">
        <f>_xlfn.XLOOKUP(AE824, Hoja2!A:A, Hoja2!A:A)</f>
        <v>E74935</v>
      </c>
      <c r="AG824" t="str">
        <f t="shared" ref="AG824:AG872" si="102">LEFT(B824, FIND(" ", B824 &amp; " ") - 1)</f>
        <v>PP00028-67</v>
      </c>
      <c r="AH824">
        <f>_xlfn.XLOOKUP(AG824, Hoja3!A:A, Hoja3!B:B)</f>
        <v>5395</v>
      </c>
      <c r="AI824" t="str">
        <f>_xlfn.XLOOKUP(AH824, Hoja4!A:A, Hoja4!B:B)</f>
        <v>E25072100</v>
      </c>
      <c r="AJ824" t="b">
        <f t="shared" ref="AJ824:AJ872" si="103">H824=AI824</f>
        <v>1</v>
      </c>
    </row>
    <row r="825" spans="1:36" ht="15.5" customHeight="1" x14ac:dyDescent="0.35">
      <c r="A825">
        <f t="shared" ca="1" si="98"/>
        <v>35</v>
      </c>
      <c r="B825" s="6" t="s">
        <v>2494</v>
      </c>
      <c r="C825" s="7">
        <v>45791</v>
      </c>
      <c r="D825" s="6" t="s">
        <v>564</v>
      </c>
      <c r="E825" s="6" t="s">
        <v>30</v>
      </c>
      <c r="F825" s="6" t="s">
        <v>84</v>
      </c>
      <c r="G825" s="6" t="s">
        <v>156</v>
      </c>
      <c r="H825" s="6" t="s">
        <v>2495</v>
      </c>
      <c r="I825" s="6"/>
      <c r="J825" s="6" t="str">
        <f>IF(E825="KTG","KTG",(VLOOKUP(I825,'[1]list of outsource'!B:H,2,0)))</f>
        <v>KTG</v>
      </c>
      <c r="K825" s="6"/>
      <c r="L825" s="6"/>
      <c r="M825" s="6" t="s">
        <v>2496</v>
      </c>
      <c r="N825" s="6" t="s">
        <v>2497</v>
      </c>
      <c r="O825" s="6" t="s">
        <v>2498</v>
      </c>
      <c r="P825" s="6"/>
      <c r="Q825" s="8"/>
      <c r="R825" s="6"/>
      <c r="S825" s="6"/>
      <c r="T825" s="6"/>
      <c r="U825" s="6">
        <v>1</v>
      </c>
      <c r="V825" s="6" t="s">
        <v>569</v>
      </c>
      <c r="W825" s="6" t="s">
        <v>154</v>
      </c>
      <c r="X825" s="7">
        <v>45826</v>
      </c>
      <c r="Y825" s="7">
        <v>45987</v>
      </c>
      <c r="AB825" t="e">
        <v>#N/A</v>
      </c>
      <c r="AC825" t="e">
        <v>#N/A</v>
      </c>
      <c r="AE825" t="str">
        <f t="shared" si="99"/>
        <v>E74935</v>
      </c>
      <c r="AF825" t="str">
        <f>_xlfn.XLOOKUP(AE825, Hoja2!A:A, Hoja2!A:A)</f>
        <v>E74935</v>
      </c>
      <c r="AG825" t="str">
        <f t="shared" si="102"/>
        <v>PP00028-67</v>
      </c>
      <c r="AH825">
        <f>_xlfn.XLOOKUP(AG825, Hoja3!A:A, Hoja3!B:B)</f>
        <v>5395</v>
      </c>
      <c r="AI825" t="str">
        <f>_xlfn.XLOOKUP(AH825, Hoja4!A:A, Hoja4!B:B)</f>
        <v>E25072100</v>
      </c>
      <c r="AJ825" t="b">
        <f t="shared" si="103"/>
        <v>1</v>
      </c>
    </row>
    <row r="826" spans="1:36" ht="15.5" customHeight="1" x14ac:dyDescent="0.35">
      <c r="A826">
        <f t="shared" ca="1" si="98"/>
        <v>33</v>
      </c>
      <c r="B826" s="12" t="s">
        <v>2499</v>
      </c>
      <c r="C826" s="13">
        <v>45303</v>
      </c>
      <c r="D826" s="14" t="s">
        <v>121</v>
      </c>
      <c r="E826" s="14" t="s">
        <v>83</v>
      </c>
      <c r="F826" s="14" t="s">
        <v>84</v>
      </c>
      <c r="G826" s="14" t="s">
        <v>156</v>
      </c>
      <c r="H826" s="14" t="s">
        <v>193</v>
      </c>
      <c r="I826" s="14" t="s">
        <v>95</v>
      </c>
      <c r="J826" s="14" t="str">
        <f>IF(E826="KTG","KTG",(VLOOKUP(I826,'[1]list of outsource'!B:H,2,0)))</f>
        <v>Woer</v>
      </c>
      <c r="K826" s="14" t="s">
        <v>96</v>
      </c>
      <c r="L826" s="14">
        <v>40</v>
      </c>
      <c r="M826" s="14" t="s">
        <v>194</v>
      </c>
      <c r="N826" s="14" t="s">
        <v>195</v>
      </c>
      <c r="O826" s="14">
        <v>1152754527</v>
      </c>
      <c r="P826" s="14"/>
      <c r="Q826" s="15" t="s">
        <v>575</v>
      </c>
      <c r="R826" s="14"/>
      <c r="S826" s="16"/>
      <c r="T826" s="14"/>
      <c r="U826" s="14">
        <v>1</v>
      </c>
      <c r="V826" s="14" t="s">
        <v>569</v>
      </c>
      <c r="W826" s="14" t="s">
        <v>154</v>
      </c>
      <c r="X826" s="13">
        <v>45336</v>
      </c>
      <c r="Y826" s="13"/>
      <c r="AB826" t="e">
        <v>#N/A</v>
      </c>
      <c r="AC826" t="e">
        <v>#N/A</v>
      </c>
      <c r="AE826" t="str">
        <f t="shared" si="99"/>
        <v>P000234</v>
      </c>
      <c r="AF826" t="str">
        <f>_xlfn.XLOOKUP(AE826, Hoja2!A:A, Hoja2!A:A)</f>
        <v>P000234</v>
      </c>
      <c r="AG826" t="str">
        <f t="shared" si="102"/>
        <v>PP00028-68</v>
      </c>
      <c r="AH826">
        <f>_xlfn.XLOOKUP(AG826, Hoja3!A:A, Hoja3!B:B)</f>
        <v>5397</v>
      </c>
      <c r="AI826" t="str">
        <f>_xlfn.XLOOKUP(AH826, Hoja4!A:A, Hoja4!B:B)</f>
        <v>E35924700</v>
      </c>
      <c r="AJ826" t="b">
        <f t="shared" si="103"/>
        <v>1</v>
      </c>
    </row>
    <row r="827" spans="1:36" ht="15.5" customHeight="1" x14ac:dyDescent="0.35">
      <c r="A827">
        <f t="shared" ca="1" si="98"/>
        <v>6</v>
      </c>
      <c r="B827" s="12" t="s">
        <v>2499</v>
      </c>
      <c r="C827" s="13">
        <v>45791</v>
      </c>
      <c r="D827" s="14" t="s">
        <v>121</v>
      </c>
      <c r="E827" s="14" t="s">
        <v>83</v>
      </c>
      <c r="F827" s="14" t="s">
        <v>84</v>
      </c>
      <c r="G827" s="14" t="s">
        <v>156</v>
      </c>
      <c r="H827" s="14" t="s">
        <v>193</v>
      </c>
      <c r="I827" s="14" t="s">
        <v>95</v>
      </c>
      <c r="J827" s="14" t="str">
        <f>IF(E827="KTG","KTG",(VLOOKUP(I827,'[1]list of outsource'!B:H,2,0)))</f>
        <v>Woer</v>
      </c>
      <c r="K827" s="14" t="s">
        <v>96</v>
      </c>
      <c r="L827" s="14">
        <v>56</v>
      </c>
      <c r="M827" s="14" t="s">
        <v>194</v>
      </c>
      <c r="N827" s="14" t="s">
        <v>195</v>
      </c>
      <c r="O827" s="14" t="s">
        <v>2500</v>
      </c>
      <c r="P827" s="14"/>
      <c r="Q827" s="15"/>
      <c r="R827" s="14"/>
      <c r="S827" s="16"/>
      <c r="T827" s="14"/>
      <c r="U827" s="14">
        <v>1</v>
      </c>
      <c r="V827" s="14" t="s">
        <v>569</v>
      </c>
      <c r="W827" s="14" t="s">
        <v>154</v>
      </c>
      <c r="X827" s="13">
        <v>45797</v>
      </c>
      <c r="Y827" s="13"/>
      <c r="AB827" t="e">
        <v>#N/A</v>
      </c>
      <c r="AC827" t="e">
        <v>#N/A</v>
      </c>
      <c r="AE827" t="str">
        <f t="shared" si="99"/>
        <v>P000234</v>
      </c>
      <c r="AF827" t="str">
        <f>_xlfn.XLOOKUP(AE827, Hoja2!A:A, Hoja2!A:A)</f>
        <v>P000234</v>
      </c>
      <c r="AG827" t="str">
        <f t="shared" si="102"/>
        <v>PP00028-68</v>
      </c>
      <c r="AH827">
        <f>_xlfn.XLOOKUP(AG827, Hoja3!A:A, Hoja3!B:B)</f>
        <v>5397</v>
      </c>
      <c r="AI827" t="str">
        <f>_xlfn.XLOOKUP(AH827, Hoja4!A:A, Hoja4!B:B)</f>
        <v>E35924700</v>
      </c>
      <c r="AJ827" t="b">
        <f t="shared" si="103"/>
        <v>1</v>
      </c>
    </row>
    <row r="828" spans="1:36" ht="15.5" customHeight="1" x14ac:dyDescent="0.35">
      <c r="A828">
        <f t="shared" ca="1" si="98"/>
        <v>33</v>
      </c>
      <c r="B828" s="12" t="s">
        <v>2501</v>
      </c>
      <c r="C828" s="13">
        <v>45303</v>
      </c>
      <c r="D828" s="14" t="s">
        <v>121</v>
      </c>
      <c r="E828" s="14" t="s">
        <v>83</v>
      </c>
      <c r="F828" s="14" t="s">
        <v>84</v>
      </c>
      <c r="G828" s="14" t="s">
        <v>156</v>
      </c>
      <c r="H828" s="14" t="s">
        <v>189</v>
      </c>
      <c r="I828" s="14" t="s">
        <v>95</v>
      </c>
      <c r="J828" s="14" t="str">
        <f>IF(E828="KTG","KTG",(VLOOKUP(I828,'[1]list of outsource'!B:H,2,0)))</f>
        <v>Woer</v>
      </c>
      <c r="K828" s="14" t="s">
        <v>96</v>
      </c>
      <c r="L828" s="14">
        <v>40</v>
      </c>
      <c r="M828" s="14" t="s">
        <v>190</v>
      </c>
      <c r="N828" s="14" t="s">
        <v>191</v>
      </c>
      <c r="O828" s="14">
        <v>1152750903</v>
      </c>
      <c r="P828" s="14"/>
      <c r="Q828" s="15" t="s">
        <v>575</v>
      </c>
      <c r="R828" s="14"/>
      <c r="S828" s="16"/>
      <c r="T828" s="14"/>
      <c r="U828" s="14">
        <v>1</v>
      </c>
      <c r="V828" s="14" t="s">
        <v>569</v>
      </c>
      <c r="W828" s="14" t="s">
        <v>154</v>
      </c>
      <c r="X828" s="13">
        <v>45336</v>
      </c>
      <c r="Y828" s="13"/>
      <c r="AB828" t="e">
        <v>#N/A</v>
      </c>
      <c r="AC828" t="e">
        <v>#N/A</v>
      </c>
      <c r="AE828" t="str">
        <f t="shared" si="99"/>
        <v>P000233</v>
      </c>
      <c r="AF828" t="str">
        <f>_xlfn.XLOOKUP(AE828, Hoja2!A:A, Hoja2!A:A)</f>
        <v>P000233</v>
      </c>
      <c r="AG828" t="str">
        <f t="shared" si="102"/>
        <v>PP00028-69</v>
      </c>
      <c r="AH828">
        <f>_xlfn.XLOOKUP(AG828, Hoja3!A:A, Hoja3!B:B)</f>
        <v>5398</v>
      </c>
      <c r="AI828" t="str">
        <f>_xlfn.XLOOKUP(AH828, Hoja4!A:A, Hoja4!B:B)</f>
        <v>E35924800</v>
      </c>
      <c r="AJ828" t="b">
        <f t="shared" si="103"/>
        <v>1</v>
      </c>
    </row>
    <row r="829" spans="1:36" ht="15.5" customHeight="1" x14ac:dyDescent="0.35">
      <c r="A829">
        <f t="shared" ca="1" si="98"/>
        <v>47</v>
      </c>
      <c r="B829" s="6" t="s">
        <v>2502</v>
      </c>
      <c r="C829" s="7">
        <v>45317</v>
      </c>
      <c r="D829" s="6" t="s">
        <v>912</v>
      </c>
      <c r="E829" s="6" t="s">
        <v>83</v>
      </c>
      <c r="F829" s="6" t="s">
        <v>84</v>
      </c>
      <c r="G829" s="6" t="s">
        <v>156</v>
      </c>
      <c r="H829" s="6" t="s">
        <v>2503</v>
      </c>
      <c r="I829" s="6" t="s">
        <v>158</v>
      </c>
      <c r="J829" s="6" t="str">
        <f>IF(E829="KTG","KTG",(VLOOKUP(I829,'[1]list of outsource'!B:H,2,0)))</f>
        <v>UPM</v>
      </c>
      <c r="K829" s="6" t="s">
        <v>159</v>
      </c>
      <c r="L829" s="6">
        <v>38</v>
      </c>
      <c r="M829" s="6" t="s">
        <v>1944</v>
      </c>
      <c r="N829" s="6" t="s">
        <v>1945</v>
      </c>
      <c r="O829" s="6">
        <v>1300849554</v>
      </c>
      <c r="P829" s="6"/>
      <c r="Q829" s="8" t="s">
        <v>575</v>
      </c>
      <c r="R829" s="6"/>
      <c r="S829" s="6"/>
      <c r="T829" s="6"/>
      <c r="U829" s="6">
        <v>4</v>
      </c>
      <c r="V829" s="6" t="s">
        <v>879</v>
      </c>
      <c r="W829" s="6" t="s">
        <v>37</v>
      </c>
      <c r="X829" s="7">
        <v>45364</v>
      </c>
      <c r="Y829" s="7">
        <v>45372</v>
      </c>
      <c r="AB829" t="e">
        <v>#N/A</v>
      </c>
      <c r="AC829" t="e">
        <v>#N/A</v>
      </c>
      <c r="AE829" t="str">
        <f t="shared" si="99"/>
        <v>P000108</v>
      </c>
      <c r="AF829" t="str">
        <f>_xlfn.XLOOKUP(AE829, Hoja2!A:A, Hoja2!A:A)</f>
        <v>P000108</v>
      </c>
      <c r="AG829" t="str">
        <f t="shared" si="102"/>
        <v>PP00028-70</v>
      </c>
      <c r="AH829">
        <f>_xlfn.XLOOKUP(AG829, Hoja3!A:A, Hoja3!B:B)</f>
        <v>42</v>
      </c>
      <c r="AI829" t="str">
        <f>_xlfn.XLOOKUP(AH829, Hoja4!A:A, Hoja4!B:B)</f>
        <v>E34428000</v>
      </c>
      <c r="AJ829" t="b">
        <f t="shared" si="103"/>
        <v>1</v>
      </c>
    </row>
    <row r="830" spans="1:36" ht="15.5" customHeight="1" x14ac:dyDescent="0.35">
      <c r="A830">
        <f t="shared" ca="1" si="98"/>
        <v>27</v>
      </c>
      <c r="B830" s="6" t="s">
        <v>2502</v>
      </c>
      <c r="C830" s="7">
        <v>45709</v>
      </c>
      <c r="D830" s="6" t="s">
        <v>564</v>
      </c>
      <c r="E830" s="6" t="s">
        <v>83</v>
      </c>
      <c r="F830" s="6" t="s">
        <v>84</v>
      </c>
      <c r="G830" s="6" t="s">
        <v>156</v>
      </c>
      <c r="H830" s="6" t="s">
        <v>2503</v>
      </c>
      <c r="I830" s="6" t="s">
        <v>158</v>
      </c>
      <c r="J830" s="6" t="str">
        <f>IF(E830="KTG","KTG",(VLOOKUP(I830,'[1]list of outsource'!B:H,2,0)))</f>
        <v>UPM</v>
      </c>
      <c r="K830" s="6" t="s">
        <v>159</v>
      </c>
      <c r="L830" s="6">
        <v>45</v>
      </c>
      <c r="M830" s="6" t="s">
        <v>1944</v>
      </c>
      <c r="N830" s="6" t="s">
        <v>1945</v>
      </c>
      <c r="O830" s="6" t="s">
        <v>2504</v>
      </c>
      <c r="P830" s="6"/>
      <c r="Q830" s="8"/>
      <c r="R830" s="6"/>
      <c r="S830" s="6"/>
      <c r="T830" s="6"/>
      <c r="U830" s="6">
        <v>1</v>
      </c>
      <c r="V830" s="6" t="s">
        <v>569</v>
      </c>
      <c r="W830" s="6" t="s">
        <v>154</v>
      </c>
      <c r="X830" s="7">
        <v>45736</v>
      </c>
      <c r="Y830" s="7">
        <v>45740</v>
      </c>
      <c r="AB830" t="e">
        <v>#N/A</v>
      </c>
      <c r="AC830" t="e">
        <v>#N/A</v>
      </c>
      <c r="AE830" t="str">
        <f t="shared" si="99"/>
        <v>P000108</v>
      </c>
      <c r="AF830" t="str">
        <f>_xlfn.XLOOKUP(AE830, Hoja2!A:A, Hoja2!A:A)</f>
        <v>P000108</v>
      </c>
      <c r="AG830" t="str">
        <f t="shared" si="102"/>
        <v>PP00028-70</v>
      </c>
      <c r="AH830">
        <f>_xlfn.XLOOKUP(AG830, Hoja3!A:A, Hoja3!B:B)</f>
        <v>42</v>
      </c>
      <c r="AI830" t="str">
        <f>_xlfn.XLOOKUP(AH830, Hoja4!A:A, Hoja4!B:B)</f>
        <v>E34428000</v>
      </c>
      <c r="AJ830" t="b">
        <f t="shared" si="103"/>
        <v>1</v>
      </c>
    </row>
    <row r="831" spans="1:36" ht="15.5" customHeight="1" x14ac:dyDescent="0.35">
      <c r="A831">
        <f t="shared" ca="1" si="98"/>
        <v>4</v>
      </c>
      <c r="B831" s="6" t="s">
        <v>2505</v>
      </c>
      <c r="C831" s="7">
        <v>45394</v>
      </c>
      <c r="D831" s="6" t="s">
        <v>912</v>
      </c>
      <c r="E831" s="6" t="s">
        <v>83</v>
      </c>
      <c r="F831" s="6" t="s">
        <v>84</v>
      </c>
      <c r="G831" s="6" t="s">
        <v>156</v>
      </c>
      <c r="H831" s="6" t="s">
        <v>203</v>
      </c>
      <c r="I831" s="6" t="s">
        <v>158</v>
      </c>
      <c r="J831" s="6" t="str">
        <f>IF(E831="KTG","KTG",(VLOOKUP(I831,'[1]list of outsource'!B:H,2,0)))</f>
        <v>UPM</v>
      </c>
      <c r="K831" s="6" t="s">
        <v>159</v>
      </c>
      <c r="L831" s="6">
        <v>38</v>
      </c>
      <c r="M831" s="6" t="s">
        <v>204</v>
      </c>
      <c r="N831" s="6" t="s">
        <v>205</v>
      </c>
      <c r="O831" s="6">
        <v>1152763196</v>
      </c>
      <c r="P831" s="6"/>
      <c r="Q831" s="8" t="s">
        <v>575</v>
      </c>
      <c r="R831" s="6"/>
      <c r="S831" s="6"/>
      <c r="T831" s="6"/>
      <c r="U831" s="6">
        <v>1</v>
      </c>
      <c r="V831" s="6" t="s">
        <v>569</v>
      </c>
      <c r="W831" s="6" t="s">
        <v>154</v>
      </c>
      <c r="X831" s="7">
        <v>45398</v>
      </c>
      <c r="Y831" s="7">
        <v>45404</v>
      </c>
      <c r="AB831" t="e">
        <v>#N/A</v>
      </c>
      <c r="AC831" t="e">
        <v>#N/A</v>
      </c>
      <c r="AE831" t="str">
        <f t="shared" si="99"/>
        <v>P000146</v>
      </c>
      <c r="AF831" t="str">
        <f>_xlfn.XLOOKUP(AE831, Hoja2!A:A, Hoja2!A:A)</f>
        <v>P000146</v>
      </c>
      <c r="AG831" t="str">
        <f t="shared" si="102"/>
        <v>PP00028-71</v>
      </c>
      <c r="AH831">
        <f>_xlfn.XLOOKUP(AG831, Hoja3!A:A, Hoja3!B:B)</f>
        <v>5400</v>
      </c>
      <c r="AI831" t="str">
        <f>_xlfn.XLOOKUP(AH831, Hoja4!A:A, Hoja4!B:B)</f>
        <v>E34991700</v>
      </c>
      <c r="AJ831" t="b">
        <f t="shared" si="103"/>
        <v>1</v>
      </c>
    </row>
    <row r="832" spans="1:36" ht="15.5" customHeight="1" x14ac:dyDescent="0.35">
      <c r="A832">
        <f t="shared" ca="1" si="98"/>
        <v>6</v>
      </c>
      <c r="B832" s="12" t="s">
        <v>2505</v>
      </c>
      <c r="C832" s="13">
        <v>45791</v>
      </c>
      <c r="D832" s="14" t="s">
        <v>121</v>
      </c>
      <c r="E832" s="14" t="s">
        <v>83</v>
      </c>
      <c r="F832" s="14" t="s">
        <v>84</v>
      </c>
      <c r="G832" s="14" t="s">
        <v>156</v>
      </c>
      <c r="H832" s="14" t="s">
        <v>203</v>
      </c>
      <c r="I832" s="14" t="s">
        <v>158</v>
      </c>
      <c r="J832" s="14" t="str">
        <f>IF(E832="KTG","KTG",(VLOOKUP(I832,'[1]list of outsource'!B:H,2,0)))</f>
        <v>UPM</v>
      </c>
      <c r="K832" s="14" t="s">
        <v>159</v>
      </c>
      <c r="L832" s="14">
        <v>45</v>
      </c>
      <c r="M832" s="14" t="s">
        <v>204</v>
      </c>
      <c r="N832" s="14" t="s">
        <v>205</v>
      </c>
      <c r="O832" s="14" t="s">
        <v>2506</v>
      </c>
      <c r="P832" s="14"/>
      <c r="Q832" s="15"/>
      <c r="R832" s="14"/>
      <c r="S832" s="16"/>
      <c r="T832" s="14"/>
      <c r="U832" s="14">
        <v>1</v>
      </c>
      <c r="V832" s="14" t="s">
        <v>569</v>
      </c>
      <c r="W832" s="14" t="s">
        <v>154</v>
      </c>
      <c r="X832" s="13">
        <v>45797</v>
      </c>
      <c r="Y832" s="13"/>
      <c r="AB832" t="e">
        <v>#N/A</v>
      </c>
      <c r="AC832" t="e">
        <v>#N/A</v>
      </c>
      <c r="AE832" t="str">
        <f t="shared" si="99"/>
        <v>P000146</v>
      </c>
      <c r="AF832" t="str">
        <f>_xlfn.XLOOKUP(AE832, Hoja2!A:A, Hoja2!A:A)</f>
        <v>P000146</v>
      </c>
      <c r="AG832" t="str">
        <f t="shared" si="102"/>
        <v>PP00028-71</v>
      </c>
      <c r="AH832">
        <f>_xlfn.XLOOKUP(AG832, Hoja3!A:A, Hoja3!B:B)</f>
        <v>5400</v>
      </c>
      <c r="AI832" t="str">
        <f>_xlfn.XLOOKUP(AH832, Hoja4!A:A, Hoja4!B:B)</f>
        <v>E34991700</v>
      </c>
      <c r="AJ832" t="b">
        <f t="shared" si="103"/>
        <v>1</v>
      </c>
    </row>
    <row r="833" spans="1:36" ht="15.5" customHeight="1" x14ac:dyDescent="0.35">
      <c r="A833">
        <f t="shared" ca="1" si="98"/>
        <v>54</v>
      </c>
      <c r="B833" s="12" t="s">
        <v>2507</v>
      </c>
      <c r="C833" s="13">
        <v>45310</v>
      </c>
      <c r="D833" s="14" t="s">
        <v>121</v>
      </c>
      <c r="E833" s="14" t="s">
        <v>139</v>
      </c>
      <c r="F833" s="14" t="s">
        <v>84</v>
      </c>
      <c r="G833" s="14" t="s">
        <v>156</v>
      </c>
      <c r="H833" s="14" t="s">
        <v>2508</v>
      </c>
      <c r="I833" s="14" t="s">
        <v>494</v>
      </c>
      <c r="J833" s="14" t="str">
        <f>IF(E833="KTG","KTG",(VLOOKUP(I833,'[1]list of outsource'!B:H,2,0)))</f>
        <v>ETC</v>
      </c>
      <c r="K833" s="14" t="s">
        <v>495</v>
      </c>
      <c r="L833" s="14">
        <v>22</v>
      </c>
      <c r="M833" s="14" t="s">
        <v>2509</v>
      </c>
      <c r="N833" s="14" t="s">
        <v>2510</v>
      </c>
      <c r="O833" s="14">
        <v>1309072701</v>
      </c>
      <c r="P833" s="14"/>
      <c r="Q833" s="15" t="s">
        <v>575</v>
      </c>
      <c r="R833" s="14"/>
      <c r="S833" s="16"/>
      <c r="T833" s="14"/>
      <c r="U833" s="14">
        <v>4</v>
      </c>
      <c r="V833" s="14" t="s">
        <v>569</v>
      </c>
      <c r="W833" s="14" t="s">
        <v>37</v>
      </c>
      <c r="X833" s="13">
        <v>45364</v>
      </c>
      <c r="Y833" s="13"/>
      <c r="AB833" t="e">
        <v>#N/A</v>
      </c>
      <c r="AC833" t="e">
        <v>#N/A</v>
      </c>
      <c r="AE833" t="str">
        <f t="shared" si="99"/>
        <v>P000775</v>
      </c>
      <c r="AF833" t="str">
        <f>_xlfn.XLOOKUP(AE833, Hoja2!A:A, Hoja2!A:A)</f>
        <v>P000775</v>
      </c>
      <c r="AG833" t="str">
        <f t="shared" si="102"/>
        <v>PP00028-72</v>
      </c>
      <c r="AH833">
        <f>_xlfn.XLOOKUP(AG833, Hoja3!A:A, Hoja3!B:B)</f>
        <v>5403</v>
      </c>
      <c r="AI833" t="str">
        <f>_xlfn.XLOOKUP(AH833, Hoja4!A:A, Hoja4!B:B)</f>
        <v>E45017100</v>
      </c>
      <c r="AJ833" t="b">
        <f t="shared" si="103"/>
        <v>1</v>
      </c>
    </row>
    <row r="834" spans="1:36" ht="15.5" customHeight="1" x14ac:dyDescent="0.35">
      <c r="A834">
        <f t="shared" ref="A834:A897" ca="1" si="104">IF(X834="",(TODAY()-C834),(X834-C834))</f>
        <v>0</v>
      </c>
      <c r="B834" s="6" t="s">
        <v>2507</v>
      </c>
      <c r="C834" s="7">
        <v>45399</v>
      </c>
      <c r="D834" s="6" t="s">
        <v>912</v>
      </c>
      <c r="E834" s="6" t="s">
        <v>139</v>
      </c>
      <c r="F834" s="6" t="s">
        <v>84</v>
      </c>
      <c r="G834" s="6" t="s">
        <v>156</v>
      </c>
      <c r="H834" s="6" t="s">
        <v>2508</v>
      </c>
      <c r="I834" s="6" t="s">
        <v>494</v>
      </c>
      <c r="J834" s="6" t="str">
        <f>IF(E834="KTG","KTG",(VLOOKUP(I834,'[1]list of outsource'!B:H,2,0)))</f>
        <v>ETC</v>
      </c>
      <c r="K834" s="6" t="s">
        <v>495</v>
      </c>
      <c r="L834" s="6">
        <v>23</v>
      </c>
      <c r="M834" s="6" t="s">
        <v>2509</v>
      </c>
      <c r="N834" s="6" t="s">
        <v>2510</v>
      </c>
      <c r="O834" s="6">
        <v>1309072701</v>
      </c>
      <c r="P834" s="6"/>
      <c r="Q834" s="8" t="s">
        <v>575</v>
      </c>
      <c r="R834" s="6"/>
      <c r="S834" s="6"/>
      <c r="T834" s="6"/>
      <c r="U834" s="6">
        <v>4</v>
      </c>
      <c r="V834" s="6" t="s">
        <v>569</v>
      </c>
      <c r="W834" s="6" t="s">
        <v>37</v>
      </c>
      <c r="X834" s="7">
        <v>45399</v>
      </c>
      <c r="Y834" s="7">
        <v>45405</v>
      </c>
      <c r="AB834" t="e">
        <v>#N/A</v>
      </c>
      <c r="AC834" t="e">
        <v>#N/A</v>
      </c>
      <c r="AE834" t="str">
        <f t="shared" si="99"/>
        <v>P000775</v>
      </c>
      <c r="AF834" t="str">
        <f>_xlfn.XLOOKUP(AE834, Hoja2!A:A, Hoja2!A:A)</f>
        <v>P000775</v>
      </c>
      <c r="AG834" t="str">
        <f t="shared" si="102"/>
        <v>PP00028-72</v>
      </c>
      <c r="AH834">
        <f>_xlfn.XLOOKUP(AG834, Hoja3!A:A, Hoja3!B:B)</f>
        <v>5403</v>
      </c>
      <c r="AI834" t="str">
        <f>_xlfn.XLOOKUP(AH834, Hoja4!A:A, Hoja4!B:B)</f>
        <v>E45017100</v>
      </c>
      <c r="AJ834" t="b">
        <f t="shared" si="103"/>
        <v>1</v>
      </c>
    </row>
    <row r="835" spans="1:36" ht="15.5" customHeight="1" x14ac:dyDescent="0.35">
      <c r="A835">
        <f t="shared" ca="1" si="104"/>
        <v>18</v>
      </c>
      <c r="B835" s="6" t="s">
        <v>2507</v>
      </c>
      <c r="C835" s="7">
        <v>45739</v>
      </c>
      <c r="D835" s="6" t="s">
        <v>564</v>
      </c>
      <c r="E835" s="6" t="s">
        <v>139</v>
      </c>
      <c r="F835" s="6" t="s">
        <v>84</v>
      </c>
      <c r="G835" s="6" t="s">
        <v>156</v>
      </c>
      <c r="H835" s="6" t="s">
        <v>2508</v>
      </c>
      <c r="I835" s="6" t="s">
        <v>494</v>
      </c>
      <c r="J835" s="6" t="str">
        <f>IF(E835="KTG","KTG",(VLOOKUP(I835,'[1]list of outsource'!B:H,2,0)))</f>
        <v>ETC</v>
      </c>
      <c r="K835" s="6" t="s">
        <v>495</v>
      </c>
      <c r="L835" s="6"/>
      <c r="M835" s="6" t="s">
        <v>2509</v>
      </c>
      <c r="N835" s="6" t="s">
        <v>2510</v>
      </c>
      <c r="O835" s="6" t="s">
        <v>2511</v>
      </c>
      <c r="P835" s="6"/>
      <c r="Q835" s="8"/>
      <c r="R835" s="6"/>
      <c r="S835" s="6"/>
      <c r="T835" s="6"/>
      <c r="U835" s="6">
        <v>1</v>
      </c>
      <c r="V835" s="6" t="s">
        <v>569</v>
      </c>
      <c r="W835" s="6" t="s">
        <v>576</v>
      </c>
      <c r="X835" s="7">
        <v>45757</v>
      </c>
      <c r="Y835" s="7">
        <v>45791</v>
      </c>
      <c r="AB835" t="e">
        <v>#N/A</v>
      </c>
      <c r="AC835" t="e">
        <v>#N/A</v>
      </c>
      <c r="AE835" t="str">
        <f t="shared" ref="AE835:AE898" si="105">LEFT(M835, FIND(" ", M835 &amp; " ") - 1)</f>
        <v>P000775</v>
      </c>
      <c r="AF835" t="str">
        <f>_xlfn.XLOOKUP(AE835, Hoja2!A:A, Hoja2!A:A)</f>
        <v>P000775</v>
      </c>
      <c r="AG835" t="str">
        <f t="shared" si="102"/>
        <v>PP00028-72</v>
      </c>
      <c r="AH835">
        <f>_xlfn.XLOOKUP(AG835, Hoja3!A:A, Hoja3!B:B)</f>
        <v>5403</v>
      </c>
      <c r="AI835" t="str">
        <f>_xlfn.XLOOKUP(AH835, Hoja4!A:A, Hoja4!B:B)</f>
        <v>E45017100</v>
      </c>
      <c r="AJ835" t="b">
        <f t="shared" si="103"/>
        <v>1</v>
      </c>
    </row>
    <row r="836" spans="1:36" ht="15.5" customHeight="1" x14ac:dyDescent="0.35">
      <c r="A836">
        <f t="shared" ca="1" si="104"/>
        <v>20</v>
      </c>
      <c r="B836" s="6" t="s">
        <v>2512</v>
      </c>
      <c r="C836" s="7">
        <v>45336</v>
      </c>
      <c r="D836" s="6" t="s">
        <v>912</v>
      </c>
      <c r="E836" s="6" t="s">
        <v>139</v>
      </c>
      <c r="F836" s="6" t="s">
        <v>84</v>
      </c>
      <c r="G836" s="6" t="s">
        <v>156</v>
      </c>
      <c r="H836" s="6" t="s">
        <v>2513</v>
      </c>
      <c r="I836" s="6" t="s">
        <v>402</v>
      </c>
      <c r="J836" s="6" t="str">
        <f>IF(E836="KTG","KTG",(VLOOKUP(I836,'[1]list of outsource'!B:H,2,0)))</f>
        <v>ETC</v>
      </c>
      <c r="K836" s="6" t="s">
        <v>403</v>
      </c>
      <c r="L836" s="6">
        <v>58</v>
      </c>
      <c r="M836" s="6" t="s">
        <v>479</v>
      </c>
      <c r="N836" s="6" t="s">
        <v>478</v>
      </c>
      <c r="O836" s="6">
        <v>1303588700</v>
      </c>
      <c r="P836" s="6"/>
      <c r="Q836" s="8" t="s">
        <v>575</v>
      </c>
      <c r="R836" s="6"/>
      <c r="S836" s="6"/>
      <c r="T836" s="6"/>
      <c r="U836" s="6">
        <v>4</v>
      </c>
      <c r="V836" s="6" t="s">
        <v>569</v>
      </c>
      <c r="W836" s="6" t="s">
        <v>37</v>
      </c>
      <c r="X836" s="7">
        <v>45356</v>
      </c>
      <c r="Y836" s="7">
        <v>45358</v>
      </c>
      <c r="AB836">
        <v>0</v>
      </c>
      <c r="AC836" t="e">
        <v>#N/A</v>
      </c>
      <c r="AE836" t="str">
        <f t="shared" si="105"/>
        <v>P000254</v>
      </c>
      <c r="AF836" t="str">
        <f>_xlfn.XLOOKUP(AE836, Hoja2!A:A, Hoja2!A:A)</f>
        <v>P000254</v>
      </c>
      <c r="AG836" t="str">
        <f t="shared" si="102"/>
        <v>PP00028-73</v>
      </c>
      <c r="AH836">
        <f>_xlfn.XLOOKUP(AG836, Hoja3!A:A, Hoja3!B:B)</f>
        <v>56</v>
      </c>
      <c r="AI836" t="str">
        <f>_xlfn.XLOOKUP(AH836, Hoja4!A:A, Hoja4!B:B)</f>
        <v>E39044000</v>
      </c>
      <c r="AJ836" t="b">
        <f t="shared" si="103"/>
        <v>1</v>
      </c>
    </row>
    <row r="837" spans="1:36" ht="15.5" customHeight="1" x14ac:dyDescent="0.35">
      <c r="A837">
        <f t="shared" ca="1" si="104"/>
        <v>11</v>
      </c>
      <c r="B837" s="6" t="s">
        <v>2512</v>
      </c>
      <c r="C837" s="7">
        <v>45695</v>
      </c>
      <c r="D837" s="6" t="s">
        <v>564</v>
      </c>
      <c r="E837" s="6" t="s">
        <v>139</v>
      </c>
      <c r="F837" s="6" t="s">
        <v>84</v>
      </c>
      <c r="G837" s="6" t="s">
        <v>156</v>
      </c>
      <c r="H837" s="6" t="s">
        <v>2513</v>
      </c>
      <c r="I837" s="6" t="s">
        <v>402</v>
      </c>
      <c r="J837" s="6" t="str">
        <f>IF(E837="KTG","KTG",(VLOOKUP(I837,'[1]list of outsource'!B:H,2,0)))</f>
        <v>ETC</v>
      </c>
      <c r="K837" s="6" t="s">
        <v>403</v>
      </c>
      <c r="L837" s="6">
        <v>65</v>
      </c>
      <c r="M837" s="6" t="s">
        <v>479</v>
      </c>
      <c r="N837" s="6" t="s">
        <v>478</v>
      </c>
      <c r="O837" s="6" t="s">
        <v>2514</v>
      </c>
      <c r="P837" s="6"/>
      <c r="Q837" s="8"/>
      <c r="R837" s="6"/>
      <c r="S837" s="6"/>
      <c r="T837" s="6"/>
      <c r="U837" s="6">
        <v>1</v>
      </c>
      <c r="V837" s="6" t="s">
        <v>919</v>
      </c>
      <c r="W837" s="6" t="s">
        <v>576</v>
      </c>
      <c r="X837" s="7">
        <v>45706</v>
      </c>
      <c r="Y837" s="7">
        <v>45706</v>
      </c>
      <c r="AB837">
        <v>0</v>
      </c>
      <c r="AC837" t="e">
        <v>#N/A</v>
      </c>
      <c r="AE837" t="str">
        <f t="shared" si="105"/>
        <v>P000254</v>
      </c>
      <c r="AF837" t="str">
        <f>_xlfn.XLOOKUP(AE837, Hoja2!A:A, Hoja2!A:A)</f>
        <v>P000254</v>
      </c>
      <c r="AG837" t="str">
        <f t="shared" si="102"/>
        <v>PP00028-73</v>
      </c>
      <c r="AH837">
        <f>_xlfn.XLOOKUP(AG837, Hoja3!A:A, Hoja3!B:B)</f>
        <v>56</v>
      </c>
      <c r="AI837" t="str">
        <f>_xlfn.XLOOKUP(AH837, Hoja4!A:A, Hoja4!B:B)</f>
        <v>E39044000</v>
      </c>
      <c r="AJ837" t="b">
        <f t="shared" si="103"/>
        <v>1</v>
      </c>
    </row>
    <row r="838" spans="1:36" ht="15.5" customHeight="1" x14ac:dyDescent="0.35">
      <c r="A838">
        <f t="shared" ca="1" si="104"/>
        <v>14</v>
      </c>
      <c r="B838" s="6" t="s">
        <v>2515</v>
      </c>
      <c r="C838" s="7">
        <v>45342</v>
      </c>
      <c r="D838" s="6" t="s">
        <v>912</v>
      </c>
      <c r="E838" s="6" t="s">
        <v>139</v>
      </c>
      <c r="F838" s="6" t="s">
        <v>84</v>
      </c>
      <c r="G838" s="6" t="s">
        <v>156</v>
      </c>
      <c r="H838" s="6" t="s">
        <v>2516</v>
      </c>
      <c r="I838" s="6" t="s">
        <v>402</v>
      </c>
      <c r="J838" s="6" t="str">
        <f>IF(E838="KTG","KTG",(VLOOKUP(I838,'[1]list of outsource'!B:H,2,0)))</f>
        <v>ETC</v>
      </c>
      <c r="K838" s="6" t="s">
        <v>403</v>
      </c>
      <c r="L838" s="6">
        <v>58</v>
      </c>
      <c r="M838" s="6" t="s">
        <v>2517</v>
      </c>
      <c r="N838" s="6" t="s">
        <v>2518</v>
      </c>
      <c r="O838" s="6">
        <v>1303589769</v>
      </c>
      <c r="P838" s="6"/>
      <c r="Q838" s="8" t="s">
        <v>575</v>
      </c>
      <c r="R838" s="6"/>
      <c r="S838" s="6"/>
      <c r="T838" s="6"/>
      <c r="U838" s="6">
        <v>4</v>
      </c>
      <c r="V838" s="6" t="s">
        <v>879</v>
      </c>
      <c r="W838" s="6" t="s">
        <v>37</v>
      </c>
      <c r="X838" s="7">
        <v>45356</v>
      </c>
      <c r="Y838" s="7">
        <v>45373</v>
      </c>
      <c r="AB838" t="e">
        <v>#N/A</v>
      </c>
      <c r="AC838" t="s">
        <v>4210</v>
      </c>
      <c r="AE838" t="str">
        <f t="shared" si="105"/>
        <v>P000255</v>
      </c>
      <c r="AF838" t="str">
        <f>_xlfn.XLOOKUP(AE838, Hoja2!A:A, Hoja2!A:A)</f>
        <v>P000255</v>
      </c>
      <c r="AG838" t="str">
        <f t="shared" si="102"/>
        <v>PP00028-74</v>
      </c>
      <c r="AH838">
        <f>_xlfn.XLOOKUP(AG838, Hoja3!A:A, Hoja3!B:B)</f>
        <v>57</v>
      </c>
      <c r="AI838" t="str">
        <f>_xlfn.XLOOKUP(AH838, Hoja4!A:A, Hoja4!B:B)</f>
        <v>E39041600</v>
      </c>
      <c r="AJ838" t="b">
        <f t="shared" si="103"/>
        <v>1</v>
      </c>
    </row>
    <row r="839" spans="1:36" ht="15.5" customHeight="1" x14ac:dyDescent="0.35">
      <c r="A839">
        <f t="shared" ca="1" si="104"/>
        <v>0</v>
      </c>
      <c r="B839" s="17" t="s">
        <v>2519</v>
      </c>
      <c r="C839" s="7">
        <v>45793</v>
      </c>
      <c r="D839" s="6" t="s">
        <v>507</v>
      </c>
      <c r="E839" s="6" t="s">
        <v>30</v>
      </c>
      <c r="F839" s="6" t="s">
        <v>1371</v>
      </c>
      <c r="G839" s="6" t="s">
        <v>32</v>
      </c>
      <c r="H839" s="6" t="s">
        <v>2520</v>
      </c>
      <c r="I839" s="6"/>
      <c r="J839" s="6" t="str">
        <f>IF(E839="KTG","KTG",(VLOOKUP(I839,'[1]list of outsource'!B:H,2,0)))</f>
        <v>KTG</v>
      </c>
      <c r="K839" s="6"/>
      <c r="L839" s="24"/>
      <c r="M839" s="6" t="s">
        <v>2521</v>
      </c>
      <c r="N839" s="6" t="s">
        <v>2522</v>
      </c>
      <c r="O839" s="6"/>
      <c r="P839" s="6"/>
      <c r="Q839" s="8"/>
      <c r="R839" s="6"/>
      <c r="S839" s="18"/>
      <c r="T839" s="6"/>
      <c r="U839" s="6">
        <v>4</v>
      </c>
      <c r="V839" s="6" t="s">
        <v>569</v>
      </c>
      <c r="W839" s="6" t="s">
        <v>37</v>
      </c>
      <c r="X839" s="7">
        <v>45793</v>
      </c>
      <c r="Y839" s="7">
        <v>45225</v>
      </c>
      <c r="Z839" t="s">
        <v>1264</v>
      </c>
      <c r="AA839" t="s">
        <v>2523</v>
      </c>
      <c r="AB839" t="e">
        <v>#N/A</v>
      </c>
      <c r="AC839" t="s">
        <v>4210</v>
      </c>
      <c r="AE839" t="str">
        <f t="shared" si="105"/>
        <v>E58310</v>
      </c>
      <c r="AF839" t="str">
        <f>_xlfn.XLOOKUP(AE839, Hoja2!A:A, Hoja2!A:A)</f>
        <v>E58310</v>
      </c>
      <c r="AG839" t="str">
        <f t="shared" si="102"/>
        <v>PP00047-23</v>
      </c>
      <c r="AH839">
        <f>_xlfn.XLOOKUP(AG839, Hoja3!A:A, Hoja3!B:B)</f>
        <v>5531</v>
      </c>
      <c r="AI839" t="str">
        <f>_xlfn.XLOOKUP(AH839, Hoja4!A:A, Hoja4!B:B)</f>
        <v>DWT-RO-2A-50MM</v>
      </c>
      <c r="AJ839" t="b">
        <f t="shared" si="103"/>
        <v>1</v>
      </c>
    </row>
    <row r="840" spans="1:36" ht="15.5" customHeight="1" x14ac:dyDescent="0.35">
      <c r="A840">
        <f t="shared" ca="1" si="104"/>
        <v>0</v>
      </c>
      <c r="B840" s="17" t="s">
        <v>2524</v>
      </c>
      <c r="C840" s="7">
        <v>45793</v>
      </c>
      <c r="D840" s="6" t="s">
        <v>2525</v>
      </c>
      <c r="E840" s="6" t="s">
        <v>30</v>
      </c>
      <c r="F840" s="6" t="s">
        <v>140</v>
      </c>
      <c r="G840" s="6" t="s">
        <v>32</v>
      </c>
      <c r="H840" s="6" t="s">
        <v>2526</v>
      </c>
      <c r="I840" s="6"/>
      <c r="J840" s="6" t="str">
        <f>IF(E840="KTG","KTG",(VLOOKUP(I840,'[1]list of outsource'!B:H,2,0)))</f>
        <v>KTG</v>
      </c>
      <c r="K840" s="6"/>
      <c r="L840" s="24"/>
      <c r="M840" s="6" t="s">
        <v>2527</v>
      </c>
      <c r="N840" s="6" t="s">
        <v>2528</v>
      </c>
      <c r="O840" s="6"/>
      <c r="P840" s="6"/>
      <c r="Q840" s="8"/>
      <c r="R840" s="6"/>
      <c r="S840" s="18"/>
      <c r="T840" s="6"/>
      <c r="U840" s="6">
        <v>1</v>
      </c>
      <c r="V840" s="6" t="s">
        <v>569</v>
      </c>
      <c r="W840" s="6" t="s">
        <v>154</v>
      </c>
      <c r="X840" s="7">
        <v>45793</v>
      </c>
      <c r="Y840" s="7">
        <v>43329</v>
      </c>
      <c r="Z840" t="s">
        <v>1264</v>
      </c>
      <c r="AA840" t="s">
        <v>2529</v>
      </c>
      <c r="AB840" t="e">
        <v>#N/A</v>
      </c>
      <c r="AC840" t="e">
        <v>#N/A</v>
      </c>
      <c r="AE840" t="str">
        <f t="shared" si="105"/>
        <v>E84408</v>
      </c>
      <c r="AF840" t="str">
        <f>_xlfn.XLOOKUP(AE840, Hoja2!A:A, Hoja2!A:A)</f>
        <v>E84408</v>
      </c>
      <c r="AG840" t="str">
        <f t="shared" si="102"/>
        <v>PP00036-24</v>
      </c>
      <c r="AH840">
        <f>_xlfn.XLOOKUP(AG840, Hoja3!A:A, Hoja3!B:B)</f>
        <v>5195</v>
      </c>
      <c r="AI840" t="str">
        <f>_xlfn.XLOOKUP(AH840, Hoja4!A:A, Hoja4!B:B)</f>
        <v>HSTP1086</v>
      </c>
      <c r="AJ840" t="b">
        <f t="shared" si="103"/>
        <v>1</v>
      </c>
    </row>
    <row r="841" spans="1:36" ht="15.5" customHeight="1" x14ac:dyDescent="0.35">
      <c r="A841">
        <f t="shared" ca="1" si="104"/>
        <v>0</v>
      </c>
      <c r="B841" s="17" t="s">
        <v>2530</v>
      </c>
      <c r="C841" s="7">
        <v>45793</v>
      </c>
      <c r="D841" s="6" t="s">
        <v>507</v>
      </c>
      <c r="E841" s="6" t="s">
        <v>30</v>
      </c>
      <c r="F841" s="6" t="s">
        <v>1371</v>
      </c>
      <c r="G841" s="6" t="s">
        <v>32</v>
      </c>
      <c r="H841" s="6" t="s">
        <v>2531</v>
      </c>
      <c r="I841" s="6"/>
      <c r="J841" s="6" t="str">
        <f>IF(E841="KTG","KTG",(VLOOKUP(I841,'[1]list of outsource'!B:H,2,0)))</f>
        <v>KTG</v>
      </c>
      <c r="K841" s="6"/>
      <c r="L841" s="24"/>
      <c r="M841" s="6" t="s">
        <v>2532</v>
      </c>
      <c r="N841" s="6" t="s">
        <v>2533</v>
      </c>
      <c r="O841" s="6"/>
      <c r="P841" s="6"/>
      <c r="Q841" s="8"/>
      <c r="R841" s="6"/>
      <c r="S841" s="18"/>
      <c r="T841" s="6"/>
      <c r="U841" s="6">
        <v>4</v>
      </c>
      <c r="V841" s="6" t="s">
        <v>569</v>
      </c>
      <c r="W841" s="6" t="s">
        <v>37</v>
      </c>
      <c r="X841" s="7">
        <v>45793</v>
      </c>
      <c r="Y841" s="7">
        <v>45225</v>
      </c>
      <c r="Z841" t="s">
        <v>1264</v>
      </c>
      <c r="AA841" t="s">
        <v>2523</v>
      </c>
      <c r="AB841" t="e">
        <v>#N/A</v>
      </c>
      <c r="AC841" t="e">
        <v>#N/A</v>
      </c>
      <c r="AE841" t="str">
        <f t="shared" si="105"/>
        <v>E58323</v>
      </c>
      <c r="AF841" t="str">
        <f>_xlfn.XLOOKUP(AE841, Hoja2!A:A, Hoja2!A:A)</f>
        <v>E58323</v>
      </c>
      <c r="AG841" t="str">
        <f t="shared" si="102"/>
        <v>PP00047-24</v>
      </c>
      <c r="AH841">
        <f>_xlfn.XLOOKUP(AG841, Hoja3!A:A, Hoja3!B:B)</f>
        <v>5532</v>
      </c>
      <c r="AI841" t="str">
        <f>_xlfn.XLOOKUP(AH841, Hoja4!A:A, Hoja4!B:B)</f>
        <v>DWT-RO-4-75MM</v>
      </c>
      <c r="AJ841" t="b">
        <f t="shared" si="103"/>
        <v>1</v>
      </c>
    </row>
    <row r="842" spans="1:36" ht="15.5" customHeight="1" x14ac:dyDescent="0.35">
      <c r="A842">
        <f t="shared" ca="1" si="104"/>
        <v>61</v>
      </c>
      <c r="B842" s="12" t="s">
        <v>2534</v>
      </c>
      <c r="C842" s="13">
        <v>45793</v>
      </c>
      <c r="D842" s="14" t="s">
        <v>2535</v>
      </c>
      <c r="E842" s="14" t="s">
        <v>139</v>
      </c>
      <c r="F842" s="14" t="s">
        <v>1697</v>
      </c>
      <c r="G842" s="14" t="s">
        <v>156</v>
      </c>
      <c r="H842" s="14">
        <v>7094175930</v>
      </c>
      <c r="I842" s="14" t="s">
        <v>402</v>
      </c>
      <c r="J842" s="14" t="str">
        <f>IF(E842="KTG","KTG",(VLOOKUP(I842,'[1]list of outsource'!B:H,2,0)))</f>
        <v>ETC</v>
      </c>
      <c r="K842" s="14" t="s">
        <v>403</v>
      </c>
      <c r="L842" s="14">
        <v>71</v>
      </c>
      <c r="M842" s="14" t="s">
        <v>1755</v>
      </c>
      <c r="N842" s="14" t="s">
        <v>2536</v>
      </c>
      <c r="O842" s="14" t="s">
        <v>2537</v>
      </c>
      <c r="P842" s="14"/>
      <c r="Q842" s="15"/>
      <c r="R842" s="14"/>
      <c r="S842" s="16"/>
      <c r="T842" s="14"/>
      <c r="U842" s="14">
        <v>4</v>
      </c>
      <c r="V842" s="14" t="s">
        <v>569</v>
      </c>
      <c r="W842" s="14" t="s">
        <v>37</v>
      </c>
      <c r="X842" s="13">
        <v>45854</v>
      </c>
      <c r="Y842" s="13"/>
      <c r="Z842" t="s">
        <v>1264</v>
      </c>
      <c r="AB842">
        <v>0</v>
      </c>
      <c r="AC842" t="e">
        <v>#N/A</v>
      </c>
      <c r="AE842" t="str">
        <f t="shared" si="105"/>
        <v>P000415</v>
      </c>
      <c r="AF842" t="str">
        <f>_xlfn.XLOOKUP(AE842, Hoja2!A:A, Hoja2!A:A)</f>
        <v>P000415</v>
      </c>
      <c r="AG842" t="str">
        <f t="shared" si="102"/>
        <v>PP00061-11</v>
      </c>
      <c r="AH842">
        <f>_xlfn.XLOOKUP(AG842, Hoja3!A:A, Hoja3!B:B)</f>
        <v>5701</v>
      </c>
      <c r="AI842">
        <f>_xlfn.XLOOKUP(AH842, Hoja4!A:A, Hoja4!B:B)</f>
        <v>7094175930</v>
      </c>
      <c r="AJ842" t="b">
        <f t="shared" si="103"/>
        <v>1</v>
      </c>
    </row>
    <row r="843" spans="1:36" ht="15.5" customHeight="1" x14ac:dyDescent="0.35">
      <c r="A843">
        <f t="shared" ca="1" si="104"/>
        <v>146</v>
      </c>
      <c r="B843" s="12" t="s">
        <v>2538</v>
      </c>
      <c r="C843" s="13">
        <v>45793</v>
      </c>
      <c r="D843" s="14" t="s">
        <v>2535</v>
      </c>
      <c r="E843" s="14" t="s">
        <v>139</v>
      </c>
      <c r="F843" s="14" t="s">
        <v>1697</v>
      </c>
      <c r="G843" s="14" t="s">
        <v>156</v>
      </c>
      <c r="H843" s="14">
        <v>7094171830</v>
      </c>
      <c r="I843" s="14" t="s">
        <v>402</v>
      </c>
      <c r="J843" s="14" t="str">
        <f>IF(E843="KTG","KTG",(VLOOKUP(I843,'[1]list of outsource'!B:H,2,0)))</f>
        <v>ETC</v>
      </c>
      <c r="K843" s="14" t="s">
        <v>403</v>
      </c>
      <c r="L843" s="14">
        <v>74</v>
      </c>
      <c r="M843" s="14" t="s">
        <v>1709</v>
      </c>
      <c r="N843" s="14" t="s">
        <v>2539</v>
      </c>
      <c r="O843" s="14" t="s">
        <v>2540</v>
      </c>
      <c r="P843" s="14"/>
      <c r="Q843" s="15"/>
      <c r="R843" s="14"/>
      <c r="S843" s="16"/>
      <c r="T843" s="14"/>
      <c r="U843" s="14">
        <v>3</v>
      </c>
      <c r="V843" s="14" t="s">
        <v>569</v>
      </c>
      <c r="W843" s="14" t="s">
        <v>37</v>
      </c>
      <c r="X843" s="13">
        <v>45939</v>
      </c>
      <c r="Y843" s="13"/>
      <c r="Z843" t="s">
        <v>1264</v>
      </c>
      <c r="AB843" t="s">
        <v>1712</v>
      </c>
      <c r="AC843" t="e">
        <v>#N/A</v>
      </c>
      <c r="AE843" t="str">
        <f t="shared" si="105"/>
        <v>P000337</v>
      </c>
      <c r="AF843" t="str">
        <f>_xlfn.XLOOKUP(AE843, Hoja2!A:A, Hoja2!A:A)</f>
        <v>P000337</v>
      </c>
      <c r="AG843" t="str">
        <f t="shared" si="102"/>
        <v>PP00061-10</v>
      </c>
      <c r="AH843">
        <f>_xlfn.XLOOKUP(AG843, Hoja3!A:A, Hoja3!B:B)</f>
        <v>5700</v>
      </c>
      <c r="AI843">
        <f>_xlfn.XLOOKUP(AH843, Hoja4!A:A, Hoja4!B:B)</f>
        <v>7094171830</v>
      </c>
      <c r="AJ843" t="b">
        <f t="shared" si="103"/>
        <v>1</v>
      </c>
    </row>
    <row r="844" spans="1:36" ht="15.5" customHeight="1" x14ac:dyDescent="0.35">
      <c r="A844">
        <f t="shared" ca="1" si="104"/>
        <v>40</v>
      </c>
      <c r="B844" s="12" t="s">
        <v>2541</v>
      </c>
      <c r="C844" s="13">
        <v>45793</v>
      </c>
      <c r="D844" s="14" t="s">
        <v>121</v>
      </c>
      <c r="E844" s="14" t="s">
        <v>30</v>
      </c>
      <c r="F844" s="14" t="s">
        <v>1371</v>
      </c>
      <c r="G844" s="14" t="s">
        <v>32</v>
      </c>
      <c r="H844" s="14" t="s">
        <v>2542</v>
      </c>
      <c r="I844" s="14"/>
      <c r="J844" s="14" t="str">
        <f>IF(E844="KTG","KTG",(VLOOKUP(I844,'[1]list of outsource'!B:H,2,0)))</f>
        <v>KTG</v>
      </c>
      <c r="K844" s="14"/>
      <c r="L844" s="14"/>
      <c r="M844" s="14" t="s">
        <v>2543</v>
      </c>
      <c r="N844" s="14" t="s">
        <v>2544</v>
      </c>
      <c r="O844" s="14"/>
      <c r="P844" s="14"/>
      <c r="Q844" s="15"/>
      <c r="R844" s="14"/>
      <c r="S844" s="16"/>
      <c r="T844" s="14"/>
      <c r="U844" s="14">
        <v>4</v>
      </c>
      <c r="V844" s="14" t="s">
        <v>569</v>
      </c>
      <c r="W844" s="14" t="s">
        <v>37</v>
      </c>
      <c r="X844" s="13">
        <v>45833</v>
      </c>
      <c r="Y844" s="13"/>
      <c r="Z844" t="s">
        <v>1264</v>
      </c>
      <c r="AA844" t="s">
        <v>2545</v>
      </c>
      <c r="AB844" t="e">
        <v>#N/A</v>
      </c>
      <c r="AC844" t="s">
        <v>4210</v>
      </c>
      <c r="AE844" t="str">
        <f t="shared" si="105"/>
        <v>E58345</v>
      </c>
      <c r="AF844" t="str">
        <f>_xlfn.XLOOKUP(AE844, Hoja2!A:A, Hoja2!A:A)</f>
        <v>E58345</v>
      </c>
      <c r="AG844" t="str">
        <f t="shared" si="102"/>
        <v>PP00047-20</v>
      </c>
      <c r="AH844">
        <f>_xlfn.XLOOKUP(AG844, Hoja3!A:A, Hoja3!B:B)</f>
        <v>5528</v>
      </c>
      <c r="AI844" t="str">
        <f>_xlfn.XLOOKUP(AH844, Hoja4!A:A, Hoja4!B:B)</f>
        <v>CYG-135F-3/8-25-BLK</v>
      </c>
      <c r="AJ844" t="b">
        <f t="shared" si="103"/>
        <v>1</v>
      </c>
    </row>
    <row r="845" spans="1:36" ht="15.5" customHeight="1" x14ac:dyDescent="0.35">
      <c r="A845">
        <f t="shared" ca="1" si="104"/>
        <v>45</v>
      </c>
      <c r="B845" s="12" t="s">
        <v>2546</v>
      </c>
      <c r="C845" s="13">
        <v>45793</v>
      </c>
      <c r="D845" s="14" t="s">
        <v>121</v>
      </c>
      <c r="E845" s="14" t="s">
        <v>30</v>
      </c>
      <c r="F845" s="14" t="s">
        <v>1371</v>
      </c>
      <c r="G845" s="14" t="s">
        <v>32</v>
      </c>
      <c r="H845" s="14" t="s">
        <v>2547</v>
      </c>
      <c r="I845" s="14"/>
      <c r="J845" s="14" t="str">
        <f>IF(E845="KTG","KTG",(VLOOKUP(I845,'[1]list of outsource'!B:H,2,0)))</f>
        <v>KTG</v>
      </c>
      <c r="K845" s="14"/>
      <c r="L845" s="14"/>
      <c r="M845" s="14" t="s">
        <v>2548</v>
      </c>
      <c r="N845" s="14" t="s">
        <v>2549</v>
      </c>
      <c r="O845" s="14"/>
      <c r="P845" s="14"/>
      <c r="Q845" s="15"/>
      <c r="R845" s="14"/>
      <c r="S845" s="16"/>
      <c r="T845" s="14"/>
      <c r="U845" s="14">
        <v>4</v>
      </c>
      <c r="V845" s="14" t="s">
        <v>569</v>
      </c>
      <c r="W845" s="14" t="s">
        <v>37</v>
      </c>
      <c r="X845" s="13">
        <v>45838</v>
      </c>
      <c r="Y845" s="13"/>
      <c r="Z845" t="s">
        <v>1264</v>
      </c>
      <c r="AA845" t="s">
        <v>2545</v>
      </c>
      <c r="AB845" t="e">
        <v>#N/A</v>
      </c>
      <c r="AC845" t="s">
        <v>4210</v>
      </c>
      <c r="AE845" t="str">
        <f t="shared" si="105"/>
        <v>E58330</v>
      </c>
      <c r="AF845" t="str">
        <f>_xlfn.XLOOKUP(AE845, Hoja2!A:A, Hoja2!A:A)</f>
        <v>E58330</v>
      </c>
      <c r="AG845" t="str">
        <f t="shared" si="102"/>
        <v>PP00047-21</v>
      </c>
      <c r="AH845">
        <f>_xlfn.XLOOKUP(AG845, Hoja3!A:A, Hoja3!B:B)</f>
        <v>5529</v>
      </c>
      <c r="AI845" t="str">
        <f>_xlfn.XLOOKUP(AH845, Hoja4!A:A, Hoja4!B:B)</f>
        <v>CYG-MT(HX)-2X-S0-12.7-2</v>
      </c>
      <c r="AJ845" t="b">
        <f t="shared" si="103"/>
        <v>1</v>
      </c>
    </row>
    <row r="846" spans="1:36" ht="15.5" customHeight="1" x14ac:dyDescent="0.35">
      <c r="A846">
        <f t="shared" ca="1" si="104"/>
        <v>40</v>
      </c>
      <c r="B846" s="12" t="s">
        <v>2550</v>
      </c>
      <c r="C846" s="13">
        <v>45793</v>
      </c>
      <c r="D846" s="14" t="s">
        <v>121</v>
      </c>
      <c r="E846" s="14" t="s">
        <v>30</v>
      </c>
      <c r="F846" s="14" t="s">
        <v>1371</v>
      </c>
      <c r="G846" s="14" t="s">
        <v>32</v>
      </c>
      <c r="H846" s="14" t="s">
        <v>2551</v>
      </c>
      <c r="I846" s="14"/>
      <c r="J846" s="14" t="str">
        <f>IF(E846="KTG","KTG",(VLOOKUP(I846,'[1]list of outsource'!B:H,2,0)))</f>
        <v>KTG</v>
      </c>
      <c r="K846" s="14"/>
      <c r="L846" s="14"/>
      <c r="M846" s="14" t="s">
        <v>2552</v>
      </c>
      <c r="N846" s="14" t="s">
        <v>2553</v>
      </c>
      <c r="O846" s="14"/>
      <c r="P846" s="14"/>
      <c r="Q846" s="15"/>
      <c r="R846" s="14"/>
      <c r="S846" s="16"/>
      <c r="T846" s="14"/>
      <c r="U846" s="14">
        <v>4</v>
      </c>
      <c r="V846" s="14" t="s">
        <v>569</v>
      </c>
      <c r="W846" s="14" t="s">
        <v>37</v>
      </c>
      <c r="X846" s="13">
        <v>45833</v>
      </c>
      <c r="Y846" s="13"/>
      <c r="Z846" t="s">
        <v>1264</v>
      </c>
      <c r="AA846" t="s">
        <v>2545</v>
      </c>
      <c r="AB846" t="e">
        <v>#N/A</v>
      </c>
      <c r="AC846" t="e">
        <v>#N/A</v>
      </c>
      <c r="AE846" t="str">
        <f t="shared" si="105"/>
        <v>E58353</v>
      </c>
      <c r="AF846" t="str">
        <f>_xlfn.XLOOKUP(AE846, Hoja2!A:A, Hoja2!A:A)</f>
        <v>E58353</v>
      </c>
      <c r="AG846" t="str">
        <f t="shared" si="102"/>
        <v>PP00047-22</v>
      </c>
      <c r="AH846">
        <f>_xlfn.XLOOKUP(AG846, Hoja3!A:A, Hoja3!B:B)</f>
        <v>5530</v>
      </c>
      <c r="AI846" t="str">
        <f>_xlfn.XLOOKUP(AH846, Hoja4!A:A, Hoja4!B:B)</f>
        <v>DWT-RO-2-65MM</v>
      </c>
      <c r="AJ846" t="b">
        <f t="shared" si="103"/>
        <v>1</v>
      </c>
    </row>
    <row r="847" spans="1:36" ht="15.5" customHeight="1" x14ac:dyDescent="0.35">
      <c r="A847">
        <f t="shared" ca="1" si="104"/>
        <v>26</v>
      </c>
      <c r="B847" s="6" t="s">
        <v>2515</v>
      </c>
      <c r="C847" s="7">
        <v>45710</v>
      </c>
      <c r="D847" s="6" t="s">
        <v>564</v>
      </c>
      <c r="E847" s="6" t="s">
        <v>139</v>
      </c>
      <c r="F847" s="6" t="s">
        <v>84</v>
      </c>
      <c r="G847" s="6" t="s">
        <v>156</v>
      </c>
      <c r="H847" s="6" t="s">
        <v>2516</v>
      </c>
      <c r="I847" s="6" t="s">
        <v>402</v>
      </c>
      <c r="J847" s="6" t="str">
        <f>IF(E847="KTG","KTG",(VLOOKUP(I847,'[1]list of outsource'!B:H,2,0)))</f>
        <v>ETC</v>
      </c>
      <c r="K847" s="6" t="s">
        <v>403</v>
      </c>
      <c r="L847" s="6">
        <v>65</v>
      </c>
      <c r="M847" s="6" t="s">
        <v>2517</v>
      </c>
      <c r="N847" s="6" t="s">
        <v>2518</v>
      </c>
      <c r="O847" s="6" t="s">
        <v>2554</v>
      </c>
      <c r="P847" s="6"/>
      <c r="Q847" s="8" t="s">
        <v>575</v>
      </c>
      <c r="R847" s="6"/>
      <c r="S847" s="6"/>
      <c r="T847" s="6"/>
      <c r="U847" s="6">
        <v>1</v>
      </c>
      <c r="V847" s="6" t="s">
        <v>569</v>
      </c>
      <c r="W847" s="6" t="s">
        <v>576</v>
      </c>
      <c r="X847" s="7">
        <v>45736</v>
      </c>
      <c r="Y847" s="7">
        <v>45740</v>
      </c>
      <c r="AB847" t="e">
        <v>#N/A</v>
      </c>
      <c r="AC847" t="e">
        <v>#N/A</v>
      </c>
      <c r="AE847" t="str">
        <f t="shared" si="105"/>
        <v>P000255</v>
      </c>
      <c r="AF847" t="str">
        <f>_xlfn.XLOOKUP(AE847, Hoja2!A:A, Hoja2!A:A)</f>
        <v>P000255</v>
      </c>
      <c r="AG847" t="str">
        <f t="shared" si="102"/>
        <v>PP00028-74</v>
      </c>
      <c r="AH847">
        <f>_xlfn.XLOOKUP(AG847, Hoja3!A:A, Hoja3!B:B)</f>
        <v>57</v>
      </c>
      <c r="AI847" t="str">
        <f>_xlfn.XLOOKUP(AH847, Hoja4!A:A, Hoja4!B:B)</f>
        <v>E39041600</v>
      </c>
      <c r="AJ847" t="b">
        <f t="shared" si="103"/>
        <v>1</v>
      </c>
    </row>
    <row r="848" spans="1:36" ht="15.5" customHeight="1" x14ac:dyDescent="0.35">
      <c r="A848">
        <f t="shared" ca="1" si="104"/>
        <v>21</v>
      </c>
      <c r="B848" s="12" t="s">
        <v>2555</v>
      </c>
      <c r="C848" s="13">
        <v>45377</v>
      </c>
      <c r="D848" s="14" t="s">
        <v>121</v>
      </c>
      <c r="E848" s="14" t="s">
        <v>83</v>
      </c>
      <c r="F848" s="14" t="s">
        <v>84</v>
      </c>
      <c r="G848" s="14" t="s">
        <v>156</v>
      </c>
      <c r="H848" s="14" t="s">
        <v>613</v>
      </c>
      <c r="I848" s="14" t="s">
        <v>95</v>
      </c>
      <c r="J848" s="14" t="str">
        <f>IF(E848="KTG","KTG",(VLOOKUP(I848,'[1]list of outsource'!B:H,2,0)))</f>
        <v>Woer</v>
      </c>
      <c r="K848" s="14" t="s">
        <v>96</v>
      </c>
      <c r="L848" s="14">
        <v>44</v>
      </c>
      <c r="M848" s="14" t="s">
        <v>614</v>
      </c>
      <c r="N848" s="14" t="s">
        <v>615</v>
      </c>
      <c r="O848" s="14">
        <v>1201795555</v>
      </c>
      <c r="P848" s="14"/>
      <c r="Q848" s="15">
        <v>44988</v>
      </c>
      <c r="R848" s="14"/>
      <c r="S848" s="16"/>
      <c r="T848" s="14"/>
      <c r="U848" s="14">
        <v>4</v>
      </c>
      <c r="V848" s="14" t="s">
        <v>569</v>
      </c>
      <c r="W848" s="14" t="s">
        <v>37</v>
      </c>
      <c r="X848" s="13">
        <v>45398</v>
      </c>
      <c r="Y848" s="13"/>
      <c r="AB848" t="e">
        <v>#N/A</v>
      </c>
      <c r="AC848" t="e">
        <v>#N/A</v>
      </c>
      <c r="AE848" t="str">
        <f t="shared" si="105"/>
        <v>P000181</v>
      </c>
      <c r="AF848" t="str">
        <f>_xlfn.XLOOKUP(AE848, Hoja2!A:A, Hoja2!A:A)</f>
        <v>P000181</v>
      </c>
      <c r="AG848" t="str">
        <f t="shared" si="102"/>
        <v>PP00028-75</v>
      </c>
      <c r="AH848">
        <f>_xlfn.XLOOKUP(AG848, Hoja3!A:A, Hoja3!B:B)</f>
        <v>4017</v>
      </c>
      <c r="AI848" t="str">
        <f>_xlfn.XLOOKUP(AH848, Hoja4!A:A, Hoja4!B:B)</f>
        <v>E35563200</v>
      </c>
      <c r="AJ848" t="b">
        <f t="shared" si="103"/>
        <v>1</v>
      </c>
    </row>
    <row r="849" spans="1:36" ht="15.5" customHeight="1" x14ac:dyDescent="0.35">
      <c r="A849">
        <f t="shared" ca="1" si="104"/>
        <v>35</v>
      </c>
      <c r="B849" s="6" t="s">
        <v>2556</v>
      </c>
      <c r="C849" s="7">
        <v>45401</v>
      </c>
      <c r="D849" s="6" t="s">
        <v>912</v>
      </c>
      <c r="E849" s="6" t="s">
        <v>83</v>
      </c>
      <c r="F849" s="6" t="s">
        <v>84</v>
      </c>
      <c r="G849" s="6" t="s">
        <v>156</v>
      </c>
      <c r="H849" s="6" t="s">
        <v>2557</v>
      </c>
      <c r="I849" s="6" t="s">
        <v>218</v>
      </c>
      <c r="J849" s="6" t="str">
        <f>IF(E849="KTG","KTG",(VLOOKUP(I849,'[1]list of outsource'!B:H,2,0)))</f>
        <v>UPM</v>
      </c>
      <c r="K849" s="6" t="s">
        <v>219</v>
      </c>
      <c r="L849" s="6"/>
      <c r="M849" s="6" t="s">
        <v>2558</v>
      </c>
      <c r="N849" s="6" t="s">
        <v>2559</v>
      </c>
      <c r="O849" s="6">
        <v>1326974042</v>
      </c>
      <c r="P849" s="6"/>
      <c r="Q849" s="8">
        <v>45413</v>
      </c>
      <c r="R849" s="6"/>
      <c r="S849" s="6"/>
      <c r="T849" s="6"/>
      <c r="U849" s="6">
        <v>4</v>
      </c>
      <c r="V849" s="6" t="s">
        <v>879</v>
      </c>
      <c r="W849" s="6" t="s">
        <v>37</v>
      </c>
      <c r="X849" s="7">
        <v>45436</v>
      </c>
      <c r="Y849" s="7">
        <v>45463</v>
      </c>
      <c r="AB849" t="e">
        <v>#N/A</v>
      </c>
      <c r="AC849" t="e">
        <v>#N/A</v>
      </c>
      <c r="AE849" t="str">
        <f t="shared" si="105"/>
        <v>P000135</v>
      </c>
      <c r="AF849" t="str">
        <f>_xlfn.XLOOKUP(AE849, Hoja2!A:A, Hoja2!A:A)</f>
        <v>P000135</v>
      </c>
      <c r="AG849" t="str">
        <f t="shared" si="102"/>
        <v>PP00028-76</v>
      </c>
      <c r="AH849">
        <f>_xlfn.XLOOKUP(AG849, Hoja3!A:A, Hoja3!B:B)</f>
        <v>5405</v>
      </c>
      <c r="AI849" t="str">
        <f>_xlfn.XLOOKUP(AH849, Hoja4!A:A, Hoja4!B:B)</f>
        <v>E34934500</v>
      </c>
      <c r="AJ849" t="b">
        <f t="shared" si="103"/>
        <v>1</v>
      </c>
    </row>
    <row r="850" spans="1:36" ht="15.5" customHeight="1" x14ac:dyDescent="0.35">
      <c r="A850">
        <f t="shared" ca="1" si="104"/>
        <v>16</v>
      </c>
      <c r="B850" s="17" t="s">
        <v>2556</v>
      </c>
      <c r="C850" s="7">
        <v>45797</v>
      </c>
      <c r="D850" s="6" t="s">
        <v>564</v>
      </c>
      <c r="E850" s="6" t="s">
        <v>83</v>
      </c>
      <c r="F850" s="6" t="s">
        <v>84</v>
      </c>
      <c r="G850" s="6" t="s">
        <v>156</v>
      </c>
      <c r="H850" s="6" t="s">
        <v>2557</v>
      </c>
      <c r="I850" s="6" t="s">
        <v>218</v>
      </c>
      <c r="J850" s="6" t="str">
        <f>IF(E850="KTG","KTG",(VLOOKUP(I850,'[1]list of outsource'!B:H,2,0)))</f>
        <v>UPM</v>
      </c>
      <c r="K850" s="6" t="s">
        <v>219</v>
      </c>
      <c r="L850" s="24"/>
      <c r="M850" s="6" t="s">
        <v>2558</v>
      </c>
      <c r="N850" s="6" t="s">
        <v>2559</v>
      </c>
      <c r="O850" s="6" t="s">
        <v>2560</v>
      </c>
      <c r="P850" s="6"/>
      <c r="Q850" s="8">
        <v>45413</v>
      </c>
      <c r="R850" s="6"/>
      <c r="S850" s="18"/>
      <c r="T850" s="6"/>
      <c r="U850" s="6">
        <v>1</v>
      </c>
      <c r="V850" s="6" t="s">
        <v>569</v>
      </c>
      <c r="W850" s="6" t="s">
        <v>154</v>
      </c>
      <c r="X850" s="7">
        <v>45813</v>
      </c>
      <c r="Y850" s="7">
        <v>45814</v>
      </c>
      <c r="AB850" t="e">
        <v>#N/A</v>
      </c>
      <c r="AC850" t="e">
        <v>#N/A</v>
      </c>
      <c r="AE850" t="str">
        <f t="shared" si="105"/>
        <v>P000135</v>
      </c>
      <c r="AF850" t="str">
        <f>_xlfn.XLOOKUP(AE850, Hoja2!A:A, Hoja2!A:A)</f>
        <v>P000135</v>
      </c>
      <c r="AG850" t="str">
        <f t="shared" si="102"/>
        <v>PP00028-76</v>
      </c>
      <c r="AH850">
        <f>_xlfn.XLOOKUP(AG850, Hoja3!A:A, Hoja3!B:B)</f>
        <v>5405</v>
      </c>
      <c r="AI850" t="str">
        <f>_xlfn.XLOOKUP(AH850, Hoja4!A:A, Hoja4!B:B)</f>
        <v>E34934500</v>
      </c>
      <c r="AJ850" t="b">
        <f t="shared" si="103"/>
        <v>1</v>
      </c>
    </row>
    <row r="851" spans="1:36" ht="15.5" customHeight="1" x14ac:dyDescent="0.35">
      <c r="A851">
        <f t="shared" ca="1" si="104"/>
        <v>40</v>
      </c>
      <c r="B851" s="6" t="s">
        <v>2561</v>
      </c>
      <c r="C851" s="7">
        <v>45401</v>
      </c>
      <c r="D851" s="6" t="s">
        <v>912</v>
      </c>
      <c r="E851" s="6" t="s">
        <v>83</v>
      </c>
      <c r="F851" s="6" t="s">
        <v>84</v>
      </c>
      <c r="G851" s="6" t="s">
        <v>156</v>
      </c>
      <c r="H851" s="6" t="s">
        <v>2562</v>
      </c>
      <c r="I851" s="6" t="s">
        <v>218</v>
      </c>
      <c r="J851" s="6" t="str">
        <f>IF(E851="KTG","KTG",(VLOOKUP(I851,'[1]list of outsource'!B:H,2,0)))</f>
        <v>UPM</v>
      </c>
      <c r="K851" s="6" t="s">
        <v>219</v>
      </c>
      <c r="L851" s="6">
        <v>10</v>
      </c>
      <c r="M851" s="6" t="s">
        <v>2563</v>
      </c>
      <c r="N851" s="6" t="s">
        <v>2564</v>
      </c>
      <c r="O851" s="6">
        <v>1326975182</v>
      </c>
      <c r="P851" s="6"/>
      <c r="Q851" s="8">
        <v>45413</v>
      </c>
      <c r="R851" s="6"/>
      <c r="S851" s="6"/>
      <c r="T851" s="6"/>
      <c r="U851" s="6">
        <v>4</v>
      </c>
      <c r="V851" s="6" t="s">
        <v>879</v>
      </c>
      <c r="W851" s="6" t="s">
        <v>37</v>
      </c>
      <c r="X851" s="7">
        <v>45441</v>
      </c>
      <c r="Y851" s="7">
        <v>45463</v>
      </c>
      <c r="AB851" t="e">
        <v>#N/A</v>
      </c>
      <c r="AC851" t="e">
        <v>#N/A</v>
      </c>
      <c r="AE851" t="str">
        <f t="shared" si="105"/>
        <v>P000727</v>
      </c>
      <c r="AF851" t="str">
        <f>_xlfn.XLOOKUP(AE851, Hoja2!A:A, Hoja2!A:A)</f>
        <v>P000727</v>
      </c>
      <c r="AG851" t="str">
        <f t="shared" si="102"/>
        <v>PP00028-77</v>
      </c>
      <c r="AH851">
        <f>_xlfn.XLOOKUP(AG851, Hoja3!A:A, Hoja3!B:B)</f>
        <v>5407</v>
      </c>
      <c r="AI851" t="str">
        <f>_xlfn.XLOOKUP(AH851, Hoja4!A:A, Hoja4!B:B)</f>
        <v>E43971800</v>
      </c>
      <c r="AJ851" t="b">
        <f t="shared" si="103"/>
        <v>1</v>
      </c>
    </row>
    <row r="852" spans="1:36" ht="15.5" customHeight="1" x14ac:dyDescent="0.35">
      <c r="A852">
        <f t="shared" ca="1" si="104"/>
        <v>29</v>
      </c>
      <c r="B852" s="17" t="s">
        <v>2565</v>
      </c>
      <c r="C852" s="7">
        <v>45798</v>
      </c>
      <c r="D852" s="6" t="s">
        <v>564</v>
      </c>
      <c r="E852" s="6" t="s">
        <v>83</v>
      </c>
      <c r="F852" s="6" t="s">
        <v>101</v>
      </c>
      <c r="G852" s="6" t="s">
        <v>32</v>
      </c>
      <c r="H852" s="6">
        <v>3191782</v>
      </c>
      <c r="I852" s="6" t="s">
        <v>95</v>
      </c>
      <c r="J852" s="6" t="str">
        <f>IF(E852="KTG","KTG",(VLOOKUP(I852,'[1]list of outsource'!B:H,2,0)))</f>
        <v>Woer</v>
      </c>
      <c r="K852" s="6" t="s">
        <v>96</v>
      </c>
      <c r="L852" s="24">
        <v>56</v>
      </c>
      <c r="M852" s="6" t="s">
        <v>2566</v>
      </c>
      <c r="N852" s="6" t="s">
        <v>2567</v>
      </c>
      <c r="O852" s="6" t="s">
        <v>2568</v>
      </c>
      <c r="P852" s="6"/>
      <c r="Q852" s="8"/>
      <c r="R852" s="6"/>
      <c r="S852" s="18"/>
      <c r="T852" s="6"/>
      <c r="U852" s="6">
        <v>4</v>
      </c>
      <c r="V852" s="6" t="s">
        <v>919</v>
      </c>
      <c r="W852" s="6" t="s">
        <v>37</v>
      </c>
      <c r="X852" s="7">
        <v>45827</v>
      </c>
      <c r="Y852" s="7">
        <v>45828</v>
      </c>
      <c r="AB852" t="s">
        <v>2569</v>
      </c>
      <c r="AC852" t="e">
        <v>#N/A</v>
      </c>
      <c r="AE852" t="str">
        <f t="shared" si="105"/>
        <v>P000655</v>
      </c>
      <c r="AF852" t="str">
        <f>_xlfn.XLOOKUP(AE852, Hoja2!A:A, Hoja2!A:A)</f>
        <v>P000655</v>
      </c>
      <c r="AG852" t="str">
        <f t="shared" si="102"/>
        <v>PP00053-12</v>
      </c>
      <c r="AH852">
        <f>_xlfn.XLOOKUP(AG852, Hoja3!A:A, Hoja3!B:B)</f>
        <v>3968</v>
      </c>
      <c r="AI852">
        <f>_xlfn.XLOOKUP(AH852, Hoja4!A:A, Hoja4!B:B)</f>
        <v>3191782</v>
      </c>
      <c r="AJ852" t="b">
        <f t="shared" si="103"/>
        <v>1</v>
      </c>
    </row>
    <row r="853" spans="1:36" ht="15.5" customHeight="1" x14ac:dyDescent="0.35">
      <c r="A853">
        <f t="shared" ca="1" si="104"/>
        <v>13</v>
      </c>
      <c r="B853" s="17" t="s">
        <v>2570</v>
      </c>
      <c r="C853" s="7">
        <v>45799</v>
      </c>
      <c r="D853" s="6" t="s">
        <v>1947</v>
      </c>
      <c r="E853" s="6" t="s">
        <v>30</v>
      </c>
      <c r="F853" s="6" t="s">
        <v>1371</v>
      </c>
      <c r="G853" s="6" t="s">
        <v>32</v>
      </c>
      <c r="H853" s="6" t="s">
        <v>2571</v>
      </c>
      <c r="I853" s="6"/>
      <c r="J853" s="6" t="str">
        <f>IF(E853="KTG","KTG",(VLOOKUP(I853,'[1]list of outsource'!B:H,2,0)))</f>
        <v>KTG</v>
      </c>
      <c r="K853" s="6"/>
      <c r="L853" s="24"/>
      <c r="M853" s="6" t="s">
        <v>2572</v>
      </c>
      <c r="N853" s="6" t="s">
        <v>2573</v>
      </c>
      <c r="O853" s="6"/>
      <c r="P853" s="6"/>
      <c r="Q853" s="8"/>
      <c r="R853" s="6"/>
      <c r="S853" s="18"/>
      <c r="T853" s="6"/>
      <c r="U853" s="6" t="s">
        <v>569</v>
      </c>
      <c r="V853" s="6" t="s">
        <v>569</v>
      </c>
      <c r="W853" s="6" t="s">
        <v>1608</v>
      </c>
      <c r="X853" s="7">
        <v>45812</v>
      </c>
      <c r="Y853" s="7"/>
      <c r="AB853" t="e">
        <v>#N/A</v>
      </c>
      <c r="AC853" t="e">
        <v>#N/A</v>
      </c>
      <c r="AE853" t="str">
        <f t="shared" si="105"/>
        <v>E58351</v>
      </c>
      <c r="AF853" t="str">
        <f>_xlfn.XLOOKUP(AE853, Hoja2!A:A, Hoja2!A:A)</f>
        <v>E58351</v>
      </c>
      <c r="AG853" t="str">
        <f t="shared" si="102"/>
        <v>PP00047-25</v>
      </c>
      <c r="AH853">
        <f>_xlfn.XLOOKUP(AG853, Hoja3!A:A, Hoja3!B:B)</f>
        <v>5534</v>
      </c>
      <c r="AI853" t="str">
        <f>_xlfn.XLOOKUP(AH853, Hoja4!A:A, Hoja4!B:B)</f>
        <v>CYG-MT(HX)-3X-S3-9.5-9</v>
      </c>
      <c r="AJ853" t="b">
        <f t="shared" si="103"/>
        <v>1</v>
      </c>
    </row>
    <row r="854" spans="1:36" ht="15.5" customHeight="1" x14ac:dyDescent="0.35">
      <c r="A854">
        <f t="shared" ca="1" si="104"/>
        <v>16</v>
      </c>
      <c r="B854" s="17" t="s">
        <v>2561</v>
      </c>
      <c r="C854" s="7">
        <v>45797</v>
      </c>
      <c r="D854" s="6" t="s">
        <v>564</v>
      </c>
      <c r="E854" s="6" t="s">
        <v>83</v>
      </c>
      <c r="F854" s="6" t="s">
        <v>84</v>
      </c>
      <c r="G854" s="6" t="s">
        <v>156</v>
      </c>
      <c r="H854" s="6" t="s">
        <v>2562</v>
      </c>
      <c r="I854" s="6" t="s">
        <v>218</v>
      </c>
      <c r="J854" s="6" t="str">
        <f>IF(E854="KTG","KTG",(VLOOKUP(I854,'[1]list of outsource'!B:H,2,0)))</f>
        <v>UPM</v>
      </c>
      <c r="K854" s="6" t="s">
        <v>219</v>
      </c>
      <c r="L854" s="24"/>
      <c r="M854" s="6" t="s">
        <v>2563</v>
      </c>
      <c r="N854" s="6" t="s">
        <v>2564</v>
      </c>
      <c r="O854" s="6" t="s">
        <v>2574</v>
      </c>
      <c r="P854" s="6"/>
      <c r="Q854" s="8">
        <v>45413</v>
      </c>
      <c r="R854" s="6"/>
      <c r="S854" s="18"/>
      <c r="T854" s="6"/>
      <c r="U854" s="6">
        <v>1</v>
      </c>
      <c r="V854" s="6" t="s">
        <v>569</v>
      </c>
      <c r="W854" s="6" t="s">
        <v>154</v>
      </c>
      <c r="X854" s="7">
        <v>45813</v>
      </c>
      <c r="Y854" s="7">
        <v>45814</v>
      </c>
      <c r="AB854" t="e">
        <v>#N/A</v>
      </c>
      <c r="AC854" t="s">
        <v>4210</v>
      </c>
      <c r="AE854" t="str">
        <f t="shared" si="105"/>
        <v>P000727</v>
      </c>
      <c r="AF854" t="str">
        <f>_xlfn.XLOOKUP(AE854, Hoja2!A:A, Hoja2!A:A)</f>
        <v>P000727</v>
      </c>
      <c r="AG854" t="str">
        <f t="shared" si="102"/>
        <v>PP00028-77</v>
      </c>
      <c r="AH854">
        <f>_xlfn.XLOOKUP(AG854, Hoja3!A:A, Hoja3!B:B)</f>
        <v>5407</v>
      </c>
      <c r="AI854" t="str">
        <f>_xlfn.XLOOKUP(AH854, Hoja4!A:A, Hoja4!B:B)</f>
        <v>E43971800</v>
      </c>
      <c r="AJ854" t="b">
        <f t="shared" si="103"/>
        <v>1</v>
      </c>
    </row>
    <row r="855" spans="1:36" ht="15.5" customHeight="1" x14ac:dyDescent="0.35">
      <c r="A855">
        <f t="shared" ca="1" si="104"/>
        <v>33</v>
      </c>
      <c r="B855" s="12" t="s">
        <v>2575</v>
      </c>
      <c r="C855" s="13">
        <v>45800</v>
      </c>
      <c r="D855" s="14" t="s">
        <v>121</v>
      </c>
      <c r="E855" s="14" t="s">
        <v>30</v>
      </c>
      <c r="F855" s="14" t="s">
        <v>1371</v>
      </c>
      <c r="G855" s="14" t="s">
        <v>32</v>
      </c>
      <c r="H855" s="14" t="s">
        <v>2576</v>
      </c>
      <c r="I855" s="14"/>
      <c r="J855" s="14" t="str">
        <f>IF(E855="KTG","KTG",(VLOOKUP(I855,'[1]list of outsource'!B:H,2,0)))</f>
        <v>KTG</v>
      </c>
      <c r="K855" s="14"/>
      <c r="L855" s="14"/>
      <c r="M855" s="14" t="s">
        <v>2577</v>
      </c>
      <c r="N855" s="14" t="s">
        <v>2578</v>
      </c>
      <c r="O855" s="14"/>
      <c r="P855" s="14"/>
      <c r="Q855" s="15"/>
      <c r="R855" s="14"/>
      <c r="S855" s="16"/>
      <c r="T855" s="14"/>
      <c r="U855" s="14">
        <v>4</v>
      </c>
      <c r="V855" s="14" t="s">
        <v>879</v>
      </c>
      <c r="W855" s="14" t="s">
        <v>37</v>
      </c>
      <c r="X855" s="13">
        <v>45833</v>
      </c>
      <c r="Y855" s="13"/>
      <c r="Z855" t="s">
        <v>1264</v>
      </c>
      <c r="AA855" t="s">
        <v>2579</v>
      </c>
      <c r="AB855" t="e">
        <v>#N/A</v>
      </c>
      <c r="AC855" t="e">
        <v>#N/A</v>
      </c>
      <c r="AE855" t="str">
        <f t="shared" si="105"/>
        <v>E58344</v>
      </c>
      <c r="AF855" t="str">
        <f>_xlfn.XLOOKUP(AE855, Hoja2!A:A, Hoja2!A:A)</f>
        <v>E58344</v>
      </c>
      <c r="AG855" t="str">
        <f t="shared" si="102"/>
        <v>PP00047-26</v>
      </c>
      <c r="AH855">
        <f>_xlfn.XLOOKUP(AG855, Hoja3!A:A, Hoja3!B:B)</f>
        <v>5535</v>
      </c>
      <c r="AI855" t="str">
        <f>_xlfn.XLOOKUP(AH855, Hoja4!A:A, Hoja4!B:B)</f>
        <v>CYG-135F-9/3-50-BLK</v>
      </c>
      <c r="AJ855" t="b">
        <f t="shared" si="103"/>
        <v>1</v>
      </c>
    </row>
    <row r="856" spans="1:36" ht="15.5" customHeight="1" x14ac:dyDescent="0.35">
      <c r="A856">
        <f t="shared" ca="1" si="104"/>
        <v>33</v>
      </c>
      <c r="B856" s="12" t="s">
        <v>2580</v>
      </c>
      <c r="C856" s="13">
        <v>45800</v>
      </c>
      <c r="D856" s="14" t="s">
        <v>121</v>
      </c>
      <c r="E856" s="14" t="s">
        <v>30</v>
      </c>
      <c r="F856" s="14" t="s">
        <v>1371</v>
      </c>
      <c r="G856" s="14" t="s">
        <v>32</v>
      </c>
      <c r="H856" s="14" t="s">
        <v>2581</v>
      </c>
      <c r="I856" s="14"/>
      <c r="J856" s="14" t="str">
        <f>IF(E856="KTG","KTG",(VLOOKUP(I856,'[1]list of outsource'!B:H,2,0)))</f>
        <v>KTG</v>
      </c>
      <c r="K856" s="14"/>
      <c r="L856" s="14"/>
      <c r="M856" s="14" t="s">
        <v>2582</v>
      </c>
      <c r="N856" s="14" t="s">
        <v>2583</v>
      </c>
      <c r="O856" s="14"/>
      <c r="P856" s="14"/>
      <c r="Q856" s="15"/>
      <c r="R856" s="14"/>
      <c r="S856" s="16"/>
      <c r="T856" s="14"/>
      <c r="U856" s="14">
        <v>4</v>
      </c>
      <c r="V856" s="14" t="s">
        <v>879</v>
      </c>
      <c r="W856" s="14" t="s">
        <v>37</v>
      </c>
      <c r="X856" s="13">
        <v>45833</v>
      </c>
      <c r="Y856" s="13"/>
      <c r="Z856" t="s">
        <v>1264</v>
      </c>
      <c r="AA856" t="s">
        <v>2545</v>
      </c>
      <c r="AB856" t="e">
        <v>#N/A</v>
      </c>
      <c r="AC856" t="e">
        <v>#N/A</v>
      </c>
      <c r="AE856" t="str">
        <f t="shared" si="105"/>
        <v>E58316</v>
      </c>
      <c r="AF856" t="str">
        <f>_xlfn.XLOOKUP(AE856, Hoja2!A:A, Hoja2!A:A)</f>
        <v>E58316</v>
      </c>
      <c r="AG856" t="str">
        <f t="shared" si="102"/>
        <v>PP00047-27</v>
      </c>
      <c r="AH856">
        <f>_xlfn.XLOOKUP(AG856, Hoja3!A:A, Hoja3!B:B)</f>
        <v>5536</v>
      </c>
      <c r="AI856" t="str">
        <f>_xlfn.XLOOKUP(AH856, Hoja4!A:A, Hoja4!B:B)</f>
        <v>DWT-RO-3-75MM</v>
      </c>
      <c r="AJ856" t="b">
        <f t="shared" si="103"/>
        <v>1</v>
      </c>
    </row>
    <row r="857" spans="1:36" ht="15.5" customHeight="1" x14ac:dyDescent="0.35">
      <c r="A857">
        <f t="shared" ca="1" si="104"/>
        <v>33</v>
      </c>
      <c r="B857" s="12" t="s">
        <v>2584</v>
      </c>
      <c r="C857" s="13">
        <v>45800</v>
      </c>
      <c r="D857" s="14" t="s">
        <v>121</v>
      </c>
      <c r="E857" s="14" t="s">
        <v>30</v>
      </c>
      <c r="F857" s="14" t="s">
        <v>1371</v>
      </c>
      <c r="G857" s="14" t="s">
        <v>32</v>
      </c>
      <c r="H857" s="14" t="s">
        <v>2585</v>
      </c>
      <c r="I857" s="14"/>
      <c r="J857" s="14" t="str">
        <f>IF(E857="KTG","KTG",(VLOOKUP(I857,'[1]list of outsource'!B:H,2,0)))</f>
        <v>KTG</v>
      </c>
      <c r="K857" s="14"/>
      <c r="L857" s="14"/>
      <c r="M857" s="14" t="s">
        <v>2586</v>
      </c>
      <c r="N857" s="14" t="s">
        <v>2587</v>
      </c>
      <c r="O857" s="14"/>
      <c r="P857" s="14"/>
      <c r="Q857" s="15"/>
      <c r="R857" s="14"/>
      <c r="S857" s="16"/>
      <c r="T857" s="14"/>
      <c r="U857" s="14">
        <v>4</v>
      </c>
      <c r="V857" s="14" t="s">
        <v>879</v>
      </c>
      <c r="W857" s="14" t="s">
        <v>37</v>
      </c>
      <c r="X857" s="13">
        <v>45833</v>
      </c>
      <c r="Y857" s="13"/>
      <c r="Z857" t="s">
        <v>1264</v>
      </c>
      <c r="AA857" t="s">
        <v>2545</v>
      </c>
      <c r="AB857" t="e">
        <v>#N/A</v>
      </c>
      <c r="AC857" t="e">
        <v>#N/A</v>
      </c>
      <c r="AE857" t="str">
        <f t="shared" si="105"/>
        <v>E58324</v>
      </c>
      <c r="AF857" t="str">
        <f>_xlfn.XLOOKUP(AE857, Hoja2!A:A, Hoja2!A:A)</f>
        <v>E58324</v>
      </c>
      <c r="AG857" t="str">
        <f t="shared" si="102"/>
        <v>PP00047-28</v>
      </c>
      <c r="AH857">
        <f>_xlfn.XLOOKUP(AG857, Hoja3!A:A, Hoja3!B:B)</f>
        <v>5537</v>
      </c>
      <c r="AI857" t="str">
        <f>_xlfn.XLOOKUP(AH857, Hoja4!A:A, Hoja4!B:B)</f>
        <v>DWT-RO-4-STK</v>
      </c>
      <c r="AJ857" t="b">
        <f t="shared" si="103"/>
        <v>1</v>
      </c>
    </row>
    <row r="858" spans="1:36" ht="15.5" customHeight="1" x14ac:dyDescent="0.35">
      <c r="A858">
        <f t="shared" ca="1" si="104"/>
        <v>35</v>
      </c>
      <c r="B858" s="12" t="s">
        <v>2588</v>
      </c>
      <c r="C858" s="13">
        <v>45800</v>
      </c>
      <c r="D858" s="14" t="s">
        <v>121</v>
      </c>
      <c r="E858" s="14" t="s">
        <v>83</v>
      </c>
      <c r="F858" s="14" t="s">
        <v>140</v>
      </c>
      <c r="G858" s="14" t="s">
        <v>32</v>
      </c>
      <c r="H858" s="14" t="s">
        <v>2589</v>
      </c>
      <c r="I858" s="14" t="s">
        <v>158</v>
      </c>
      <c r="J858" s="14" t="str">
        <f>IF(E858="KTG","KTG",(VLOOKUP(I858,'[1]list of outsource'!B:H,2,0)))</f>
        <v>UPM</v>
      </c>
      <c r="K858" s="14" t="s">
        <v>159</v>
      </c>
      <c r="L858" s="14">
        <v>45</v>
      </c>
      <c r="M858" s="14" t="s">
        <v>2590</v>
      </c>
      <c r="N858" s="14" t="s">
        <v>2591</v>
      </c>
      <c r="O858" s="14" t="s">
        <v>2592</v>
      </c>
      <c r="P858" s="14"/>
      <c r="Q858" s="15"/>
      <c r="R858" s="14"/>
      <c r="S858" s="16"/>
      <c r="T858" s="14"/>
      <c r="U858" s="14">
        <v>4</v>
      </c>
      <c r="V858" s="14" t="s">
        <v>919</v>
      </c>
      <c r="W858" s="14" t="s">
        <v>37</v>
      </c>
      <c r="X858" s="13">
        <v>45835</v>
      </c>
      <c r="Y858" s="13"/>
      <c r="Z858" t="s">
        <v>1264</v>
      </c>
      <c r="AB858" t="s">
        <v>2593</v>
      </c>
      <c r="AC858" t="e">
        <v>#N/A</v>
      </c>
      <c r="AE858" t="str">
        <f t="shared" si="105"/>
        <v>P000229</v>
      </c>
      <c r="AF858" t="str">
        <f>_xlfn.XLOOKUP(AE858, Hoja2!A:A, Hoja2!A:A)</f>
        <v>P000229</v>
      </c>
      <c r="AG858" t="str">
        <f t="shared" si="102"/>
        <v>PP00036-25</v>
      </c>
      <c r="AH858">
        <f>_xlfn.XLOOKUP(AG858, Hoja3!A:A, Hoja3!B:B)</f>
        <v>5196</v>
      </c>
      <c r="AI858" t="str">
        <f>_xlfn.XLOOKUP(AH858, Hoja4!A:A, Hoja4!B:B)</f>
        <v>HSTP2435</v>
      </c>
      <c r="AJ858" t="b">
        <f t="shared" si="103"/>
        <v>1</v>
      </c>
    </row>
    <row r="859" spans="1:36" ht="15.5" customHeight="1" x14ac:dyDescent="0.35">
      <c r="A859">
        <f t="shared" ca="1" si="104"/>
        <v>26</v>
      </c>
      <c r="B859" s="12" t="s">
        <v>577</v>
      </c>
      <c r="C859" s="13">
        <v>45815</v>
      </c>
      <c r="D859" s="14" t="s">
        <v>121</v>
      </c>
      <c r="E859" s="14" t="s">
        <v>139</v>
      </c>
      <c r="F859" s="14" t="s">
        <v>84</v>
      </c>
      <c r="G859" s="14" t="s">
        <v>578</v>
      </c>
      <c r="H859" s="14" t="s">
        <v>415</v>
      </c>
      <c r="I859" s="14" t="s">
        <v>208</v>
      </c>
      <c r="J859" s="14" t="str">
        <f>IF(E859="KTG","KTG",(VLOOKUP(I859,'[1]list of outsource'!B:H,2,0)))</f>
        <v>ETC</v>
      </c>
      <c r="K859" s="14" t="s">
        <v>209</v>
      </c>
      <c r="L859" s="14">
        <v>23</v>
      </c>
      <c r="M859" s="14" t="s">
        <v>416</v>
      </c>
      <c r="N859" s="14" t="s">
        <v>579</v>
      </c>
      <c r="O859" s="14" t="s">
        <v>2594</v>
      </c>
      <c r="P859" s="14"/>
      <c r="Q859" s="15"/>
      <c r="R859" s="14"/>
      <c r="S859" s="16"/>
      <c r="T859" s="14"/>
      <c r="U859" s="14">
        <v>1</v>
      </c>
      <c r="V859" s="14" t="s">
        <v>569</v>
      </c>
      <c r="W859" s="14" t="s">
        <v>576</v>
      </c>
      <c r="X859" s="13">
        <v>45841</v>
      </c>
      <c r="Y859" s="13"/>
      <c r="AB859">
        <v>0</v>
      </c>
      <c r="AC859" t="e">
        <v>#N/A</v>
      </c>
      <c r="AE859" t="str">
        <f t="shared" si="105"/>
        <v>P000163</v>
      </c>
      <c r="AF859" t="str">
        <f>_xlfn.XLOOKUP(AE859, Hoja2!A:A, Hoja2!A:A)</f>
        <v>P000163</v>
      </c>
      <c r="AG859" t="str">
        <f t="shared" si="102"/>
        <v>PP00032-01</v>
      </c>
      <c r="AH859">
        <f>_xlfn.XLOOKUP(AG859, Hoja3!A:A, Hoja3!B:B)</f>
        <v>5422</v>
      </c>
      <c r="AI859" t="str">
        <f>_xlfn.XLOOKUP(AH859, Hoja4!A:A, Hoja4!B:B)</f>
        <v>E35100200</v>
      </c>
      <c r="AJ859" t="b">
        <f t="shared" si="103"/>
        <v>1</v>
      </c>
    </row>
    <row r="860" spans="1:36" ht="15.5" customHeight="1" x14ac:dyDescent="0.35">
      <c r="A860">
        <f t="shared" ca="1" si="104"/>
        <v>26</v>
      </c>
      <c r="B860" s="12" t="s">
        <v>588</v>
      </c>
      <c r="C860" s="13">
        <v>45815</v>
      </c>
      <c r="D860" s="14" t="s">
        <v>121</v>
      </c>
      <c r="E860" s="14" t="s">
        <v>139</v>
      </c>
      <c r="F860" s="14" t="s">
        <v>84</v>
      </c>
      <c r="G860" s="14" t="s">
        <v>578</v>
      </c>
      <c r="H860" s="14" t="s">
        <v>295</v>
      </c>
      <c r="I860" s="14" t="s">
        <v>208</v>
      </c>
      <c r="J860" s="14" t="str">
        <f>IF(E860="KTG","KTG",(VLOOKUP(I860,'[1]list of outsource'!B:H,2,0)))</f>
        <v>ETC</v>
      </c>
      <c r="K860" s="14" t="s">
        <v>209</v>
      </c>
      <c r="L860" s="14">
        <v>23</v>
      </c>
      <c r="M860" s="14" t="s">
        <v>296</v>
      </c>
      <c r="N860" s="14" t="s">
        <v>589</v>
      </c>
      <c r="O860" s="14" t="s">
        <v>2595</v>
      </c>
      <c r="P860" s="14"/>
      <c r="Q860" s="15"/>
      <c r="R860" s="14"/>
      <c r="S860" s="16"/>
      <c r="T860" s="14"/>
      <c r="U860" s="14">
        <v>1</v>
      </c>
      <c r="V860" s="14" t="s">
        <v>569</v>
      </c>
      <c r="W860" s="14" t="s">
        <v>576</v>
      </c>
      <c r="X860" s="13">
        <v>45841</v>
      </c>
      <c r="Y860" s="13"/>
      <c r="AB860" t="e">
        <v>#N/A</v>
      </c>
      <c r="AC860" t="s">
        <v>4210</v>
      </c>
      <c r="AE860" t="str">
        <f t="shared" si="105"/>
        <v>P000159</v>
      </c>
      <c r="AF860" t="str">
        <f>_xlfn.XLOOKUP(AE860, Hoja2!A:A, Hoja2!A:A)</f>
        <v>P000159</v>
      </c>
      <c r="AG860" t="str">
        <f t="shared" si="102"/>
        <v>PP00032-05</v>
      </c>
      <c r="AH860">
        <f>_xlfn.XLOOKUP(AG860, Hoja3!A:A, Hoja3!B:B)</f>
        <v>5427</v>
      </c>
      <c r="AI860" t="str">
        <f>_xlfn.XLOOKUP(AH860, Hoja4!A:A, Hoja4!B:B)</f>
        <v>E35099700</v>
      </c>
      <c r="AJ860" t="b">
        <f t="shared" si="103"/>
        <v>1</v>
      </c>
    </row>
    <row r="861" spans="1:36" ht="15.5" customHeight="1" x14ac:dyDescent="0.35">
      <c r="A861">
        <f t="shared" ca="1" si="104"/>
        <v>26</v>
      </c>
      <c r="B861" s="12" t="s">
        <v>597</v>
      </c>
      <c r="C861" s="13">
        <v>45815</v>
      </c>
      <c r="D861" s="14" t="s">
        <v>121</v>
      </c>
      <c r="E861" s="14" t="s">
        <v>139</v>
      </c>
      <c r="F861" s="14" t="s">
        <v>84</v>
      </c>
      <c r="G861" s="14" t="s">
        <v>578</v>
      </c>
      <c r="H861" s="14" t="s">
        <v>598</v>
      </c>
      <c r="I861" s="14" t="s">
        <v>402</v>
      </c>
      <c r="J861" s="14" t="str">
        <f>IF(E861="KTG","KTG",(VLOOKUP(I861,'[1]list of outsource'!B:H,2,0)))</f>
        <v>ETC</v>
      </c>
      <c r="K861" s="14" t="s">
        <v>403</v>
      </c>
      <c r="L861" s="14">
        <v>71</v>
      </c>
      <c r="M861" s="14" t="s">
        <v>471</v>
      </c>
      <c r="N861" s="14" t="s">
        <v>599</v>
      </c>
      <c r="O861" s="14" t="s">
        <v>2596</v>
      </c>
      <c r="P861" s="14"/>
      <c r="Q861" s="15"/>
      <c r="R861" s="14"/>
      <c r="S861" s="16"/>
      <c r="T861" s="14"/>
      <c r="U861" s="14">
        <v>1</v>
      </c>
      <c r="V861" s="14" t="s">
        <v>569</v>
      </c>
      <c r="W861" s="14" t="s">
        <v>576</v>
      </c>
      <c r="X861" s="13">
        <v>45841</v>
      </c>
      <c r="Y861" s="13"/>
      <c r="AB861" t="e">
        <v>#N/A</v>
      </c>
      <c r="AC861" t="s">
        <v>4210</v>
      </c>
      <c r="AE861" t="str">
        <f t="shared" si="105"/>
        <v>P000252</v>
      </c>
      <c r="AF861" t="str">
        <f>_xlfn.XLOOKUP(AE861, Hoja2!A:A, Hoja2!A:A)</f>
        <v>P000252</v>
      </c>
      <c r="AG861" t="str">
        <f t="shared" si="102"/>
        <v>PP00032-08</v>
      </c>
      <c r="AH861">
        <f>_xlfn.XLOOKUP(AG861, Hoja3!A:A, Hoja3!B:B)</f>
        <v>5431</v>
      </c>
      <c r="AI861" t="str">
        <f>_xlfn.XLOOKUP(AH861, Hoja4!A:A, Hoja4!B:B)</f>
        <v>E39013000</v>
      </c>
      <c r="AJ861" t="b">
        <f t="shared" si="103"/>
        <v>1</v>
      </c>
    </row>
    <row r="862" spans="1:36" ht="15.5" customHeight="1" x14ac:dyDescent="0.35">
      <c r="A862">
        <f t="shared" ca="1" si="104"/>
        <v>26</v>
      </c>
      <c r="B862" s="12" t="s">
        <v>600</v>
      </c>
      <c r="C862" s="13">
        <v>45815</v>
      </c>
      <c r="D862" s="14" t="s">
        <v>121</v>
      </c>
      <c r="E862" s="14" t="s">
        <v>139</v>
      </c>
      <c r="F862" s="14" t="s">
        <v>84</v>
      </c>
      <c r="G862" s="14" t="s">
        <v>578</v>
      </c>
      <c r="H862" s="14" t="s">
        <v>601</v>
      </c>
      <c r="I862" s="14" t="s">
        <v>208</v>
      </c>
      <c r="J862" s="14" t="str">
        <f>IF(E862="KTG","KTG",(VLOOKUP(I862,'[1]list of outsource'!B:H,2,0)))</f>
        <v>ETC</v>
      </c>
      <c r="K862" s="14" t="s">
        <v>209</v>
      </c>
      <c r="L862" s="14">
        <v>23</v>
      </c>
      <c r="M862" s="14" t="s">
        <v>602</v>
      </c>
      <c r="N862" s="14" t="s">
        <v>603</v>
      </c>
      <c r="O862" s="14" t="s">
        <v>2597</v>
      </c>
      <c r="P862" s="14"/>
      <c r="Q862" s="15"/>
      <c r="R862" s="14"/>
      <c r="S862" s="16"/>
      <c r="T862" s="14"/>
      <c r="U862" s="14">
        <v>1</v>
      </c>
      <c r="V862" s="14" t="s">
        <v>569</v>
      </c>
      <c r="W862" s="14" t="s">
        <v>576</v>
      </c>
      <c r="X862" s="13">
        <v>45841</v>
      </c>
      <c r="Y862" s="13"/>
      <c r="AB862" t="e">
        <v>#N/A</v>
      </c>
      <c r="AC862" t="e">
        <v>#N/A</v>
      </c>
      <c r="AE862" t="str">
        <f t="shared" si="105"/>
        <v>P000157</v>
      </c>
      <c r="AF862" t="str">
        <f>_xlfn.XLOOKUP(AE862, Hoja2!A:A, Hoja2!A:A)</f>
        <v>P000157</v>
      </c>
      <c r="AG862" t="str">
        <f t="shared" si="102"/>
        <v>PP00032-09</v>
      </c>
      <c r="AH862">
        <f>_xlfn.XLOOKUP(AG862, Hoja3!A:A, Hoja3!B:B)</f>
        <v>5433</v>
      </c>
      <c r="AI862" t="str">
        <f>_xlfn.XLOOKUP(AH862, Hoja4!A:A, Hoja4!B:B)</f>
        <v>E35099400</v>
      </c>
      <c r="AJ862" t="b">
        <f t="shared" si="103"/>
        <v>1</v>
      </c>
    </row>
    <row r="863" spans="1:36" ht="15.5" customHeight="1" x14ac:dyDescent="0.35">
      <c r="A863">
        <f t="shared" ca="1" si="104"/>
        <v>26</v>
      </c>
      <c r="B863" s="12" t="s">
        <v>608</v>
      </c>
      <c r="C863" s="13">
        <v>45815</v>
      </c>
      <c r="D863" s="14" t="s">
        <v>121</v>
      </c>
      <c r="E863" s="14" t="s">
        <v>139</v>
      </c>
      <c r="F863" s="14" t="s">
        <v>84</v>
      </c>
      <c r="G863" s="14" t="s">
        <v>578</v>
      </c>
      <c r="H863" s="14" t="s">
        <v>609</v>
      </c>
      <c r="I863" s="14" t="s">
        <v>402</v>
      </c>
      <c r="J863" s="14" t="str">
        <f>IF(E863="KTG","KTG",(VLOOKUP(I863,'[1]list of outsource'!B:H,2,0)))</f>
        <v>ETC</v>
      </c>
      <c r="K863" s="14" t="s">
        <v>403</v>
      </c>
      <c r="L863" s="14">
        <v>71</v>
      </c>
      <c r="M863" s="14" t="s">
        <v>610</v>
      </c>
      <c r="N863" s="14" t="s">
        <v>611</v>
      </c>
      <c r="O863" s="14" t="s">
        <v>2598</v>
      </c>
      <c r="P863" s="14"/>
      <c r="Q863" s="15"/>
      <c r="R863" s="14"/>
      <c r="S863" s="16"/>
      <c r="T863" s="14"/>
      <c r="U863" s="14">
        <v>1</v>
      </c>
      <c r="V863" s="14" t="s">
        <v>919</v>
      </c>
      <c r="W863" s="14" t="s">
        <v>576</v>
      </c>
      <c r="X863" s="13">
        <v>45841</v>
      </c>
      <c r="Y863" s="13"/>
      <c r="AB863" t="s">
        <v>2599</v>
      </c>
      <c r="AC863" t="e">
        <v>#N/A</v>
      </c>
      <c r="AE863" t="str">
        <f t="shared" si="105"/>
        <v>P000250</v>
      </c>
      <c r="AF863" t="str">
        <f>_xlfn.XLOOKUP(AE863, Hoja2!A:A, Hoja2!A:A)</f>
        <v>P000250</v>
      </c>
      <c r="AG863" t="str">
        <f t="shared" si="102"/>
        <v>PP00032-11</v>
      </c>
      <c r="AH863">
        <f>_xlfn.XLOOKUP(AG863, Hoja3!A:A, Hoja3!B:B)</f>
        <v>5436</v>
      </c>
      <c r="AI863" t="str">
        <f>_xlfn.XLOOKUP(AH863, Hoja4!A:A, Hoja4!B:B)</f>
        <v>E38846200</v>
      </c>
      <c r="AJ863" t="b">
        <f t="shared" si="103"/>
        <v>1</v>
      </c>
    </row>
    <row r="864" spans="1:36" ht="15.5" customHeight="1" x14ac:dyDescent="0.35">
      <c r="A864">
        <f t="shared" ca="1" si="104"/>
        <v>26</v>
      </c>
      <c r="B864" s="12" t="s">
        <v>612</v>
      </c>
      <c r="C864" s="13">
        <v>45815</v>
      </c>
      <c r="D864" s="14" t="s">
        <v>121</v>
      </c>
      <c r="E864" s="14" t="s">
        <v>83</v>
      </c>
      <c r="F864" s="14" t="s">
        <v>84</v>
      </c>
      <c r="G864" s="14" t="s">
        <v>578</v>
      </c>
      <c r="H864" s="14" t="s">
        <v>613</v>
      </c>
      <c r="I864" s="14" t="s">
        <v>95</v>
      </c>
      <c r="J864" s="14" t="str">
        <f>IF(E864="KTG","KTG",(VLOOKUP(I864,'[1]list of outsource'!B:H,2,0)))</f>
        <v>Woer</v>
      </c>
      <c r="K864" s="14" t="s">
        <v>96</v>
      </c>
      <c r="L864" s="14">
        <v>56</v>
      </c>
      <c r="M864" s="14" t="s">
        <v>614</v>
      </c>
      <c r="N864" s="14" t="s">
        <v>615</v>
      </c>
      <c r="O864" s="14" t="s">
        <v>2600</v>
      </c>
      <c r="P864" s="14"/>
      <c r="Q864" s="15">
        <v>45822</v>
      </c>
      <c r="R864" s="14"/>
      <c r="S864" s="16"/>
      <c r="T864" s="14"/>
      <c r="U864" s="14">
        <v>1</v>
      </c>
      <c r="V864" s="14" t="s">
        <v>569</v>
      </c>
      <c r="W864" s="14" t="s">
        <v>576</v>
      </c>
      <c r="X864" s="13">
        <v>45841</v>
      </c>
      <c r="Y864" s="13"/>
      <c r="AB864" t="e">
        <v>#N/A</v>
      </c>
      <c r="AC864" t="e">
        <v>#N/A</v>
      </c>
      <c r="AE864" t="str">
        <f t="shared" si="105"/>
        <v>P000181</v>
      </c>
      <c r="AF864" t="str">
        <f>_xlfn.XLOOKUP(AE864, Hoja2!A:A, Hoja2!A:A)</f>
        <v>P000181</v>
      </c>
      <c r="AG864" t="str">
        <f t="shared" si="102"/>
        <v>PP00032-12</v>
      </c>
      <c r="AH864">
        <f>_xlfn.XLOOKUP(AG864, Hoja3!A:A, Hoja3!B:B)</f>
        <v>5438</v>
      </c>
      <c r="AI864" t="str">
        <f>_xlfn.XLOOKUP(AH864, Hoja4!A:A, Hoja4!B:B)</f>
        <v>E35563200</v>
      </c>
      <c r="AJ864" t="b">
        <f t="shared" si="103"/>
        <v>1</v>
      </c>
    </row>
    <row r="865" spans="1:36" ht="15.5" customHeight="1" x14ac:dyDescent="0.35">
      <c r="A865">
        <f t="shared" ca="1" si="104"/>
        <v>24</v>
      </c>
      <c r="B865" s="12" t="s">
        <v>2601</v>
      </c>
      <c r="C865" s="13">
        <v>45817</v>
      </c>
      <c r="D865" s="14" t="s">
        <v>121</v>
      </c>
      <c r="E865" s="14" t="s">
        <v>30</v>
      </c>
      <c r="F865" s="14" t="s">
        <v>2221</v>
      </c>
      <c r="G865" s="14" t="s">
        <v>32</v>
      </c>
      <c r="H865" s="14" t="s">
        <v>2602</v>
      </c>
      <c r="I865" s="14"/>
      <c r="J865" s="14" t="str">
        <f>IF(E865="KTG","KTG",(VLOOKUP(I865,'[1]list of outsource'!B:H,2,0)))</f>
        <v>KTG</v>
      </c>
      <c r="K865" s="14"/>
      <c r="L865" s="14"/>
      <c r="M865" s="14" t="s">
        <v>2603</v>
      </c>
      <c r="N865" s="14" t="s">
        <v>2604</v>
      </c>
      <c r="O865" s="14"/>
      <c r="P865" s="14"/>
      <c r="Q865" s="15"/>
      <c r="R865" s="14"/>
      <c r="S865" s="16"/>
      <c r="T865" s="14"/>
      <c r="U865" s="14">
        <v>4</v>
      </c>
      <c r="V865" s="14" t="s">
        <v>879</v>
      </c>
      <c r="W865" s="14" t="s">
        <v>37</v>
      </c>
      <c r="X865" s="13">
        <v>45841</v>
      </c>
      <c r="Y865" s="13"/>
      <c r="AB865" t="e">
        <v>#N/A</v>
      </c>
      <c r="AC865" t="s">
        <v>4210</v>
      </c>
      <c r="AE865" t="str">
        <f t="shared" si="105"/>
        <v>E57002</v>
      </c>
      <c r="AF865" t="str">
        <f>_xlfn.XLOOKUP(AE865, Hoja2!A:A, Hoja2!A:A)</f>
        <v>E57002</v>
      </c>
      <c r="AG865" t="str">
        <f t="shared" si="102"/>
        <v>PP00066-02</v>
      </c>
      <c r="AH865">
        <f>_xlfn.XLOOKUP(AG865, Hoja3!A:A, Hoja3!B:B)</f>
        <v>5504</v>
      </c>
      <c r="AI865" t="str">
        <f>_xlfn.XLOOKUP(AH865, Hoja4!A:A, Hoja4!B:B)</f>
        <v>P00159799</v>
      </c>
      <c r="AJ865" t="b">
        <f t="shared" si="103"/>
        <v>1</v>
      </c>
    </row>
    <row r="866" spans="1:36" ht="15.5" customHeight="1" x14ac:dyDescent="0.35">
      <c r="A866">
        <f t="shared" ca="1" si="104"/>
        <v>17</v>
      </c>
      <c r="B866" s="12" t="s">
        <v>844</v>
      </c>
      <c r="C866" s="13">
        <v>45818</v>
      </c>
      <c r="D866" s="14" t="s">
        <v>121</v>
      </c>
      <c r="E866" s="14" t="s">
        <v>139</v>
      </c>
      <c r="F866" s="14" t="s">
        <v>329</v>
      </c>
      <c r="G866" s="14" t="s">
        <v>299</v>
      </c>
      <c r="H866" s="14" t="s">
        <v>594</v>
      </c>
      <c r="I866" s="14" t="s">
        <v>402</v>
      </c>
      <c r="J866" s="14" t="str">
        <f>IF(E866="KTG","KTG",(VLOOKUP(I866,'[1]list of outsource'!B:H,2,0)))</f>
        <v>ETC</v>
      </c>
      <c r="K866" s="14" t="s">
        <v>403</v>
      </c>
      <c r="L866" s="14">
        <v>70</v>
      </c>
      <c r="M866" s="14" t="s">
        <v>595</v>
      </c>
      <c r="N866" s="14" t="s">
        <v>596</v>
      </c>
      <c r="O866" s="14" t="s">
        <v>2605</v>
      </c>
      <c r="P866" s="14"/>
      <c r="Q866" s="15"/>
      <c r="R866" s="14"/>
      <c r="S866" s="16"/>
      <c r="T866" s="14"/>
      <c r="U866" s="14">
        <v>3</v>
      </c>
      <c r="V866" s="14" t="s">
        <v>569</v>
      </c>
      <c r="W866" s="14" t="s">
        <v>576</v>
      </c>
      <c r="X866" s="13">
        <v>45835</v>
      </c>
      <c r="Y866" s="13"/>
      <c r="AB866" t="e">
        <v>#N/A</v>
      </c>
      <c r="AC866" t="e">
        <v>#N/A</v>
      </c>
      <c r="AE866" t="str">
        <f t="shared" si="105"/>
        <v>P000269</v>
      </c>
      <c r="AF866" t="str">
        <f>_xlfn.XLOOKUP(AE866, Hoja2!A:A, Hoja2!A:A)</f>
        <v>P000269</v>
      </c>
      <c r="AG866" t="str">
        <f t="shared" si="102"/>
        <v>PP00024-09</v>
      </c>
      <c r="AH866">
        <f>_xlfn.XLOOKUP(AG866, Hoja3!A:A, Hoja3!B:B)</f>
        <v>5481</v>
      </c>
      <c r="AI866" t="str">
        <f>_xlfn.XLOOKUP(AH866, Hoja4!A:A, Hoja4!B:B)</f>
        <v>E38846500</v>
      </c>
      <c r="AJ866" t="b">
        <f t="shared" si="103"/>
        <v>1</v>
      </c>
    </row>
    <row r="867" spans="1:36" ht="15.5" customHeight="1" x14ac:dyDescent="0.35">
      <c r="A867">
        <f t="shared" ca="1" si="104"/>
        <v>17</v>
      </c>
      <c r="B867" s="12" t="s">
        <v>845</v>
      </c>
      <c r="C867" s="13">
        <v>45818</v>
      </c>
      <c r="D867" s="14" t="s">
        <v>121</v>
      </c>
      <c r="E867" s="14" t="s">
        <v>139</v>
      </c>
      <c r="F867" s="14" t="s">
        <v>329</v>
      </c>
      <c r="G867" s="14" t="s">
        <v>299</v>
      </c>
      <c r="H867" s="14" t="s">
        <v>703</v>
      </c>
      <c r="I867" s="14" t="s">
        <v>402</v>
      </c>
      <c r="J867" s="14" t="str">
        <f>IF(E867="KTG","KTG",(VLOOKUP(I867,'[1]list of outsource'!B:H,2,0)))</f>
        <v>ETC</v>
      </c>
      <c r="K867" s="14" t="s">
        <v>403</v>
      </c>
      <c r="L867" s="14">
        <v>70</v>
      </c>
      <c r="M867" s="14" t="s">
        <v>704</v>
      </c>
      <c r="N867" s="14" t="s">
        <v>846</v>
      </c>
      <c r="O867" s="14" t="s">
        <v>2170</v>
      </c>
      <c r="P867" s="14"/>
      <c r="Q867" s="15"/>
      <c r="R867" s="14"/>
      <c r="S867" s="16"/>
      <c r="T867" s="14"/>
      <c r="U867" s="14">
        <v>3</v>
      </c>
      <c r="V867" s="14" t="s">
        <v>569</v>
      </c>
      <c r="W867" s="14" t="s">
        <v>576</v>
      </c>
      <c r="X867" s="13">
        <v>45835</v>
      </c>
      <c r="Y867" s="13"/>
      <c r="AB867" t="e">
        <v>#N/A</v>
      </c>
      <c r="AC867" t="e">
        <v>#N/A</v>
      </c>
      <c r="AE867" t="str">
        <f t="shared" si="105"/>
        <v>P000289</v>
      </c>
      <c r="AF867" t="str">
        <f>_xlfn.XLOOKUP(AE867, Hoja2!A:A, Hoja2!A:A)</f>
        <v>P000289</v>
      </c>
      <c r="AG867" t="str">
        <f t="shared" si="102"/>
        <v>PP00024-10</v>
      </c>
      <c r="AH867">
        <f>_xlfn.XLOOKUP(AG867, Hoja3!A:A, Hoja3!B:B)</f>
        <v>5483</v>
      </c>
      <c r="AI867" t="str">
        <f>_xlfn.XLOOKUP(AH867, Hoja4!A:A, Hoja4!B:B)</f>
        <v>E38925800</v>
      </c>
      <c r="AJ867" t="b">
        <f t="shared" si="103"/>
        <v>1</v>
      </c>
    </row>
    <row r="868" spans="1:36" ht="15.5" customHeight="1" x14ac:dyDescent="0.35">
      <c r="A868">
        <f t="shared" ca="1" si="104"/>
        <v>17</v>
      </c>
      <c r="B868" s="12" t="s">
        <v>847</v>
      </c>
      <c r="C868" s="13">
        <v>45818</v>
      </c>
      <c r="D868" s="14" t="s">
        <v>121</v>
      </c>
      <c r="E868" s="14" t="s">
        <v>139</v>
      </c>
      <c r="F868" s="14" t="s">
        <v>329</v>
      </c>
      <c r="G868" s="14" t="s">
        <v>299</v>
      </c>
      <c r="H868" s="14" t="s">
        <v>848</v>
      </c>
      <c r="I868" s="14" t="s">
        <v>849</v>
      </c>
      <c r="J868" s="14" t="str">
        <f>IF(E868="KTG","KTG",(VLOOKUP(I868,'[1]list of outsource'!B:H,2,0)))</f>
        <v>ETC</v>
      </c>
      <c r="K868" s="14" t="s">
        <v>850</v>
      </c>
      <c r="L868" s="14">
        <v>20</v>
      </c>
      <c r="M868" s="14" t="s">
        <v>851</v>
      </c>
      <c r="N868" s="14" t="s">
        <v>852</v>
      </c>
      <c r="O868" s="14" t="s">
        <v>2606</v>
      </c>
      <c r="P868" s="14"/>
      <c r="Q868" s="15"/>
      <c r="R868" s="14"/>
      <c r="S868" s="16"/>
      <c r="T868" s="14"/>
      <c r="U868" s="14">
        <v>3</v>
      </c>
      <c r="V868" s="14" t="s">
        <v>569</v>
      </c>
      <c r="W868" s="14" t="s">
        <v>576</v>
      </c>
      <c r="X868" s="13">
        <v>45835</v>
      </c>
      <c r="Y868" s="13"/>
      <c r="AB868" t="e">
        <v>#N/A</v>
      </c>
      <c r="AC868" t="e">
        <v>#N/A</v>
      </c>
      <c r="AE868" t="str">
        <f t="shared" si="105"/>
        <v>P000294</v>
      </c>
      <c r="AF868" t="str">
        <f>_xlfn.XLOOKUP(AE868, Hoja2!A:A, Hoja2!A:A)</f>
        <v>P000294</v>
      </c>
      <c r="AG868" t="str">
        <f t="shared" si="102"/>
        <v>PP00024-11</v>
      </c>
      <c r="AH868">
        <f>_xlfn.XLOOKUP(AG868, Hoja3!A:A, Hoja3!B:B)</f>
        <v>5485</v>
      </c>
      <c r="AI868" t="str">
        <f>_xlfn.XLOOKUP(AH868, Hoja4!A:A, Hoja4!B:B)</f>
        <v>E38923800</v>
      </c>
      <c r="AJ868" t="b">
        <f t="shared" si="103"/>
        <v>1</v>
      </c>
    </row>
    <row r="869" spans="1:36" ht="15.5" customHeight="1" x14ac:dyDescent="0.35">
      <c r="A869">
        <f t="shared" ca="1" si="104"/>
        <v>17</v>
      </c>
      <c r="B869" s="12" t="s">
        <v>853</v>
      </c>
      <c r="C869" s="13">
        <v>45818</v>
      </c>
      <c r="D869" s="14" t="s">
        <v>121</v>
      </c>
      <c r="E869" s="14" t="s">
        <v>139</v>
      </c>
      <c r="F869" s="14" t="s">
        <v>329</v>
      </c>
      <c r="G869" s="14" t="s">
        <v>299</v>
      </c>
      <c r="H869" s="14" t="s">
        <v>854</v>
      </c>
      <c r="I869" s="14" t="s">
        <v>402</v>
      </c>
      <c r="J869" s="14" t="str">
        <f>IF(E869="KTG","KTG",(VLOOKUP(I869,'[1]list of outsource'!B:H,2,0)))</f>
        <v>ETC</v>
      </c>
      <c r="K869" s="14" t="s">
        <v>403</v>
      </c>
      <c r="L869" s="14">
        <v>70</v>
      </c>
      <c r="M869" s="14" t="s">
        <v>855</v>
      </c>
      <c r="N869" s="14" t="s">
        <v>856</v>
      </c>
      <c r="O869" s="14" t="s">
        <v>2225</v>
      </c>
      <c r="P869" s="14"/>
      <c r="Q869" s="15"/>
      <c r="R869" s="14"/>
      <c r="S869" s="16"/>
      <c r="T869" s="14"/>
      <c r="U869" s="14">
        <v>3</v>
      </c>
      <c r="V869" s="14" t="s">
        <v>919</v>
      </c>
      <c r="W869" s="14" t="s">
        <v>576</v>
      </c>
      <c r="X869" s="13">
        <v>45835</v>
      </c>
      <c r="Y869" s="13"/>
      <c r="AB869" t="s">
        <v>2207</v>
      </c>
      <c r="AC869" t="e">
        <v>#N/A</v>
      </c>
      <c r="AE869" t="str">
        <f t="shared" si="105"/>
        <v>P000251</v>
      </c>
      <c r="AF869" t="str">
        <f>_xlfn.XLOOKUP(AE869, Hoja2!A:A, Hoja2!A:A)</f>
        <v>P000251</v>
      </c>
      <c r="AG869" t="str">
        <f t="shared" si="102"/>
        <v>PP00024-12</v>
      </c>
      <c r="AH869">
        <f>_xlfn.XLOOKUP(AG869, Hoja3!A:A, Hoja3!B:B)</f>
        <v>5487</v>
      </c>
      <c r="AI869" t="str">
        <f>_xlfn.XLOOKUP(AH869, Hoja4!A:A, Hoja4!B:B)</f>
        <v>E38846700</v>
      </c>
      <c r="AJ869" t="b">
        <f t="shared" si="103"/>
        <v>1</v>
      </c>
    </row>
    <row r="870" spans="1:36" ht="15.5" customHeight="1" x14ac:dyDescent="0.35">
      <c r="A870">
        <f t="shared" ca="1" si="104"/>
        <v>17</v>
      </c>
      <c r="B870" s="12" t="s">
        <v>857</v>
      </c>
      <c r="C870" s="13">
        <v>45818</v>
      </c>
      <c r="D870" s="14" t="s">
        <v>121</v>
      </c>
      <c r="E870" s="14" t="s">
        <v>139</v>
      </c>
      <c r="F870" s="14" t="s">
        <v>329</v>
      </c>
      <c r="G870" s="14" t="s">
        <v>299</v>
      </c>
      <c r="H870" s="14" t="s">
        <v>689</v>
      </c>
      <c r="I870" s="14" t="s">
        <v>402</v>
      </c>
      <c r="J870" s="14" t="str">
        <f>IF(E870="KTG","KTG",(VLOOKUP(I870,'[1]list of outsource'!B:H,2,0)))</f>
        <v>ETC</v>
      </c>
      <c r="K870" s="14" t="s">
        <v>403</v>
      </c>
      <c r="L870" s="14">
        <v>70</v>
      </c>
      <c r="M870" s="14" t="s">
        <v>690</v>
      </c>
      <c r="N870" s="14" t="s">
        <v>691</v>
      </c>
      <c r="O870" s="14" t="s">
        <v>2607</v>
      </c>
      <c r="P870" s="14"/>
      <c r="Q870" s="15"/>
      <c r="R870" s="14"/>
      <c r="S870" s="16"/>
      <c r="T870" s="14"/>
      <c r="U870" s="14">
        <v>3</v>
      </c>
      <c r="V870" s="14" t="s">
        <v>569</v>
      </c>
      <c r="W870" s="14" t="s">
        <v>576</v>
      </c>
      <c r="X870" s="13">
        <v>45835</v>
      </c>
      <c r="Y870" s="13"/>
      <c r="AB870" t="e">
        <v>#N/A</v>
      </c>
      <c r="AC870" t="e">
        <v>#N/A</v>
      </c>
      <c r="AE870" t="str">
        <f t="shared" si="105"/>
        <v>P000213</v>
      </c>
      <c r="AF870" t="str">
        <f>_xlfn.XLOOKUP(AE870, Hoja2!A:A, Hoja2!A:A)</f>
        <v>P000213</v>
      </c>
      <c r="AG870" t="str">
        <f t="shared" si="102"/>
        <v>PP00024-13</v>
      </c>
      <c r="AH870">
        <f>_xlfn.XLOOKUP(AG870, Hoja3!A:A, Hoja3!B:B)</f>
        <v>5489</v>
      </c>
      <c r="AI870" t="str">
        <f>_xlfn.XLOOKUP(AH870, Hoja4!A:A, Hoja4!B:B)</f>
        <v>E36449500</v>
      </c>
      <c r="AJ870" t="b">
        <f t="shared" si="103"/>
        <v>1</v>
      </c>
    </row>
    <row r="871" spans="1:36" ht="15.5" customHeight="1" x14ac:dyDescent="0.35">
      <c r="A871">
        <f t="shared" ca="1" si="104"/>
        <v>17</v>
      </c>
      <c r="B871" s="12" t="s">
        <v>858</v>
      </c>
      <c r="C871" s="13">
        <v>45818</v>
      </c>
      <c r="D871" s="14" t="s">
        <v>121</v>
      </c>
      <c r="E871" s="14" t="s">
        <v>139</v>
      </c>
      <c r="F871" s="14" t="s">
        <v>329</v>
      </c>
      <c r="G871" s="14" t="s">
        <v>299</v>
      </c>
      <c r="H871" s="14" t="s">
        <v>859</v>
      </c>
      <c r="I871" s="14" t="s">
        <v>402</v>
      </c>
      <c r="J871" s="14" t="str">
        <f>IF(E871="KTG","KTG",(VLOOKUP(I871,'[1]list of outsource'!B:H,2,0)))</f>
        <v>ETC</v>
      </c>
      <c r="K871" s="14" t="s">
        <v>403</v>
      </c>
      <c r="L871" s="14">
        <v>70</v>
      </c>
      <c r="M871" s="14" t="s">
        <v>860</v>
      </c>
      <c r="N871" s="14" t="s">
        <v>861</v>
      </c>
      <c r="O871" s="14" t="s">
        <v>2608</v>
      </c>
      <c r="P871" s="14"/>
      <c r="Q871" s="15"/>
      <c r="R871" s="14"/>
      <c r="S871" s="16"/>
      <c r="T871" s="14"/>
      <c r="U871" s="14">
        <v>3</v>
      </c>
      <c r="V871" s="14" t="s">
        <v>569</v>
      </c>
      <c r="W871" s="14" t="s">
        <v>576</v>
      </c>
      <c r="X871" s="13">
        <v>45835</v>
      </c>
      <c r="Y871" s="13"/>
      <c r="AB871" t="e">
        <v>#N/A</v>
      </c>
      <c r="AC871" t="s">
        <v>4210</v>
      </c>
      <c r="AE871" t="str">
        <f t="shared" si="105"/>
        <v>P000214</v>
      </c>
      <c r="AF871" t="str">
        <f>_xlfn.XLOOKUP(AE871, Hoja2!A:A, Hoja2!A:A)</f>
        <v>P000214</v>
      </c>
      <c r="AG871" t="str">
        <f t="shared" si="102"/>
        <v>PP00024-14</v>
      </c>
      <c r="AH871">
        <f>_xlfn.XLOOKUP(AG871, Hoja3!A:A, Hoja3!B:B)</f>
        <v>5491</v>
      </c>
      <c r="AI871" t="str">
        <f>_xlfn.XLOOKUP(AH871, Hoja4!A:A, Hoja4!B:B)</f>
        <v>E36449200</v>
      </c>
      <c r="AJ871" t="b">
        <f t="shared" si="103"/>
        <v>1</v>
      </c>
    </row>
    <row r="872" spans="1:36" ht="15.5" customHeight="1" x14ac:dyDescent="0.35">
      <c r="A872">
        <f t="shared" ca="1" si="104"/>
        <v>17</v>
      </c>
      <c r="B872" s="12" t="s">
        <v>862</v>
      </c>
      <c r="C872" s="13">
        <v>45818</v>
      </c>
      <c r="D872" s="14" t="s">
        <v>121</v>
      </c>
      <c r="E872" s="14" t="s">
        <v>139</v>
      </c>
      <c r="F872" s="14" t="s">
        <v>329</v>
      </c>
      <c r="G872" s="14" t="s">
        <v>299</v>
      </c>
      <c r="H872" s="14" t="s">
        <v>697</v>
      </c>
      <c r="I872" s="14" t="s">
        <v>402</v>
      </c>
      <c r="J872" s="14" t="str">
        <f>IF(E872="KTG","KTG",(VLOOKUP(I872,'[1]list of outsource'!B:H,2,0)))</f>
        <v>ETC</v>
      </c>
      <c r="K872" s="14" t="s">
        <v>403</v>
      </c>
      <c r="L872" s="14">
        <v>70</v>
      </c>
      <c r="M872" s="14" t="s">
        <v>491</v>
      </c>
      <c r="N872" s="14" t="s">
        <v>698</v>
      </c>
      <c r="O872" s="14" t="s">
        <v>2168</v>
      </c>
      <c r="P872" s="14"/>
      <c r="Q872" s="15"/>
      <c r="R872" s="14"/>
      <c r="S872" s="16"/>
      <c r="T872" s="14"/>
      <c r="U872" s="14">
        <v>3</v>
      </c>
      <c r="V872" s="14" t="s">
        <v>569</v>
      </c>
      <c r="W872" s="14" t="s">
        <v>576</v>
      </c>
      <c r="X872" s="13">
        <v>45835</v>
      </c>
      <c r="Y872" s="13"/>
      <c r="AB872" t="e">
        <v>#N/A</v>
      </c>
      <c r="AC872" t="e">
        <v>#N/A</v>
      </c>
      <c r="AE872" t="str">
        <f t="shared" si="105"/>
        <v>P000293</v>
      </c>
      <c r="AF872" t="str">
        <f>_xlfn.XLOOKUP(AE872, Hoja2!A:A, Hoja2!A:A)</f>
        <v>P000293</v>
      </c>
      <c r="AG872" t="str">
        <f t="shared" si="102"/>
        <v>PP00024-15</v>
      </c>
      <c r="AH872">
        <f>_xlfn.XLOOKUP(AG872, Hoja3!A:A, Hoja3!B:B)</f>
        <v>5493</v>
      </c>
      <c r="AI872" t="str">
        <f>_xlfn.XLOOKUP(AH872, Hoja4!A:A, Hoja4!B:B)</f>
        <v>E38926000</v>
      </c>
      <c r="AJ872" t="b">
        <f t="shared" si="103"/>
        <v>1</v>
      </c>
    </row>
    <row r="873" spans="1:36" ht="15.5" hidden="1" customHeight="1" x14ac:dyDescent="0.35">
      <c r="A873">
        <f t="shared" ca="1" si="104"/>
        <v>17</v>
      </c>
      <c r="B873" s="56" t="s">
        <v>863</v>
      </c>
      <c r="C873" s="13">
        <v>45818</v>
      </c>
      <c r="D873" s="14" t="s">
        <v>121</v>
      </c>
      <c r="E873" s="14" t="s">
        <v>139</v>
      </c>
      <c r="F873" s="14" t="s">
        <v>329</v>
      </c>
      <c r="G873" s="14" t="s">
        <v>299</v>
      </c>
      <c r="H873" s="14" t="s">
        <v>864</v>
      </c>
      <c r="I873" s="14" t="s">
        <v>402</v>
      </c>
      <c r="J873" s="14" t="str">
        <f>IF(E873="KTG","KTG",(VLOOKUP(I873,'[1]list of outsource'!B:H,2,0)))</f>
        <v>ETC</v>
      </c>
      <c r="K873" s="14" t="s">
        <v>403</v>
      </c>
      <c r="L873" s="14">
        <v>70</v>
      </c>
      <c r="M873" s="55" t="s">
        <v>865</v>
      </c>
      <c r="N873" s="14" t="s">
        <v>701</v>
      </c>
      <c r="O873" s="14" t="s">
        <v>2609</v>
      </c>
      <c r="P873" s="14"/>
      <c r="Q873" s="15"/>
      <c r="R873" s="14"/>
      <c r="S873" s="16"/>
      <c r="T873" s="14"/>
      <c r="U873" s="14">
        <v>3</v>
      </c>
      <c r="V873" s="14" t="s">
        <v>569</v>
      </c>
      <c r="W873" s="14" t="s">
        <v>576</v>
      </c>
      <c r="X873" s="13">
        <v>45835</v>
      </c>
      <c r="Y873" s="13"/>
      <c r="AB873" t="e">
        <v>#N/A</v>
      </c>
      <c r="AC873" t="e">
        <v>#N/A</v>
      </c>
      <c r="AE873" t="str">
        <f t="shared" si="105"/>
        <v>P000265</v>
      </c>
      <c r="AF873" t="e">
        <f>_xlfn.XLOOKUP(AE873, Hoja2!A:A, Hoja2!A:A)</f>
        <v>#N/A</v>
      </c>
    </row>
    <row r="874" spans="1:36" ht="15.5" hidden="1" customHeight="1" x14ac:dyDescent="0.35">
      <c r="A874">
        <f t="shared" ca="1" si="104"/>
        <v>17</v>
      </c>
      <c r="B874" s="56" t="s">
        <v>906</v>
      </c>
      <c r="C874" s="13">
        <v>45818</v>
      </c>
      <c r="D874" s="14" t="s">
        <v>121</v>
      </c>
      <c r="E874" s="14" t="s">
        <v>139</v>
      </c>
      <c r="F874" s="14" t="s">
        <v>329</v>
      </c>
      <c r="G874" s="14" t="s">
        <v>299</v>
      </c>
      <c r="H874" s="14" t="s">
        <v>907</v>
      </c>
      <c r="I874" s="14" t="s">
        <v>402</v>
      </c>
      <c r="J874" s="14" t="str">
        <f>IF(E874="KTG","KTG",(VLOOKUP(I874,'[1]list of outsource'!B:H,2,0)))</f>
        <v>ETC</v>
      </c>
      <c r="K874" s="14" t="s">
        <v>403</v>
      </c>
      <c r="L874" s="14">
        <v>70</v>
      </c>
      <c r="M874" s="55" t="s">
        <v>908</v>
      </c>
      <c r="N874" s="14" t="s">
        <v>909</v>
      </c>
      <c r="O874" s="14" t="s">
        <v>2610</v>
      </c>
      <c r="P874" s="14"/>
      <c r="Q874" s="15"/>
      <c r="R874" s="14"/>
      <c r="S874" s="16"/>
      <c r="T874" s="14"/>
      <c r="U874" s="14">
        <v>3</v>
      </c>
      <c r="V874" s="14" t="s">
        <v>569</v>
      </c>
      <c r="W874" s="14" t="s">
        <v>576</v>
      </c>
      <c r="X874" s="13">
        <v>45835</v>
      </c>
      <c r="Y874" s="13"/>
      <c r="AB874" t="e">
        <v>#N/A</v>
      </c>
      <c r="AC874" t="e">
        <v>#N/A</v>
      </c>
      <c r="AE874" t="str">
        <f t="shared" si="105"/>
        <v>P000288</v>
      </c>
      <c r="AF874" t="e">
        <f>_xlfn.XLOOKUP(AE874, Hoja2!A:A, Hoja2!A:A)</f>
        <v>#N/A</v>
      </c>
    </row>
    <row r="875" spans="1:36" ht="15.5" customHeight="1" x14ac:dyDescent="0.35">
      <c r="A875">
        <f t="shared" ca="1" si="104"/>
        <v>0</v>
      </c>
      <c r="B875" s="17" t="s">
        <v>2611</v>
      </c>
      <c r="C875" s="7">
        <v>45818</v>
      </c>
      <c r="D875" s="6" t="s">
        <v>2525</v>
      </c>
      <c r="E875" s="6" t="s">
        <v>30</v>
      </c>
      <c r="F875" s="6" t="s">
        <v>140</v>
      </c>
      <c r="G875" s="6" t="s">
        <v>32</v>
      </c>
      <c r="H875" s="6" t="s">
        <v>2612</v>
      </c>
      <c r="I875" s="6"/>
      <c r="J875" s="6" t="str">
        <f>IF(E875="KTG","KTG",(VLOOKUP(I875,'[1]list of outsource'!B:H,2,0)))</f>
        <v>KTG</v>
      </c>
      <c r="K875" s="6"/>
      <c r="L875" s="24"/>
      <c r="M875" s="6" t="s">
        <v>2613</v>
      </c>
      <c r="N875" s="6" t="s">
        <v>2614</v>
      </c>
      <c r="O875" s="6"/>
      <c r="P875" s="6"/>
      <c r="Q875" s="8"/>
      <c r="R875" s="6"/>
      <c r="S875" s="18"/>
      <c r="T875" s="6"/>
      <c r="U875" s="6">
        <v>1</v>
      </c>
      <c r="V875" s="6" t="s">
        <v>879</v>
      </c>
      <c r="W875" s="6" t="s">
        <v>154</v>
      </c>
      <c r="X875" s="7">
        <v>45818</v>
      </c>
      <c r="Y875" s="7">
        <v>43348</v>
      </c>
      <c r="Z875" t="s">
        <v>1264</v>
      </c>
      <c r="AB875" t="e">
        <v>#N/A</v>
      </c>
      <c r="AC875" t="e">
        <v>#N/A</v>
      </c>
      <c r="AE875" t="str">
        <f t="shared" si="105"/>
        <v>E84437</v>
      </c>
      <c r="AF875" t="str">
        <f>_xlfn.XLOOKUP(AE875, Hoja2!A:A, Hoja2!A:A)</f>
        <v>E84437</v>
      </c>
      <c r="AG875" t="str">
        <f t="shared" ref="AG875:AG881" si="106">LEFT(B875, FIND(" ", B875 &amp; " ") - 1)</f>
        <v>PP00036-26</v>
      </c>
      <c r="AH875">
        <f>_xlfn.XLOOKUP(AG875, Hoja3!A:A, Hoja3!B:B)</f>
        <v>5197</v>
      </c>
      <c r="AI875" t="str">
        <f>_xlfn.XLOOKUP(AH875, Hoja4!A:A, Hoja4!B:B)</f>
        <v>HSTP1090</v>
      </c>
      <c r="AJ875" t="b">
        <f t="shared" ref="AJ875:AJ881" si="107">H875=AI875</f>
        <v>1</v>
      </c>
    </row>
    <row r="876" spans="1:36" ht="15.5" customHeight="1" x14ac:dyDescent="0.35">
      <c r="A876">
        <f t="shared" ca="1" si="104"/>
        <v>15</v>
      </c>
      <c r="B876" s="12" t="s">
        <v>2615</v>
      </c>
      <c r="C876" s="13">
        <v>45818</v>
      </c>
      <c r="D876" s="14" t="s">
        <v>121</v>
      </c>
      <c r="E876" s="14" t="s">
        <v>30</v>
      </c>
      <c r="F876" s="14" t="s">
        <v>1371</v>
      </c>
      <c r="G876" s="14" t="s">
        <v>32</v>
      </c>
      <c r="H876" s="14" t="s">
        <v>2616</v>
      </c>
      <c r="I876" s="14"/>
      <c r="J876" s="14" t="str">
        <f>IF(E876="KTG","KTG",(VLOOKUP(I876,'[1]list of outsource'!B:H,2,0)))</f>
        <v>KTG</v>
      </c>
      <c r="K876" s="14"/>
      <c r="L876" s="14"/>
      <c r="M876" s="14" t="s">
        <v>2617</v>
      </c>
      <c r="N876" s="14" t="s">
        <v>2618</v>
      </c>
      <c r="O876" s="14"/>
      <c r="P876" s="14"/>
      <c r="Q876" s="15"/>
      <c r="R876" s="14"/>
      <c r="S876" s="16"/>
      <c r="T876" s="14"/>
      <c r="U876" s="14">
        <v>1</v>
      </c>
      <c r="V876" s="14" t="s">
        <v>569</v>
      </c>
      <c r="W876" s="14" t="s">
        <v>154</v>
      </c>
      <c r="X876" s="13">
        <v>45833</v>
      </c>
      <c r="Y876" s="13"/>
      <c r="Z876" t="s">
        <v>1264</v>
      </c>
      <c r="AA876" t="s">
        <v>2545</v>
      </c>
      <c r="AB876" t="e">
        <v>#N/A</v>
      </c>
      <c r="AC876" t="e">
        <v>#N/A</v>
      </c>
      <c r="AE876" t="str">
        <f t="shared" si="105"/>
        <v>E58304</v>
      </c>
      <c r="AF876" t="str">
        <f>_xlfn.XLOOKUP(AE876, Hoja2!A:A, Hoja2!A:A)</f>
        <v>E58304</v>
      </c>
      <c r="AG876" t="str">
        <f t="shared" si="106"/>
        <v>PP00047-30</v>
      </c>
      <c r="AH876">
        <f>_xlfn.XLOOKUP(AG876, Hoja3!A:A, Hoja3!B:B)</f>
        <v>5539</v>
      </c>
      <c r="AI876" t="str">
        <f>_xlfn.XLOOKUP(AH876, Hoja4!A:A, Hoja4!B:B)</f>
        <v>DWT-RO-2-40MM</v>
      </c>
      <c r="AJ876" t="b">
        <f t="shared" si="107"/>
        <v>1</v>
      </c>
    </row>
    <row r="877" spans="1:36" ht="15.5" customHeight="1" x14ac:dyDescent="0.35">
      <c r="A877">
        <f t="shared" ca="1" si="104"/>
        <v>15</v>
      </c>
      <c r="B877" s="12" t="s">
        <v>2619</v>
      </c>
      <c r="C877" s="13">
        <v>45818</v>
      </c>
      <c r="D877" s="14" t="s">
        <v>121</v>
      </c>
      <c r="E877" s="14" t="s">
        <v>30</v>
      </c>
      <c r="F877" s="14" t="s">
        <v>1371</v>
      </c>
      <c r="G877" s="14" t="s">
        <v>32</v>
      </c>
      <c r="H877" s="14" t="s">
        <v>2620</v>
      </c>
      <c r="I877" s="14"/>
      <c r="J877" s="14" t="str">
        <f>IF(E877="KTG","KTG",(VLOOKUP(I877,'[1]list of outsource'!B:H,2,0)))</f>
        <v>KTG</v>
      </c>
      <c r="K877" s="14"/>
      <c r="L877" s="14"/>
      <c r="M877" s="14" t="s">
        <v>2621</v>
      </c>
      <c r="N877" s="14" t="s">
        <v>2622</v>
      </c>
      <c r="O877" s="14"/>
      <c r="P877" s="14"/>
      <c r="Q877" s="15"/>
      <c r="R877" s="14"/>
      <c r="S877" s="16"/>
      <c r="T877" s="14"/>
      <c r="U877" s="14">
        <v>1</v>
      </c>
      <c r="V877" s="14" t="s">
        <v>569</v>
      </c>
      <c r="W877" s="14" t="s">
        <v>154</v>
      </c>
      <c r="X877" s="13">
        <v>45833</v>
      </c>
      <c r="Y877" s="13"/>
      <c r="Z877" t="s">
        <v>1264</v>
      </c>
      <c r="AA877" t="s">
        <v>2545</v>
      </c>
      <c r="AB877" t="e">
        <v>#N/A</v>
      </c>
      <c r="AC877" t="e">
        <v>#N/A</v>
      </c>
      <c r="AE877" t="str">
        <f t="shared" si="105"/>
        <v>E58359</v>
      </c>
      <c r="AF877" t="str">
        <f>_xlfn.XLOOKUP(AE877, Hoja2!A:A, Hoja2!A:A)</f>
        <v>E58359</v>
      </c>
      <c r="AG877" t="str">
        <f t="shared" si="106"/>
        <v>PP00047-31</v>
      </c>
      <c r="AH877">
        <f>_xlfn.XLOOKUP(AG877, Hoja3!A:A, Hoja3!B:B)</f>
        <v>5540</v>
      </c>
      <c r="AI877" t="str">
        <f>_xlfn.XLOOKUP(AH877, Hoja4!A:A, Hoja4!B:B)</f>
        <v>DWT-RO-2A-65MM</v>
      </c>
      <c r="AJ877" t="b">
        <f t="shared" si="107"/>
        <v>1</v>
      </c>
    </row>
    <row r="878" spans="1:36" ht="15.5" customHeight="1" x14ac:dyDescent="0.35">
      <c r="A878">
        <f t="shared" ca="1" si="104"/>
        <v>23</v>
      </c>
      <c r="B878" s="12" t="s">
        <v>2623</v>
      </c>
      <c r="C878" s="13">
        <v>45818</v>
      </c>
      <c r="D878" s="14" t="s">
        <v>121</v>
      </c>
      <c r="E878" s="14" t="s">
        <v>30</v>
      </c>
      <c r="F878" s="14" t="s">
        <v>1371</v>
      </c>
      <c r="G878" s="14" t="s">
        <v>32</v>
      </c>
      <c r="H878" s="14" t="s">
        <v>2624</v>
      </c>
      <c r="I878" s="14"/>
      <c r="J878" s="14" t="str">
        <f>IF(E878="KTG","KTG",(VLOOKUP(I878,'[1]list of outsource'!B:H,2,0)))</f>
        <v>KTG</v>
      </c>
      <c r="K878" s="14"/>
      <c r="L878" s="14"/>
      <c r="M878" s="14" t="s">
        <v>2625</v>
      </c>
      <c r="N878" s="14" t="s">
        <v>2626</v>
      </c>
      <c r="O878" s="14"/>
      <c r="P878" s="14"/>
      <c r="Q878" s="15"/>
      <c r="R878" s="14"/>
      <c r="S878" s="16"/>
      <c r="T878" s="14"/>
      <c r="U878" s="14">
        <v>1</v>
      </c>
      <c r="V878" s="14" t="s">
        <v>569</v>
      </c>
      <c r="W878" s="14" t="s">
        <v>154</v>
      </c>
      <c r="X878" s="13">
        <v>45841</v>
      </c>
      <c r="Y878" s="13"/>
      <c r="Z878" t="s">
        <v>1264</v>
      </c>
      <c r="AA878" t="s">
        <v>2545</v>
      </c>
      <c r="AB878" t="e">
        <v>#N/A</v>
      </c>
      <c r="AC878" t="e">
        <v>#N/A</v>
      </c>
      <c r="AE878" t="str">
        <f t="shared" si="105"/>
        <v>E58335</v>
      </c>
      <c r="AF878" t="str">
        <f>_xlfn.XLOOKUP(AE878, Hoja2!A:A, Hoja2!A:A)</f>
        <v>E58335</v>
      </c>
      <c r="AG878" t="str">
        <f t="shared" si="106"/>
        <v>PP00047-29</v>
      </c>
      <c r="AH878">
        <f>_xlfn.XLOOKUP(AG878, Hoja3!A:A, Hoja3!B:B)</f>
        <v>5538</v>
      </c>
      <c r="AI878" t="str">
        <f>_xlfn.XLOOKUP(AH878, Hoja4!A:A, Hoja4!B:B)</f>
        <v>CYG-135F-1/4-25-BLK</v>
      </c>
      <c r="AJ878" t="b">
        <f t="shared" si="107"/>
        <v>1</v>
      </c>
    </row>
    <row r="879" spans="1:36" ht="15.5" customHeight="1" x14ac:dyDescent="0.35">
      <c r="A879">
        <f t="shared" ca="1" si="104"/>
        <v>4</v>
      </c>
      <c r="B879" s="17" t="s">
        <v>2627</v>
      </c>
      <c r="C879" s="7">
        <v>45821</v>
      </c>
      <c r="D879" s="6" t="s">
        <v>564</v>
      </c>
      <c r="E879" s="6" t="s">
        <v>139</v>
      </c>
      <c r="F879" s="6" t="s">
        <v>1697</v>
      </c>
      <c r="G879" s="6" t="s">
        <v>156</v>
      </c>
      <c r="H879" s="6" t="s">
        <v>2628</v>
      </c>
      <c r="I879" s="6" t="s">
        <v>849</v>
      </c>
      <c r="J879" s="6" t="str">
        <f>IF(E879="KTG","KTG",(VLOOKUP(I879,'[1]list of outsource'!B:H,2,0)))</f>
        <v>ETC</v>
      </c>
      <c r="K879" s="6" t="s">
        <v>850</v>
      </c>
      <c r="L879" s="24">
        <v>20</v>
      </c>
      <c r="M879" s="6" t="s">
        <v>1814</v>
      </c>
      <c r="N879" s="6" t="s">
        <v>1815</v>
      </c>
      <c r="O879" s="6" t="s">
        <v>2629</v>
      </c>
      <c r="P879" s="6"/>
      <c r="Q879" s="8">
        <v>45449</v>
      </c>
      <c r="R879" s="6"/>
      <c r="S879" s="18"/>
      <c r="T879" s="6"/>
      <c r="U879" s="6">
        <v>4</v>
      </c>
      <c r="V879" s="6" t="s">
        <v>665</v>
      </c>
      <c r="W879" s="6" t="s">
        <v>37</v>
      </c>
      <c r="X879" s="7">
        <v>45825</v>
      </c>
      <c r="Y879" s="7">
        <v>45840</v>
      </c>
      <c r="AB879" t="e">
        <v>#N/A</v>
      </c>
      <c r="AC879" t="e">
        <v>#N/A</v>
      </c>
      <c r="AE879" t="str">
        <f t="shared" si="105"/>
        <v>P000708</v>
      </c>
      <c r="AF879" t="str">
        <f>_xlfn.XLOOKUP(AE879, Hoja2!A:A, Hoja2!A:A)</f>
        <v>P000708</v>
      </c>
      <c r="AG879" t="str">
        <f t="shared" si="106"/>
        <v>PP00061-12</v>
      </c>
      <c r="AH879">
        <f>_xlfn.XLOOKUP(AG879, Hoja3!A:A, Hoja3!B:B)</f>
        <v>5702</v>
      </c>
      <c r="AI879" t="str">
        <f>_xlfn.XLOOKUP(AH879, Hoja4!A:A, Hoja4!B:B)</f>
        <v>7094177130 Document ID 2757177</v>
      </c>
      <c r="AJ879" t="b">
        <f t="shared" si="107"/>
        <v>1</v>
      </c>
    </row>
    <row r="880" spans="1:36" ht="15.5" customHeight="1" x14ac:dyDescent="0.35">
      <c r="A880">
        <f t="shared" ca="1" si="104"/>
        <v>28</v>
      </c>
      <c r="B880" s="6" t="s">
        <v>2630</v>
      </c>
      <c r="C880" s="7">
        <v>45756</v>
      </c>
      <c r="D880" s="6" t="s">
        <v>564</v>
      </c>
      <c r="E880" s="6" t="s">
        <v>30</v>
      </c>
      <c r="F880" s="6" t="s">
        <v>658</v>
      </c>
      <c r="G880" s="6" t="s">
        <v>32</v>
      </c>
      <c r="H880" s="6">
        <v>13799796</v>
      </c>
      <c r="I880" s="6"/>
      <c r="J880" s="6" t="str">
        <f>IF(E880="KTG","KTG",(VLOOKUP(I880,'[1]list of outsource'!B:H,2,0)))</f>
        <v>KTG</v>
      </c>
      <c r="K880" s="6"/>
      <c r="L880" s="6"/>
      <c r="M880" s="6" t="s">
        <v>2631</v>
      </c>
      <c r="N880" s="6" t="s">
        <v>2632</v>
      </c>
      <c r="O880" s="6"/>
      <c r="P880" s="6"/>
      <c r="Q880" s="8"/>
      <c r="R880" s="6"/>
      <c r="S880" s="6"/>
      <c r="T880" s="6"/>
      <c r="U880" s="6">
        <v>4</v>
      </c>
      <c r="V880" s="6" t="s">
        <v>569</v>
      </c>
      <c r="W880" s="6" t="s">
        <v>37</v>
      </c>
      <c r="X880" s="7">
        <v>45784</v>
      </c>
      <c r="Y880" s="7">
        <v>45817</v>
      </c>
      <c r="AB880" t="e">
        <v>#N/A</v>
      </c>
      <c r="AC880" t="e">
        <v>#N/A</v>
      </c>
      <c r="AE880" t="str">
        <f t="shared" si="105"/>
        <v>E47402</v>
      </c>
      <c r="AF880" t="str">
        <f>_xlfn.XLOOKUP(AE880, Hoja2!A:A, Hoja2!A:A)</f>
        <v>E47402</v>
      </c>
      <c r="AG880" t="str">
        <f t="shared" si="106"/>
        <v>PP00034-44</v>
      </c>
      <c r="AH880">
        <f>_xlfn.XLOOKUP(AG880, Hoja3!A:A, Hoja3!B:B)</f>
        <v>4754</v>
      </c>
      <c r="AI880">
        <f>_xlfn.XLOOKUP(AH880, Hoja4!A:A, Hoja4!B:B)</f>
        <v>13799796</v>
      </c>
      <c r="AJ880" t="b">
        <f t="shared" si="107"/>
        <v>1</v>
      </c>
    </row>
    <row r="881" spans="1:36" ht="15.5" customHeight="1" x14ac:dyDescent="0.35">
      <c r="A881">
        <f t="shared" ca="1" si="104"/>
        <v>12</v>
      </c>
      <c r="B881" s="12" t="s">
        <v>2633</v>
      </c>
      <c r="C881" s="13">
        <v>45821</v>
      </c>
      <c r="D881" s="14" t="s">
        <v>121</v>
      </c>
      <c r="E881" s="14" t="s">
        <v>30</v>
      </c>
      <c r="F881" s="14" t="s">
        <v>1371</v>
      </c>
      <c r="G881" s="14" t="s">
        <v>32</v>
      </c>
      <c r="H881" s="14" t="s">
        <v>2634</v>
      </c>
      <c r="I881" s="14"/>
      <c r="J881" s="14" t="str">
        <f>IF(E881="KTG","KTG",(VLOOKUP(I881,'[1]list of outsource'!B:H,2,0)))</f>
        <v>KTG</v>
      </c>
      <c r="K881" s="14"/>
      <c r="L881" s="14"/>
      <c r="M881" s="14" t="s">
        <v>2635</v>
      </c>
      <c r="N881" s="14" t="s">
        <v>2636</v>
      </c>
      <c r="O881" s="14"/>
      <c r="P881" s="14"/>
      <c r="Q881" s="15"/>
      <c r="R881" s="14"/>
      <c r="S881" s="16"/>
      <c r="T881" s="14"/>
      <c r="U881" s="14">
        <v>4</v>
      </c>
      <c r="V881" s="14" t="s">
        <v>879</v>
      </c>
      <c r="W881" s="14" t="s">
        <v>37</v>
      </c>
      <c r="X881" s="13">
        <v>45833</v>
      </c>
      <c r="Y881" s="13"/>
      <c r="AB881" t="e">
        <v>#N/A</v>
      </c>
      <c r="AC881" t="e">
        <v>#N/A</v>
      </c>
      <c r="AE881" t="str">
        <f t="shared" si="105"/>
        <v>E58322</v>
      </c>
      <c r="AF881" t="str">
        <f>_xlfn.XLOOKUP(AE881, Hoja2!A:A, Hoja2!A:A)</f>
        <v>E58322</v>
      </c>
      <c r="AG881" t="str">
        <f t="shared" si="106"/>
        <v>PP00047-32</v>
      </c>
      <c r="AH881">
        <f>_xlfn.XLOOKUP(AG881, Hoja3!A:A, Hoja3!B:B)</f>
        <v>5541</v>
      </c>
      <c r="AI881" t="str">
        <f>_xlfn.XLOOKUP(AH881, Hoja4!A:A, Hoja4!B:B)</f>
        <v>DWT-RO-4-65MM</v>
      </c>
      <c r="AJ881" t="b">
        <f t="shared" si="107"/>
        <v>1</v>
      </c>
    </row>
    <row r="882" spans="1:36" ht="15.5" hidden="1" customHeight="1" x14ac:dyDescent="0.35">
      <c r="A882" s="25">
        <f t="shared" ca="1" si="104"/>
        <v>6</v>
      </c>
      <c r="B882" s="56" t="s">
        <v>2637</v>
      </c>
      <c r="C882" s="41">
        <v>45827</v>
      </c>
      <c r="D882" s="38" t="s">
        <v>2638</v>
      </c>
      <c r="E882" s="38" t="s">
        <v>139</v>
      </c>
      <c r="F882" s="38" t="s">
        <v>508</v>
      </c>
      <c r="G882" s="38" t="s">
        <v>32</v>
      </c>
      <c r="H882" s="38">
        <v>69322216</v>
      </c>
      <c r="I882" s="38" t="s">
        <v>494</v>
      </c>
      <c r="J882" s="38" t="str">
        <f>IF(E882="KTG","KTG",(VLOOKUP(I882,'[1]list of outsource'!B:H,2,0)))</f>
        <v>ETC</v>
      </c>
      <c r="K882" s="38" t="s">
        <v>495</v>
      </c>
      <c r="L882" s="39"/>
      <c r="M882" s="55" t="s">
        <v>2639</v>
      </c>
      <c r="N882" s="38" t="s">
        <v>2640</v>
      </c>
      <c r="O882" s="38"/>
      <c r="P882" s="38"/>
      <c r="Q882" s="37"/>
      <c r="R882" s="38"/>
      <c r="S882" s="40"/>
      <c r="T882" s="38"/>
      <c r="U882" s="38">
        <v>4</v>
      </c>
      <c r="V882" s="38" t="s">
        <v>919</v>
      </c>
      <c r="W882" s="38" t="s">
        <v>37</v>
      </c>
      <c r="X882" s="41">
        <v>45833</v>
      </c>
      <c r="Y882" s="41">
        <v>45833</v>
      </c>
      <c r="AB882" t="s">
        <v>2641</v>
      </c>
      <c r="AC882" t="e">
        <v>#N/A</v>
      </c>
      <c r="AE882" t="str">
        <f t="shared" si="105"/>
        <v>P000555</v>
      </c>
      <c r="AF882" t="e">
        <f>_xlfn.XLOOKUP(AE882, Hoja2!A:A, Hoja2!A:A)</f>
        <v>#N/A</v>
      </c>
    </row>
    <row r="883" spans="1:36" ht="15.5" customHeight="1" x14ac:dyDescent="0.35">
      <c r="A883" s="25">
        <f t="shared" ca="1" si="104"/>
        <v>6</v>
      </c>
      <c r="B883" s="36" t="s">
        <v>2642</v>
      </c>
      <c r="C883" s="41">
        <v>45827</v>
      </c>
      <c r="D883" s="38" t="s">
        <v>2638</v>
      </c>
      <c r="E883" s="38" t="s">
        <v>139</v>
      </c>
      <c r="F883" s="38" t="s">
        <v>508</v>
      </c>
      <c r="G883" s="38" t="s">
        <v>32</v>
      </c>
      <c r="H883" s="38">
        <v>69322222</v>
      </c>
      <c r="I883" s="38" t="s">
        <v>494</v>
      </c>
      <c r="J883" s="38" t="str">
        <f>IF(E883="KTG","KTG",(VLOOKUP(I883,'[1]list of outsource'!B:H,2,0)))</f>
        <v>ETC</v>
      </c>
      <c r="K883" s="38" t="s">
        <v>495</v>
      </c>
      <c r="L883" s="39"/>
      <c r="M883" s="38" t="s">
        <v>1620</v>
      </c>
      <c r="N883" s="38" t="s">
        <v>2643</v>
      </c>
      <c r="O883" s="38"/>
      <c r="P883" s="38"/>
      <c r="Q883" s="37"/>
      <c r="R883" s="38"/>
      <c r="S883" s="40"/>
      <c r="T883" s="38"/>
      <c r="U883" s="38">
        <v>4</v>
      </c>
      <c r="V883" s="38" t="s">
        <v>665</v>
      </c>
      <c r="W883" s="38" t="s">
        <v>37</v>
      </c>
      <c r="X883" s="41">
        <v>45833</v>
      </c>
      <c r="Y883" s="41">
        <v>45833</v>
      </c>
      <c r="AB883" t="s">
        <v>1622</v>
      </c>
      <c r="AC883" t="e">
        <v>#N/A</v>
      </c>
      <c r="AE883" t="str">
        <f t="shared" si="105"/>
        <v>P000779</v>
      </c>
      <c r="AF883" t="str">
        <f>_xlfn.XLOOKUP(AE883, Hoja2!A:A, Hoja2!A:A)</f>
        <v>P000779</v>
      </c>
      <c r="AG883" t="str">
        <f t="shared" ref="AG883:AG899" si="108">LEFT(B883, FIND(" ", B883 &amp; " ") - 1)</f>
        <v>PP00026-51</v>
      </c>
      <c r="AH883">
        <f>_xlfn.XLOOKUP(AG883, Hoja3!A:A, Hoja3!B:B)</f>
        <v>5659</v>
      </c>
      <c r="AI883">
        <f>_xlfn.XLOOKUP(AH883, Hoja4!A:A, Hoja4!B:B)</f>
        <v>69322222</v>
      </c>
      <c r="AJ883" t="b">
        <f t="shared" ref="AJ883:AJ899" si="109">H883=AI883</f>
        <v>1</v>
      </c>
    </row>
    <row r="884" spans="1:36" ht="15.5" customHeight="1" x14ac:dyDescent="0.35">
      <c r="A884">
        <f t="shared" ca="1" si="104"/>
        <v>20</v>
      </c>
      <c r="B884" s="17" t="s">
        <v>2644</v>
      </c>
      <c r="C884" s="7">
        <v>45827</v>
      </c>
      <c r="D884" s="6" t="s">
        <v>564</v>
      </c>
      <c r="E884" s="6" t="s">
        <v>139</v>
      </c>
      <c r="F884" s="6" t="s">
        <v>508</v>
      </c>
      <c r="G884" s="6" t="s">
        <v>32</v>
      </c>
      <c r="H884" s="6">
        <v>69321147</v>
      </c>
      <c r="I884" s="6" t="s">
        <v>402</v>
      </c>
      <c r="J884" s="6" t="str">
        <f>IF(E884="KTG","KTG",(VLOOKUP(I884,'[1]list of outsource'!B:H,2,0)))</f>
        <v>ETC</v>
      </c>
      <c r="K884" s="6" t="s">
        <v>403</v>
      </c>
      <c r="L884" s="24">
        <v>71</v>
      </c>
      <c r="M884" s="6" t="s">
        <v>2645</v>
      </c>
      <c r="N884" s="6" t="s">
        <v>2646</v>
      </c>
      <c r="O884" s="6" t="s">
        <v>2647</v>
      </c>
      <c r="P884" s="6"/>
      <c r="Q884" s="8"/>
      <c r="R884" s="6"/>
      <c r="S884" s="18"/>
      <c r="T884" s="6"/>
      <c r="U884" s="6">
        <v>4</v>
      </c>
      <c r="V884" s="6" t="s">
        <v>919</v>
      </c>
      <c r="W884" s="6" t="s">
        <v>37</v>
      </c>
      <c r="X884" s="7">
        <v>45847</v>
      </c>
      <c r="Y884" s="7">
        <v>45848</v>
      </c>
      <c r="AB884" t="s">
        <v>2648</v>
      </c>
      <c r="AC884" t="s">
        <v>4210</v>
      </c>
      <c r="AE884" t="str">
        <f t="shared" si="105"/>
        <v>P000272</v>
      </c>
      <c r="AF884" t="str">
        <f>_xlfn.XLOOKUP(AE884, Hoja2!A:A, Hoja2!A:A)</f>
        <v>P000272</v>
      </c>
      <c r="AG884" t="str">
        <f t="shared" si="108"/>
        <v>PP00026-49</v>
      </c>
      <c r="AH884">
        <f>_xlfn.XLOOKUP(AG884, Hoja3!A:A, Hoja3!B:B)</f>
        <v>5658</v>
      </c>
      <c r="AI884">
        <f>_xlfn.XLOOKUP(AH884, Hoja4!A:A, Hoja4!B:B)</f>
        <v>69321147</v>
      </c>
      <c r="AJ884" t="b">
        <f t="shared" si="109"/>
        <v>1</v>
      </c>
    </row>
    <row r="885" spans="1:36" ht="15.5" customHeight="1" x14ac:dyDescent="0.35">
      <c r="A885">
        <f t="shared" ca="1" si="104"/>
        <v>14</v>
      </c>
      <c r="B885" s="12" t="s">
        <v>2649</v>
      </c>
      <c r="C885" s="13">
        <v>45828</v>
      </c>
      <c r="D885" s="14" t="s">
        <v>121</v>
      </c>
      <c r="E885" s="14" t="s">
        <v>30</v>
      </c>
      <c r="F885" s="14" t="s">
        <v>1371</v>
      </c>
      <c r="G885" s="14" t="s">
        <v>32</v>
      </c>
      <c r="H885" s="14" t="s">
        <v>2650</v>
      </c>
      <c r="I885" s="14"/>
      <c r="J885" s="14" t="str">
        <f>IF(E885="KTG","KTG",(VLOOKUP(I885,'[1]list of outsource'!B:H,2,0)))</f>
        <v>KTG</v>
      </c>
      <c r="K885" s="14"/>
      <c r="L885" s="14"/>
      <c r="M885" s="14" t="s">
        <v>2651</v>
      </c>
      <c r="N885" s="14" t="s">
        <v>2652</v>
      </c>
      <c r="O885" s="14"/>
      <c r="P885" s="14"/>
      <c r="Q885" s="15">
        <v>45839</v>
      </c>
      <c r="R885" s="14"/>
      <c r="S885" s="16"/>
      <c r="T885" s="14"/>
      <c r="U885" s="14">
        <v>4</v>
      </c>
      <c r="V885" s="14" t="s">
        <v>569</v>
      </c>
      <c r="W885" s="14" t="s">
        <v>37</v>
      </c>
      <c r="X885" s="13">
        <v>45842</v>
      </c>
      <c r="Y885" s="13"/>
      <c r="Z885" t="s">
        <v>1264</v>
      </c>
      <c r="AB885" t="e">
        <v>#N/A</v>
      </c>
      <c r="AC885">
        <v>0</v>
      </c>
      <c r="AE885" t="str">
        <f t="shared" si="105"/>
        <v>E58357</v>
      </c>
      <c r="AF885" t="str">
        <f>_xlfn.XLOOKUP(AE885, Hoja2!A:A, Hoja2!A:A)</f>
        <v>E58357</v>
      </c>
      <c r="AG885" t="str">
        <f t="shared" si="108"/>
        <v>PP00047-33</v>
      </c>
      <c r="AH885">
        <f>_xlfn.XLOOKUP(AG885, Hoja3!A:A, Hoja3!B:B)</f>
        <v>5542</v>
      </c>
      <c r="AI885" t="str">
        <f>_xlfn.XLOOKUP(AH885, Hoja4!A:A, Hoja4!B:B)</f>
        <v>DWT-RO-2-RED-50MM</v>
      </c>
      <c r="AJ885" t="b">
        <f t="shared" si="109"/>
        <v>1</v>
      </c>
    </row>
    <row r="886" spans="1:36" ht="15.5" customHeight="1" x14ac:dyDescent="0.35">
      <c r="A886">
        <f t="shared" ca="1" si="104"/>
        <v>6</v>
      </c>
      <c r="B886" s="6" t="s">
        <v>2653</v>
      </c>
      <c r="C886" s="7">
        <v>45834</v>
      </c>
      <c r="D886" s="6" t="s">
        <v>564</v>
      </c>
      <c r="E886" s="6" t="s">
        <v>139</v>
      </c>
      <c r="F886" s="6" t="s">
        <v>2401</v>
      </c>
      <c r="G886" s="6" t="s">
        <v>32</v>
      </c>
      <c r="H886" s="6" t="s">
        <v>2654</v>
      </c>
      <c r="I886" s="6" t="s">
        <v>208</v>
      </c>
      <c r="J886" s="6" t="str">
        <f>IF(E886="KTG","KTG",(VLOOKUP(I886,'[1]list of outsource'!B:H,2,0)))</f>
        <v>ETC</v>
      </c>
      <c r="K886" s="6" t="s">
        <v>209</v>
      </c>
      <c r="L886" s="6">
        <v>23</v>
      </c>
      <c r="M886" s="6" t="s">
        <v>2655</v>
      </c>
      <c r="N886" s="6" t="s">
        <v>2656</v>
      </c>
      <c r="O886" s="6" t="s">
        <v>2657</v>
      </c>
      <c r="P886" s="6"/>
      <c r="Q886" s="8"/>
      <c r="R886" s="6"/>
      <c r="S886" s="6"/>
      <c r="T886" s="6"/>
      <c r="U886" s="6">
        <v>3</v>
      </c>
      <c r="V886" s="6" t="s">
        <v>2658</v>
      </c>
      <c r="W886" s="6" t="s">
        <v>37</v>
      </c>
      <c r="X886" s="7">
        <v>45840</v>
      </c>
      <c r="Y886" s="7">
        <v>45881</v>
      </c>
      <c r="AB886" t="s">
        <v>2659</v>
      </c>
      <c r="AC886" t="s">
        <v>4210</v>
      </c>
      <c r="AE886" t="str">
        <f t="shared" si="105"/>
        <v>P200366</v>
      </c>
      <c r="AF886" t="str">
        <f>_xlfn.XLOOKUP(AE886, Hoja2!A:A, Hoja2!A:A)</f>
        <v>P200366</v>
      </c>
      <c r="AG886" t="str">
        <f t="shared" si="108"/>
        <v>PP00069-02</v>
      </c>
      <c r="AH886">
        <f>_xlfn.XLOOKUP(AG886, Hoja3!A:A, Hoja3!B:B)</f>
        <v>3988</v>
      </c>
      <c r="AI886" t="str">
        <f>_xlfn.XLOOKUP(AH886, Hoja4!A:A, Hoja4!B:B)</f>
        <v>S8100201</v>
      </c>
      <c r="AJ886" t="b">
        <f t="shared" si="109"/>
        <v>1</v>
      </c>
    </row>
    <row r="887" spans="1:36" ht="15.5" customHeight="1" x14ac:dyDescent="0.35">
      <c r="A887">
        <f t="shared" ca="1" si="104"/>
        <v>18</v>
      </c>
      <c r="B887" s="6" t="s">
        <v>2660</v>
      </c>
      <c r="C887" s="7">
        <v>45838</v>
      </c>
      <c r="D887" s="6" t="s">
        <v>564</v>
      </c>
      <c r="E887" s="6" t="s">
        <v>139</v>
      </c>
      <c r="F887" s="6" t="s">
        <v>31</v>
      </c>
      <c r="G887" s="6" t="s">
        <v>32</v>
      </c>
      <c r="H887" s="6">
        <v>95849363</v>
      </c>
      <c r="I887" s="6" t="s">
        <v>529</v>
      </c>
      <c r="J887" s="6" t="str">
        <f>IF(E887="KTG","KTG",(VLOOKUP(I887,'[1]list of outsource'!B:H,2,0)))</f>
        <v>ETC</v>
      </c>
      <c r="K887" s="6" t="s">
        <v>530</v>
      </c>
      <c r="L887" s="6">
        <v>20</v>
      </c>
      <c r="M887" s="6" t="s">
        <v>1773</v>
      </c>
      <c r="N887" s="6" t="s">
        <v>1774</v>
      </c>
      <c r="O887" s="6" t="s">
        <v>2661</v>
      </c>
      <c r="P887" s="6"/>
      <c r="Q887" s="8"/>
      <c r="R887" s="6"/>
      <c r="S887" s="6"/>
      <c r="T887" s="6"/>
      <c r="U887" s="6">
        <v>4</v>
      </c>
      <c r="V887" s="6" t="s">
        <v>569</v>
      </c>
      <c r="W887" s="6" t="s">
        <v>37</v>
      </c>
      <c r="X887" s="7">
        <v>45856</v>
      </c>
      <c r="Y887" s="7">
        <v>45860</v>
      </c>
      <c r="Z887" t="s">
        <v>1264</v>
      </c>
      <c r="AB887" t="e">
        <v>#N/A</v>
      </c>
      <c r="AC887" t="e">
        <v>#N/A</v>
      </c>
      <c r="AE887" t="str">
        <f t="shared" si="105"/>
        <v>P000677</v>
      </c>
      <c r="AF887" t="str">
        <f>_xlfn.XLOOKUP(AE887, Hoja2!A:A, Hoja2!A:A)</f>
        <v>P000677</v>
      </c>
      <c r="AG887" t="str">
        <f t="shared" si="108"/>
        <v>PP00019-0002</v>
      </c>
      <c r="AH887">
        <f>_xlfn.XLOOKUP(AG887, Hoja3!A:A, Hoja3!B:B)</f>
        <v>115</v>
      </c>
      <c r="AI887">
        <f>_xlfn.XLOOKUP(AH887, Hoja4!A:A, Hoja4!B:B)</f>
        <v>95849363</v>
      </c>
      <c r="AJ887" t="b">
        <f t="shared" si="109"/>
        <v>1</v>
      </c>
    </row>
    <row r="888" spans="1:36" ht="15.5" customHeight="1" x14ac:dyDescent="0.35">
      <c r="A888">
        <f t="shared" ca="1" si="104"/>
        <v>18</v>
      </c>
      <c r="B888" s="6" t="s">
        <v>2662</v>
      </c>
      <c r="C888" s="7">
        <v>45838</v>
      </c>
      <c r="D888" s="6" t="s">
        <v>564</v>
      </c>
      <c r="E888" s="6" t="s">
        <v>30</v>
      </c>
      <c r="F888" s="6" t="s">
        <v>31</v>
      </c>
      <c r="G888" s="6" t="s">
        <v>32</v>
      </c>
      <c r="H888" s="6">
        <v>95850698</v>
      </c>
      <c r="I888" s="6"/>
      <c r="J888" s="6" t="str">
        <f>IF(E888="KTG","KTG",(VLOOKUP(I888,'[1]list of outsource'!B:H,2,0)))</f>
        <v>KTG</v>
      </c>
      <c r="K888" s="6"/>
      <c r="L888" s="6"/>
      <c r="M888" s="6" t="s">
        <v>2663</v>
      </c>
      <c r="N888" s="6" t="s">
        <v>2664</v>
      </c>
      <c r="O888" s="6"/>
      <c r="P888" s="6"/>
      <c r="Q888" s="8"/>
      <c r="R888" s="6"/>
      <c r="S888" s="6"/>
      <c r="T888" s="6"/>
      <c r="U888" s="6">
        <v>4</v>
      </c>
      <c r="V888" s="6" t="s">
        <v>569</v>
      </c>
      <c r="W888" s="6" t="s">
        <v>37</v>
      </c>
      <c r="X888" s="7">
        <v>45856</v>
      </c>
      <c r="Y888" s="7">
        <v>45860</v>
      </c>
      <c r="Z888" t="s">
        <v>1264</v>
      </c>
      <c r="AB888" t="e">
        <v>#N/A</v>
      </c>
      <c r="AC888" t="s">
        <v>4210</v>
      </c>
      <c r="AE888" t="str">
        <f t="shared" si="105"/>
        <v>E101710</v>
      </c>
      <c r="AF888" t="str">
        <f>_xlfn.XLOOKUP(AE888, Hoja2!A:A, Hoja2!A:A)</f>
        <v>E101710</v>
      </c>
      <c r="AG888" t="str">
        <f t="shared" si="108"/>
        <v>PP00019-0003</v>
      </c>
      <c r="AH888">
        <f>_xlfn.XLOOKUP(AG888, Hoja3!A:A, Hoja3!B:B)</f>
        <v>111</v>
      </c>
      <c r="AI888">
        <f>_xlfn.XLOOKUP(AH888, Hoja4!A:A, Hoja4!B:B)</f>
        <v>95850698</v>
      </c>
      <c r="AJ888" t="b">
        <f t="shared" si="109"/>
        <v>1</v>
      </c>
    </row>
    <row r="889" spans="1:36" ht="15.5" customHeight="1" x14ac:dyDescent="0.35">
      <c r="A889">
        <f t="shared" ca="1" si="104"/>
        <v>18</v>
      </c>
      <c r="B889" s="6" t="s">
        <v>2665</v>
      </c>
      <c r="C889" s="7">
        <v>45838</v>
      </c>
      <c r="D889" s="6" t="s">
        <v>564</v>
      </c>
      <c r="E889" s="6" t="s">
        <v>30</v>
      </c>
      <c r="F889" s="6" t="s">
        <v>31</v>
      </c>
      <c r="G889" s="6" t="s">
        <v>32</v>
      </c>
      <c r="H889" s="6">
        <v>95890015</v>
      </c>
      <c r="I889" s="6"/>
      <c r="J889" s="6" t="str">
        <f>IF(E889="KTG","KTG",(VLOOKUP(I889,'[1]list of outsource'!B:H,2,0)))</f>
        <v>KTG</v>
      </c>
      <c r="K889" s="6"/>
      <c r="L889" s="6"/>
      <c r="M889" s="6" t="s">
        <v>2666</v>
      </c>
      <c r="N889" s="6" t="s">
        <v>2667</v>
      </c>
      <c r="O889" s="6"/>
      <c r="P889" s="6"/>
      <c r="Q889" s="8"/>
      <c r="R889" s="6"/>
      <c r="S889" s="6"/>
      <c r="T889" s="6"/>
      <c r="U889" s="6">
        <v>4</v>
      </c>
      <c r="V889" s="6" t="s">
        <v>569</v>
      </c>
      <c r="W889" s="6" t="s">
        <v>37</v>
      </c>
      <c r="X889" s="7">
        <v>45856</v>
      </c>
      <c r="Y889" s="7">
        <v>45860</v>
      </c>
      <c r="Z889" t="s">
        <v>1264</v>
      </c>
      <c r="AB889" t="e">
        <v>#N/A</v>
      </c>
      <c r="AC889" t="e">
        <v>#N/A</v>
      </c>
      <c r="AE889" t="str">
        <f t="shared" si="105"/>
        <v>E101707</v>
      </c>
      <c r="AF889" t="str">
        <f>_xlfn.XLOOKUP(AE889, Hoja2!A:A, Hoja2!A:A)</f>
        <v>E101707</v>
      </c>
      <c r="AG889" t="str">
        <f t="shared" si="108"/>
        <v>PP00019-0004</v>
      </c>
      <c r="AH889">
        <f>_xlfn.XLOOKUP(AG889, Hoja3!A:A, Hoja3!B:B)</f>
        <v>109</v>
      </c>
      <c r="AI889">
        <f>_xlfn.XLOOKUP(AH889, Hoja4!A:A, Hoja4!B:B)</f>
        <v>95890015</v>
      </c>
      <c r="AJ889" t="b">
        <f t="shared" si="109"/>
        <v>1</v>
      </c>
    </row>
    <row r="890" spans="1:36" ht="15.5" customHeight="1" x14ac:dyDescent="0.35">
      <c r="A890">
        <f t="shared" ca="1" si="104"/>
        <v>1</v>
      </c>
      <c r="B890" s="17" t="s">
        <v>2668</v>
      </c>
      <c r="C890" s="7">
        <v>45838</v>
      </c>
      <c r="D890" s="6" t="s">
        <v>1606</v>
      </c>
      <c r="E890" s="6" t="s">
        <v>30</v>
      </c>
      <c r="F890" s="6" t="s">
        <v>1371</v>
      </c>
      <c r="G890" s="6" t="s">
        <v>32</v>
      </c>
      <c r="H890" s="6" t="s">
        <v>2669</v>
      </c>
      <c r="I890" s="6"/>
      <c r="J890" s="6" t="str">
        <f>IF(E890="KTG","KTG",(VLOOKUP(I890,'[1]list of outsource'!B:H,2,0)))</f>
        <v>KTG</v>
      </c>
      <c r="K890" s="6"/>
      <c r="L890" s="24"/>
      <c r="M890" s="6" t="s">
        <v>2670</v>
      </c>
      <c r="N890" s="6" t="s">
        <v>2671</v>
      </c>
      <c r="O890" s="6" t="s">
        <v>2672</v>
      </c>
      <c r="P890" s="6"/>
      <c r="Q890" s="8"/>
      <c r="R890" s="6"/>
      <c r="S890" s="18"/>
      <c r="T890" s="6"/>
      <c r="U890" s="6" t="s">
        <v>569</v>
      </c>
      <c r="V890" s="6" t="s">
        <v>569</v>
      </c>
      <c r="W890" s="6" t="s">
        <v>1608</v>
      </c>
      <c r="X890" s="7">
        <v>45839</v>
      </c>
      <c r="Y890" s="7">
        <v>45839</v>
      </c>
      <c r="AB890" t="e">
        <v>#N/A</v>
      </c>
      <c r="AC890" t="e">
        <v>#N/A</v>
      </c>
      <c r="AE890" t="str">
        <f t="shared" si="105"/>
        <v>E58356</v>
      </c>
      <c r="AF890" t="str">
        <f>_xlfn.XLOOKUP(AE890, Hoja2!A:A, Hoja2!A:A)</f>
        <v>E58356</v>
      </c>
      <c r="AG890" t="str">
        <f t="shared" si="108"/>
        <v>PP00047-34</v>
      </c>
      <c r="AH890">
        <f>_xlfn.XLOOKUP(AG890, Hoja3!A:A, Hoja3!B:B)</f>
        <v>5543</v>
      </c>
      <c r="AI890" t="str">
        <f>_xlfn.XLOOKUP(AH890, Hoja4!A:A, Hoja4!B:B)</f>
        <v>CYG-MT(HX)-3X-S1-6.4-9</v>
      </c>
      <c r="AJ890" t="b">
        <f t="shared" si="109"/>
        <v>1</v>
      </c>
    </row>
    <row r="891" spans="1:36" ht="15.5" customHeight="1" x14ac:dyDescent="0.35">
      <c r="A891">
        <f t="shared" ca="1" si="104"/>
        <v>36</v>
      </c>
      <c r="B891" s="12" t="s">
        <v>2673</v>
      </c>
      <c r="C891" s="13">
        <v>45838</v>
      </c>
      <c r="D891" s="14" t="s">
        <v>121</v>
      </c>
      <c r="E891" s="14" t="s">
        <v>83</v>
      </c>
      <c r="F891" s="14" t="s">
        <v>2674</v>
      </c>
      <c r="G891" s="14" t="s">
        <v>647</v>
      </c>
      <c r="H891" s="14" t="s">
        <v>2675</v>
      </c>
      <c r="I891" s="14" t="s">
        <v>158</v>
      </c>
      <c r="J891" s="14" t="str">
        <f>IF(E891="KTG","KTG",(VLOOKUP(I891,'[1]list of outsource'!B:H,2,0)))</f>
        <v>UPM</v>
      </c>
      <c r="K891" s="14" t="s">
        <v>159</v>
      </c>
      <c r="L891" s="14">
        <v>46</v>
      </c>
      <c r="M891" s="14" t="s">
        <v>2676</v>
      </c>
      <c r="N891" s="14" t="s">
        <v>2677</v>
      </c>
      <c r="O891" s="14" t="s">
        <v>2678</v>
      </c>
      <c r="P891" s="14"/>
      <c r="Q891" s="15"/>
      <c r="R891" s="14"/>
      <c r="S891" s="16"/>
      <c r="T891" s="14"/>
      <c r="U891" s="14">
        <v>4</v>
      </c>
      <c r="V891" s="14" t="s">
        <v>665</v>
      </c>
      <c r="W891" s="14" t="s">
        <v>37</v>
      </c>
      <c r="X891" s="13">
        <v>45874</v>
      </c>
      <c r="Y891" s="13"/>
      <c r="Z891" t="s">
        <v>1264</v>
      </c>
      <c r="AB891" t="e">
        <v>#N/A</v>
      </c>
      <c r="AC891" t="e">
        <v>#N/A</v>
      </c>
      <c r="AE891" t="str">
        <f t="shared" si="105"/>
        <v>P001132</v>
      </c>
      <c r="AF891" t="str">
        <f>_xlfn.XLOOKUP(AE891, Hoja2!A:A, Hoja2!A:A)</f>
        <v>P001132</v>
      </c>
      <c r="AG891" t="str">
        <f t="shared" si="108"/>
        <v>PP00070-01</v>
      </c>
      <c r="AH891">
        <f>_xlfn.XLOOKUP(AG891, Hoja3!A:A, Hoja3!B:B)</f>
        <v>4673</v>
      </c>
      <c r="AI891" t="str">
        <f>_xlfn.XLOOKUP(AH891, Hoja4!A:A, Hoja4!B:B)</f>
        <v>711798-14 00</v>
      </c>
      <c r="AJ891" t="b">
        <f t="shared" si="109"/>
        <v>1</v>
      </c>
    </row>
    <row r="892" spans="1:36" ht="15.5" customHeight="1" x14ac:dyDescent="0.35">
      <c r="A892">
        <f t="shared" ca="1" si="104"/>
        <v>36</v>
      </c>
      <c r="B892" s="12" t="s">
        <v>2679</v>
      </c>
      <c r="C892" s="13">
        <v>45838</v>
      </c>
      <c r="D892" s="14" t="s">
        <v>121</v>
      </c>
      <c r="E892" s="14" t="s">
        <v>83</v>
      </c>
      <c r="F892" s="14" t="s">
        <v>2674</v>
      </c>
      <c r="G892" s="14" t="s">
        <v>647</v>
      </c>
      <c r="H892" s="14" t="s">
        <v>2680</v>
      </c>
      <c r="I892" s="14" t="s">
        <v>198</v>
      </c>
      <c r="J892" s="14" t="str">
        <f>IF(E892="KTG","KTG",(VLOOKUP(I892,'[1]list of outsource'!B:H,2,0)))</f>
        <v>UPM</v>
      </c>
      <c r="K892" s="14" t="s">
        <v>199</v>
      </c>
      <c r="L892" s="14">
        <v>10</v>
      </c>
      <c r="M892" s="14" t="s">
        <v>260</v>
      </c>
      <c r="N892" s="14" t="s">
        <v>2681</v>
      </c>
      <c r="O892" s="14" t="s">
        <v>2682</v>
      </c>
      <c r="P892" s="14"/>
      <c r="Q892" s="15"/>
      <c r="R892" s="14"/>
      <c r="S892" s="16"/>
      <c r="T892" s="14"/>
      <c r="U892" s="14">
        <v>4</v>
      </c>
      <c r="V892" s="14" t="s">
        <v>665</v>
      </c>
      <c r="W892" s="14" t="s">
        <v>37</v>
      </c>
      <c r="X892" s="13">
        <v>45874</v>
      </c>
      <c r="Y892" s="13"/>
      <c r="Z892" t="s">
        <v>1264</v>
      </c>
      <c r="AB892" t="e">
        <v>#N/A</v>
      </c>
      <c r="AC892" t="e">
        <v>#N/A</v>
      </c>
      <c r="AE892" t="str">
        <f t="shared" si="105"/>
        <v>P000141</v>
      </c>
      <c r="AF892" t="str">
        <f>_xlfn.XLOOKUP(AE892, Hoja2!A:A, Hoja2!A:A)</f>
        <v>P000141</v>
      </c>
      <c r="AG892" t="str">
        <f t="shared" si="108"/>
        <v>PP00070-02</v>
      </c>
      <c r="AH892">
        <f>_xlfn.XLOOKUP(AG892, Hoja3!A:A, Hoja3!B:B)</f>
        <v>4670</v>
      </c>
      <c r="AI892" t="str">
        <f>_xlfn.XLOOKUP(AH892, Hoja4!A:A, Hoja4!B:B)</f>
        <v>ET17-11.6/2.5-BLK-50mm</v>
      </c>
      <c r="AJ892" t="b">
        <f t="shared" si="109"/>
        <v>1</v>
      </c>
    </row>
    <row r="893" spans="1:36" ht="15.5" customHeight="1" x14ac:dyDescent="0.35">
      <c r="A893">
        <f t="shared" ca="1" si="104"/>
        <v>36</v>
      </c>
      <c r="B893" s="12" t="s">
        <v>2683</v>
      </c>
      <c r="C893" s="13">
        <v>45838</v>
      </c>
      <c r="D893" s="14" t="s">
        <v>121</v>
      </c>
      <c r="E893" s="14" t="s">
        <v>83</v>
      </c>
      <c r="F893" s="14" t="s">
        <v>2674</v>
      </c>
      <c r="G893" s="14" t="s">
        <v>647</v>
      </c>
      <c r="H893" s="14" t="s">
        <v>2684</v>
      </c>
      <c r="I893" s="14" t="s">
        <v>198</v>
      </c>
      <c r="J893" s="14" t="str">
        <f>IF(E893="KTG","KTG",(VLOOKUP(I893,'[1]list of outsource'!B:H,2,0)))</f>
        <v>UPM</v>
      </c>
      <c r="K893" s="14" t="s">
        <v>199</v>
      </c>
      <c r="L893" s="14">
        <v>10</v>
      </c>
      <c r="M893" s="14" t="s">
        <v>200</v>
      </c>
      <c r="N893" s="14" t="s">
        <v>2685</v>
      </c>
      <c r="O893" s="14" t="s">
        <v>2686</v>
      </c>
      <c r="P893" s="14"/>
      <c r="Q893" s="15"/>
      <c r="R893" s="14"/>
      <c r="S893" s="16"/>
      <c r="T893" s="14"/>
      <c r="U893" s="14">
        <v>4</v>
      </c>
      <c r="V893" s="14" t="s">
        <v>665</v>
      </c>
      <c r="W893" s="14" t="s">
        <v>37</v>
      </c>
      <c r="X893" s="13">
        <v>45874</v>
      </c>
      <c r="Y893" s="13"/>
      <c r="Z893" t="s">
        <v>1264</v>
      </c>
      <c r="AB893" t="e">
        <v>#N/A</v>
      </c>
      <c r="AC893" t="e">
        <v>#N/A</v>
      </c>
      <c r="AE893" t="str">
        <f t="shared" si="105"/>
        <v>P000143</v>
      </c>
      <c r="AF893" t="str">
        <f>_xlfn.XLOOKUP(AE893, Hoja2!A:A, Hoja2!A:A)</f>
        <v>P000143</v>
      </c>
      <c r="AG893" t="str">
        <f t="shared" si="108"/>
        <v>PP00070-03</v>
      </c>
      <c r="AH893">
        <f>_xlfn.XLOOKUP(AG893, Hoja3!A:A, Hoja3!B:B)</f>
        <v>4671</v>
      </c>
      <c r="AI893" t="str">
        <f>_xlfn.XLOOKUP(AH893, Hoja4!A:A, Hoja4!B:B)</f>
        <v>ET17-17.8/4.4-BLK-50mm</v>
      </c>
      <c r="AJ893" t="b">
        <f t="shared" si="109"/>
        <v>1</v>
      </c>
    </row>
    <row r="894" spans="1:36" ht="15.5" customHeight="1" x14ac:dyDescent="0.35">
      <c r="A894">
        <f t="shared" ca="1" si="104"/>
        <v>36</v>
      </c>
      <c r="B894" s="12" t="s">
        <v>2687</v>
      </c>
      <c r="C894" s="13">
        <v>45838</v>
      </c>
      <c r="D894" s="14" t="s">
        <v>875</v>
      </c>
      <c r="E894" s="14" t="s">
        <v>83</v>
      </c>
      <c r="F894" s="14" t="s">
        <v>140</v>
      </c>
      <c r="G894" s="14" t="s">
        <v>32</v>
      </c>
      <c r="H894" s="14" t="s">
        <v>2688</v>
      </c>
      <c r="I894" s="14" t="s">
        <v>158</v>
      </c>
      <c r="J894" s="14" t="str">
        <f>IF(E894="KTG","KTG",(VLOOKUP(I894,'[1]list of outsource'!B:H,2,0)))</f>
        <v>UPM</v>
      </c>
      <c r="K894" s="14" t="s">
        <v>159</v>
      </c>
      <c r="L894" s="14"/>
      <c r="M894" s="14" t="s">
        <v>2689</v>
      </c>
      <c r="N894" s="14" t="s">
        <v>2690</v>
      </c>
      <c r="O894" s="14"/>
      <c r="P894" s="14"/>
      <c r="Q894" s="15"/>
      <c r="R894" s="14"/>
      <c r="S894" s="16"/>
      <c r="T894" s="14"/>
      <c r="U894" s="14">
        <v>4</v>
      </c>
      <c r="V894" s="14" t="s">
        <v>569</v>
      </c>
      <c r="W894" s="14" t="s">
        <v>37</v>
      </c>
      <c r="X894" s="13">
        <v>45874</v>
      </c>
      <c r="Y894" s="13"/>
      <c r="Z894" t="s">
        <v>1264</v>
      </c>
      <c r="AB894" t="e">
        <v>#N/A</v>
      </c>
      <c r="AC894" t="e">
        <v>#N/A</v>
      </c>
      <c r="AE894" t="str">
        <f t="shared" si="105"/>
        <v>P000230</v>
      </c>
      <c r="AF894" t="str">
        <f>_xlfn.XLOOKUP(AE894, Hoja2!A:A, Hoja2!A:A)</f>
        <v>P000230</v>
      </c>
      <c r="AG894" t="str">
        <f t="shared" si="108"/>
        <v>PP00036-27</v>
      </c>
      <c r="AH894">
        <f>_xlfn.XLOOKUP(AG894, Hoja3!A:A, Hoja3!B:B)</f>
        <v>5198</v>
      </c>
      <c r="AI894" t="str">
        <f>_xlfn.XLOOKUP(AH894, Hoja4!A:A, Hoja4!B:B)</f>
        <v>HSTP2436</v>
      </c>
      <c r="AJ894" t="b">
        <f t="shared" si="109"/>
        <v>1</v>
      </c>
    </row>
    <row r="895" spans="1:36" ht="15.5" customHeight="1" x14ac:dyDescent="0.35">
      <c r="A895">
        <f t="shared" ca="1" si="104"/>
        <v>40</v>
      </c>
      <c r="B895" s="6" t="s">
        <v>2691</v>
      </c>
      <c r="C895" s="7">
        <v>45401</v>
      </c>
      <c r="D895" s="6" t="s">
        <v>912</v>
      </c>
      <c r="E895" s="6" t="s">
        <v>139</v>
      </c>
      <c r="F895" s="6" t="s">
        <v>84</v>
      </c>
      <c r="G895" s="6" t="s">
        <v>156</v>
      </c>
      <c r="H895" s="6" t="s">
        <v>2692</v>
      </c>
      <c r="I895" s="6" t="s">
        <v>1442</v>
      </c>
      <c r="J895" s="6" t="str">
        <f>IF(E895="KTG","KTG",(VLOOKUP(I895,'[1]list of outsource'!B:H,2,0)))</f>
        <v>ETC</v>
      </c>
      <c r="K895" s="6" t="s">
        <v>1443</v>
      </c>
      <c r="L895" s="6">
        <v>19</v>
      </c>
      <c r="M895" s="6" t="s">
        <v>2182</v>
      </c>
      <c r="N895" s="6" t="s">
        <v>2183</v>
      </c>
      <c r="O895" s="6" t="s">
        <v>2693</v>
      </c>
      <c r="P895" s="6"/>
      <c r="Q895" s="8">
        <v>45422</v>
      </c>
      <c r="R895" s="6"/>
      <c r="S895" s="6"/>
      <c r="T895" s="6"/>
      <c r="U895" s="6">
        <v>4</v>
      </c>
      <c r="V895" s="6" t="s">
        <v>879</v>
      </c>
      <c r="W895" s="6" t="s">
        <v>37</v>
      </c>
      <c r="X895" s="7">
        <v>45441</v>
      </c>
      <c r="Y895" s="7">
        <v>45463</v>
      </c>
      <c r="AB895" t="e">
        <v>#N/A</v>
      </c>
      <c r="AC895" t="e">
        <v>#N/A</v>
      </c>
      <c r="AE895" t="str">
        <f t="shared" si="105"/>
        <v>P000346</v>
      </c>
      <c r="AF895" t="str">
        <f>_xlfn.XLOOKUP(AE895, Hoja2!A:A, Hoja2!A:A)</f>
        <v>P000346</v>
      </c>
      <c r="AG895" t="str">
        <f t="shared" si="108"/>
        <v>PP00028-78</v>
      </c>
      <c r="AH895">
        <f>_xlfn.XLOOKUP(AG895, Hoja3!A:A, Hoja3!B:B)</f>
        <v>5409</v>
      </c>
      <c r="AI895" t="str">
        <f>_xlfn.XLOOKUP(AH895, Hoja4!A:A, Hoja4!B:B)</f>
        <v>E43660000</v>
      </c>
      <c r="AJ895" t="b">
        <f t="shared" si="109"/>
        <v>1</v>
      </c>
    </row>
    <row r="896" spans="1:36" ht="15.5" customHeight="1" x14ac:dyDescent="0.35">
      <c r="A896">
        <f t="shared" ca="1" si="104"/>
        <v>27</v>
      </c>
      <c r="B896" s="12" t="s">
        <v>2570</v>
      </c>
      <c r="C896" s="13">
        <v>45840</v>
      </c>
      <c r="D896" s="14" t="s">
        <v>2535</v>
      </c>
      <c r="E896" s="14" t="s">
        <v>30</v>
      </c>
      <c r="F896" s="14" t="s">
        <v>1371</v>
      </c>
      <c r="G896" s="14" t="s">
        <v>32</v>
      </c>
      <c r="H896" s="14" t="s">
        <v>2571</v>
      </c>
      <c r="I896" s="14"/>
      <c r="J896" s="14" t="str">
        <f>IF(E896="KTG","KTG",(VLOOKUP(I896,'[1]list of outsource'!B:H,2,0)))</f>
        <v>KTG</v>
      </c>
      <c r="K896" s="14"/>
      <c r="L896" s="14"/>
      <c r="M896" s="14" t="s">
        <v>2572</v>
      </c>
      <c r="N896" s="14" t="s">
        <v>2573</v>
      </c>
      <c r="O896" s="14"/>
      <c r="P896" s="14"/>
      <c r="Q896" s="15"/>
      <c r="R896" s="14"/>
      <c r="S896" s="16"/>
      <c r="T896" s="14"/>
      <c r="U896" s="14">
        <v>4</v>
      </c>
      <c r="V896" s="14" t="s">
        <v>569</v>
      </c>
      <c r="W896" s="14" t="s">
        <v>37</v>
      </c>
      <c r="X896" s="13">
        <v>45867</v>
      </c>
      <c r="Y896" s="13"/>
      <c r="AB896" t="e">
        <v>#N/A</v>
      </c>
      <c r="AC896" t="e">
        <v>#N/A</v>
      </c>
      <c r="AE896" t="str">
        <f t="shared" si="105"/>
        <v>E58351</v>
      </c>
      <c r="AF896" t="str">
        <f>_xlfn.XLOOKUP(AE896, Hoja2!A:A, Hoja2!A:A)</f>
        <v>E58351</v>
      </c>
      <c r="AG896" t="str">
        <f t="shared" si="108"/>
        <v>PP00047-25</v>
      </c>
      <c r="AH896">
        <f>_xlfn.XLOOKUP(AG896, Hoja3!A:A, Hoja3!B:B)</f>
        <v>5534</v>
      </c>
      <c r="AI896" t="str">
        <f>_xlfn.XLOOKUP(AH896, Hoja4!A:A, Hoja4!B:B)</f>
        <v>CYG-MT(HX)-3X-S3-9.5-9</v>
      </c>
      <c r="AJ896" t="b">
        <f t="shared" si="109"/>
        <v>1</v>
      </c>
    </row>
    <row r="897" spans="1:36" ht="15.5" customHeight="1" x14ac:dyDescent="0.35">
      <c r="A897">
        <f t="shared" ca="1" si="104"/>
        <v>27</v>
      </c>
      <c r="B897" s="12" t="s">
        <v>2694</v>
      </c>
      <c r="C897" s="13">
        <v>45841</v>
      </c>
      <c r="D897" s="14" t="s">
        <v>2695</v>
      </c>
      <c r="E897" s="14" t="s">
        <v>139</v>
      </c>
      <c r="F897" s="14" t="s">
        <v>2696</v>
      </c>
      <c r="G897" s="14" t="s">
        <v>2697</v>
      </c>
      <c r="H897" s="14" t="s">
        <v>2698</v>
      </c>
      <c r="I897" s="14" t="s">
        <v>402</v>
      </c>
      <c r="J897" s="14" t="str">
        <f>IF(E897="KTG","KTG",(VLOOKUP(I897,'[1]list of outsource'!B:H,2,0)))</f>
        <v>ETC</v>
      </c>
      <c r="K897" s="14" t="s">
        <v>403</v>
      </c>
      <c r="L897" s="14"/>
      <c r="M897" s="14" t="s">
        <v>1719</v>
      </c>
      <c r="N897" s="14" t="s">
        <v>2699</v>
      </c>
      <c r="O897" s="14"/>
      <c r="P897" s="14"/>
      <c r="Q897" s="15"/>
      <c r="R897" s="14"/>
      <c r="S897" s="16"/>
      <c r="T897" s="14"/>
      <c r="U897" s="14">
        <v>4</v>
      </c>
      <c r="V897" s="14" t="s">
        <v>665</v>
      </c>
      <c r="W897" s="14" t="s">
        <v>37</v>
      </c>
      <c r="X897" s="13">
        <v>45868</v>
      </c>
      <c r="Y897" s="13"/>
      <c r="AB897" t="e">
        <v>#N/A</v>
      </c>
      <c r="AC897" t="e">
        <v>#N/A</v>
      </c>
      <c r="AE897" t="str">
        <f t="shared" si="105"/>
        <v>P000342</v>
      </c>
      <c r="AF897" t="str">
        <f>_xlfn.XLOOKUP(AE897, Hoja2!A:A, Hoja2!A:A)</f>
        <v>P000342</v>
      </c>
      <c r="AG897" t="str">
        <f t="shared" si="108"/>
        <v>PP00071-05</v>
      </c>
      <c r="AH897">
        <f>_xlfn.XLOOKUP(AG897, Hoja3!A:A, Hoja3!B:B)</f>
        <v>5663</v>
      </c>
      <c r="AI897" t="str">
        <f>_xlfn.XLOOKUP(AH897, Hoja4!A:A, Hoja4!B:B)</f>
        <v>UH080-50027-2H</v>
      </c>
      <c r="AJ897" t="b">
        <f t="shared" si="109"/>
        <v>1</v>
      </c>
    </row>
    <row r="898" spans="1:36" ht="15.5" customHeight="1" x14ac:dyDescent="0.35">
      <c r="A898">
        <f t="shared" ref="A898:A961" ca="1" si="110">IF(X898="",(TODAY()-C898),(X898-C898))</f>
        <v>71</v>
      </c>
      <c r="B898" s="12" t="s">
        <v>2700</v>
      </c>
      <c r="C898" s="13">
        <v>45841</v>
      </c>
      <c r="D898" s="14" t="s">
        <v>121</v>
      </c>
      <c r="E898" s="14" t="s">
        <v>139</v>
      </c>
      <c r="F898" s="14" t="s">
        <v>2696</v>
      </c>
      <c r="G898" s="14" t="s">
        <v>2697</v>
      </c>
      <c r="H898" s="14" t="s">
        <v>2701</v>
      </c>
      <c r="I898" s="14" t="s">
        <v>402</v>
      </c>
      <c r="J898" s="14" t="str">
        <f>IF(E898="KTG","KTG",(VLOOKUP(I898,'[1]list of outsource'!B:H,2,0)))</f>
        <v>ETC</v>
      </c>
      <c r="K898" s="14" t="s">
        <v>403</v>
      </c>
      <c r="L898" s="14">
        <v>73</v>
      </c>
      <c r="M898" s="14" t="s">
        <v>1244</v>
      </c>
      <c r="N898" s="42" t="s">
        <v>2702</v>
      </c>
      <c r="O898" s="14" t="s">
        <v>2703</v>
      </c>
      <c r="P898" s="14"/>
      <c r="Q898" s="15"/>
      <c r="R898" s="14"/>
      <c r="S898" s="16"/>
      <c r="T898" s="14"/>
      <c r="U898" s="14">
        <v>4</v>
      </c>
      <c r="V898" s="14" t="s">
        <v>665</v>
      </c>
      <c r="W898" s="14" t="s">
        <v>37</v>
      </c>
      <c r="X898" s="13">
        <v>45912</v>
      </c>
      <c r="Y898" s="13"/>
      <c r="AB898" t="e">
        <v>#N/A</v>
      </c>
      <c r="AC898" t="e">
        <v>#N/A</v>
      </c>
      <c r="AE898" t="str">
        <f t="shared" si="105"/>
        <v>P000339</v>
      </c>
      <c r="AF898" t="str">
        <f>_xlfn.XLOOKUP(AE898, Hoja2!A:A, Hoja2!A:A)</f>
        <v>P000339</v>
      </c>
      <c r="AG898" t="str">
        <f t="shared" si="108"/>
        <v>PP00071-01</v>
      </c>
      <c r="AH898">
        <f>_xlfn.XLOOKUP(AG898, Hoja3!A:A, Hoja3!B:B)</f>
        <v>5660</v>
      </c>
      <c r="AI898" t="str">
        <f>_xlfn.XLOOKUP(AH898, Hoja4!A:A, Hoja4!B:B)</f>
        <v>UH110-50027-F9</v>
      </c>
      <c r="AJ898" t="b">
        <f t="shared" si="109"/>
        <v>1</v>
      </c>
    </row>
    <row r="899" spans="1:36" ht="15.5" customHeight="1" x14ac:dyDescent="0.35">
      <c r="A899">
        <f t="shared" ca="1" si="110"/>
        <v>71</v>
      </c>
      <c r="B899" s="12" t="s">
        <v>2704</v>
      </c>
      <c r="C899" s="13">
        <v>45841</v>
      </c>
      <c r="D899" s="14" t="s">
        <v>121</v>
      </c>
      <c r="E899" s="14" t="s">
        <v>139</v>
      </c>
      <c r="F899" s="14" t="s">
        <v>2696</v>
      </c>
      <c r="G899" s="14" t="s">
        <v>2697</v>
      </c>
      <c r="H899" s="14" t="s">
        <v>2705</v>
      </c>
      <c r="I899" s="14" t="s">
        <v>402</v>
      </c>
      <c r="J899" s="14" t="str">
        <f>IF(E899="KTG","KTG",(VLOOKUP(I899,'[1]list of outsource'!B:H,2,0)))</f>
        <v>ETC</v>
      </c>
      <c r="K899" s="14" t="s">
        <v>403</v>
      </c>
      <c r="L899" s="14">
        <v>73</v>
      </c>
      <c r="M899" s="14" t="s">
        <v>2706</v>
      </c>
      <c r="N899" s="42" t="s">
        <v>2707</v>
      </c>
      <c r="O899" s="14" t="s">
        <v>2708</v>
      </c>
      <c r="P899" s="14"/>
      <c r="Q899" s="15"/>
      <c r="R899" s="14"/>
      <c r="S899" s="16"/>
      <c r="T899" s="14"/>
      <c r="U899" s="14">
        <v>4</v>
      </c>
      <c r="V899" s="14" t="s">
        <v>665</v>
      </c>
      <c r="W899" s="14" t="s">
        <v>37</v>
      </c>
      <c r="X899" s="13">
        <v>45912</v>
      </c>
      <c r="Y899" s="13"/>
      <c r="AB899" t="e">
        <v>#N/A</v>
      </c>
      <c r="AC899" t="e">
        <v>#N/A</v>
      </c>
      <c r="AE899" t="str">
        <f t="shared" ref="AE899:AE962" si="111">LEFT(M899, FIND(" ", M899 &amp; " ") - 1)</f>
        <v>P000417</v>
      </c>
      <c r="AF899" t="str">
        <f>_xlfn.XLOOKUP(AE899, Hoja2!A:A, Hoja2!A:A)</f>
        <v>P000417</v>
      </c>
      <c r="AG899" t="str">
        <f t="shared" si="108"/>
        <v>PP00071-02</v>
      </c>
      <c r="AH899">
        <f>_xlfn.XLOOKUP(AG899, Hoja3!A:A, Hoja3!B:B)</f>
        <v>5661</v>
      </c>
      <c r="AI899" t="str">
        <f>_xlfn.XLOOKUP(AH899, Hoja4!A:A, Hoja4!B:B)</f>
        <v>UH060-40027-F9</v>
      </c>
      <c r="AJ899" t="b">
        <f t="shared" si="109"/>
        <v>1</v>
      </c>
    </row>
    <row r="900" spans="1:36" ht="15.5" hidden="1" customHeight="1" x14ac:dyDescent="0.35">
      <c r="A900">
        <f t="shared" ca="1" si="110"/>
        <v>71</v>
      </c>
      <c r="B900" s="56" t="s">
        <v>2709</v>
      </c>
      <c r="C900" s="13">
        <v>45841</v>
      </c>
      <c r="D900" s="14" t="s">
        <v>121</v>
      </c>
      <c r="E900" s="14" t="s">
        <v>139</v>
      </c>
      <c r="F900" s="14" t="s">
        <v>2696</v>
      </c>
      <c r="G900" s="14" t="s">
        <v>2697</v>
      </c>
      <c r="H900" s="14" t="s">
        <v>2710</v>
      </c>
      <c r="I900" s="14" t="s">
        <v>402</v>
      </c>
      <c r="J900" s="14" t="str">
        <f>IF(E900="KTG","KTG",(VLOOKUP(I900,'[1]list of outsource'!B:H,2,0)))</f>
        <v>ETC</v>
      </c>
      <c r="K900" s="14" t="s">
        <v>403</v>
      </c>
      <c r="L900" s="14">
        <v>73</v>
      </c>
      <c r="M900" s="55" t="s">
        <v>2711</v>
      </c>
      <c r="N900" s="42" t="s">
        <v>2712</v>
      </c>
      <c r="O900" s="14" t="s">
        <v>2713</v>
      </c>
      <c r="P900" s="14"/>
      <c r="Q900" s="15"/>
      <c r="R900" s="14"/>
      <c r="S900" s="16"/>
      <c r="T900" s="14"/>
      <c r="U900" s="14">
        <v>4</v>
      </c>
      <c r="V900" s="14" t="s">
        <v>665</v>
      </c>
      <c r="W900" s="14" t="s">
        <v>37</v>
      </c>
      <c r="X900" s="13">
        <v>45912</v>
      </c>
      <c r="Y900" s="13"/>
      <c r="AB900" t="e">
        <v>#N/A</v>
      </c>
      <c r="AC900" t="e">
        <v>#N/A</v>
      </c>
      <c r="AE900" t="str">
        <f t="shared" si="111"/>
        <v>P200244</v>
      </c>
      <c r="AF900" t="e">
        <f>_xlfn.XLOOKUP(AE900, Hoja2!A:A, Hoja2!A:A)</f>
        <v>#N/A</v>
      </c>
    </row>
    <row r="901" spans="1:36" ht="15.5" customHeight="1" x14ac:dyDescent="0.35">
      <c r="A901">
        <f t="shared" ca="1" si="110"/>
        <v>71</v>
      </c>
      <c r="B901" s="12" t="s">
        <v>2714</v>
      </c>
      <c r="C901" s="13">
        <v>45841</v>
      </c>
      <c r="D901" s="14" t="s">
        <v>121</v>
      </c>
      <c r="E901" s="14" t="s">
        <v>139</v>
      </c>
      <c r="F901" s="14" t="s">
        <v>2696</v>
      </c>
      <c r="G901" s="14" t="s">
        <v>2697</v>
      </c>
      <c r="H901" s="14" t="s">
        <v>2715</v>
      </c>
      <c r="I901" s="14" t="s">
        <v>402</v>
      </c>
      <c r="J901" s="14" t="str">
        <f>IF(E901="KTG","KTG",(VLOOKUP(I901,'[1]list of outsource'!B:H,2,0)))</f>
        <v>ETC</v>
      </c>
      <c r="K901" s="14" t="s">
        <v>403</v>
      </c>
      <c r="L901" s="14">
        <v>73</v>
      </c>
      <c r="M901" s="14" t="s">
        <v>1745</v>
      </c>
      <c r="N901" s="42" t="s">
        <v>2716</v>
      </c>
      <c r="O901" s="14" t="s">
        <v>2717</v>
      </c>
      <c r="P901" s="14"/>
      <c r="Q901" s="15"/>
      <c r="R901" s="14"/>
      <c r="S901" s="16"/>
      <c r="T901" s="14"/>
      <c r="U901" s="14">
        <v>4</v>
      </c>
      <c r="V901" s="14" t="s">
        <v>665</v>
      </c>
      <c r="W901" s="14" t="s">
        <v>37</v>
      </c>
      <c r="X901" s="13">
        <v>45912</v>
      </c>
      <c r="Y901" s="13"/>
      <c r="AB901" t="e">
        <v>#N/A</v>
      </c>
      <c r="AC901" t="e">
        <v>#N/A</v>
      </c>
      <c r="AE901" t="str">
        <f t="shared" si="111"/>
        <v>P200304</v>
      </c>
      <c r="AF901" t="str">
        <f>_xlfn.XLOOKUP(AE901, Hoja2!A:A, Hoja2!A:A)</f>
        <v>P200304</v>
      </c>
      <c r="AG901" t="str">
        <f t="shared" ref="AG901:AG959" si="112">LEFT(B901, FIND(" ", B901 &amp; " ") - 1)</f>
        <v>PP00071-04</v>
      </c>
      <c r="AH901">
        <f>_xlfn.XLOOKUP(AG901, Hoja3!A:A, Hoja3!B:B)</f>
        <v>5662</v>
      </c>
      <c r="AI901" t="str">
        <f>_xlfn.XLOOKUP(AH901, Hoja4!A:A, Hoja4!B:B)</f>
        <v>UH140-50027-F9</v>
      </c>
      <c r="AJ901" t="b">
        <f t="shared" ref="AJ901:AJ959" si="113">H901=AI901</f>
        <v>1</v>
      </c>
    </row>
    <row r="902" spans="1:36" ht="15.5" customHeight="1" x14ac:dyDescent="0.35">
      <c r="A902">
        <f t="shared" ca="1" si="110"/>
        <v>25</v>
      </c>
      <c r="B902" s="17" t="s">
        <v>1932</v>
      </c>
      <c r="C902" s="7">
        <v>45845</v>
      </c>
      <c r="D902" s="6" t="s">
        <v>564</v>
      </c>
      <c r="E902" s="6" t="s">
        <v>30</v>
      </c>
      <c r="F902" s="6" t="s">
        <v>646</v>
      </c>
      <c r="G902" s="6" t="s">
        <v>32</v>
      </c>
      <c r="H902" s="6" t="s">
        <v>1933</v>
      </c>
      <c r="I902" s="6"/>
      <c r="J902" s="6" t="str">
        <f>IF(E902="KTG","KTG",(VLOOKUP(I902,'[1]list of outsource'!B:H,2,0)))</f>
        <v>KTG</v>
      </c>
      <c r="K902" s="6"/>
      <c r="L902" s="24"/>
      <c r="M902" s="6" t="s">
        <v>2718</v>
      </c>
      <c r="N902" s="6" t="s">
        <v>1935</v>
      </c>
      <c r="O902" s="6"/>
      <c r="P902" s="6"/>
      <c r="Q902" s="8">
        <v>45483</v>
      </c>
      <c r="R902" s="6"/>
      <c r="S902" s="18"/>
      <c r="T902" s="6"/>
      <c r="U902" s="6">
        <v>1</v>
      </c>
      <c r="V902" s="6" t="s">
        <v>569</v>
      </c>
      <c r="W902" s="6" t="s">
        <v>576</v>
      </c>
      <c r="X902" s="7">
        <v>45870</v>
      </c>
      <c r="Y902" s="7">
        <v>45875</v>
      </c>
      <c r="AB902" t="e">
        <v>#N/A</v>
      </c>
      <c r="AC902" t="e">
        <v>#N/A</v>
      </c>
      <c r="AE902" t="str">
        <f t="shared" si="111"/>
        <v>E53119</v>
      </c>
      <c r="AF902" t="str">
        <f>_xlfn.XLOOKUP(AE902, Hoja2!A:A, Hoja2!A:A)</f>
        <v>E53119</v>
      </c>
      <c r="AG902" t="str">
        <f t="shared" si="112"/>
        <v>PP00030-17</v>
      </c>
      <c r="AH902">
        <f>_xlfn.XLOOKUP(AG902, Hoja3!A:A, Hoja3!B:B)</f>
        <v>5232</v>
      </c>
      <c r="AI902" t="str">
        <f>_xlfn.XLOOKUP(AH902, Hoja4!A:A, Hoja4!B:B)</f>
        <v>707708-4-0100</v>
      </c>
      <c r="AJ902" t="b">
        <f t="shared" si="113"/>
        <v>1</v>
      </c>
    </row>
    <row r="903" spans="1:36" ht="15.5" customHeight="1" x14ac:dyDescent="0.35">
      <c r="A903">
        <f t="shared" ca="1" si="110"/>
        <v>14</v>
      </c>
      <c r="B903" s="12" t="s">
        <v>2719</v>
      </c>
      <c r="C903" s="13">
        <v>45847</v>
      </c>
      <c r="D903" s="14" t="s">
        <v>121</v>
      </c>
      <c r="E903" s="14" t="s">
        <v>139</v>
      </c>
      <c r="F903" s="14" t="s">
        <v>1697</v>
      </c>
      <c r="G903" s="14" t="s">
        <v>299</v>
      </c>
      <c r="H903" s="14">
        <v>7094177030</v>
      </c>
      <c r="I903" s="14" t="s">
        <v>849</v>
      </c>
      <c r="J903" s="14" t="str">
        <f>IF(E903="KTG","KTG",(VLOOKUP(I903,'[1]list of outsource'!B:H,2,0)))</f>
        <v>ETC</v>
      </c>
      <c r="K903" s="14" t="s">
        <v>850</v>
      </c>
      <c r="L903" s="14">
        <v>21</v>
      </c>
      <c r="M903" s="14" t="s">
        <v>1809</v>
      </c>
      <c r="N903" s="42" t="s">
        <v>2720</v>
      </c>
      <c r="O903" s="14" t="s">
        <v>2721</v>
      </c>
      <c r="P903" s="14"/>
      <c r="Q903" s="15"/>
      <c r="R903" s="14"/>
      <c r="S903" s="16"/>
      <c r="T903" s="14"/>
      <c r="U903" s="14">
        <v>3</v>
      </c>
      <c r="V903" s="14"/>
      <c r="W903" s="14" t="s">
        <v>37</v>
      </c>
      <c r="X903" s="13">
        <v>45861</v>
      </c>
      <c r="Y903" s="13"/>
      <c r="AB903" t="e">
        <v>#N/A</v>
      </c>
      <c r="AC903" t="e">
        <v>#N/A</v>
      </c>
      <c r="AE903" t="str">
        <f t="shared" si="111"/>
        <v>P000818</v>
      </c>
      <c r="AF903" t="str">
        <f>_xlfn.XLOOKUP(AE903, Hoja2!A:A, Hoja2!A:A)</f>
        <v>P000818</v>
      </c>
      <c r="AG903" t="str">
        <f t="shared" si="112"/>
        <v>PP00072-01</v>
      </c>
      <c r="AH903">
        <f>_xlfn.XLOOKUP(AG903, Hoja3!A:A, Hoja3!B:B)</f>
        <v>4552</v>
      </c>
      <c r="AI903">
        <f>_xlfn.XLOOKUP(AH903, Hoja4!A:A, Hoja4!B:B)</f>
        <v>7094177030</v>
      </c>
      <c r="AJ903" t="b">
        <f t="shared" si="113"/>
        <v>1</v>
      </c>
    </row>
    <row r="904" spans="1:36" ht="15.5" customHeight="1" x14ac:dyDescent="0.35">
      <c r="A904">
        <f t="shared" ca="1" si="110"/>
        <v>22</v>
      </c>
      <c r="B904" s="12" t="s">
        <v>2722</v>
      </c>
      <c r="C904" s="13">
        <v>45847</v>
      </c>
      <c r="D904" s="14" t="s">
        <v>121</v>
      </c>
      <c r="E904" s="14" t="s">
        <v>139</v>
      </c>
      <c r="F904" s="14" t="s">
        <v>1697</v>
      </c>
      <c r="G904" s="14" t="s">
        <v>299</v>
      </c>
      <c r="H904" s="14">
        <v>7090200030</v>
      </c>
      <c r="I904" s="14" t="s">
        <v>849</v>
      </c>
      <c r="J904" s="14" t="str">
        <f>IF(E904="KTG","KTG",(VLOOKUP(I904,'[1]list of outsource'!B:H,2,0)))</f>
        <v>ETC</v>
      </c>
      <c r="K904" s="14" t="s">
        <v>850</v>
      </c>
      <c r="L904" s="14">
        <v>21</v>
      </c>
      <c r="M904" s="14" t="s">
        <v>2723</v>
      </c>
      <c r="N904" s="14" t="s">
        <v>2724</v>
      </c>
      <c r="O904" s="14" t="s">
        <v>2725</v>
      </c>
      <c r="P904" s="14"/>
      <c r="Q904" s="15"/>
      <c r="R904" s="14"/>
      <c r="S904" s="16"/>
      <c r="T904" s="14"/>
      <c r="U904" s="14">
        <v>3</v>
      </c>
      <c r="V904" s="14"/>
      <c r="W904" s="14" t="s">
        <v>37</v>
      </c>
      <c r="X904" s="13">
        <v>45869</v>
      </c>
      <c r="Y904" s="13"/>
      <c r="AB904" t="e">
        <v>#N/A</v>
      </c>
      <c r="AC904" t="e">
        <v>#N/A</v>
      </c>
      <c r="AE904" t="str">
        <f t="shared" si="111"/>
        <v>P001013</v>
      </c>
      <c r="AF904" t="str">
        <f>_xlfn.XLOOKUP(AE904, Hoja2!A:A, Hoja2!A:A)</f>
        <v>P001013</v>
      </c>
      <c r="AG904" t="str">
        <f t="shared" si="112"/>
        <v>PP00072-03</v>
      </c>
      <c r="AH904">
        <f>_xlfn.XLOOKUP(AG904, Hoja3!A:A, Hoja3!B:B)</f>
        <v>5708</v>
      </c>
      <c r="AI904">
        <f>_xlfn.XLOOKUP(AH904, Hoja4!A:A, Hoja4!B:B)</f>
        <v>7090200030</v>
      </c>
      <c r="AJ904" t="b">
        <f t="shared" si="113"/>
        <v>1</v>
      </c>
    </row>
    <row r="905" spans="1:36" ht="15.5" customHeight="1" x14ac:dyDescent="0.35">
      <c r="A905" s="43">
        <f t="shared" ca="1" si="110"/>
        <v>12</v>
      </c>
      <c r="B905" s="17" t="s">
        <v>2726</v>
      </c>
      <c r="C905" s="20">
        <v>45847</v>
      </c>
      <c r="D905" s="17" t="s">
        <v>564</v>
      </c>
      <c r="E905" s="17" t="s">
        <v>139</v>
      </c>
      <c r="F905" s="17" t="s">
        <v>2727</v>
      </c>
      <c r="G905" s="17" t="s">
        <v>299</v>
      </c>
      <c r="H905" s="17">
        <v>7094171830</v>
      </c>
      <c r="I905" s="17" t="s">
        <v>402</v>
      </c>
      <c r="J905" s="17" t="str">
        <f>IF(E905="KTG","KTG",(VLOOKUP(I905,'[1]list of outsource'!B:H,2,0)))</f>
        <v>ETC</v>
      </c>
      <c r="K905" s="17" t="s">
        <v>403</v>
      </c>
      <c r="L905" s="34">
        <v>72</v>
      </c>
      <c r="M905" s="17" t="s">
        <v>1709</v>
      </c>
      <c r="N905" s="44" t="s">
        <v>1710</v>
      </c>
      <c r="O905" s="17" t="s">
        <v>2728</v>
      </c>
      <c r="P905" s="17"/>
      <c r="Q905" s="33"/>
      <c r="R905" s="17"/>
      <c r="S905" s="35"/>
      <c r="T905" s="17"/>
      <c r="U905" s="17">
        <v>3</v>
      </c>
      <c r="V905" s="17"/>
      <c r="W905" s="17" t="s">
        <v>37</v>
      </c>
      <c r="X905" s="20">
        <v>45859</v>
      </c>
      <c r="Y905" s="20">
        <v>45968</v>
      </c>
      <c r="Z905" s="43"/>
      <c r="AA905" s="43"/>
      <c r="AB905" s="43" t="s">
        <v>1712</v>
      </c>
      <c r="AC905" t="e">
        <v>#N/A</v>
      </c>
      <c r="AE905" t="str">
        <f t="shared" si="111"/>
        <v>P000337</v>
      </c>
      <c r="AF905" t="str">
        <f>_xlfn.XLOOKUP(AE905, Hoja2!A:A, Hoja2!A:A)</f>
        <v>P000337</v>
      </c>
      <c r="AG905" t="str">
        <f t="shared" si="112"/>
        <v>PP00072-22</v>
      </c>
      <c r="AH905">
        <f>_xlfn.XLOOKUP(AG905, Hoja3!A:A, Hoja3!B:B)</f>
        <v>5730</v>
      </c>
      <c r="AI905">
        <f>_xlfn.XLOOKUP(AH905, Hoja4!A:A, Hoja4!B:B)</f>
        <v>7094171830</v>
      </c>
      <c r="AJ905" t="b">
        <f t="shared" si="113"/>
        <v>1</v>
      </c>
    </row>
    <row r="906" spans="1:36" ht="15.5" customHeight="1" x14ac:dyDescent="0.35">
      <c r="A906" s="43">
        <f t="shared" ca="1" si="110"/>
        <v>13</v>
      </c>
      <c r="B906" s="17" t="s">
        <v>2729</v>
      </c>
      <c r="C906" s="20">
        <v>45847</v>
      </c>
      <c r="D906" s="17" t="s">
        <v>564</v>
      </c>
      <c r="E906" s="17" t="s">
        <v>139</v>
      </c>
      <c r="F906" s="17" t="s">
        <v>2727</v>
      </c>
      <c r="G906" s="17" t="s">
        <v>299</v>
      </c>
      <c r="H906" s="17">
        <v>7094171430</v>
      </c>
      <c r="I906" s="17" t="s">
        <v>402</v>
      </c>
      <c r="J906" s="17" t="str">
        <f>IF(E906="KTG","KTG",(VLOOKUP(I906,'[1]list of outsource'!B:H,2,0)))</f>
        <v>ETC</v>
      </c>
      <c r="K906" s="17" t="s">
        <v>403</v>
      </c>
      <c r="L906" s="34">
        <v>72</v>
      </c>
      <c r="M906" s="17" t="s">
        <v>1719</v>
      </c>
      <c r="N906" s="44" t="s">
        <v>1720</v>
      </c>
      <c r="O906" s="17" t="s">
        <v>2730</v>
      </c>
      <c r="P906" s="17"/>
      <c r="Q906" s="33"/>
      <c r="R906" s="17"/>
      <c r="S906" s="35"/>
      <c r="T906" s="17"/>
      <c r="U906" s="17">
        <v>3</v>
      </c>
      <c r="V906" s="17"/>
      <c r="W906" s="17" t="s">
        <v>37</v>
      </c>
      <c r="X906" s="20">
        <v>45860</v>
      </c>
      <c r="Y906" s="20">
        <v>45968</v>
      </c>
      <c r="Z906" s="43"/>
      <c r="AA906" s="43"/>
      <c r="AB906" s="43" t="e">
        <v>#N/A</v>
      </c>
      <c r="AC906" t="e">
        <v>#N/A</v>
      </c>
      <c r="AE906" t="str">
        <f t="shared" si="111"/>
        <v>P000342</v>
      </c>
      <c r="AF906" t="str">
        <f>_xlfn.XLOOKUP(AE906, Hoja2!A:A, Hoja2!A:A)</f>
        <v>P000342</v>
      </c>
      <c r="AG906" t="str">
        <f t="shared" si="112"/>
        <v>PP00072-23</v>
      </c>
      <c r="AH906">
        <f>_xlfn.XLOOKUP(AG906, Hoja3!A:A, Hoja3!B:B)</f>
        <v>5731</v>
      </c>
      <c r="AI906">
        <f>_xlfn.XLOOKUP(AH906, Hoja4!A:A, Hoja4!B:B)</f>
        <v>7094171430</v>
      </c>
      <c r="AJ906" t="b">
        <f t="shared" si="113"/>
        <v>1</v>
      </c>
    </row>
    <row r="907" spans="1:36" ht="15.5" customHeight="1" x14ac:dyDescent="0.35">
      <c r="A907">
        <f t="shared" ca="1" si="110"/>
        <v>13</v>
      </c>
      <c r="B907" s="12" t="s">
        <v>2731</v>
      </c>
      <c r="C907" s="13">
        <v>45847</v>
      </c>
      <c r="D907" s="14" t="s">
        <v>121</v>
      </c>
      <c r="E907" s="14" t="s">
        <v>139</v>
      </c>
      <c r="F907" s="14" t="s">
        <v>2727</v>
      </c>
      <c r="G907" s="14" t="s">
        <v>299</v>
      </c>
      <c r="H907" s="14">
        <v>7094175630</v>
      </c>
      <c r="I907" s="14" t="s">
        <v>402</v>
      </c>
      <c r="J907" s="14" t="str">
        <f>IF(E907="KTG","KTG",(VLOOKUP(I907,'[1]list of outsource'!B:H,2,0)))</f>
        <v>ETC</v>
      </c>
      <c r="K907" s="14" t="s">
        <v>403</v>
      </c>
      <c r="L907" s="14">
        <v>72</v>
      </c>
      <c r="M907" s="14" t="s">
        <v>1740</v>
      </c>
      <c r="N907" s="14" t="s">
        <v>1741</v>
      </c>
      <c r="O907" s="14" t="s">
        <v>2732</v>
      </c>
      <c r="P907" s="14"/>
      <c r="Q907" s="15"/>
      <c r="R907" s="14"/>
      <c r="S907" s="16"/>
      <c r="T907" s="14"/>
      <c r="U907" s="14">
        <v>3</v>
      </c>
      <c r="V907" s="14"/>
      <c r="W907" s="14" t="s">
        <v>37</v>
      </c>
      <c r="X907" s="13">
        <v>45860</v>
      </c>
      <c r="Y907" s="13"/>
      <c r="AB907" t="e">
        <v>#N/A</v>
      </c>
      <c r="AC907" s="43" t="s">
        <v>4210</v>
      </c>
      <c r="AE907" t="str">
        <f t="shared" si="111"/>
        <v>P000340</v>
      </c>
      <c r="AF907" t="str">
        <f>_xlfn.XLOOKUP(AE907, Hoja2!A:A, Hoja2!A:A)</f>
        <v>P000340</v>
      </c>
      <c r="AG907" t="str">
        <f t="shared" si="112"/>
        <v>PP00072-24</v>
      </c>
      <c r="AH907">
        <f>_xlfn.XLOOKUP(AG907, Hoja3!A:A, Hoja3!B:B)</f>
        <v>5732</v>
      </c>
      <c r="AI907">
        <f>_xlfn.XLOOKUP(AH907, Hoja4!A:A, Hoja4!B:B)</f>
        <v>7094175630</v>
      </c>
      <c r="AJ907" t="b">
        <f t="shared" si="113"/>
        <v>1</v>
      </c>
    </row>
    <row r="908" spans="1:36" ht="15.5" customHeight="1" x14ac:dyDescent="0.35">
      <c r="A908">
        <f t="shared" ca="1" si="110"/>
        <v>36</v>
      </c>
      <c r="B908" s="12" t="s">
        <v>2733</v>
      </c>
      <c r="C908" s="13">
        <v>45847</v>
      </c>
      <c r="D908" s="14" t="s">
        <v>121</v>
      </c>
      <c r="E908" s="14" t="s">
        <v>139</v>
      </c>
      <c r="F908" s="14" t="s">
        <v>2727</v>
      </c>
      <c r="G908" s="14" t="s">
        <v>299</v>
      </c>
      <c r="H908" s="14">
        <v>7094201130</v>
      </c>
      <c r="I908" s="14" t="s">
        <v>849</v>
      </c>
      <c r="J908" s="14" t="str">
        <f>IF(E908="KTG","KTG",(VLOOKUP(I908,'[1]list of outsource'!B:H,2,0)))</f>
        <v>ETC</v>
      </c>
      <c r="K908" s="14" t="s">
        <v>850</v>
      </c>
      <c r="L908" s="14">
        <v>21</v>
      </c>
      <c r="M908" s="14" t="s">
        <v>2734</v>
      </c>
      <c r="N908" s="42" t="s">
        <v>2735</v>
      </c>
      <c r="O908" s="14" t="s">
        <v>2736</v>
      </c>
      <c r="P908" s="14"/>
      <c r="Q908" s="15"/>
      <c r="R908" s="14"/>
      <c r="S908" s="16"/>
      <c r="T908" s="14"/>
      <c r="U908" s="14">
        <v>3</v>
      </c>
      <c r="V908" s="14"/>
      <c r="W908" s="14" t="s">
        <v>37</v>
      </c>
      <c r="X908" s="13">
        <v>45883</v>
      </c>
      <c r="Y908" s="13"/>
      <c r="AB908" t="e">
        <v>#N/A</v>
      </c>
      <c r="AC908" s="43" t="e">
        <v>#N/A</v>
      </c>
      <c r="AE908" t="str">
        <f t="shared" si="111"/>
        <v>P001023</v>
      </c>
      <c r="AF908" t="str">
        <f>_xlfn.XLOOKUP(AE908, Hoja2!A:A, Hoja2!A:A)</f>
        <v>P001023</v>
      </c>
      <c r="AG908" t="str">
        <f t="shared" si="112"/>
        <v>PP00072-02</v>
      </c>
      <c r="AH908">
        <f>_xlfn.XLOOKUP(AG908, Hoja3!A:A, Hoja3!B:B)</f>
        <v>5715</v>
      </c>
      <c r="AI908">
        <f>_xlfn.XLOOKUP(AH908, Hoja4!A:A, Hoja4!B:B)</f>
        <v>7094201130</v>
      </c>
      <c r="AJ908" t="b">
        <f t="shared" si="113"/>
        <v>1</v>
      </c>
    </row>
    <row r="909" spans="1:36" ht="15.5" customHeight="1" x14ac:dyDescent="0.35">
      <c r="A909" s="32">
        <f t="shared" ca="1" si="110"/>
        <v>36</v>
      </c>
      <c r="B909" s="12" t="s">
        <v>2737</v>
      </c>
      <c r="C909" s="48">
        <v>45847</v>
      </c>
      <c r="D909" s="12" t="s">
        <v>121</v>
      </c>
      <c r="E909" s="12" t="s">
        <v>139</v>
      </c>
      <c r="F909" s="12" t="s">
        <v>2727</v>
      </c>
      <c r="G909" s="12" t="s">
        <v>299</v>
      </c>
      <c r="H909" s="12">
        <v>7094200530</v>
      </c>
      <c r="I909" s="12" t="s">
        <v>849</v>
      </c>
      <c r="J909" s="12" t="str">
        <f>IF(E909="KTG","KTG",(VLOOKUP(I909,'[1]list of outsource'!B:H,2,0)))</f>
        <v>ETC</v>
      </c>
      <c r="K909" s="12" t="s">
        <v>850</v>
      </c>
      <c r="L909" s="12">
        <v>21</v>
      </c>
      <c r="M909" s="12" t="s">
        <v>2738</v>
      </c>
      <c r="N909" s="46" t="s">
        <v>2739</v>
      </c>
      <c r="O909" s="12" t="s">
        <v>2740</v>
      </c>
      <c r="P909" s="12"/>
      <c r="Q909" s="45"/>
      <c r="R909" s="12"/>
      <c r="S909" s="47"/>
      <c r="T909" s="12"/>
      <c r="U909" s="12">
        <v>3</v>
      </c>
      <c r="V909" s="12"/>
      <c r="W909" s="12" t="s">
        <v>37</v>
      </c>
      <c r="X909" s="48">
        <v>45883</v>
      </c>
      <c r="Y909" s="48"/>
      <c r="Z909" s="32"/>
      <c r="AA909" s="32"/>
      <c r="AB909" s="32" t="e">
        <v>#N/A</v>
      </c>
      <c r="AC909" t="e">
        <v>#N/A</v>
      </c>
      <c r="AE909" t="str">
        <f t="shared" si="111"/>
        <v>P001017</v>
      </c>
      <c r="AF909" t="str">
        <f>_xlfn.XLOOKUP(AE909, Hoja2!A:A, Hoja2!A:A)</f>
        <v>P001017</v>
      </c>
      <c r="AG909" t="str">
        <f t="shared" si="112"/>
        <v>PP00072-04</v>
      </c>
      <c r="AH909">
        <f>_xlfn.XLOOKUP(AG909, Hoja3!A:A, Hoja3!B:B)</f>
        <v>5716</v>
      </c>
      <c r="AI909">
        <f>_xlfn.XLOOKUP(AH909, Hoja4!A:A, Hoja4!B:B)</f>
        <v>7094200530</v>
      </c>
      <c r="AJ909" t="b">
        <f t="shared" si="113"/>
        <v>1</v>
      </c>
    </row>
    <row r="910" spans="1:36" ht="15.5" customHeight="1" x14ac:dyDescent="0.35">
      <c r="A910" s="32">
        <f t="shared" ca="1" si="110"/>
        <v>36</v>
      </c>
      <c r="B910" s="12" t="s">
        <v>2741</v>
      </c>
      <c r="C910" s="48">
        <v>45847</v>
      </c>
      <c r="D910" s="12" t="s">
        <v>121</v>
      </c>
      <c r="E910" s="12" t="s">
        <v>139</v>
      </c>
      <c r="F910" s="12" t="s">
        <v>2727</v>
      </c>
      <c r="G910" s="12" t="s">
        <v>299</v>
      </c>
      <c r="H910" s="12">
        <v>7094200830</v>
      </c>
      <c r="I910" s="12" t="s">
        <v>849</v>
      </c>
      <c r="J910" s="12" t="str">
        <f>IF(E910="KTG","KTG",(VLOOKUP(I910,'[1]list of outsource'!B:H,2,0)))</f>
        <v>ETC</v>
      </c>
      <c r="K910" s="12" t="s">
        <v>850</v>
      </c>
      <c r="L910" s="12">
        <v>21</v>
      </c>
      <c r="M910" s="12" t="s">
        <v>2742</v>
      </c>
      <c r="N910" s="46" t="s">
        <v>2743</v>
      </c>
      <c r="O910" s="12" t="s">
        <v>2744</v>
      </c>
      <c r="P910" s="12"/>
      <c r="Q910" s="45"/>
      <c r="R910" s="12"/>
      <c r="S910" s="47"/>
      <c r="T910" s="12"/>
      <c r="U910" s="12">
        <v>3</v>
      </c>
      <c r="V910" s="12"/>
      <c r="W910" s="12" t="s">
        <v>37</v>
      </c>
      <c r="X910" s="48">
        <v>45883</v>
      </c>
      <c r="Y910" s="48"/>
      <c r="Z910" s="32"/>
      <c r="AA910" s="32"/>
      <c r="AB910" s="32" t="e">
        <v>#N/A</v>
      </c>
      <c r="AC910" t="e">
        <v>#N/A</v>
      </c>
      <c r="AE910" t="str">
        <f t="shared" si="111"/>
        <v>P001019</v>
      </c>
      <c r="AF910" t="str">
        <f>_xlfn.XLOOKUP(AE910, Hoja2!A:A, Hoja2!A:A)</f>
        <v>P001019</v>
      </c>
      <c r="AG910" t="str">
        <f t="shared" si="112"/>
        <v>PP00072-05</v>
      </c>
      <c r="AH910">
        <f>_xlfn.XLOOKUP(AG910, Hoja3!A:A, Hoja3!B:B)</f>
        <v>5717</v>
      </c>
      <c r="AI910">
        <f>_xlfn.XLOOKUP(AH910, Hoja4!A:A, Hoja4!B:B)</f>
        <v>7094200830</v>
      </c>
      <c r="AJ910" t="b">
        <f t="shared" si="113"/>
        <v>1</v>
      </c>
    </row>
    <row r="911" spans="1:36" ht="15.5" customHeight="1" x14ac:dyDescent="0.35">
      <c r="A911" s="32">
        <f t="shared" ca="1" si="110"/>
        <v>36</v>
      </c>
      <c r="B911" s="12" t="s">
        <v>2745</v>
      </c>
      <c r="C911" s="48">
        <v>45847</v>
      </c>
      <c r="D911" s="12" t="s">
        <v>121</v>
      </c>
      <c r="E911" s="12" t="s">
        <v>139</v>
      </c>
      <c r="F911" s="12" t="s">
        <v>2727</v>
      </c>
      <c r="G911" s="12" t="s">
        <v>299</v>
      </c>
      <c r="H911" s="12">
        <v>7094201230</v>
      </c>
      <c r="I911" s="12" t="s">
        <v>849</v>
      </c>
      <c r="J911" s="12" t="str">
        <f>IF(E911="KTG","KTG",(VLOOKUP(I911,'[1]list of outsource'!B:H,2,0)))</f>
        <v>ETC</v>
      </c>
      <c r="K911" s="12" t="s">
        <v>850</v>
      </c>
      <c r="L911" s="12">
        <v>21</v>
      </c>
      <c r="M911" s="12" t="s">
        <v>2746</v>
      </c>
      <c r="N911" s="46" t="s">
        <v>2747</v>
      </c>
      <c r="O911" s="12" t="s">
        <v>2748</v>
      </c>
      <c r="P911" s="12"/>
      <c r="Q911" s="45"/>
      <c r="R911" s="12"/>
      <c r="S911" s="47"/>
      <c r="T911" s="12"/>
      <c r="U911" s="12">
        <v>3</v>
      </c>
      <c r="V911" s="12"/>
      <c r="W911" s="12" t="s">
        <v>37</v>
      </c>
      <c r="X911" s="48">
        <v>45883</v>
      </c>
      <c r="Y911" s="48"/>
      <c r="Z911" s="32"/>
      <c r="AA911" s="32"/>
      <c r="AB911" s="32" t="e">
        <v>#N/A</v>
      </c>
      <c r="AC911" s="32" t="e">
        <v>#N/A</v>
      </c>
      <c r="AE911" t="str">
        <f t="shared" si="111"/>
        <v>P001024</v>
      </c>
      <c r="AF911" t="str">
        <f>_xlfn.XLOOKUP(AE911, Hoja2!A:A, Hoja2!A:A)</f>
        <v>P001024</v>
      </c>
      <c r="AG911" t="str">
        <f t="shared" si="112"/>
        <v>PP00072-06</v>
      </c>
      <c r="AH911">
        <f>_xlfn.XLOOKUP(AG911, Hoja3!A:A, Hoja3!B:B)</f>
        <v>4657</v>
      </c>
      <c r="AI911">
        <f>_xlfn.XLOOKUP(AH911, Hoja4!A:A, Hoja4!B:B)</f>
        <v>7094201230</v>
      </c>
      <c r="AJ911" t="b">
        <f t="shared" si="113"/>
        <v>1</v>
      </c>
    </row>
    <row r="912" spans="1:36" ht="15.5" customHeight="1" x14ac:dyDescent="0.35">
      <c r="A912" s="43">
        <f t="shared" ca="1" si="110"/>
        <v>13</v>
      </c>
      <c r="B912" s="17" t="s">
        <v>2749</v>
      </c>
      <c r="C912" s="20">
        <v>45847</v>
      </c>
      <c r="D912" s="17" t="s">
        <v>564</v>
      </c>
      <c r="E912" s="17" t="s">
        <v>139</v>
      </c>
      <c r="F912" s="17" t="s">
        <v>1697</v>
      </c>
      <c r="G912" s="17" t="s">
        <v>299</v>
      </c>
      <c r="H912" s="17">
        <v>7094176130</v>
      </c>
      <c r="I912" s="17" t="s">
        <v>402</v>
      </c>
      <c r="J912" s="17" t="str">
        <f>IF(E912="KTG","KTG",(VLOOKUP(I912,'[1]list of outsource'!B:H,2,0)))</f>
        <v>ETC</v>
      </c>
      <c r="K912" s="17" t="s">
        <v>403</v>
      </c>
      <c r="L912" s="34">
        <v>72</v>
      </c>
      <c r="M912" s="17" t="s">
        <v>2750</v>
      </c>
      <c r="N912" s="44" t="s">
        <v>2751</v>
      </c>
      <c r="O912" s="17" t="s">
        <v>2752</v>
      </c>
      <c r="P912" s="17"/>
      <c r="Q912" s="33"/>
      <c r="R912" s="17"/>
      <c r="S912" s="35"/>
      <c r="T912" s="17"/>
      <c r="U912" s="17">
        <v>3</v>
      </c>
      <c r="V912" s="17"/>
      <c r="W912" s="17" t="s">
        <v>37</v>
      </c>
      <c r="X912" s="20">
        <v>45860</v>
      </c>
      <c r="Y912" s="20">
        <v>45968</v>
      </c>
      <c r="Z912" s="43"/>
      <c r="AA912" s="43"/>
      <c r="AB912" s="43" t="e">
        <v>#N/A</v>
      </c>
      <c r="AC912" s="32" t="e">
        <v>#N/A</v>
      </c>
      <c r="AE912" t="str">
        <f t="shared" si="111"/>
        <v>P000839</v>
      </c>
      <c r="AF912" t="str">
        <f>_xlfn.XLOOKUP(AE912, Hoja2!A:A, Hoja2!A:A)</f>
        <v>P000839</v>
      </c>
      <c r="AG912" t="str">
        <f t="shared" si="112"/>
        <v>PP00072-25</v>
      </c>
      <c r="AH912">
        <f>_xlfn.XLOOKUP(AG912, Hoja3!A:A, Hoja3!B:B)</f>
        <v>4655</v>
      </c>
      <c r="AI912">
        <f>_xlfn.XLOOKUP(AH912, Hoja4!A:A, Hoja4!B:B)</f>
        <v>7094176130</v>
      </c>
      <c r="AJ912" t="b">
        <f t="shared" si="113"/>
        <v>1</v>
      </c>
    </row>
    <row r="913" spans="1:36" ht="15.5" customHeight="1" x14ac:dyDescent="0.35">
      <c r="A913" s="43">
        <f t="shared" ca="1" si="110"/>
        <v>22</v>
      </c>
      <c r="B913" s="17" t="s">
        <v>2753</v>
      </c>
      <c r="C913" s="20">
        <v>45847</v>
      </c>
      <c r="D913" s="17" t="s">
        <v>564</v>
      </c>
      <c r="E913" s="17" t="s">
        <v>139</v>
      </c>
      <c r="F913" s="17" t="s">
        <v>1697</v>
      </c>
      <c r="G913" s="17" t="s">
        <v>299</v>
      </c>
      <c r="H913" s="17">
        <v>7094176430</v>
      </c>
      <c r="I913" s="17" t="s">
        <v>402</v>
      </c>
      <c r="J913" s="17" t="str">
        <f>IF(E913="KTG","KTG",(VLOOKUP(I913,'[1]list of outsource'!B:H,2,0)))</f>
        <v>ETC</v>
      </c>
      <c r="K913" s="17" t="s">
        <v>403</v>
      </c>
      <c r="L913" s="34">
        <v>73</v>
      </c>
      <c r="M913" s="17" t="s">
        <v>1979</v>
      </c>
      <c r="N913" s="44" t="s">
        <v>1980</v>
      </c>
      <c r="O913" s="17" t="s">
        <v>2754</v>
      </c>
      <c r="P913" s="17"/>
      <c r="Q913" s="33"/>
      <c r="R913" s="17"/>
      <c r="S913" s="35"/>
      <c r="T913" s="17"/>
      <c r="U913" s="17">
        <v>3</v>
      </c>
      <c r="V913" s="17"/>
      <c r="W913" s="17" t="s">
        <v>37</v>
      </c>
      <c r="X913" s="20">
        <v>45869</v>
      </c>
      <c r="Y913" s="20"/>
      <c r="Z913" s="43"/>
      <c r="AA913" s="43"/>
      <c r="AB913" s="43" t="e">
        <v>#N/A</v>
      </c>
      <c r="AC913" s="32" t="e">
        <v>#N/A</v>
      </c>
      <c r="AE913" t="str">
        <f t="shared" si="111"/>
        <v>P000360</v>
      </c>
      <c r="AF913" t="str">
        <f>_xlfn.XLOOKUP(AE913, Hoja2!A:A, Hoja2!A:A)</f>
        <v>P000360</v>
      </c>
      <c r="AG913" t="str">
        <f t="shared" si="112"/>
        <v>PP00072-28</v>
      </c>
      <c r="AH913">
        <f>_xlfn.XLOOKUP(AG913, Hoja3!A:A, Hoja3!B:B)</f>
        <v>4650</v>
      </c>
      <c r="AI913">
        <f>_xlfn.XLOOKUP(AH913, Hoja4!A:A, Hoja4!B:B)</f>
        <v>7094176430</v>
      </c>
      <c r="AJ913" t="b">
        <f t="shared" si="113"/>
        <v>1</v>
      </c>
    </row>
    <row r="914" spans="1:36" ht="15.5" customHeight="1" x14ac:dyDescent="0.35">
      <c r="A914">
        <f t="shared" ca="1" si="110"/>
        <v>14</v>
      </c>
      <c r="B914" s="12" t="s">
        <v>2755</v>
      </c>
      <c r="C914" s="13">
        <v>45847</v>
      </c>
      <c r="D914" s="14" t="s">
        <v>121</v>
      </c>
      <c r="E914" s="14" t="s">
        <v>139</v>
      </c>
      <c r="F914" s="14" t="s">
        <v>1697</v>
      </c>
      <c r="G914" s="14" t="s">
        <v>299</v>
      </c>
      <c r="H914" s="14">
        <v>7094175830</v>
      </c>
      <c r="I914" s="14" t="s">
        <v>402</v>
      </c>
      <c r="J914" s="14" t="str">
        <f>IF(E914="KTG","KTG",(VLOOKUP(I914,'[1]list of outsource'!B:H,2,0)))</f>
        <v>ETC</v>
      </c>
      <c r="K914" s="14" t="s">
        <v>403</v>
      </c>
      <c r="L914" s="14">
        <v>72</v>
      </c>
      <c r="M914" s="14" t="s">
        <v>1750</v>
      </c>
      <c r="N914" s="14" t="s">
        <v>1751</v>
      </c>
      <c r="O914" s="14" t="s">
        <v>2756</v>
      </c>
      <c r="P914" s="14"/>
      <c r="Q914" s="15"/>
      <c r="R914" s="14"/>
      <c r="S914" s="16"/>
      <c r="T914" s="14"/>
      <c r="U914" s="14">
        <v>3</v>
      </c>
      <c r="V914" s="14"/>
      <c r="W914" s="14" t="s">
        <v>37</v>
      </c>
      <c r="X914" s="13">
        <v>45861</v>
      </c>
      <c r="Y914" s="13"/>
      <c r="AB914" t="e">
        <v>#N/A</v>
      </c>
      <c r="AC914" s="43" t="e">
        <v>#N/A</v>
      </c>
      <c r="AE914" t="str">
        <f t="shared" si="111"/>
        <v>P200305</v>
      </c>
      <c r="AF914" t="str">
        <f>_xlfn.XLOOKUP(AE914, Hoja2!A:A, Hoja2!A:A)</f>
        <v>P200305</v>
      </c>
      <c r="AG914" t="str">
        <f t="shared" si="112"/>
        <v>PP00072-30</v>
      </c>
      <c r="AH914">
        <f>_xlfn.XLOOKUP(AG914, Hoja3!A:A, Hoja3!B:B)</f>
        <v>4659</v>
      </c>
      <c r="AI914">
        <f>_xlfn.XLOOKUP(AH914, Hoja4!A:A, Hoja4!B:B)</f>
        <v>7094175830</v>
      </c>
      <c r="AJ914" t="b">
        <f t="shared" si="113"/>
        <v>1</v>
      </c>
    </row>
    <row r="915" spans="1:36" ht="15.5" customHeight="1" x14ac:dyDescent="0.35">
      <c r="A915">
        <f t="shared" ca="1" si="110"/>
        <v>14</v>
      </c>
      <c r="B915" s="12" t="s">
        <v>2757</v>
      </c>
      <c r="C915" s="13">
        <v>45847</v>
      </c>
      <c r="D915" s="14" t="s">
        <v>121</v>
      </c>
      <c r="E915" s="14" t="s">
        <v>139</v>
      </c>
      <c r="F915" s="14" t="s">
        <v>1697</v>
      </c>
      <c r="G915" s="14" t="s">
        <v>299</v>
      </c>
      <c r="H915" s="14">
        <v>7094174230</v>
      </c>
      <c r="I915" s="14" t="s">
        <v>529</v>
      </c>
      <c r="J915" s="14" t="str">
        <f>IF(E915="KTG","KTG",(VLOOKUP(I915,'[1]list of outsource'!B:H,2,0)))</f>
        <v>ETC</v>
      </c>
      <c r="K915" s="14" t="s">
        <v>530</v>
      </c>
      <c r="L915" s="14">
        <v>20</v>
      </c>
      <c r="M915" s="14" t="s">
        <v>1773</v>
      </c>
      <c r="N915" s="14" t="s">
        <v>1774</v>
      </c>
      <c r="O915" s="14" t="s">
        <v>2758</v>
      </c>
      <c r="P915" s="14"/>
      <c r="Q915" s="15"/>
      <c r="R915" s="14"/>
      <c r="S915" s="16"/>
      <c r="T915" s="14"/>
      <c r="U915" s="14">
        <v>3</v>
      </c>
      <c r="V915" s="14"/>
      <c r="W915" s="14" t="s">
        <v>37</v>
      </c>
      <c r="X915" s="13">
        <v>45861</v>
      </c>
      <c r="Y915" s="13"/>
      <c r="AB915" t="e">
        <v>#N/A</v>
      </c>
      <c r="AC915" s="43" t="e">
        <v>#N/A</v>
      </c>
      <c r="AE915" t="str">
        <f t="shared" si="111"/>
        <v>P000677</v>
      </c>
      <c r="AF915" t="str">
        <f>_xlfn.XLOOKUP(AE915, Hoja2!A:A, Hoja2!A:A)</f>
        <v>P000677</v>
      </c>
      <c r="AG915" t="str">
        <f t="shared" si="112"/>
        <v>PP00072-31</v>
      </c>
      <c r="AH915">
        <f>_xlfn.XLOOKUP(AG915, Hoja3!A:A, Hoja3!B:B)</f>
        <v>4652</v>
      </c>
      <c r="AI915">
        <f>_xlfn.XLOOKUP(AH915, Hoja4!A:A, Hoja4!B:B)</f>
        <v>7094174230</v>
      </c>
      <c r="AJ915" t="b">
        <f t="shared" si="113"/>
        <v>1</v>
      </c>
    </row>
    <row r="916" spans="1:36" ht="15.5" customHeight="1" x14ac:dyDescent="0.35">
      <c r="A916">
        <f t="shared" ca="1" si="110"/>
        <v>44</v>
      </c>
      <c r="B916" s="12" t="s">
        <v>2759</v>
      </c>
      <c r="C916" s="13">
        <v>45847</v>
      </c>
      <c r="D916" s="14" t="s">
        <v>121</v>
      </c>
      <c r="E916" s="14" t="s">
        <v>139</v>
      </c>
      <c r="F916" s="14" t="s">
        <v>2727</v>
      </c>
      <c r="G916" s="14" t="s">
        <v>299</v>
      </c>
      <c r="H916" s="14">
        <v>7094200430</v>
      </c>
      <c r="I916" s="14" t="s">
        <v>849</v>
      </c>
      <c r="J916" s="14" t="str">
        <f>IF(E916="KTG","KTG",(VLOOKUP(I916,'[1]list of outsource'!B:H,2,0)))</f>
        <v>ETC</v>
      </c>
      <c r="K916" s="14" t="s">
        <v>850</v>
      </c>
      <c r="L916" s="14">
        <v>21</v>
      </c>
      <c r="M916" s="14" t="s">
        <v>2760</v>
      </c>
      <c r="N916" s="42" t="s">
        <v>2761</v>
      </c>
      <c r="O916" s="14" t="s">
        <v>2762</v>
      </c>
      <c r="P916" s="14"/>
      <c r="Q916" s="15"/>
      <c r="R916" s="14"/>
      <c r="S916" s="16"/>
      <c r="T916" s="14"/>
      <c r="U916" s="14">
        <v>3</v>
      </c>
      <c r="V916" s="14"/>
      <c r="W916" s="14" t="s">
        <v>37</v>
      </c>
      <c r="X916" s="13">
        <v>45891</v>
      </c>
      <c r="Y916" s="13"/>
      <c r="AB916" t="e">
        <v>#N/A</v>
      </c>
      <c r="AC916" t="e">
        <v>#N/A</v>
      </c>
      <c r="AE916" t="str">
        <f t="shared" si="111"/>
        <v>P001016</v>
      </c>
      <c r="AF916" t="str">
        <f>_xlfn.XLOOKUP(AE916, Hoja2!A:A, Hoja2!A:A)</f>
        <v>P001016</v>
      </c>
      <c r="AG916" t="str">
        <f t="shared" si="112"/>
        <v>PP00072-07</v>
      </c>
      <c r="AH916">
        <f>_xlfn.XLOOKUP(AG916, Hoja3!A:A, Hoja3!B:B)</f>
        <v>4640</v>
      </c>
      <c r="AI916">
        <f>_xlfn.XLOOKUP(AH916, Hoja4!A:A, Hoja4!B:B)</f>
        <v>7094200430</v>
      </c>
      <c r="AJ916" t="b">
        <f t="shared" si="113"/>
        <v>1</v>
      </c>
    </row>
    <row r="917" spans="1:36" ht="15.5" customHeight="1" x14ac:dyDescent="0.35">
      <c r="A917">
        <f t="shared" ca="1" si="110"/>
        <v>82</v>
      </c>
      <c r="B917" s="12" t="s">
        <v>2763</v>
      </c>
      <c r="C917" s="13">
        <v>45847</v>
      </c>
      <c r="D917" s="14" t="s">
        <v>121</v>
      </c>
      <c r="E917" s="14" t="s">
        <v>139</v>
      </c>
      <c r="F917" s="14" t="s">
        <v>2727</v>
      </c>
      <c r="G917" s="14" t="s">
        <v>299</v>
      </c>
      <c r="H917" s="14" t="s">
        <v>2764</v>
      </c>
      <c r="I917" s="14" t="s">
        <v>2765</v>
      </c>
      <c r="J917" s="14" t="e">
        <f>IF(E917="KTG","KTG",(VLOOKUP(I917,'[1]list of outsource'!B:H,2,0)))</f>
        <v>#N/A</v>
      </c>
      <c r="K917" s="14" t="s">
        <v>2766</v>
      </c>
      <c r="L917" s="14">
        <v>1</v>
      </c>
      <c r="M917" s="14" t="s">
        <v>2767</v>
      </c>
      <c r="N917" s="14" t="s">
        <v>2768</v>
      </c>
      <c r="O917" s="14" t="s">
        <v>2769</v>
      </c>
      <c r="P917" s="14"/>
      <c r="Q917" s="15">
        <v>45914</v>
      </c>
      <c r="R917" s="14"/>
      <c r="S917" s="16"/>
      <c r="T917" s="14"/>
      <c r="U917" s="14">
        <v>3</v>
      </c>
      <c r="V917" s="14"/>
      <c r="W917" s="14" t="s">
        <v>37</v>
      </c>
      <c r="X917" s="13">
        <v>45929</v>
      </c>
      <c r="Y917" s="13"/>
      <c r="AB917" t="e">
        <v>#N/A</v>
      </c>
      <c r="AC917" t="e">
        <v>#N/A</v>
      </c>
      <c r="AE917" t="str">
        <f t="shared" si="111"/>
        <v>P001027</v>
      </c>
      <c r="AF917" t="str">
        <f>_xlfn.XLOOKUP(AE917, Hoja2!A:A, Hoja2!A:A)</f>
        <v>P001027</v>
      </c>
      <c r="AG917" t="str">
        <f t="shared" si="112"/>
        <v>PP00072-19</v>
      </c>
      <c r="AH917">
        <f>_xlfn.XLOOKUP(AG917, Hoja3!A:A, Hoja3!B:B)</f>
        <v>5727</v>
      </c>
      <c r="AI917" t="str">
        <f>_xlfn.XLOOKUP(AH917, Hoja4!A:A, Hoja4!B:B)</f>
        <v>7094203130 27-aug-25</v>
      </c>
      <c r="AJ917" t="b">
        <f t="shared" si="113"/>
        <v>1</v>
      </c>
    </row>
    <row r="918" spans="1:36" ht="15.5" customHeight="1" x14ac:dyDescent="0.35">
      <c r="A918">
        <f t="shared" ca="1" si="110"/>
        <v>14</v>
      </c>
      <c r="B918" s="12" t="s">
        <v>2770</v>
      </c>
      <c r="C918" s="13">
        <v>45847</v>
      </c>
      <c r="D918" s="14" t="s">
        <v>121</v>
      </c>
      <c r="E918" s="14" t="s">
        <v>139</v>
      </c>
      <c r="F918" s="14" t="s">
        <v>1697</v>
      </c>
      <c r="G918" s="14" t="s">
        <v>299</v>
      </c>
      <c r="H918" s="14">
        <v>7094171330</v>
      </c>
      <c r="I918" s="14" t="s">
        <v>402</v>
      </c>
      <c r="J918" s="14" t="str">
        <f>IF(E918="KTG","KTG",(VLOOKUP(I918,'[1]list of outsource'!B:H,2,0)))</f>
        <v>ETC</v>
      </c>
      <c r="K918" s="14" t="s">
        <v>403</v>
      </c>
      <c r="L918" s="14">
        <v>72</v>
      </c>
      <c r="M918" s="14" t="s">
        <v>1244</v>
      </c>
      <c r="N918" s="14" t="s">
        <v>1504</v>
      </c>
      <c r="O918" s="14" t="s">
        <v>2771</v>
      </c>
      <c r="P918" s="14"/>
      <c r="Q918" s="15"/>
      <c r="R918" s="14"/>
      <c r="S918" s="16"/>
      <c r="T918" s="14"/>
      <c r="U918" s="14">
        <v>3</v>
      </c>
      <c r="V918" s="14"/>
      <c r="W918" s="14" t="s">
        <v>37</v>
      </c>
      <c r="X918" s="13">
        <v>45861</v>
      </c>
      <c r="Y918" s="13"/>
      <c r="AB918" t="e">
        <v>#N/A</v>
      </c>
      <c r="AC918" t="e">
        <v>#N/A</v>
      </c>
      <c r="AE918" t="str">
        <f t="shared" si="111"/>
        <v>P000339</v>
      </c>
      <c r="AF918" t="str">
        <f>_xlfn.XLOOKUP(AE918, Hoja2!A:A, Hoja2!A:A)</f>
        <v>P000339</v>
      </c>
      <c r="AG918" t="str">
        <f t="shared" si="112"/>
        <v>PP00072-32</v>
      </c>
      <c r="AH918">
        <f>_xlfn.XLOOKUP(AG918, Hoja3!A:A, Hoja3!B:B)</f>
        <v>4644</v>
      </c>
      <c r="AI918">
        <f>_xlfn.XLOOKUP(AH918, Hoja4!A:A, Hoja4!B:B)</f>
        <v>7094171330</v>
      </c>
      <c r="AJ918" t="b">
        <f t="shared" si="113"/>
        <v>1</v>
      </c>
    </row>
    <row r="919" spans="1:36" ht="15.5" customHeight="1" x14ac:dyDescent="0.35">
      <c r="A919" s="43">
        <f t="shared" ca="1" si="110"/>
        <v>22</v>
      </c>
      <c r="B919" s="17" t="s">
        <v>2772</v>
      </c>
      <c r="C919" s="20">
        <v>45847</v>
      </c>
      <c r="D919" s="17" t="s">
        <v>564</v>
      </c>
      <c r="E919" s="17" t="s">
        <v>139</v>
      </c>
      <c r="F919" s="17" t="s">
        <v>1697</v>
      </c>
      <c r="G919" s="17" t="s">
        <v>299</v>
      </c>
      <c r="H919" s="17">
        <v>7094176230</v>
      </c>
      <c r="I919" s="17" t="s">
        <v>402</v>
      </c>
      <c r="J919" s="17" t="str">
        <f>IF(E919="KTG","KTG",(VLOOKUP(I919,'[1]list of outsource'!B:H,2,0)))</f>
        <v>ETC</v>
      </c>
      <c r="K919" s="17" t="s">
        <v>403</v>
      </c>
      <c r="L919" s="34">
        <v>73</v>
      </c>
      <c r="M919" s="17" t="s">
        <v>1975</v>
      </c>
      <c r="N919" s="44" t="s">
        <v>1976</v>
      </c>
      <c r="O919" s="17" t="s">
        <v>2773</v>
      </c>
      <c r="P919" s="17"/>
      <c r="Q919" s="33"/>
      <c r="R919" s="17"/>
      <c r="S919" s="35"/>
      <c r="T919" s="17"/>
      <c r="U919" s="17">
        <v>3</v>
      </c>
      <c r="V919" s="17"/>
      <c r="W919" s="17" t="s">
        <v>37</v>
      </c>
      <c r="X919" s="20">
        <v>45869</v>
      </c>
      <c r="Y919" s="20">
        <v>45968</v>
      </c>
      <c r="Z919" s="43"/>
      <c r="AA919" s="43"/>
      <c r="AB919" s="43" t="e">
        <v>#N/A</v>
      </c>
      <c r="AC919" t="e">
        <v>#N/A</v>
      </c>
      <c r="AE919" t="str">
        <f t="shared" si="111"/>
        <v>P000336</v>
      </c>
      <c r="AF919" t="str">
        <f>_xlfn.XLOOKUP(AE919, Hoja2!A:A, Hoja2!A:A)</f>
        <v>P000336</v>
      </c>
      <c r="AG919" t="str">
        <f t="shared" si="112"/>
        <v>PP00072-33</v>
      </c>
      <c r="AH919">
        <f>_xlfn.XLOOKUP(AG919, Hoja3!A:A, Hoja3!B:B)</f>
        <v>5709</v>
      </c>
      <c r="AI919">
        <f>_xlfn.XLOOKUP(AH919, Hoja4!A:A, Hoja4!B:B)</f>
        <v>7094176230</v>
      </c>
      <c r="AJ919" t="b">
        <f t="shared" si="113"/>
        <v>1</v>
      </c>
    </row>
    <row r="920" spans="1:36" ht="15.5" customHeight="1" x14ac:dyDescent="0.35">
      <c r="A920" s="32">
        <f t="shared" ca="1" si="110"/>
        <v>44</v>
      </c>
      <c r="B920" s="17" t="s">
        <v>2774</v>
      </c>
      <c r="C920" s="20">
        <v>45847</v>
      </c>
      <c r="D920" s="17" t="s">
        <v>564</v>
      </c>
      <c r="E920" s="17" t="s">
        <v>139</v>
      </c>
      <c r="F920" s="17" t="s">
        <v>2727</v>
      </c>
      <c r="G920" s="17" t="s">
        <v>299</v>
      </c>
      <c r="H920" s="17">
        <v>7094201030</v>
      </c>
      <c r="I920" s="17" t="s">
        <v>849</v>
      </c>
      <c r="J920" s="17" t="str">
        <f>IF(E920="KTG","KTG",(VLOOKUP(I920,'[1]list of outsource'!B:H,2,0)))</f>
        <v>ETC</v>
      </c>
      <c r="K920" s="17" t="s">
        <v>850</v>
      </c>
      <c r="L920" s="34">
        <v>21</v>
      </c>
      <c r="M920" s="17" t="s">
        <v>2775</v>
      </c>
      <c r="N920" s="44" t="s">
        <v>2776</v>
      </c>
      <c r="O920" s="17" t="s">
        <v>2777</v>
      </c>
      <c r="P920" s="17"/>
      <c r="Q920" s="33"/>
      <c r="R920" s="17"/>
      <c r="S920" s="35"/>
      <c r="T920" s="17"/>
      <c r="U920" s="17">
        <v>3</v>
      </c>
      <c r="V920" s="17"/>
      <c r="W920" s="17" t="s">
        <v>37</v>
      </c>
      <c r="X920" s="20">
        <v>45891</v>
      </c>
      <c r="Y920" s="20">
        <v>45968</v>
      </c>
      <c r="Z920" s="32"/>
      <c r="AA920" s="32"/>
      <c r="AB920" s="32" t="e">
        <v>#N/A</v>
      </c>
      <c r="AC920" t="e">
        <v>#N/A</v>
      </c>
      <c r="AE920" t="str">
        <f t="shared" si="111"/>
        <v>P001020</v>
      </c>
      <c r="AF920" t="str">
        <f>_xlfn.XLOOKUP(AE920, Hoja2!A:A, Hoja2!A:A)</f>
        <v>P001020</v>
      </c>
      <c r="AG920" t="str">
        <f t="shared" si="112"/>
        <v>PP00072-08</v>
      </c>
      <c r="AH920">
        <f>_xlfn.XLOOKUP(AG920, Hoja3!A:A, Hoja3!B:B)</f>
        <v>4656</v>
      </c>
      <c r="AI920">
        <f>_xlfn.XLOOKUP(AH920, Hoja4!A:A, Hoja4!B:B)</f>
        <v>7094201030</v>
      </c>
      <c r="AJ920" t="b">
        <f t="shared" si="113"/>
        <v>1</v>
      </c>
    </row>
    <row r="921" spans="1:36" ht="15.5" customHeight="1" x14ac:dyDescent="0.35">
      <c r="A921" s="43">
        <f t="shared" ca="1" si="110"/>
        <v>22</v>
      </c>
      <c r="B921" s="17" t="s">
        <v>2778</v>
      </c>
      <c r="C921" s="20">
        <v>45847</v>
      </c>
      <c r="D921" s="17" t="s">
        <v>564</v>
      </c>
      <c r="E921" s="17" t="s">
        <v>139</v>
      </c>
      <c r="F921" s="17" t="s">
        <v>1697</v>
      </c>
      <c r="G921" s="17" t="s">
        <v>299</v>
      </c>
      <c r="H921" s="17">
        <v>7094176330</v>
      </c>
      <c r="I921" s="17" t="s">
        <v>402</v>
      </c>
      <c r="J921" s="17" t="str">
        <f>IF(E921="KTG","KTG",(VLOOKUP(I921,'[1]list of outsource'!B:H,2,0)))</f>
        <v>ETC</v>
      </c>
      <c r="K921" s="17" t="s">
        <v>403</v>
      </c>
      <c r="L921" s="34">
        <v>73</v>
      </c>
      <c r="M921" s="17" t="s">
        <v>1613</v>
      </c>
      <c r="N921" s="44" t="s">
        <v>2779</v>
      </c>
      <c r="O921" s="17" t="s">
        <v>2780</v>
      </c>
      <c r="P921" s="17"/>
      <c r="Q921" s="33"/>
      <c r="R921" s="17"/>
      <c r="S921" s="35"/>
      <c r="T921" s="17"/>
      <c r="U921" s="17">
        <v>3</v>
      </c>
      <c r="V921" s="17"/>
      <c r="W921" s="17" t="s">
        <v>37</v>
      </c>
      <c r="X921" s="20">
        <v>45869</v>
      </c>
      <c r="Y921" s="20">
        <v>45968</v>
      </c>
      <c r="Z921" s="43"/>
      <c r="AA921" s="43"/>
      <c r="AB921" s="43" t="e">
        <v>#N/A</v>
      </c>
      <c r="AC921" s="43" t="e">
        <v>#N/A</v>
      </c>
      <c r="AE921" t="str">
        <f t="shared" si="111"/>
        <v>P000341</v>
      </c>
      <c r="AF921" t="str">
        <f>_xlfn.XLOOKUP(AE921, Hoja2!A:A, Hoja2!A:A)</f>
        <v>P000341</v>
      </c>
      <c r="AG921" t="str">
        <f t="shared" si="112"/>
        <v>PP00072-0034</v>
      </c>
      <c r="AH921">
        <f>_xlfn.XLOOKUP(AG921, Hoja3!A:A, Hoja3!B:B)</f>
        <v>4546</v>
      </c>
      <c r="AI921">
        <f>_xlfn.XLOOKUP(AH921, Hoja4!A:A, Hoja4!B:B)</f>
        <v>7094176330</v>
      </c>
      <c r="AJ921" t="b">
        <f t="shared" si="113"/>
        <v>1</v>
      </c>
    </row>
    <row r="922" spans="1:36" ht="15.5" customHeight="1" x14ac:dyDescent="0.35">
      <c r="A922" s="32">
        <f t="shared" ca="1" si="110"/>
        <v>44</v>
      </c>
      <c r="B922" s="17" t="s">
        <v>2781</v>
      </c>
      <c r="C922" s="20">
        <v>45847</v>
      </c>
      <c r="D922" s="17" t="s">
        <v>564</v>
      </c>
      <c r="E922" s="17" t="s">
        <v>139</v>
      </c>
      <c r="F922" s="17" t="s">
        <v>2727</v>
      </c>
      <c r="G922" s="17" t="s">
        <v>299</v>
      </c>
      <c r="H922" s="17">
        <v>7094201330</v>
      </c>
      <c r="I922" s="17" t="s">
        <v>849</v>
      </c>
      <c r="J922" s="17" t="str">
        <f>IF(E922="KTG","KTG",(VLOOKUP(I922,'[1]list of outsource'!B:H,2,0)))</f>
        <v>ETC</v>
      </c>
      <c r="K922" s="17" t="s">
        <v>850</v>
      </c>
      <c r="L922" s="34">
        <v>21</v>
      </c>
      <c r="M922" s="17" t="s">
        <v>2782</v>
      </c>
      <c r="N922" s="44" t="s">
        <v>2783</v>
      </c>
      <c r="O922" s="17" t="s">
        <v>2784</v>
      </c>
      <c r="P922" s="17"/>
      <c r="Q922" s="33"/>
      <c r="R922" s="17"/>
      <c r="S922" s="35"/>
      <c r="T922" s="17"/>
      <c r="U922" s="17">
        <v>3</v>
      </c>
      <c r="V922" s="17"/>
      <c r="W922" s="17" t="s">
        <v>37</v>
      </c>
      <c r="X922" s="20">
        <v>45891</v>
      </c>
      <c r="Y922" s="20">
        <v>45968</v>
      </c>
      <c r="Z922" s="32"/>
      <c r="AA922" s="32"/>
      <c r="AB922" s="32" t="e">
        <v>#N/A</v>
      </c>
      <c r="AC922" s="32" t="e">
        <v>#N/A</v>
      </c>
      <c r="AE922" t="str">
        <f t="shared" si="111"/>
        <v>P200370</v>
      </c>
      <c r="AF922" t="str">
        <f>_xlfn.XLOOKUP(AE922, Hoja2!A:A, Hoja2!A:A)</f>
        <v>P200370</v>
      </c>
      <c r="AG922" t="str">
        <f t="shared" si="112"/>
        <v>PP00072-09</v>
      </c>
      <c r="AH922">
        <f>_xlfn.XLOOKUP(AG922, Hoja3!A:A, Hoja3!B:B)</f>
        <v>4660</v>
      </c>
      <c r="AI922">
        <f>_xlfn.XLOOKUP(AH922, Hoja4!A:A, Hoja4!B:B)</f>
        <v>7094201330</v>
      </c>
      <c r="AJ922" t="b">
        <f t="shared" si="113"/>
        <v>1</v>
      </c>
    </row>
    <row r="923" spans="1:36" ht="15.5" customHeight="1" x14ac:dyDescent="0.35">
      <c r="A923">
        <f t="shared" ca="1" si="110"/>
        <v>44</v>
      </c>
      <c r="B923" s="12" t="s">
        <v>2785</v>
      </c>
      <c r="C923" s="13">
        <v>45847</v>
      </c>
      <c r="D923" s="14" t="s">
        <v>121</v>
      </c>
      <c r="E923" s="14" t="s">
        <v>139</v>
      </c>
      <c r="F923" s="14" t="s">
        <v>2727</v>
      </c>
      <c r="G923" s="14" t="s">
        <v>299</v>
      </c>
      <c r="H923" s="14">
        <v>7094200330</v>
      </c>
      <c r="I923" s="14" t="s">
        <v>849</v>
      </c>
      <c r="J923" s="14" t="str">
        <f>IF(E923="KTG","KTG",(VLOOKUP(I923,'[1]list of outsource'!B:H,2,0)))</f>
        <v>ETC</v>
      </c>
      <c r="K923" s="14" t="s">
        <v>850</v>
      </c>
      <c r="L923" s="14">
        <v>21</v>
      </c>
      <c r="M923" s="14" t="s">
        <v>2786</v>
      </c>
      <c r="N923" s="42" t="s">
        <v>2787</v>
      </c>
      <c r="O923" s="14" t="s">
        <v>2788</v>
      </c>
      <c r="P923" s="14"/>
      <c r="Q923" s="15"/>
      <c r="R923" s="14"/>
      <c r="S923" s="16"/>
      <c r="T923" s="14"/>
      <c r="U923" s="14">
        <v>3</v>
      </c>
      <c r="V923" s="14"/>
      <c r="W923" s="14" t="s">
        <v>37</v>
      </c>
      <c r="X923" s="13">
        <v>45891</v>
      </c>
      <c r="Y923" s="13"/>
      <c r="AB923" t="e">
        <v>#N/A</v>
      </c>
      <c r="AC923" s="43" t="e">
        <v>#N/A</v>
      </c>
      <c r="AE923" t="str">
        <f t="shared" si="111"/>
        <v>P001015</v>
      </c>
      <c r="AF923" t="str">
        <f>_xlfn.XLOOKUP(AE923, Hoja2!A:A, Hoja2!A:A)</f>
        <v>P001015</v>
      </c>
      <c r="AG923" t="str">
        <f t="shared" si="112"/>
        <v>PP00072-10</v>
      </c>
      <c r="AH923">
        <f>_xlfn.XLOOKUP(AG923, Hoja3!A:A, Hoja3!B:B)</f>
        <v>5718</v>
      </c>
      <c r="AI923">
        <f>_xlfn.XLOOKUP(AH923, Hoja4!A:A, Hoja4!B:B)</f>
        <v>7094200330</v>
      </c>
      <c r="AJ923" t="b">
        <f t="shared" si="113"/>
        <v>1</v>
      </c>
    </row>
    <row r="924" spans="1:36" ht="15.5" customHeight="1" x14ac:dyDescent="0.35">
      <c r="A924">
        <f t="shared" ca="1" si="110"/>
        <v>44</v>
      </c>
      <c r="B924" s="12" t="s">
        <v>2789</v>
      </c>
      <c r="C924" s="13">
        <v>45847</v>
      </c>
      <c r="D924" s="14" t="s">
        <v>121</v>
      </c>
      <c r="E924" s="14" t="s">
        <v>139</v>
      </c>
      <c r="F924" s="14" t="s">
        <v>2727</v>
      </c>
      <c r="G924" s="14" t="s">
        <v>299</v>
      </c>
      <c r="H924" s="14">
        <v>7094200730</v>
      </c>
      <c r="I924" s="14" t="s">
        <v>849</v>
      </c>
      <c r="J924" s="14" t="str">
        <f>IF(E924="KTG","KTG",(VLOOKUP(I924,'[1]list of outsource'!B:H,2,0)))</f>
        <v>ETC</v>
      </c>
      <c r="K924" s="14" t="s">
        <v>850</v>
      </c>
      <c r="L924" s="14">
        <v>21</v>
      </c>
      <c r="M924" s="14" t="s">
        <v>2790</v>
      </c>
      <c r="N924" s="42" t="s">
        <v>2791</v>
      </c>
      <c r="O924" s="14" t="s">
        <v>2792</v>
      </c>
      <c r="P924" s="14"/>
      <c r="Q924" s="15"/>
      <c r="R924" s="14"/>
      <c r="S924" s="16"/>
      <c r="T924" s="14"/>
      <c r="U924" s="14">
        <v>3</v>
      </c>
      <c r="V924" s="14"/>
      <c r="W924" s="14" t="s">
        <v>37</v>
      </c>
      <c r="X924" s="13">
        <v>45891</v>
      </c>
      <c r="Y924" s="13"/>
      <c r="AB924" t="e">
        <v>#N/A</v>
      </c>
      <c r="AC924" s="32" t="e">
        <v>#N/A</v>
      </c>
      <c r="AE924" t="str">
        <f t="shared" si="111"/>
        <v>P000709</v>
      </c>
      <c r="AF924" t="str">
        <f>_xlfn.XLOOKUP(AE924, Hoja2!A:A, Hoja2!A:A)</f>
        <v>P000709</v>
      </c>
      <c r="AG924" t="str">
        <f t="shared" si="112"/>
        <v>PP00072-11</v>
      </c>
      <c r="AH924">
        <f>_xlfn.XLOOKUP(AG924, Hoja3!A:A, Hoja3!B:B)</f>
        <v>5719</v>
      </c>
      <c r="AI924">
        <f>_xlfn.XLOOKUP(AH924, Hoja4!A:A, Hoja4!B:B)</f>
        <v>7094200730</v>
      </c>
      <c r="AJ924" t="b">
        <f t="shared" si="113"/>
        <v>1</v>
      </c>
    </row>
    <row r="925" spans="1:36" ht="15.5" customHeight="1" x14ac:dyDescent="0.35">
      <c r="A925">
        <f t="shared" ca="1" si="110"/>
        <v>44</v>
      </c>
      <c r="B925" s="12" t="s">
        <v>2793</v>
      </c>
      <c r="C925" s="13">
        <v>45847</v>
      </c>
      <c r="D925" s="14" t="s">
        <v>121</v>
      </c>
      <c r="E925" s="14" t="s">
        <v>139</v>
      </c>
      <c r="F925" s="14" t="s">
        <v>2727</v>
      </c>
      <c r="G925" s="14" t="s">
        <v>299</v>
      </c>
      <c r="H925" s="14">
        <v>7094200230</v>
      </c>
      <c r="I925" s="14" t="s">
        <v>849</v>
      </c>
      <c r="J925" s="14" t="str">
        <f>IF(E925="KTG","KTG",(VLOOKUP(I925,'[1]list of outsource'!B:H,2,0)))</f>
        <v>ETC</v>
      </c>
      <c r="K925" s="14" t="s">
        <v>850</v>
      </c>
      <c r="L925" s="14">
        <v>21</v>
      </c>
      <c r="M925" s="14" t="s">
        <v>2794</v>
      </c>
      <c r="N925" s="42" t="s">
        <v>2795</v>
      </c>
      <c r="O925" s="14" t="s">
        <v>2796</v>
      </c>
      <c r="P925" s="14"/>
      <c r="Q925" s="15"/>
      <c r="R925" s="14"/>
      <c r="S925" s="16"/>
      <c r="T925" s="14"/>
      <c r="U925" s="14">
        <v>3</v>
      </c>
      <c r="V925" s="14"/>
      <c r="W925" s="14" t="s">
        <v>37</v>
      </c>
      <c r="X925" s="13">
        <v>45891</v>
      </c>
      <c r="Y925" s="13"/>
      <c r="AB925" t="e">
        <v>#N/A</v>
      </c>
      <c r="AC925" t="e">
        <v>#N/A</v>
      </c>
      <c r="AE925" t="str">
        <f t="shared" si="111"/>
        <v>P001014</v>
      </c>
      <c r="AF925" t="str">
        <f>_xlfn.XLOOKUP(AE925, Hoja2!A:A, Hoja2!A:A)</f>
        <v>P001014</v>
      </c>
      <c r="AG925" t="str">
        <f t="shared" si="112"/>
        <v>PP00072-12</v>
      </c>
      <c r="AH925">
        <f>_xlfn.XLOOKUP(AG925, Hoja3!A:A, Hoja3!B:B)</f>
        <v>5720</v>
      </c>
      <c r="AI925">
        <f>_xlfn.XLOOKUP(AH925, Hoja4!A:A, Hoja4!B:B)</f>
        <v>7094200230</v>
      </c>
      <c r="AJ925" t="b">
        <f t="shared" si="113"/>
        <v>1</v>
      </c>
    </row>
    <row r="926" spans="1:36" ht="15.5" customHeight="1" x14ac:dyDescent="0.35">
      <c r="A926">
        <f t="shared" ca="1" si="110"/>
        <v>44</v>
      </c>
      <c r="B926" s="12" t="s">
        <v>2797</v>
      </c>
      <c r="C926" s="13">
        <v>45847</v>
      </c>
      <c r="D926" s="14" t="s">
        <v>121</v>
      </c>
      <c r="E926" s="14" t="s">
        <v>139</v>
      </c>
      <c r="F926" s="14" t="s">
        <v>2727</v>
      </c>
      <c r="G926" s="14" t="s">
        <v>299</v>
      </c>
      <c r="H926" s="14">
        <v>7094200630</v>
      </c>
      <c r="I926" s="14" t="s">
        <v>849</v>
      </c>
      <c r="J926" s="14" t="str">
        <f>IF(E926="KTG","KTG",(VLOOKUP(I926,'[1]list of outsource'!B:H,2,0)))</f>
        <v>ETC</v>
      </c>
      <c r="K926" s="14" t="s">
        <v>850</v>
      </c>
      <c r="L926" s="14">
        <v>21</v>
      </c>
      <c r="M926" s="14" t="s">
        <v>2798</v>
      </c>
      <c r="N926" s="42" t="s">
        <v>2799</v>
      </c>
      <c r="O926" s="14" t="s">
        <v>2800</v>
      </c>
      <c r="P926" s="14"/>
      <c r="Q926" s="15"/>
      <c r="R926" s="14"/>
      <c r="S926" s="16"/>
      <c r="T926" s="14"/>
      <c r="U926" s="14">
        <v>3</v>
      </c>
      <c r="V926" s="14"/>
      <c r="W926" s="14" t="s">
        <v>37</v>
      </c>
      <c r="X926" s="13">
        <v>45891</v>
      </c>
      <c r="Y926" s="13"/>
      <c r="AB926" t="e">
        <v>#N/A</v>
      </c>
      <c r="AC926" t="e">
        <v>#N/A</v>
      </c>
      <c r="AE926" t="str">
        <f t="shared" si="111"/>
        <v>P001018</v>
      </c>
      <c r="AF926" t="str">
        <f>_xlfn.XLOOKUP(AE926, Hoja2!A:A, Hoja2!A:A)</f>
        <v>P001018</v>
      </c>
      <c r="AG926" t="str">
        <f t="shared" si="112"/>
        <v>PP00072-13</v>
      </c>
      <c r="AH926">
        <f>_xlfn.XLOOKUP(AG926, Hoja3!A:A, Hoja3!B:B)</f>
        <v>5721</v>
      </c>
      <c r="AI926">
        <f>_xlfn.XLOOKUP(AH926, Hoja4!A:A, Hoja4!B:B)</f>
        <v>7094200630</v>
      </c>
      <c r="AJ926" t="b">
        <f t="shared" si="113"/>
        <v>1</v>
      </c>
    </row>
    <row r="927" spans="1:36" ht="15.5" customHeight="1" x14ac:dyDescent="0.35">
      <c r="A927">
        <f t="shared" ca="1" si="110"/>
        <v>44</v>
      </c>
      <c r="B927" s="12" t="s">
        <v>2801</v>
      </c>
      <c r="C927" s="13">
        <v>45847</v>
      </c>
      <c r="D927" s="14" t="s">
        <v>121</v>
      </c>
      <c r="E927" s="14" t="s">
        <v>139</v>
      </c>
      <c r="F927" s="14" t="s">
        <v>2727</v>
      </c>
      <c r="G927" s="14" t="s">
        <v>299</v>
      </c>
      <c r="H927" s="14">
        <v>7094201430</v>
      </c>
      <c r="I927" s="14" t="s">
        <v>849</v>
      </c>
      <c r="J927" s="14" t="str">
        <f>IF(E927="KTG","KTG",(VLOOKUP(I927,'[1]list of outsource'!B:H,2,0)))</f>
        <v>ETC</v>
      </c>
      <c r="K927" s="14" t="s">
        <v>850</v>
      </c>
      <c r="L927" s="14">
        <v>21</v>
      </c>
      <c r="M927" s="14" t="s">
        <v>2802</v>
      </c>
      <c r="N927" s="42" t="s">
        <v>2803</v>
      </c>
      <c r="O927" s="14" t="s">
        <v>2804</v>
      </c>
      <c r="P927" s="14"/>
      <c r="Q927" s="15"/>
      <c r="R927" s="14"/>
      <c r="S927" s="16"/>
      <c r="T927" s="14"/>
      <c r="U927" s="14">
        <v>3</v>
      </c>
      <c r="V927" s="14"/>
      <c r="W927" s="14" t="s">
        <v>37</v>
      </c>
      <c r="X927" s="13">
        <v>45891</v>
      </c>
      <c r="Y927" s="13"/>
      <c r="AB927" t="e">
        <v>#N/A</v>
      </c>
      <c r="AC927" t="e">
        <v>#N/A</v>
      </c>
      <c r="AE927" t="str">
        <f t="shared" si="111"/>
        <v>P001025</v>
      </c>
      <c r="AF927" t="str">
        <f>_xlfn.XLOOKUP(AE927, Hoja2!A:A, Hoja2!A:A)</f>
        <v>P001025</v>
      </c>
      <c r="AG927" t="str">
        <f t="shared" si="112"/>
        <v>PP00072-14</v>
      </c>
      <c r="AH927">
        <f>_xlfn.XLOOKUP(AG927, Hoja3!A:A, Hoja3!B:B)</f>
        <v>5722</v>
      </c>
      <c r="AI927">
        <f>_xlfn.XLOOKUP(AH927, Hoja4!A:A, Hoja4!B:B)</f>
        <v>7094201430</v>
      </c>
      <c r="AJ927" t="b">
        <f t="shared" si="113"/>
        <v>1</v>
      </c>
    </row>
    <row r="928" spans="1:36" ht="15.5" customHeight="1" x14ac:dyDescent="0.35">
      <c r="A928">
        <f t="shared" ca="1" si="110"/>
        <v>51</v>
      </c>
      <c r="B928" s="12" t="s">
        <v>2805</v>
      </c>
      <c r="C928" s="13">
        <v>45847</v>
      </c>
      <c r="D928" s="14" t="s">
        <v>121</v>
      </c>
      <c r="E928" s="14" t="s">
        <v>139</v>
      </c>
      <c r="F928" s="14" t="s">
        <v>2727</v>
      </c>
      <c r="G928" s="14" t="s">
        <v>299</v>
      </c>
      <c r="H928" s="14" t="s">
        <v>2806</v>
      </c>
      <c r="I928" s="14" t="s">
        <v>849</v>
      </c>
      <c r="J928" s="14" t="str">
        <f>IF(E928="KTG","KTG",(VLOOKUP(I928,'[1]list of outsource'!B:H,2,0)))</f>
        <v>ETC</v>
      </c>
      <c r="K928" s="14" t="s">
        <v>850</v>
      </c>
      <c r="L928" s="14">
        <v>21</v>
      </c>
      <c r="M928" s="14" t="s">
        <v>1022</v>
      </c>
      <c r="N928" s="42" t="s">
        <v>2807</v>
      </c>
      <c r="O928" s="14" t="s">
        <v>2808</v>
      </c>
      <c r="P928" s="14"/>
      <c r="Q928" s="15"/>
      <c r="R928" s="14"/>
      <c r="S928" s="16"/>
      <c r="T928" s="14"/>
      <c r="U928" s="14">
        <v>3</v>
      </c>
      <c r="V928" s="14"/>
      <c r="W928" s="14" t="s">
        <v>37</v>
      </c>
      <c r="X928" s="13">
        <v>45898</v>
      </c>
      <c r="Y928" s="13"/>
      <c r="AB928" t="e">
        <v>#N/A</v>
      </c>
      <c r="AC928" t="e">
        <v>#N/A</v>
      </c>
      <c r="AE928" t="str">
        <f t="shared" si="111"/>
        <v>P000621</v>
      </c>
      <c r="AF928" t="str">
        <f>_xlfn.XLOOKUP(AE928, Hoja2!A:A, Hoja2!A:A)</f>
        <v>P000621</v>
      </c>
      <c r="AG928" t="str">
        <f t="shared" si="112"/>
        <v>PP00072-15</v>
      </c>
      <c r="AH928">
        <f>_xlfn.XLOOKUP(AG928, Hoja3!A:A, Hoja3!B:B)</f>
        <v>5723</v>
      </c>
      <c r="AI928" t="str">
        <f>_xlfn.XLOOKUP(AH928, Hoja4!A:A, Hoja4!B:B)</f>
        <v>45044L03030</v>
      </c>
      <c r="AJ928" t="b">
        <f t="shared" si="113"/>
        <v>1</v>
      </c>
    </row>
    <row r="929" spans="1:36" ht="15.5" customHeight="1" x14ac:dyDescent="0.35">
      <c r="A929" s="32">
        <f t="shared" ca="1" si="110"/>
        <v>51</v>
      </c>
      <c r="B929" s="17" t="s">
        <v>2809</v>
      </c>
      <c r="C929" s="20">
        <v>45847</v>
      </c>
      <c r="D929" s="17" t="s">
        <v>564</v>
      </c>
      <c r="E929" s="17" t="s">
        <v>139</v>
      </c>
      <c r="F929" s="17" t="s">
        <v>2727</v>
      </c>
      <c r="G929" s="17" t="s">
        <v>299</v>
      </c>
      <c r="H929" s="17" t="s">
        <v>2810</v>
      </c>
      <c r="I929" s="17" t="s">
        <v>849</v>
      </c>
      <c r="J929" s="17" t="str">
        <f>IF(E929="KTG","KTG",(VLOOKUP(I929,'[1]list of outsource'!B:H,2,0)))</f>
        <v>ETC</v>
      </c>
      <c r="K929" s="17" t="s">
        <v>850</v>
      </c>
      <c r="L929" s="34">
        <v>21</v>
      </c>
      <c r="M929" s="17" t="s">
        <v>851</v>
      </c>
      <c r="N929" s="44" t="s">
        <v>2811</v>
      </c>
      <c r="O929" s="17" t="s">
        <v>2812</v>
      </c>
      <c r="P929" s="17"/>
      <c r="Q929" s="33"/>
      <c r="R929" s="17"/>
      <c r="S929" s="35"/>
      <c r="T929" s="17"/>
      <c r="U929" s="17">
        <v>3</v>
      </c>
      <c r="V929" s="17"/>
      <c r="W929" s="17" t="s">
        <v>37</v>
      </c>
      <c r="X929" s="20">
        <v>45898</v>
      </c>
      <c r="Y929" s="20">
        <v>45968</v>
      </c>
      <c r="Z929" s="32"/>
      <c r="AA929" s="32"/>
      <c r="AB929" s="32" t="e">
        <v>#N/A</v>
      </c>
      <c r="AC929" t="e">
        <v>#N/A</v>
      </c>
      <c r="AE929" t="str">
        <f t="shared" si="111"/>
        <v>P000294</v>
      </c>
      <c r="AF929" t="str">
        <f>_xlfn.XLOOKUP(AE929, Hoja2!A:A, Hoja2!A:A)</f>
        <v>P000294</v>
      </c>
      <c r="AG929" t="str">
        <f t="shared" si="112"/>
        <v>PP00072-16</v>
      </c>
      <c r="AH929">
        <f>_xlfn.XLOOKUP(AG929, Hoja3!A:A, Hoja3!B:B)</f>
        <v>5724</v>
      </c>
      <c r="AI929" t="str">
        <f>_xlfn.XLOOKUP(AH929, Hoja4!A:A, Hoja4!B:B)</f>
        <v>45044L12430</v>
      </c>
      <c r="AJ929" t="b">
        <f t="shared" si="113"/>
        <v>1</v>
      </c>
    </row>
    <row r="930" spans="1:36" ht="15.5" customHeight="1" x14ac:dyDescent="0.35">
      <c r="A930">
        <f t="shared" ca="1" si="110"/>
        <v>51</v>
      </c>
      <c r="B930" s="12" t="s">
        <v>2813</v>
      </c>
      <c r="C930" s="13">
        <v>45847</v>
      </c>
      <c r="D930" s="14" t="s">
        <v>121</v>
      </c>
      <c r="E930" s="14" t="s">
        <v>139</v>
      </c>
      <c r="F930" s="14" t="s">
        <v>2727</v>
      </c>
      <c r="G930" s="14" t="s">
        <v>299</v>
      </c>
      <c r="H930" s="14" t="s">
        <v>2814</v>
      </c>
      <c r="I930" s="14" t="s">
        <v>849</v>
      </c>
      <c r="J930" s="14" t="str">
        <f>IF(E930="KTG","KTG",(VLOOKUP(I930,'[1]list of outsource'!B:H,2,0)))</f>
        <v>ETC</v>
      </c>
      <c r="K930" s="14" t="s">
        <v>850</v>
      </c>
      <c r="L930" s="14">
        <v>21</v>
      </c>
      <c r="M930" s="14" t="s">
        <v>1031</v>
      </c>
      <c r="N930" s="42" t="s">
        <v>2815</v>
      </c>
      <c r="O930" s="14" t="s">
        <v>2816</v>
      </c>
      <c r="P930" s="14"/>
      <c r="Q930" s="15"/>
      <c r="R930" s="14"/>
      <c r="S930" s="16"/>
      <c r="T930" s="14"/>
      <c r="U930" s="14">
        <v>3</v>
      </c>
      <c r="V930" s="14"/>
      <c r="W930" s="14" t="s">
        <v>37</v>
      </c>
      <c r="X930" s="13">
        <v>45898</v>
      </c>
      <c r="Y930" s="13"/>
      <c r="AB930" t="e">
        <v>#N/A</v>
      </c>
      <c r="AC930" t="e">
        <v>#N/A</v>
      </c>
      <c r="AE930" t="str">
        <f t="shared" si="111"/>
        <v>P000622</v>
      </c>
      <c r="AF930" t="str">
        <f>_xlfn.XLOOKUP(AE930, Hoja2!A:A, Hoja2!A:A)</f>
        <v>P000622</v>
      </c>
      <c r="AG930" t="str">
        <f t="shared" si="112"/>
        <v>PP00072-17</v>
      </c>
      <c r="AH930">
        <f>_xlfn.XLOOKUP(AG930, Hoja3!A:A, Hoja3!B:B)</f>
        <v>5725</v>
      </c>
      <c r="AI930" t="str">
        <f>_xlfn.XLOOKUP(AH930, Hoja4!A:A, Hoja4!B:B)</f>
        <v>45044L25030</v>
      </c>
      <c r="AJ930" t="b">
        <f t="shared" si="113"/>
        <v>1</v>
      </c>
    </row>
    <row r="931" spans="1:36" ht="15.5" customHeight="1" x14ac:dyDescent="0.35">
      <c r="A931" s="32">
        <f t="shared" ca="1" si="110"/>
        <v>51</v>
      </c>
      <c r="B931" s="17" t="s">
        <v>2817</v>
      </c>
      <c r="C931" s="20">
        <v>45847</v>
      </c>
      <c r="D931" s="17" t="s">
        <v>564</v>
      </c>
      <c r="E931" s="17" t="s">
        <v>139</v>
      </c>
      <c r="F931" s="17" t="s">
        <v>2727</v>
      </c>
      <c r="G931" s="17" t="s">
        <v>299</v>
      </c>
      <c r="H931" s="17" t="s">
        <v>2818</v>
      </c>
      <c r="I931" s="17" t="s">
        <v>849</v>
      </c>
      <c r="J931" s="17" t="str">
        <f>IF(E931="KTG","KTG",(VLOOKUP(I931,'[1]list of outsource'!B:H,2,0)))</f>
        <v>ETC</v>
      </c>
      <c r="K931" s="17" t="s">
        <v>850</v>
      </c>
      <c r="L931" s="34">
        <v>21</v>
      </c>
      <c r="M931" s="17" t="s">
        <v>949</v>
      </c>
      <c r="N931" s="44" t="s">
        <v>2819</v>
      </c>
      <c r="O931" s="17" t="s">
        <v>2820</v>
      </c>
      <c r="P931" s="17"/>
      <c r="Q931" s="33"/>
      <c r="R931" s="17"/>
      <c r="S931" s="35"/>
      <c r="T931" s="17"/>
      <c r="U931" s="17">
        <v>3</v>
      </c>
      <c r="V931" s="17"/>
      <c r="W931" s="17" t="s">
        <v>37</v>
      </c>
      <c r="X931" s="20">
        <v>45898</v>
      </c>
      <c r="Y931" s="20">
        <v>45968</v>
      </c>
      <c r="Z931" s="32"/>
      <c r="AA931" s="32"/>
      <c r="AB931" s="32" t="e">
        <v>#N/A</v>
      </c>
      <c r="AC931" s="32" t="e">
        <v>#N/A</v>
      </c>
      <c r="AE931" t="str">
        <f t="shared" si="111"/>
        <v>P000623</v>
      </c>
      <c r="AF931" t="str">
        <f>_xlfn.XLOOKUP(AE931, Hoja2!A:A, Hoja2!A:A)</f>
        <v>P000623</v>
      </c>
      <c r="AG931" t="str">
        <f t="shared" si="112"/>
        <v>PP00072-18</v>
      </c>
      <c r="AH931">
        <f>_xlfn.XLOOKUP(AG931, Hoja3!A:A, Hoja3!B:B)</f>
        <v>5726</v>
      </c>
      <c r="AI931" t="str">
        <f>_xlfn.XLOOKUP(AH931, Hoja4!A:A, Hoja4!B:B)</f>
        <v>45044L25050</v>
      </c>
      <c r="AJ931" t="b">
        <f t="shared" si="113"/>
        <v>1</v>
      </c>
    </row>
    <row r="932" spans="1:36" ht="15.5" customHeight="1" x14ac:dyDescent="0.35">
      <c r="A932">
        <f t="shared" ca="1" si="110"/>
        <v>36</v>
      </c>
      <c r="B932" s="12" t="s">
        <v>2821</v>
      </c>
      <c r="C932" s="13">
        <v>45847</v>
      </c>
      <c r="D932" s="14" t="s">
        <v>121</v>
      </c>
      <c r="E932" s="14" t="s">
        <v>139</v>
      </c>
      <c r="F932" s="14" t="s">
        <v>2727</v>
      </c>
      <c r="G932" s="14" t="s">
        <v>299</v>
      </c>
      <c r="H932" s="14">
        <v>7094176930</v>
      </c>
      <c r="I932" s="14" t="s">
        <v>402</v>
      </c>
      <c r="J932" s="14" t="str">
        <f>IF(E932="KTG","KTG",(VLOOKUP(I932,'[1]list of outsource'!B:H,2,0)))</f>
        <v>ETC</v>
      </c>
      <c r="K932" s="14" t="s">
        <v>403</v>
      </c>
      <c r="L932" s="14">
        <v>73</v>
      </c>
      <c r="M932" s="14" t="s">
        <v>2822</v>
      </c>
      <c r="N932" s="14" t="s">
        <v>2823</v>
      </c>
      <c r="O932" s="14" t="s">
        <v>2824</v>
      </c>
      <c r="P932" s="14"/>
      <c r="Q932" s="15"/>
      <c r="R932" s="14"/>
      <c r="S932" s="16"/>
      <c r="T932" s="14"/>
      <c r="U932" s="14">
        <v>3</v>
      </c>
      <c r="V932" s="14"/>
      <c r="W932" s="14" t="s">
        <v>37</v>
      </c>
      <c r="X932" s="13">
        <v>45883</v>
      </c>
      <c r="Y932" s="13"/>
      <c r="AB932" t="e">
        <v>#N/A</v>
      </c>
      <c r="AC932" t="e">
        <v>#N/A</v>
      </c>
      <c r="AE932" t="str">
        <f t="shared" si="111"/>
        <v>P000356</v>
      </c>
      <c r="AF932" t="str">
        <f>_xlfn.XLOOKUP(AE932, Hoja2!A:A, Hoja2!A:A)</f>
        <v>P000356</v>
      </c>
      <c r="AG932" t="str">
        <f t="shared" si="112"/>
        <v>PP00072-26</v>
      </c>
      <c r="AH932">
        <f>_xlfn.XLOOKUP(AG932, Hoja3!A:A, Hoja3!B:B)</f>
        <v>5733</v>
      </c>
      <c r="AI932">
        <f>_xlfn.XLOOKUP(AH932, Hoja4!A:A, Hoja4!B:B)</f>
        <v>7094176930</v>
      </c>
      <c r="AJ932" t="b">
        <f t="shared" si="113"/>
        <v>1</v>
      </c>
    </row>
    <row r="933" spans="1:36" ht="15.5" customHeight="1" x14ac:dyDescent="0.35">
      <c r="A933">
        <f t="shared" ca="1" si="110"/>
        <v>36</v>
      </c>
      <c r="B933" s="12" t="s">
        <v>2825</v>
      </c>
      <c r="C933" s="13">
        <v>45847</v>
      </c>
      <c r="D933" s="14" t="s">
        <v>121</v>
      </c>
      <c r="E933" s="14" t="s">
        <v>139</v>
      </c>
      <c r="F933" s="14" t="s">
        <v>2727</v>
      </c>
      <c r="G933" s="14" t="s">
        <v>299</v>
      </c>
      <c r="H933" s="14">
        <v>7094176830</v>
      </c>
      <c r="I933" s="14" t="s">
        <v>402</v>
      </c>
      <c r="J933" s="14" t="str">
        <f>IF(E933="KTG","KTG",(VLOOKUP(I933,'[1]list of outsource'!B:H,2,0)))</f>
        <v>ETC</v>
      </c>
      <c r="K933" s="14" t="s">
        <v>403</v>
      </c>
      <c r="L933" s="14">
        <v>73</v>
      </c>
      <c r="M933" s="14" t="s">
        <v>2826</v>
      </c>
      <c r="N933" s="14" t="s">
        <v>2827</v>
      </c>
      <c r="O933" s="14" t="s">
        <v>2828</v>
      </c>
      <c r="P933" s="14"/>
      <c r="Q933" s="15"/>
      <c r="R933" s="14"/>
      <c r="S933" s="16"/>
      <c r="T933" s="14"/>
      <c r="U933" s="14">
        <v>3</v>
      </c>
      <c r="V933" s="14"/>
      <c r="W933" s="14" t="s">
        <v>37</v>
      </c>
      <c r="X933" s="13">
        <v>45883</v>
      </c>
      <c r="Y933" s="13"/>
      <c r="AB933" t="e">
        <v>#N/A</v>
      </c>
      <c r="AC933" s="32" t="e">
        <v>#N/A</v>
      </c>
      <c r="AE933" t="str">
        <f t="shared" si="111"/>
        <v>P000406</v>
      </c>
      <c r="AF933" t="str">
        <f>_xlfn.XLOOKUP(AE933, Hoja2!A:A, Hoja2!A:A)</f>
        <v>P000406</v>
      </c>
      <c r="AG933" t="str">
        <f t="shared" si="112"/>
        <v>PP00072-27</v>
      </c>
      <c r="AH933">
        <f>_xlfn.XLOOKUP(AG933, Hoja3!A:A, Hoja3!B:B)</f>
        <v>5734</v>
      </c>
      <c r="AI933">
        <f>_xlfn.XLOOKUP(AH933, Hoja4!A:A, Hoja4!B:B)</f>
        <v>7094176830</v>
      </c>
      <c r="AJ933" t="b">
        <f t="shared" si="113"/>
        <v>1</v>
      </c>
    </row>
    <row r="934" spans="1:36" ht="15.5" customHeight="1" x14ac:dyDescent="0.35">
      <c r="A934">
        <f t="shared" ca="1" si="110"/>
        <v>36</v>
      </c>
      <c r="B934" s="12" t="s">
        <v>2829</v>
      </c>
      <c r="C934" s="13">
        <v>45847</v>
      </c>
      <c r="D934" s="14" t="s">
        <v>121</v>
      </c>
      <c r="E934" s="14" t="s">
        <v>139</v>
      </c>
      <c r="F934" s="14" t="s">
        <v>2727</v>
      </c>
      <c r="G934" s="14" t="s">
        <v>299</v>
      </c>
      <c r="H934" s="14">
        <v>7094183530</v>
      </c>
      <c r="I934" s="14" t="s">
        <v>402</v>
      </c>
      <c r="J934" s="14" t="str">
        <f>IF(E934="KTG","KTG",(VLOOKUP(I934,'[1]list of outsource'!B:H,2,0)))</f>
        <v>ETC</v>
      </c>
      <c r="K934" s="14" t="s">
        <v>403</v>
      </c>
      <c r="L934" s="14">
        <v>73</v>
      </c>
      <c r="M934" s="14" t="s">
        <v>2830</v>
      </c>
      <c r="N934" s="14" t="s">
        <v>2831</v>
      </c>
      <c r="O934" s="14" t="s">
        <v>2832</v>
      </c>
      <c r="P934" s="14"/>
      <c r="Q934" s="15"/>
      <c r="R934" s="14"/>
      <c r="S934" s="16"/>
      <c r="T934" s="14"/>
      <c r="U934" s="14">
        <v>3</v>
      </c>
      <c r="V934" s="14"/>
      <c r="W934" s="14" t="s">
        <v>37</v>
      </c>
      <c r="X934" s="13">
        <v>45883</v>
      </c>
      <c r="Y934" s="13"/>
      <c r="AB934" t="e">
        <v>#N/A</v>
      </c>
      <c r="AC934" t="e">
        <v>#N/A</v>
      </c>
      <c r="AE934" t="str">
        <f t="shared" si="111"/>
        <v>P001012</v>
      </c>
      <c r="AF934" t="str">
        <f>_xlfn.XLOOKUP(AE934, Hoja2!A:A, Hoja2!A:A)</f>
        <v>P001012</v>
      </c>
      <c r="AG934" t="str">
        <f t="shared" si="112"/>
        <v>PP00072-29</v>
      </c>
      <c r="AH934">
        <f>_xlfn.XLOOKUP(AG934, Hoja3!A:A, Hoja3!B:B)</f>
        <v>4554</v>
      </c>
      <c r="AI934">
        <f>_xlfn.XLOOKUP(AH934, Hoja4!A:A, Hoja4!B:B)</f>
        <v>7094183530</v>
      </c>
      <c r="AJ934" t="b">
        <f t="shared" si="113"/>
        <v>1</v>
      </c>
    </row>
    <row r="935" spans="1:36" ht="15.5" customHeight="1" x14ac:dyDescent="0.35">
      <c r="A935" s="43">
        <f t="shared" ca="1" si="110"/>
        <v>36</v>
      </c>
      <c r="B935" s="17" t="s">
        <v>2833</v>
      </c>
      <c r="C935" s="20">
        <v>45847</v>
      </c>
      <c r="D935" s="17" t="s">
        <v>564</v>
      </c>
      <c r="E935" s="17" t="s">
        <v>139</v>
      </c>
      <c r="F935" s="17" t="s">
        <v>2727</v>
      </c>
      <c r="G935" s="17" t="s">
        <v>299</v>
      </c>
      <c r="H935" s="17">
        <v>7094176730</v>
      </c>
      <c r="I935" s="17" t="s">
        <v>402</v>
      </c>
      <c r="J935" s="17" t="str">
        <f>IF(E935="KTG","KTG",(VLOOKUP(I935,'[1]list of outsource'!B:H,2,0)))</f>
        <v>ETC</v>
      </c>
      <c r="K935" s="17" t="s">
        <v>403</v>
      </c>
      <c r="L935" s="34">
        <v>73</v>
      </c>
      <c r="M935" s="17" t="s">
        <v>2834</v>
      </c>
      <c r="N935" s="44" t="s">
        <v>2835</v>
      </c>
      <c r="O935" s="17" t="s">
        <v>2836</v>
      </c>
      <c r="P935" s="17"/>
      <c r="Q935" s="33"/>
      <c r="R935" s="17"/>
      <c r="S935" s="35"/>
      <c r="T935" s="17"/>
      <c r="U935" s="17">
        <v>3</v>
      </c>
      <c r="V935" s="17"/>
      <c r="W935" s="17" t="s">
        <v>37</v>
      </c>
      <c r="X935" s="20">
        <v>45883</v>
      </c>
      <c r="Y935" s="20">
        <v>45968</v>
      </c>
      <c r="Z935" s="43"/>
      <c r="AA935" s="43"/>
      <c r="AB935" s="43" t="e">
        <v>#N/A</v>
      </c>
      <c r="AC935" t="e">
        <v>#N/A</v>
      </c>
      <c r="AE935" t="str">
        <f t="shared" si="111"/>
        <v>P000822</v>
      </c>
      <c r="AF935" t="str">
        <f>_xlfn.XLOOKUP(AE935, Hoja2!A:A, Hoja2!A:A)</f>
        <v>P000822</v>
      </c>
      <c r="AG935" t="str">
        <f t="shared" si="112"/>
        <v>PP00072-0036</v>
      </c>
      <c r="AH935">
        <f>_xlfn.XLOOKUP(AG935, Hoja3!A:A, Hoja3!B:B)</f>
        <v>4553</v>
      </c>
      <c r="AI935">
        <f>_xlfn.XLOOKUP(AH935, Hoja4!A:A, Hoja4!B:B)</f>
        <v>7094176730</v>
      </c>
      <c r="AJ935" t="b">
        <f t="shared" si="113"/>
        <v>1</v>
      </c>
    </row>
    <row r="936" spans="1:36" ht="15.5" customHeight="1" x14ac:dyDescent="0.35">
      <c r="A936" s="43">
        <f t="shared" ca="1" si="110"/>
        <v>23</v>
      </c>
      <c r="B936" s="17" t="s">
        <v>2837</v>
      </c>
      <c r="C936" s="20">
        <v>45847</v>
      </c>
      <c r="D936" s="17" t="s">
        <v>564</v>
      </c>
      <c r="E936" s="17" t="s">
        <v>139</v>
      </c>
      <c r="F936" s="17" t="s">
        <v>1697</v>
      </c>
      <c r="G936" s="17" t="s">
        <v>299</v>
      </c>
      <c r="H936" s="17">
        <v>7094175930</v>
      </c>
      <c r="I936" s="17" t="s">
        <v>402</v>
      </c>
      <c r="J936" s="17" t="str">
        <f>IF(E936="KTG","KTG",(VLOOKUP(I936,'[1]list of outsource'!B:H,2,0)))</f>
        <v>ETC</v>
      </c>
      <c r="K936" s="17" t="s">
        <v>403</v>
      </c>
      <c r="L936" s="34">
        <v>73</v>
      </c>
      <c r="M936" s="17" t="s">
        <v>1755</v>
      </c>
      <c r="N936" s="44" t="s">
        <v>1756</v>
      </c>
      <c r="O936" s="17" t="s">
        <v>2838</v>
      </c>
      <c r="P936" s="17"/>
      <c r="Q936" s="33"/>
      <c r="R936" s="17"/>
      <c r="S936" s="35"/>
      <c r="T936" s="17"/>
      <c r="U936" s="17">
        <v>3</v>
      </c>
      <c r="V936" s="17"/>
      <c r="W936" s="17" t="s">
        <v>37</v>
      </c>
      <c r="X936" s="20">
        <v>45870</v>
      </c>
      <c r="Y936" s="20">
        <v>45968</v>
      </c>
      <c r="Z936" s="43"/>
      <c r="AA936" s="43"/>
      <c r="AB936" s="43">
        <v>0</v>
      </c>
      <c r="AC936" t="e">
        <v>#N/A</v>
      </c>
      <c r="AE936" t="str">
        <f t="shared" si="111"/>
        <v>P000415</v>
      </c>
      <c r="AF936" t="str">
        <f>_xlfn.XLOOKUP(AE936, Hoja2!A:A, Hoja2!A:A)</f>
        <v>P000415</v>
      </c>
      <c r="AG936" t="str">
        <f t="shared" si="112"/>
        <v>PP00072-37</v>
      </c>
      <c r="AH936">
        <f>_xlfn.XLOOKUP(AG936, Hoja3!A:A, Hoja3!B:B)</f>
        <v>5711</v>
      </c>
      <c r="AI936">
        <f>_xlfn.XLOOKUP(AH936, Hoja4!A:A, Hoja4!B:B)</f>
        <v>7094175930</v>
      </c>
      <c r="AJ936" t="b">
        <f t="shared" si="113"/>
        <v>1</v>
      </c>
    </row>
    <row r="937" spans="1:36" ht="15.5" customHeight="1" x14ac:dyDescent="0.35">
      <c r="A937">
        <f t="shared" ca="1" si="110"/>
        <v>82</v>
      </c>
      <c r="B937" s="12" t="s">
        <v>2839</v>
      </c>
      <c r="C937" s="13">
        <v>45847</v>
      </c>
      <c r="D937" s="14" t="s">
        <v>121</v>
      </c>
      <c r="E937" s="14" t="s">
        <v>139</v>
      </c>
      <c r="F937" s="14" t="s">
        <v>2727</v>
      </c>
      <c r="G937" s="14" t="s">
        <v>299</v>
      </c>
      <c r="H937" s="14" t="s">
        <v>2840</v>
      </c>
      <c r="I937" s="14" t="s">
        <v>2765</v>
      </c>
      <c r="J937" s="14" t="e">
        <f>IF(E937="KTG","KTG",(VLOOKUP(I937,'[1]list of outsource'!B:H,2,0)))</f>
        <v>#N/A</v>
      </c>
      <c r="K937" s="14" t="s">
        <v>2766</v>
      </c>
      <c r="L937" s="14">
        <v>1</v>
      </c>
      <c r="M937" s="14" t="s">
        <v>2841</v>
      </c>
      <c r="N937" s="42" t="s">
        <v>2842</v>
      </c>
      <c r="O937" s="14" t="s">
        <v>2843</v>
      </c>
      <c r="P937" s="14"/>
      <c r="Q937" s="15">
        <v>45914</v>
      </c>
      <c r="R937" s="14"/>
      <c r="S937" s="16"/>
      <c r="T937" s="14"/>
      <c r="U937" s="14">
        <v>3</v>
      </c>
      <c r="V937" s="14"/>
      <c r="W937" s="14" t="s">
        <v>37</v>
      </c>
      <c r="X937" s="13">
        <v>45929</v>
      </c>
      <c r="Y937" s="13"/>
      <c r="AB937" t="e">
        <v>#N/A</v>
      </c>
      <c r="AC937" s="43" t="e">
        <v>#N/A</v>
      </c>
      <c r="AE937" t="str">
        <f t="shared" si="111"/>
        <v>P001028</v>
      </c>
      <c r="AF937" t="str">
        <f>_xlfn.XLOOKUP(AE937, Hoja2!A:A, Hoja2!A:A)</f>
        <v>P001028</v>
      </c>
      <c r="AG937" t="str">
        <f t="shared" si="112"/>
        <v>PP00072-20</v>
      </c>
      <c r="AH937">
        <f>_xlfn.XLOOKUP(AG937, Hoja3!A:A, Hoja3!B:B)</f>
        <v>5728</v>
      </c>
      <c r="AI937" t="str">
        <f>_xlfn.XLOOKUP(AH937, Hoja4!A:A, Hoja4!B:B)</f>
        <v>7094203030 27-aug-25</v>
      </c>
      <c r="AJ937" t="b">
        <f t="shared" si="113"/>
        <v>1</v>
      </c>
    </row>
    <row r="938" spans="1:36" ht="15.5" customHeight="1" x14ac:dyDescent="0.35">
      <c r="A938">
        <f t="shared" ca="1" si="110"/>
        <v>44</v>
      </c>
      <c r="B938" s="12" t="s">
        <v>2844</v>
      </c>
      <c r="C938" s="13">
        <v>45847</v>
      </c>
      <c r="D938" s="14" t="s">
        <v>121</v>
      </c>
      <c r="E938" s="14" t="s">
        <v>139</v>
      </c>
      <c r="F938" s="14" t="s">
        <v>2727</v>
      </c>
      <c r="G938" s="14" t="s">
        <v>299</v>
      </c>
      <c r="H938" s="14">
        <v>7094171730</v>
      </c>
      <c r="I938" s="14" t="s">
        <v>402</v>
      </c>
      <c r="J938" s="14" t="str">
        <f>IF(E938="KTG","KTG",(VLOOKUP(I938,'[1]list of outsource'!B:H,2,0)))</f>
        <v>ETC</v>
      </c>
      <c r="K938" s="14" t="s">
        <v>403</v>
      </c>
      <c r="L938" s="49">
        <v>73</v>
      </c>
      <c r="M938" s="14" t="s">
        <v>2845</v>
      </c>
      <c r="N938" s="42" t="s">
        <v>2846</v>
      </c>
      <c r="O938" s="14" t="s">
        <v>2847</v>
      </c>
      <c r="P938" s="14"/>
      <c r="Q938" s="15"/>
      <c r="R938" s="14"/>
      <c r="S938" s="16"/>
      <c r="T938" s="14"/>
      <c r="U938" s="14">
        <v>3</v>
      </c>
      <c r="V938" s="14"/>
      <c r="W938" s="14" t="s">
        <v>37</v>
      </c>
      <c r="X938" s="13">
        <v>45891</v>
      </c>
      <c r="Y938" s="13"/>
      <c r="AB938" t="e">
        <v>#N/A</v>
      </c>
      <c r="AC938" s="43" t="s">
        <v>4210</v>
      </c>
      <c r="AE938" t="str">
        <f t="shared" si="111"/>
        <v>P200161</v>
      </c>
      <c r="AF938" t="str">
        <f>_xlfn.XLOOKUP(AE938, Hoja2!A:A, Hoja2!A:A)</f>
        <v>P200161</v>
      </c>
      <c r="AG938" t="str">
        <f t="shared" si="112"/>
        <v>PP00072-39</v>
      </c>
      <c r="AH938">
        <f>_xlfn.XLOOKUP(AG938, Hoja3!A:A, Hoja3!B:B)</f>
        <v>5735</v>
      </c>
      <c r="AI938">
        <f>_xlfn.XLOOKUP(AH938, Hoja4!A:A, Hoja4!B:B)</f>
        <v>7094171730</v>
      </c>
      <c r="AJ938" t="b">
        <f t="shared" si="113"/>
        <v>1</v>
      </c>
    </row>
    <row r="939" spans="1:36" ht="15.5" customHeight="1" x14ac:dyDescent="0.35">
      <c r="A939" s="43">
        <f t="shared" ca="1" si="110"/>
        <v>22</v>
      </c>
      <c r="B939" s="17" t="s">
        <v>2848</v>
      </c>
      <c r="C939" s="20">
        <v>45847</v>
      </c>
      <c r="D939" s="17" t="s">
        <v>564</v>
      </c>
      <c r="E939" s="17" t="s">
        <v>139</v>
      </c>
      <c r="F939" s="17" t="s">
        <v>1697</v>
      </c>
      <c r="G939" s="17" t="s">
        <v>299</v>
      </c>
      <c r="H939" s="17">
        <v>7094176530</v>
      </c>
      <c r="I939" s="17" t="s">
        <v>402</v>
      </c>
      <c r="J939" s="17" t="str">
        <f>IF(E939="KTG","KTG",(VLOOKUP(I939,'[1]list of outsource'!B:H,2,0)))</f>
        <v>ETC</v>
      </c>
      <c r="K939" s="17" t="s">
        <v>403</v>
      </c>
      <c r="L939" s="34">
        <v>73</v>
      </c>
      <c r="M939" s="17" t="s">
        <v>1982</v>
      </c>
      <c r="N939" s="44" t="s">
        <v>2849</v>
      </c>
      <c r="O939" s="17" t="s">
        <v>2850</v>
      </c>
      <c r="P939" s="17"/>
      <c r="Q939" s="33"/>
      <c r="R939" s="17"/>
      <c r="S939" s="35"/>
      <c r="T939" s="17"/>
      <c r="U939" s="17">
        <v>3</v>
      </c>
      <c r="V939" s="17"/>
      <c r="W939" s="17" t="s">
        <v>37</v>
      </c>
      <c r="X939" s="20">
        <v>45869</v>
      </c>
      <c r="Y939" s="20">
        <v>45968</v>
      </c>
      <c r="Z939" s="43"/>
      <c r="AA939" s="43"/>
      <c r="AB939" s="43" t="e">
        <v>#N/A</v>
      </c>
      <c r="AC939" t="e">
        <v>#N/A</v>
      </c>
      <c r="AE939" t="str">
        <f t="shared" si="111"/>
        <v>P000358</v>
      </c>
      <c r="AF939" t="str">
        <f>_xlfn.XLOOKUP(AE939, Hoja2!A:A, Hoja2!A:A)</f>
        <v>P000358</v>
      </c>
      <c r="AG939" t="str">
        <f t="shared" si="112"/>
        <v>PP00072-35</v>
      </c>
      <c r="AH939">
        <f>_xlfn.XLOOKUP(AG939, Hoja3!A:A, Hoja3!B:B)</f>
        <v>5710</v>
      </c>
      <c r="AI939">
        <f>_xlfn.XLOOKUP(AH939, Hoja4!A:A, Hoja4!B:B)</f>
        <v>7094176530</v>
      </c>
      <c r="AJ939" t="b">
        <f t="shared" si="113"/>
        <v>1</v>
      </c>
    </row>
    <row r="940" spans="1:36" ht="15.5" customHeight="1" x14ac:dyDescent="0.35">
      <c r="A940">
        <f t="shared" ca="1" si="110"/>
        <v>22</v>
      </c>
      <c r="B940" s="12" t="s">
        <v>2851</v>
      </c>
      <c r="C940" s="13">
        <v>45847</v>
      </c>
      <c r="D940" s="14" t="s">
        <v>121</v>
      </c>
      <c r="E940" s="14" t="s">
        <v>139</v>
      </c>
      <c r="F940" s="14" t="s">
        <v>1697</v>
      </c>
      <c r="G940" s="14" t="s">
        <v>299</v>
      </c>
      <c r="H940" s="14">
        <v>7094176030</v>
      </c>
      <c r="I940" s="14" t="s">
        <v>402</v>
      </c>
      <c r="J940" s="14" t="str">
        <f>IF(E940="KTG","KTG",(VLOOKUP(I940,'[1]list of outsource'!B:H,2,0)))</f>
        <v>ETC</v>
      </c>
      <c r="K940" s="14" t="s">
        <v>403</v>
      </c>
      <c r="L940" s="49">
        <v>73</v>
      </c>
      <c r="M940" s="14" t="s">
        <v>1760</v>
      </c>
      <c r="N940" s="14" t="s">
        <v>2852</v>
      </c>
      <c r="O940" s="14" t="s">
        <v>2853</v>
      </c>
      <c r="P940" s="14"/>
      <c r="Q940" s="15"/>
      <c r="R940" s="14"/>
      <c r="S940" s="16"/>
      <c r="T940" s="14"/>
      <c r="U940" s="14">
        <v>3</v>
      </c>
      <c r="V940" s="14"/>
      <c r="W940" s="14" t="s">
        <v>37</v>
      </c>
      <c r="X940" s="13">
        <v>45869</v>
      </c>
      <c r="Y940" s="13"/>
      <c r="AB940" t="e">
        <v>#N/A</v>
      </c>
      <c r="AC940" t="e">
        <v>#N/A</v>
      </c>
      <c r="AE940" t="str">
        <f t="shared" si="111"/>
        <v>P000355</v>
      </c>
      <c r="AF940" t="str">
        <f>_xlfn.XLOOKUP(AE940, Hoja2!A:A, Hoja2!A:A)</f>
        <v>P000355</v>
      </c>
      <c r="AG940" t="str">
        <f t="shared" si="112"/>
        <v>PP00072-38</v>
      </c>
      <c r="AH940">
        <f>_xlfn.XLOOKUP(AG940, Hoja3!A:A, Hoja3!B:B)</f>
        <v>4648</v>
      </c>
      <c r="AI940">
        <f>_xlfn.XLOOKUP(AH940, Hoja4!A:A, Hoja4!B:B)</f>
        <v>7094176030</v>
      </c>
      <c r="AJ940" t="b">
        <f t="shared" si="113"/>
        <v>1</v>
      </c>
    </row>
    <row r="941" spans="1:36" ht="15.5" customHeight="1" x14ac:dyDescent="0.35">
      <c r="A941" s="32">
        <f t="shared" ca="1" si="110"/>
        <v>40</v>
      </c>
      <c r="B941" s="12" t="s">
        <v>2854</v>
      </c>
      <c r="C941" s="48">
        <v>45847</v>
      </c>
      <c r="D941" s="12" t="s">
        <v>121</v>
      </c>
      <c r="E941" s="12" t="s">
        <v>139</v>
      </c>
      <c r="F941" s="12" t="s">
        <v>2727</v>
      </c>
      <c r="G941" s="12" t="s">
        <v>299</v>
      </c>
      <c r="H941" s="12">
        <v>7173811880</v>
      </c>
      <c r="I941" s="12" t="s">
        <v>2855</v>
      </c>
      <c r="J941" s="12" t="e">
        <f>IF(E941="KTG","KTG",(VLOOKUP(I941,'[1]list of outsource'!B:H,2,0)))</f>
        <v>#N/A</v>
      </c>
      <c r="K941" s="12" t="s">
        <v>2856</v>
      </c>
      <c r="L941" s="12">
        <v>5</v>
      </c>
      <c r="M941" s="12" t="s">
        <v>2857</v>
      </c>
      <c r="N941" s="46" t="s">
        <v>2858</v>
      </c>
      <c r="O941" s="12" t="s">
        <v>2859</v>
      </c>
      <c r="P941" s="12"/>
      <c r="Q941" s="45"/>
      <c r="R941" s="12"/>
      <c r="S941" s="47"/>
      <c r="T941" s="12"/>
      <c r="U941" s="12">
        <v>3</v>
      </c>
      <c r="V941" s="12"/>
      <c r="W941" s="12" t="s">
        <v>37</v>
      </c>
      <c r="X941" s="48">
        <v>45887</v>
      </c>
      <c r="Y941" s="48"/>
      <c r="Z941" s="32"/>
      <c r="AA941" s="32"/>
      <c r="AB941" s="32" t="e">
        <v>#N/A</v>
      </c>
      <c r="AC941" s="43" t="e">
        <v>#N/A</v>
      </c>
      <c r="AE941" t="str">
        <f t="shared" si="111"/>
        <v>P001022</v>
      </c>
      <c r="AF941" t="str">
        <f>_xlfn.XLOOKUP(AE941, Hoja2!A:A, Hoja2!A:A)</f>
        <v>P001022</v>
      </c>
      <c r="AG941" t="str">
        <f t="shared" si="112"/>
        <v>PP00072-40</v>
      </c>
      <c r="AH941">
        <f>_xlfn.XLOOKUP(AG941, Hoja3!A:A, Hoja3!B:B)</f>
        <v>5736</v>
      </c>
      <c r="AI941">
        <f>_xlfn.XLOOKUP(AH941, Hoja4!A:A, Hoja4!B:B)</f>
        <v>7173811880</v>
      </c>
      <c r="AJ941" t="b">
        <f t="shared" si="113"/>
        <v>1</v>
      </c>
    </row>
    <row r="942" spans="1:36" ht="15.5" customHeight="1" x14ac:dyDescent="0.35">
      <c r="A942" s="32">
        <f t="shared" ca="1" si="110"/>
        <v>40</v>
      </c>
      <c r="B942" s="12" t="s">
        <v>2860</v>
      </c>
      <c r="C942" s="48">
        <v>45847</v>
      </c>
      <c r="D942" s="12" t="s">
        <v>121</v>
      </c>
      <c r="E942" s="12" t="s">
        <v>139</v>
      </c>
      <c r="F942" s="12" t="s">
        <v>2727</v>
      </c>
      <c r="G942" s="12" t="s">
        <v>299</v>
      </c>
      <c r="H942" s="12">
        <v>7173811980</v>
      </c>
      <c r="I942" s="12" t="s">
        <v>2855</v>
      </c>
      <c r="J942" s="12" t="e">
        <f>IF(E942="KTG","KTG",(VLOOKUP(I942,'[1]list of outsource'!B:H,2,0)))</f>
        <v>#N/A</v>
      </c>
      <c r="K942" s="12" t="s">
        <v>2856</v>
      </c>
      <c r="L942" s="12">
        <v>5</v>
      </c>
      <c r="M942" s="12" t="s">
        <v>2861</v>
      </c>
      <c r="N942" s="46" t="s">
        <v>2862</v>
      </c>
      <c r="O942" s="12" t="s">
        <v>2863</v>
      </c>
      <c r="P942" s="12"/>
      <c r="Q942" s="45"/>
      <c r="R942" s="12"/>
      <c r="S942" s="47"/>
      <c r="T942" s="12"/>
      <c r="U942" s="12">
        <v>3</v>
      </c>
      <c r="V942" s="12"/>
      <c r="W942" s="12" t="s">
        <v>37</v>
      </c>
      <c r="X942" s="48">
        <v>45887</v>
      </c>
      <c r="Y942" s="48"/>
      <c r="Z942" s="32"/>
      <c r="AA942" s="32"/>
      <c r="AB942" s="32" t="e">
        <v>#N/A</v>
      </c>
      <c r="AC942" t="e">
        <v>#N/A</v>
      </c>
      <c r="AE942" t="str">
        <f t="shared" si="111"/>
        <v>P001021</v>
      </c>
      <c r="AF942" t="str">
        <f>_xlfn.XLOOKUP(AE942, Hoja2!A:A, Hoja2!A:A)</f>
        <v>P001021</v>
      </c>
      <c r="AG942" t="str">
        <f t="shared" si="112"/>
        <v>PP00072-41</v>
      </c>
      <c r="AH942">
        <f>_xlfn.XLOOKUP(AG942, Hoja3!A:A, Hoja3!B:B)</f>
        <v>5737</v>
      </c>
      <c r="AI942">
        <f>_xlfn.XLOOKUP(AH942, Hoja4!A:A, Hoja4!B:B)</f>
        <v>7173811980</v>
      </c>
      <c r="AJ942" t="b">
        <f t="shared" si="113"/>
        <v>1</v>
      </c>
    </row>
    <row r="943" spans="1:36" ht="15.5" customHeight="1" x14ac:dyDescent="0.35">
      <c r="A943">
        <f t="shared" ca="1" si="110"/>
        <v>16</v>
      </c>
      <c r="B943" s="6" t="s">
        <v>2691</v>
      </c>
      <c r="C943" s="7">
        <v>45797</v>
      </c>
      <c r="D943" s="6" t="s">
        <v>564</v>
      </c>
      <c r="E943" s="6" t="s">
        <v>139</v>
      </c>
      <c r="F943" s="6" t="s">
        <v>84</v>
      </c>
      <c r="G943" s="6" t="s">
        <v>156</v>
      </c>
      <c r="H943" s="6" t="s">
        <v>2692</v>
      </c>
      <c r="I943" s="6" t="s">
        <v>1442</v>
      </c>
      <c r="J943" s="6" t="str">
        <f>IF(E943="KTG","KTG",(VLOOKUP(I943,'[1]list of outsource'!B:H,2,0)))</f>
        <v>ETC</v>
      </c>
      <c r="K943" s="6" t="s">
        <v>1443</v>
      </c>
      <c r="L943" s="6">
        <v>20</v>
      </c>
      <c r="M943" s="6" t="s">
        <v>2182</v>
      </c>
      <c r="N943" s="6" t="s">
        <v>2183</v>
      </c>
      <c r="O943" s="6" t="s">
        <v>2864</v>
      </c>
      <c r="P943" s="6"/>
      <c r="Q943" s="8">
        <v>45422</v>
      </c>
      <c r="R943" s="6"/>
      <c r="S943" s="6"/>
      <c r="T943" s="6"/>
      <c r="U943" s="6">
        <v>1</v>
      </c>
      <c r="V943" s="6" t="s">
        <v>569</v>
      </c>
      <c r="W943" s="6" t="s">
        <v>154</v>
      </c>
      <c r="X943" s="7">
        <v>45813</v>
      </c>
      <c r="Y943" s="7">
        <v>45825</v>
      </c>
      <c r="AB943" t="e">
        <v>#N/A</v>
      </c>
      <c r="AC943" s="32" t="e">
        <v>#N/A</v>
      </c>
      <c r="AE943" t="str">
        <f t="shared" si="111"/>
        <v>P000346</v>
      </c>
      <c r="AF943" t="str">
        <f>_xlfn.XLOOKUP(AE943, Hoja2!A:A, Hoja2!A:A)</f>
        <v>P000346</v>
      </c>
      <c r="AG943" t="str">
        <f t="shared" si="112"/>
        <v>PP00028-78</v>
      </c>
      <c r="AH943">
        <f>_xlfn.XLOOKUP(AG943, Hoja3!A:A, Hoja3!B:B)</f>
        <v>5409</v>
      </c>
      <c r="AI943" t="str">
        <f>_xlfn.XLOOKUP(AH943, Hoja4!A:A, Hoja4!B:B)</f>
        <v>E43660000</v>
      </c>
      <c r="AJ943" t="b">
        <f t="shared" si="113"/>
        <v>1</v>
      </c>
    </row>
    <row r="944" spans="1:36" ht="15.5" customHeight="1" x14ac:dyDescent="0.35">
      <c r="A944">
        <f t="shared" ca="1" si="110"/>
        <v>44</v>
      </c>
      <c r="B944" s="12" t="s">
        <v>2865</v>
      </c>
      <c r="C944" s="13">
        <v>45847</v>
      </c>
      <c r="D944" s="14" t="s">
        <v>121</v>
      </c>
      <c r="E944" s="14" t="s">
        <v>83</v>
      </c>
      <c r="F944" s="14" t="s">
        <v>2727</v>
      </c>
      <c r="G944" s="14" t="s">
        <v>299</v>
      </c>
      <c r="H944" s="14">
        <v>7094202050</v>
      </c>
      <c r="I944" s="14" t="s">
        <v>428</v>
      </c>
      <c r="J944" s="14" t="str">
        <f>IF(E944="KTG","KTG",(VLOOKUP(I944,'[1]list of outsource'!B:H,2,0)))</f>
        <v>UPM</v>
      </c>
      <c r="K944" s="14" t="s">
        <v>429</v>
      </c>
      <c r="L944" s="14">
        <v>24</v>
      </c>
      <c r="M944" s="14" t="s">
        <v>2866</v>
      </c>
      <c r="N944" s="42" t="s">
        <v>2867</v>
      </c>
      <c r="O944" s="14" t="s">
        <v>2868</v>
      </c>
      <c r="P944" s="14"/>
      <c r="Q944" s="15"/>
      <c r="R944" s="14"/>
      <c r="S944" s="16"/>
      <c r="T944" s="14"/>
      <c r="U944" s="14">
        <v>3</v>
      </c>
      <c r="V944" s="14"/>
      <c r="W944" s="14" t="s">
        <v>37</v>
      </c>
      <c r="X944" s="13">
        <v>45891</v>
      </c>
      <c r="Y944" s="13"/>
      <c r="AB944" t="s">
        <v>2869</v>
      </c>
      <c r="AC944" s="32" t="e">
        <v>#N/A</v>
      </c>
      <c r="AE944" t="str">
        <f t="shared" si="111"/>
        <v>P001026</v>
      </c>
      <c r="AF944" t="str">
        <f>_xlfn.XLOOKUP(AE944, Hoja2!A:A, Hoja2!A:A)</f>
        <v>P001026</v>
      </c>
      <c r="AG944" t="str">
        <f t="shared" si="112"/>
        <v>PP00072-21</v>
      </c>
      <c r="AH944">
        <f>_xlfn.XLOOKUP(AG944, Hoja3!A:A, Hoja3!B:B)</f>
        <v>5729</v>
      </c>
      <c r="AI944">
        <f>_xlfn.XLOOKUP(AH944, Hoja4!A:A, Hoja4!B:B)</f>
        <v>7094202050</v>
      </c>
      <c r="AJ944" t="b">
        <f t="shared" si="113"/>
        <v>1</v>
      </c>
    </row>
    <row r="945" spans="1:36" ht="15.5" customHeight="1" x14ac:dyDescent="0.35">
      <c r="A945">
        <f t="shared" ca="1" si="110"/>
        <v>40</v>
      </c>
      <c r="B945" s="6" t="s">
        <v>2870</v>
      </c>
      <c r="C945" s="7">
        <v>45401</v>
      </c>
      <c r="D945" s="6" t="s">
        <v>912</v>
      </c>
      <c r="E945" s="6" t="s">
        <v>139</v>
      </c>
      <c r="F945" s="6" t="s">
        <v>84</v>
      </c>
      <c r="G945" s="6" t="s">
        <v>156</v>
      </c>
      <c r="H945" s="6" t="s">
        <v>2871</v>
      </c>
      <c r="I945" s="6" t="s">
        <v>1442</v>
      </c>
      <c r="J945" s="6" t="str">
        <f>IF(E945="KTG","KTG",(VLOOKUP(I945,'[1]list of outsource'!B:H,2,0)))</f>
        <v>ETC</v>
      </c>
      <c r="K945" s="6" t="s">
        <v>1443</v>
      </c>
      <c r="L945" s="6">
        <v>19</v>
      </c>
      <c r="M945" s="6" t="s">
        <v>2872</v>
      </c>
      <c r="N945" s="6" t="s">
        <v>2873</v>
      </c>
      <c r="O945" s="6">
        <v>1326976042</v>
      </c>
      <c r="P945" s="6"/>
      <c r="Q945" s="8">
        <v>45422</v>
      </c>
      <c r="R945" s="6"/>
      <c r="S945" s="6"/>
      <c r="T945" s="6"/>
      <c r="U945" s="6">
        <v>4</v>
      </c>
      <c r="V945" s="6" t="s">
        <v>879</v>
      </c>
      <c r="W945" s="6" t="s">
        <v>37</v>
      </c>
      <c r="X945" s="7">
        <v>45441</v>
      </c>
      <c r="Y945" s="7">
        <v>45464</v>
      </c>
      <c r="AB945" t="e">
        <v>#N/A</v>
      </c>
      <c r="AC945" t="e">
        <v>#N/A</v>
      </c>
      <c r="AE945" t="str">
        <f t="shared" si="111"/>
        <v>P000347</v>
      </c>
      <c r="AF945" t="str">
        <f>_xlfn.XLOOKUP(AE945, Hoja2!A:A, Hoja2!A:A)</f>
        <v>P000347</v>
      </c>
      <c r="AG945" t="str">
        <f t="shared" si="112"/>
        <v>PP00028-79</v>
      </c>
      <c r="AH945">
        <f>_xlfn.XLOOKUP(AG945, Hoja3!A:A, Hoja3!B:B)</f>
        <v>5411</v>
      </c>
      <c r="AI945" t="str">
        <f>_xlfn.XLOOKUP(AH945, Hoja4!A:A, Hoja4!B:B)</f>
        <v>E43445600</v>
      </c>
      <c r="AJ945" t="b">
        <f t="shared" si="113"/>
        <v>1</v>
      </c>
    </row>
    <row r="946" spans="1:36" ht="15.5" customHeight="1" x14ac:dyDescent="0.35">
      <c r="A946">
        <f t="shared" ca="1" si="110"/>
        <v>28</v>
      </c>
      <c r="B946" s="17" t="s">
        <v>506</v>
      </c>
      <c r="C946" s="7">
        <v>45852</v>
      </c>
      <c r="D946" s="6" t="s">
        <v>564</v>
      </c>
      <c r="E946" s="6" t="s">
        <v>139</v>
      </c>
      <c r="F946" s="6" t="s">
        <v>508</v>
      </c>
      <c r="G946" s="6" t="s">
        <v>32</v>
      </c>
      <c r="H946" s="6">
        <v>69321134</v>
      </c>
      <c r="I946" s="6" t="s">
        <v>402</v>
      </c>
      <c r="J946" s="6" t="str">
        <f>IF(E946="KTG","KTG",(VLOOKUP(I946,'[1]list of outsource'!B:H,2,0)))</f>
        <v>ETC</v>
      </c>
      <c r="K946" s="6" t="s">
        <v>403</v>
      </c>
      <c r="L946" s="24">
        <v>73</v>
      </c>
      <c r="M946" s="6" t="s">
        <v>509</v>
      </c>
      <c r="N946" s="6" t="s">
        <v>510</v>
      </c>
      <c r="O946" s="6" t="s">
        <v>2874</v>
      </c>
      <c r="P946" s="6"/>
      <c r="Q946" s="8">
        <v>45481</v>
      </c>
      <c r="R946" s="6"/>
      <c r="S946" s="18"/>
      <c r="T946" s="6"/>
      <c r="U946" s="6">
        <v>1</v>
      </c>
      <c r="V946" s="6" t="s">
        <v>569</v>
      </c>
      <c r="W946" s="6" t="s">
        <v>576</v>
      </c>
      <c r="X946" s="7">
        <v>45880</v>
      </c>
      <c r="Y946" s="7">
        <v>45881</v>
      </c>
      <c r="AB946" t="e">
        <v>#N/A</v>
      </c>
      <c r="AC946" t="s">
        <v>4210</v>
      </c>
      <c r="AE946" t="str">
        <f t="shared" si="111"/>
        <v>P000217</v>
      </c>
      <c r="AF946" t="str">
        <f>_xlfn.XLOOKUP(AE946, Hoja2!A:A, Hoja2!A:A)</f>
        <v>P000217</v>
      </c>
      <c r="AG946" t="str">
        <f t="shared" si="112"/>
        <v>PP00026-01</v>
      </c>
      <c r="AH946">
        <f>_xlfn.XLOOKUP(AG946, Hoja3!A:A, Hoja3!B:B)</f>
        <v>5594</v>
      </c>
      <c r="AI946">
        <f>_xlfn.XLOOKUP(AH946, Hoja4!A:A, Hoja4!B:B)</f>
        <v>69321134</v>
      </c>
      <c r="AJ946" t="b">
        <f t="shared" si="113"/>
        <v>1</v>
      </c>
    </row>
    <row r="947" spans="1:36" ht="15.5" customHeight="1" x14ac:dyDescent="0.35">
      <c r="A947">
        <f t="shared" ca="1" si="110"/>
        <v>28</v>
      </c>
      <c r="B947" s="17" t="s">
        <v>512</v>
      </c>
      <c r="C947" s="7">
        <v>45852</v>
      </c>
      <c r="D947" s="6" t="s">
        <v>564</v>
      </c>
      <c r="E947" s="6" t="s">
        <v>139</v>
      </c>
      <c r="F947" s="6" t="s">
        <v>508</v>
      </c>
      <c r="G947" s="6" t="s">
        <v>32</v>
      </c>
      <c r="H947" s="6">
        <v>69321135</v>
      </c>
      <c r="I947" s="6" t="s">
        <v>402</v>
      </c>
      <c r="J947" s="6" t="str">
        <f>IF(E947="KTG","KTG",(VLOOKUP(I947,'[1]list of outsource'!B:H,2,0)))</f>
        <v>ETC</v>
      </c>
      <c r="K947" s="6" t="s">
        <v>403</v>
      </c>
      <c r="L947" s="24">
        <v>73</v>
      </c>
      <c r="M947" s="6" t="s">
        <v>513</v>
      </c>
      <c r="N947" s="6" t="s">
        <v>514</v>
      </c>
      <c r="O947" s="6" t="s">
        <v>2875</v>
      </c>
      <c r="P947" s="6"/>
      <c r="Q947" s="8">
        <v>45481</v>
      </c>
      <c r="R947" s="6"/>
      <c r="S947" s="18"/>
      <c r="T947" s="6"/>
      <c r="U947" s="6">
        <v>1</v>
      </c>
      <c r="V947" s="6" t="s">
        <v>569</v>
      </c>
      <c r="W947" s="6" t="s">
        <v>576</v>
      </c>
      <c r="X947" s="7">
        <v>45880</v>
      </c>
      <c r="Y947" s="7">
        <v>45881</v>
      </c>
      <c r="AB947" t="e">
        <v>#N/A</v>
      </c>
      <c r="AC947" t="e">
        <v>#N/A</v>
      </c>
      <c r="AE947" t="str">
        <f t="shared" si="111"/>
        <v>P000270</v>
      </c>
      <c r="AF947" t="str">
        <f>_xlfn.XLOOKUP(AE947, Hoja2!A:A, Hoja2!A:A)</f>
        <v>P000270</v>
      </c>
      <c r="AG947" t="str">
        <f t="shared" si="112"/>
        <v>PP00026-02</v>
      </c>
      <c r="AH947">
        <f>_xlfn.XLOOKUP(AG947, Hoja3!A:A, Hoja3!B:B)</f>
        <v>5597</v>
      </c>
      <c r="AI947">
        <f>_xlfn.XLOOKUP(AH947, Hoja4!A:A, Hoja4!B:B)</f>
        <v>69321135</v>
      </c>
      <c r="AJ947" t="b">
        <f t="shared" si="113"/>
        <v>1</v>
      </c>
    </row>
    <row r="948" spans="1:36" ht="15.5" customHeight="1" x14ac:dyDescent="0.35">
      <c r="A948">
        <f t="shared" ca="1" si="110"/>
        <v>28</v>
      </c>
      <c r="B948" s="17" t="s">
        <v>515</v>
      </c>
      <c r="C948" s="7">
        <v>45852</v>
      </c>
      <c r="D948" s="6" t="s">
        <v>564</v>
      </c>
      <c r="E948" s="6" t="s">
        <v>139</v>
      </c>
      <c r="F948" s="6" t="s">
        <v>508</v>
      </c>
      <c r="G948" s="6" t="s">
        <v>32</v>
      </c>
      <c r="H948" s="6">
        <v>69321136</v>
      </c>
      <c r="I948" s="6" t="s">
        <v>402</v>
      </c>
      <c r="J948" s="6" t="str">
        <f>IF(E948="KTG","KTG",(VLOOKUP(I948,'[1]list of outsource'!B:H,2,0)))</f>
        <v>ETC</v>
      </c>
      <c r="K948" s="6" t="s">
        <v>403</v>
      </c>
      <c r="L948" s="24">
        <v>73</v>
      </c>
      <c r="M948" s="6" t="s">
        <v>516</v>
      </c>
      <c r="N948" s="6" t="s">
        <v>517</v>
      </c>
      <c r="O948" s="6" t="s">
        <v>2876</v>
      </c>
      <c r="P948" s="6"/>
      <c r="Q948" s="8">
        <v>45481</v>
      </c>
      <c r="R948" s="6"/>
      <c r="S948" s="18"/>
      <c r="T948" s="6"/>
      <c r="U948" s="6">
        <v>1</v>
      </c>
      <c r="V948" s="6" t="s">
        <v>569</v>
      </c>
      <c r="W948" s="6" t="s">
        <v>576</v>
      </c>
      <c r="X948" s="7">
        <v>45880</v>
      </c>
      <c r="Y948" s="7">
        <v>45881</v>
      </c>
      <c r="AB948" t="e">
        <v>#N/A</v>
      </c>
      <c r="AC948" t="e">
        <v>#N/A</v>
      </c>
      <c r="AE948" t="str">
        <f t="shared" si="111"/>
        <v>P000274</v>
      </c>
      <c r="AF948" t="str">
        <f>_xlfn.XLOOKUP(AE948, Hoja2!A:A, Hoja2!A:A)</f>
        <v>P000274</v>
      </c>
      <c r="AG948" t="str">
        <f t="shared" si="112"/>
        <v>PP00026-03</v>
      </c>
      <c r="AH948">
        <f>_xlfn.XLOOKUP(AG948, Hoja3!A:A, Hoja3!B:B)</f>
        <v>5600</v>
      </c>
      <c r="AI948">
        <f>_xlfn.XLOOKUP(AH948, Hoja4!A:A, Hoja4!B:B)</f>
        <v>69321136</v>
      </c>
      <c r="AJ948" t="b">
        <f t="shared" si="113"/>
        <v>1</v>
      </c>
    </row>
    <row r="949" spans="1:36" ht="15.5" customHeight="1" x14ac:dyDescent="0.35">
      <c r="A949">
        <f t="shared" ca="1" si="110"/>
        <v>28</v>
      </c>
      <c r="B949" s="17" t="s">
        <v>519</v>
      </c>
      <c r="C949" s="7">
        <v>45852</v>
      </c>
      <c r="D949" s="6" t="s">
        <v>564</v>
      </c>
      <c r="E949" s="6" t="s">
        <v>139</v>
      </c>
      <c r="F949" s="6" t="s">
        <v>508</v>
      </c>
      <c r="G949" s="6" t="s">
        <v>32</v>
      </c>
      <c r="H949" s="6">
        <v>69321137</v>
      </c>
      <c r="I949" s="6" t="s">
        <v>402</v>
      </c>
      <c r="J949" s="6" t="str">
        <f>IF(E949="KTG","KTG",(VLOOKUP(I949,'[1]list of outsource'!B:H,2,0)))</f>
        <v>ETC</v>
      </c>
      <c r="K949" s="6" t="s">
        <v>403</v>
      </c>
      <c r="L949" s="24">
        <v>73</v>
      </c>
      <c r="M949" s="6" t="s">
        <v>520</v>
      </c>
      <c r="N949" s="6" t="s">
        <v>521</v>
      </c>
      <c r="O949" s="6" t="s">
        <v>2877</v>
      </c>
      <c r="P949" s="6"/>
      <c r="Q949" s="8">
        <v>45481</v>
      </c>
      <c r="R949" s="6"/>
      <c r="S949" s="18"/>
      <c r="T949" s="6"/>
      <c r="U949" s="6">
        <v>1</v>
      </c>
      <c r="V949" s="6" t="s">
        <v>569</v>
      </c>
      <c r="W949" s="6" t="s">
        <v>576</v>
      </c>
      <c r="X949" s="7">
        <v>45880</v>
      </c>
      <c r="Y949" s="7">
        <v>45881</v>
      </c>
      <c r="AB949" t="e">
        <v>#N/A</v>
      </c>
      <c r="AC949" t="e">
        <v>#N/A</v>
      </c>
      <c r="AE949" t="str">
        <f t="shared" si="111"/>
        <v>P000276</v>
      </c>
      <c r="AF949" t="str">
        <f>_xlfn.XLOOKUP(AE949, Hoja2!A:A, Hoja2!A:A)</f>
        <v>P000276</v>
      </c>
      <c r="AG949" t="str">
        <f t="shared" si="112"/>
        <v>PP00026-04</v>
      </c>
      <c r="AH949">
        <f>_xlfn.XLOOKUP(AG949, Hoja3!A:A, Hoja3!B:B)</f>
        <v>5603</v>
      </c>
      <c r="AI949">
        <f>_xlfn.XLOOKUP(AH949, Hoja4!A:A, Hoja4!B:B)</f>
        <v>69321137</v>
      </c>
      <c r="AJ949" t="b">
        <f t="shared" si="113"/>
        <v>1</v>
      </c>
    </row>
    <row r="950" spans="1:36" ht="15.5" customHeight="1" x14ac:dyDescent="0.35">
      <c r="A950">
        <f t="shared" ca="1" si="110"/>
        <v>22</v>
      </c>
      <c r="B950" s="12" t="s">
        <v>2878</v>
      </c>
      <c r="C950" s="13">
        <v>45852</v>
      </c>
      <c r="D950" s="14" t="s">
        <v>875</v>
      </c>
      <c r="E950" s="14" t="s">
        <v>30</v>
      </c>
      <c r="F950" s="14" t="s">
        <v>148</v>
      </c>
      <c r="G950" s="14" t="s">
        <v>32</v>
      </c>
      <c r="H950" s="14" t="s">
        <v>2879</v>
      </c>
      <c r="I950" s="14"/>
      <c r="J950" s="14" t="str">
        <f>IF(E950="KTG","KTG",(VLOOKUP(I950,'[1]list of outsource'!B:H,2,0)))</f>
        <v>KTG</v>
      </c>
      <c r="K950" s="14"/>
      <c r="L950" s="14"/>
      <c r="M950" s="14" t="s">
        <v>2880</v>
      </c>
      <c r="N950" s="14" t="s">
        <v>2881</v>
      </c>
      <c r="O950" s="14"/>
      <c r="P950" s="14"/>
      <c r="Q950" s="15"/>
      <c r="R950" s="14"/>
      <c r="S950" s="16"/>
      <c r="T950" s="14"/>
      <c r="U950" s="14">
        <v>4</v>
      </c>
      <c r="V950" s="14" t="s">
        <v>569</v>
      </c>
      <c r="W950" s="14" t="s">
        <v>576</v>
      </c>
      <c r="X950" s="13">
        <v>45874</v>
      </c>
      <c r="Y950" s="13"/>
      <c r="Z950" t="s">
        <v>1264</v>
      </c>
      <c r="AB950" t="e">
        <v>#N/A</v>
      </c>
      <c r="AC950" t="e">
        <v>#N/A</v>
      </c>
      <c r="AE950" t="str">
        <f t="shared" si="111"/>
        <v>E69601</v>
      </c>
      <c r="AF950" t="str">
        <f>_xlfn.XLOOKUP(AE950, Hoja2!A:A, Hoja2!A:A)</f>
        <v>E69601</v>
      </c>
      <c r="AG950" t="str">
        <f t="shared" si="112"/>
        <v>PP00029-18</v>
      </c>
      <c r="AH950">
        <f>_xlfn.XLOOKUP(AG950, Hoja3!A:A, Hoja3!B:B)</f>
        <v>5136</v>
      </c>
      <c r="AI950" t="str">
        <f>_xlfn.XLOOKUP(AH950, Hoja4!A:A, Hoja4!B:B)</f>
        <v>DWT(RO) #4-40mm</v>
      </c>
      <c r="AJ950" t="b">
        <f t="shared" si="113"/>
        <v>1</v>
      </c>
    </row>
    <row r="951" spans="1:36" ht="15.5" customHeight="1" x14ac:dyDescent="0.35">
      <c r="A951">
        <f t="shared" ca="1" si="110"/>
        <v>22</v>
      </c>
      <c r="B951" s="12" t="s">
        <v>2882</v>
      </c>
      <c r="C951" s="13">
        <v>45852</v>
      </c>
      <c r="D951" s="14" t="s">
        <v>121</v>
      </c>
      <c r="E951" s="14" t="s">
        <v>30</v>
      </c>
      <c r="F951" s="14" t="s">
        <v>1371</v>
      </c>
      <c r="G951" s="14" t="s">
        <v>32</v>
      </c>
      <c r="H951" s="14" t="s">
        <v>2883</v>
      </c>
      <c r="I951" s="14"/>
      <c r="J951" s="14" t="str">
        <f>IF(E951="KTG","KTG",(VLOOKUP(I951,'[1]list of outsource'!B:H,2,0)))</f>
        <v>KTG</v>
      </c>
      <c r="K951" s="14"/>
      <c r="L951" s="14"/>
      <c r="M951" s="14" t="s">
        <v>2884</v>
      </c>
      <c r="N951" s="14" t="s">
        <v>2885</v>
      </c>
      <c r="O951" s="14"/>
      <c r="P951" s="14"/>
      <c r="Q951" s="15"/>
      <c r="R951" s="14"/>
      <c r="S951" s="16"/>
      <c r="T951" s="14"/>
      <c r="U951" s="14">
        <v>4</v>
      </c>
      <c r="V951" s="14" t="s">
        <v>569</v>
      </c>
      <c r="W951" s="14" t="s">
        <v>37</v>
      </c>
      <c r="X951" s="13">
        <v>45874</v>
      </c>
      <c r="Y951" s="13"/>
      <c r="Z951" t="s">
        <v>1264</v>
      </c>
      <c r="AB951" t="e">
        <v>#N/A</v>
      </c>
      <c r="AC951" t="e">
        <v>#N/A</v>
      </c>
      <c r="AE951" t="str">
        <f t="shared" si="111"/>
        <v>E58317</v>
      </c>
      <c r="AF951" t="str">
        <f>_xlfn.XLOOKUP(AE951, Hoja2!A:A, Hoja2!A:A)</f>
        <v>E58317</v>
      </c>
      <c r="AG951" t="str">
        <f t="shared" si="112"/>
        <v>PP00047-35</v>
      </c>
      <c r="AH951">
        <f>_xlfn.XLOOKUP(AG951, Hoja3!A:A, Hoja3!B:B)</f>
        <v>5545</v>
      </c>
      <c r="AI951" t="str">
        <f>_xlfn.XLOOKUP(AH951, Hoja4!A:A, Hoja4!B:B)</f>
        <v>DWT-RO-3-STK</v>
      </c>
      <c r="AJ951" t="b">
        <f t="shared" si="113"/>
        <v>1</v>
      </c>
    </row>
    <row r="952" spans="1:36" ht="15.5" customHeight="1" x14ac:dyDescent="0.35">
      <c r="A952">
        <f t="shared" ca="1" si="110"/>
        <v>28</v>
      </c>
      <c r="B952" s="12" t="s">
        <v>2886</v>
      </c>
      <c r="C952" s="13">
        <v>45852</v>
      </c>
      <c r="D952" s="14" t="s">
        <v>121</v>
      </c>
      <c r="E952" s="14" t="s">
        <v>83</v>
      </c>
      <c r="F952" s="14" t="s">
        <v>140</v>
      </c>
      <c r="G952" s="14" t="s">
        <v>32</v>
      </c>
      <c r="H952" s="14" t="s">
        <v>2887</v>
      </c>
      <c r="I952" s="14" t="s">
        <v>158</v>
      </c>
      <c r="J952" s="14" t="str">
        <f>IF(E952="KTG","KTG",(VLOOKUP(I952,'[1]list of outsource'!B:H,2,0)))</f>
        <v>UPM</v>
      </c>
      <c r="K952" s="14" t="s">
        <v>159</v>
      </c>
      <c r="L952" s="14">
        <v>46</v>
      </c>
      <c r="M952" s="14" t="s">
        <v>438</v>
      </c>
      <c r="N952" s="14" t="s">
        <v>637</v>
      </c>
      <c r="O952" s="14" t="s">
        <v>2888</v>
      </c>
      <c r="P952" s="14"/>
      <c r="Q952" s="15"/>
      <c r="R952" s="14"/>
      <c r="S952" s="16"/>
      <c r="T952" s="14"/>
      <c r="U952" s="14">
        <v>4</v>
      </c>
      <c r="V952" s="14" t="s">
        <v>569</v>
      </c>
      <c r="W952" s="14" t="s">
        <v>37</v>
      </c>
      <c r="X952" s="13">
        <v>45880</v>
      </c>
      <c r="Y952" s="13"/>
      <c r="Z952" t="s">
        <v>1264</v>
      </c>
      <c r="AB952">
        <v>0</v>
      </c>
      <c r="AC952" t="e">
        <v>#N/A</v>
      </c>
      <c r="AE952" t="str">
        <f t="shared" si="111"/>
        <v>P000052</v>
      </c>
      <c r="AF952" t="str">
        <f>_xlfn.XLOOKUP(AE952, Hoja2!A:A, Hoja2!A:A)</f>
        <v>P000052</v>
      </c>
      <c r="AG952" t="str">
        <f t="shared" si="112"/>
        <v>PP00036-28</v>
      </c>
      <c r="AH952">
        <f>_xlfn.XLOOKUP(AG952, Hoja3!A:A, Hoja3!B:B)</f>
        <v>5199</v>
      </c>
      <c r="AI952" t="str">
        <f>_xlfn.XLOOKUP(AH952, Hoja4!A:A, Hoja4!B:B)</f>
        <v>HSTP2616</v>
      </c>
      <c r="AJ952" t="b">
        <f t="shared" si="113"/>
        <v>1</v>
      </c>
    </row>
    <row r="953" spans="1:36" ht="15.5" customHeight="1" x14ac:dyDescent="0.35">
      <c r="A953">
        <f t="shared" ca="1" si="110"/>
        <v>23</v>
      </c>
      <c r="B953" s="12" t="s">
        <v>2668</v>
      </c>
      <c r="C953" s="13">
        <v>45853</v>
      </c>
      <c r="D953" s="14" t="s">
        <v>121</v>
      </c>
      <c r="E953" s="14" t="s">
        <v>30</v>
      </c>
      <c r="F953" s="14" t="s">
        <v>1371</v>
      </c>
      <c r="G953" s="14" t="s">
        <v>32</v>
      </c>
      <c r="H953" s="14" t="s">
        <v>1380</v>
      </c>
      <c r="I953" s="14"/>
      <c r="J953" s="14" t="str">
        <f>IF(E953="KTG","KTG",(VLOOKUP(I953,'[1]list of outsource'!B:H,2,0)))</f>
        <v>KTG</v>
      </c>
      <c r="K953" s="14"/>
      <c r="L953" s="14"/>
      <c r="M953" s="14" t="s">
        <v>1381</v>
      </c>
      <c r="N953" s="14" t="s">
        <v>1382</v>
      </c>
      <c r="O953" s="14"/>
      <c r="P953" s="14"/>
      <c r="Q953" s="15"/>
      <c r="R953" s="14"/>
      <c r="S953" s="16"/>
      <c r="T953" s="14"/>
      <c r="U953" s="14">
        <v>3</v>
      </c>
      <c r="V953" s="14" t="s">
        <v>569</v>
      </c>
      <c r="W953" s="14" t="s">
        <v>576</v>
      </c>
      <c r="X953" s="13">
        <v>45876</v>
      </c>
      <c r="Y953" s="13"/>
      <c r="AB953" t="e">
        <v>#N/A</v>
      </c>
      <c r="AC953" t="e">
        <v>#N/A</v>
      </c>
      <c r="AE953" t="str">
        <f t="shared" si="111"/>
        <v>E58350</v>
      </c>
      <c r="AF953" t="str">
        <f>_xlfn.XLOOKUP(AE953, Hoja2!A:A, Hoja2!A:A)</f>
        <v>E58350</v>
      </c>
      <c r="AG953" t="str">
        <f t="shared" si="112"/>
        <v>PP00047-34</v>
      </c>
      <c r="AH953">
        <v>5544</v>
      </c>
      <c r="AI953" t="str">
        <f>_xlfn.XLOOKUP(AH953, Hoja4!A:A, Hoja4!B:B)</f>
        <v>CYG-MT(HX)-3X-S3-6.4-9</v>
      </c>
      <c r="AJ953" t="b">
        <f t="shared" si="113"/>
        <v>1</v>
      </c>
    </row>
    <row r="954" spans="1:36" ht="15.5" customHeight="1" x14ac:dyDescent="0.35">
      <c r="A954">
        <f t="shared" ca="1" si="110"/>
        <v>28</v>
      </c>
      <c r="B954" s="12" t="s">
        <v>1616</v>
      </c>
      <c r="C954" s="13">
        <v>45854</v>
      </c>
      <c r="D954" s="14" t="s">
        <v>121</v>
      </c>
      <c r="E954" s="14" t="s">
        <v>139</v>
      </c>
      <c r="F954" s="14" t="s">
        <v>1117</v>
      </c>
      <c r="G954" s="14" t="s">
        <v>32</v>
      </c>
      <c r="H954" s="14">
        <v>57225</v>
      </c>
      <c r="I954" s="14" t="s">
        <v>494</v>
      </c>
      <c r="J954" s="14" t="str">
        <f>IF(E954="KTG","KTG",(VLOOKUP(I954,'[1]list of outsource'!B:H,2,0)))</f>
        <v>ETC</v>
      </c>
      <c r="K954" s="14" t="s">
        <v>495</v>
      </c>
      <c r="L954" s="14">
        <v>34</v>
      </c>
      <c r="M954" s="14" t="s">
        <v>1617</v>
      </c>
      <c r="N954" s="14" t="s">
        <v>1618</v>
      </c>
      <c r="O954" s="14" t="s">
        <v>2889</v>
      </c>
      <c r="P954" s="14">
        <v>0</v>
      </c>
      <c r="Q954" s="15">
        <v>45373</v>
      </c>
      <c r="R954" s="14">
        <v>0</v>
      </c>
      <c r="S954" s="16">
        <v>0</v>
      </c>
      <c r="T954" s="14">
        <v>0</v>
      </c>
      <c r="U954" s="14">
        <v>4</v>
      </c>
      <c r="V954" s="14" t="s">
        <v>879</v>
      </c>
      <c r="W954" s="14" t="s">
        <v>37</v>
      </c>
      <c r="X954" s="13">
        <v>45882</v>
      </c>
      <c r="Y954" s="13"/>
      <c r="AC954" t="s">
        <v>4210</v>
      </c>
      <c r="AE954" t="str">
        <f t="shared" si="111"/>
        <v>P000238</v>
      </c>
      <c r="AF954" t="str">
        <f>_xlfn.XLOOKUP(AE954, Hoja2!A:A, Hoja2!A:A)</f>
        <v>P000238</v>
      </c>
      <c r="AG954" t="str">
        <f t="shared" si="112"/>
        <v>PP00045-03</v>
      </c>
      <c r="AH954">
        <f>_xlfn.XLOOKUP(AG954, Hoja3!A:A, Hoja3!B:B)</f>
        <v>4726</v>
      </c>
      <c r="AI954">
        <f>_xlfn.XLOOKUP(AH954, Hoja4!A:A, Hoja4!B:B)</f>
        <v>57225</v>
      </c>
      <c r="AJ954" t="b">
        <f t="shared" si="113"/>
        <v>1</v>
      </c>
    </row>
    <row r="955" spans="1:36" ht="15.5" customHeight="1" x14ac:dyDescent="0.35">
      <c r="A955">
        <f t="shared" ca="1" si="110"/>
        <v>28</v>
      </c>
      <c r="B955" s="12" t="s">
        <v>1619</v>
      </c>
      <c r="C955" s="13">
        <v>45854</v>
      </c>
      <c r="D955" s="14" t="s">
        <v>121</v>
      </c>
      <c r="E955" s="14" t="s">
        <v>139</v>
      </c>
      <c r="F955" s="14" t="s">
        <v>1117</v>
      </c>
      <c r="G955" s="14" t="s">
        <v>32</v>
      </c>
      <c r="H955" s="14">
        <v>57226</v>
      </c>
      <c r="I955" s="14" t="s">
        <v>494</v>
      </c>
      <c r="J955" s="14" t="str">
        <f>IF(E955="KTG","KTG",(VLOOKUP(I955,'[1]list of outsource'!B:H,2,0)))</f>
        <v>ETC</v>
      </c>
      <c r="K955" s="14" t="s">
        <v>495</v>
      </c>
      <c r="L955" s="14">
        <v>34</v>
      </c>
      <c r="M955" s="14" t="s">
        <v>1620</v>
      </c>
      <c r="N955" s="14" t="s">
        <v>1621</v>
      </c>
      <c r="O955" s="14" t="s">
        <v>2890</v>
      </c>
      <c r="P955" s="14">
        <v>0</v>
      </c>
      <c r="Q955" s="15">
        <v>45373</v>
      </c>
      <c r="R955" s="14">
        <v>0</v>
      </c>
      <c r="S955" s="16">
        <v>0</v>
      </c>
      <c r="T955" s="14">
        <v>0</v>
      </c>
      <c r="U955" s="14">
        <v>4</v>
      </c>
      <c r="V955" s="14" t="s">
        <v>879</v>
      </c>
      <c r="W955" s="14" t="s">
        <v>37</v>
      </c>
      <c r="X955" s="13">
        <v>45882</v>
      </c>
      <c r="Y955" s="13"/>
      <c r="AC955" t="e">
        <v>#N/A</v>
      </c>
      <c r="AE955" t="str">
        <f t="shared" si="111"/>
        <v>P000779</v>
      </c>
      <c r="AF955" t="str">
        <f>_xlfn.XLOOKUP(AE955, Hoja2!A:A, Hoja2!A:A)</f>
        <v>P000779</v>
      </c>
      <c r="AG955" t="str">
        <f t="shared" si="112"/>
        <v>PP00045-04</v>
      </c>
      <c r="AH955">
        <f>_xlfn.XLOOKUP(AG955, Hoja3!A:A, Hoja3!B:B)</f>
        <v>4728</v>
      </c>
      <c r="AI955">
        <f>_xlfn.XLOOKUP(AH955, Hoja4!A:A, Hoja4!B:B)</f>
        <v>57226</v>
      </c>
      <c r="AJ955" t="b">
        <f t="shared" si="113"/>
        <v>1</v>
      </c>
    </row>
    <row r="956" spans="1:36" ht="15.5" customHeight="1" x14ac:dyDescent="0.35">
      <c r="A956">
        <f t="shared" ca="1" si="110"/>
        <v>14</v>
      </c>
      <c r="B956" s="17" t="s">
        <v>2891</v>
      </c>
      <c r="C956" s="7">
        <v>45855</v>
      </c>
      <c r="D956" s="6" t="s">
        <v>564</v>
      </c>
      <c r="E956" s="6" t="s">
        <v>139</v>
      </c>
      <c r="F956" s="6" t="s">
        <v>768</v>
      </c>
      <c r="G956" s="6" t="s">
        <v>32</v>
      </c>
      <c r="H956" s="6">
        <v>713516</v>
      </c>
      <c r="I956" s="6" t="s">
        <v>402</v>
      </c>
      <c r="J956" s="6" t="str">
        <f>IF(E956="KTG","KTG",(VLOOKUP(I956,'[1]list of outsource'!B:H,2,0)))</f>
        <v>ETC</v>
      </c>
      <c r="K956" s="6" t="s">
        <v>403</v>
      </c>
      <c r="L956" s="24">
        <v>73</v>
      </c>
      <c r="M956" s="6" t="s">
        <v>769</v>
      </c>
      <c r="N956" s="6" t="s">
        <v>770</v>
      </c>
      <c r="O956" s="6" t="s">
        <v>2892</v>
      </c>
      <c r="P956" s="6"/>
      <c r="Q956" s="8"/>
      <c r="R956" s="6"/>
      <c r="S956" s="18"/>
      <c r="T956" s="6"/>
      <c r="U956" s="6">
        <v>4</v>
      </c>
      <c r="V956" s="6" t="s">
        <v>569</v>
      </c>
      <c r="W956" s="6" t="s">
        <v>576</v>
      </c>
      <c r="X956" s="7">
        <v>45869</v>
      </c>
      <c r="Y956" s="7">
        <v>45881</v>
      </c>
      <c r="AB956" t="e">
        <v>#N/A</v>
      </c>
      <c r="AC956"/>
      <c r="AE956" t="str">
        <f t="shared" si="111"/>
        <v>P000480</v>
      </c>
      <c r="AF956" t="str">
        <f>_xlfn.XLOOKUP(AE956, Hoja2!A:A, Hoja2!A:A)</f>
        <v>P000480</v>
      </c>
      <c r="AG956" t="str">
        <f t="shared" si="112"/>
        <v>PP00038-0001</v>
      </c>
      <c r="AH956">
        <f>_xlfn.XLOOKUP(AG956, Hoja3!A:A, Hoja3!B:B)</f>
        <v>4215</v>
      </c>
      <c r="AI956">
        <f>_xlfn.XLOOKUP(AH956, Hoja4!A:A, Hoja4!B:B)</f>
        <v>713516</v>
      </c>
      <c r="AJ956" t="b">
        <f t="shared" si="113"/>
        <v>1</v>
      </c>
    </row>
    <row r="957" spans="1:36" ht="15.5" customHeight="1" x14ac:dyDescent="0.35">
      <c r="A957">
        <f t="shared" ca="1" si="110"/>
        <v>41</v>
      </c>
      <c r="B957" s="12" t="s">
        <v>2893</v>
      </c>
      <c r="C957" s="13">
        <v>45855</v>
      </c>
      <c r="D957" s="14" t="s">
        <v>875</v>
      </c>
      <c r="E957" s="14" t="s">
        <v>139</v>
      </c>
      <c r="F957" s="14" t="s">
        <v>768</v>
      </c>
      <c r="G957" s="14" t="s">
        <v>32</v>
      </c>
      <c r="H957" s="14">
        <v>713517</v>
      </c>
      <c r="I957" s="14" t="s">
        <v>402</v>
      </c>
      <c r="J957" s="14" t="str">
        <f>IF(E957="KTG","KTG",(VLOOKUP(I957,'[1]list of outsource'!B:H,2,0)))</f>
        <v>ETC</v>
      </c>
      <c r="K957" s="14" t="s">
        <v>403</v>
      </c>
      <c r="L957" s="14"/>
      <c r="M957" s="14" t="s">
        <v>773</v>
      </c>
      <c r="N957" s="14" t="s">
        <v>774</v>
      </c>
      <c r="O957" s="14" t="s">
        <v>775</v>
      </c>
      <c r="P957" s="14"/>
      <c r="Q957" s="15"/>
      <c r="R957" s="14"/>
      <c r="S957" s="16"/>
      <c r="T957" s="14"/>
      <c r="U957" s="14">
        <v>4</v>
      </c>
      <c r="V957" s="14" t="s">
        <v>569</v>
      </c>
      <c r="W957" s="14" t="s">
        <v>576</v>
      </c>
      <c r="X957" s="13">
        <v>45896</v>
      </c>
      <c r="Y957" s="13"/>
      <c r="AB957" t="e">
        <v>#N/A</v>
      </c>
      <c r="AC957"/>
      <c r="AE957" t="str">
        <f t="shared" si="111"/>
        <v>P000481</v>
      </c>
      <c r="AF957" t="str">
        <f>_xlfn.XLOOKUP(AE957, Hoja2!A:A, Hoja2!A:A)</f>
        <v>P000481</v>
      </c>
      <c r="AG957" t="str">
        <f t="shared" si="112"/>
        <v>PP00038-0002</v>
      </c>
      <c r="AH957">
        <f>_xlfn.XLOOKUP(AG957, Hoja3!A:A, Hoja3!B:B)</f>
        <v>4216</v>
      </c>
      <c r="AI957">
        <f>_xlfn.XLOOKUP(AH957, Hoja4!A:A, Hoja4!B:B)</f>
        <v>713517</v>
      </c>
      <c r="AJ957" t="b">
        <f t="shared" si="113"/>
        <v>1</v>
      </c>
    </row>
    <row r="958" spans="1:36" ht="15.5" customHeight="1" x14ac:dyDescent="0.35">
      <c r="A958">
        <f t="shared" ca="1" si="110"/>
        <v>41</v>
      </c>
      <c r="B958" s="12" t="s">
        <v>2894</v>
      </c>
      <c r="C958" s="13">
        <v>45855</v>
      </c>
      <c r="D958" s="14" t="s">
        <v>875</v>
      </c>
      <c r="E958" s="14" t="s">
        <v>139</v>
      </c>
      <c r="F958" s="14" t="s">
        <v>768</v>
      </c>
      <c r="G958" s="14" t="s">
        <v>32</v>
      </c>
      <c r="H958" s="14">
        <v>713518</v>
      </c>
      <c r="I958" s="14" t="s">
        <v>402</v>
      </c>
      <c r="J958" s="14" t="str">
        <f>IF(E958="KTG","KTG",(VLOOKUP(I958,'[1]list of outsource'!B:H,2,0)))</f>
        <v>ETC</v>
      </c>
      <c r="K958" s="14" t="s">
        <v>403</v>
      </c>
      <c r="L958" s="14"/>
      <c r="M958" s="14" t="s">
        <v>777</v>
      </c>
      <c r="N958" s="14" t="s">
        <v>778</v>
      </c>
      <c r="O958" s="14" t="s">
        <v>779</v>
      </c>
      <c r="P958" s="14"/>
      <c r="Q958" s="15"/>
      <c r="R958" s="14"/>
      <c r="S958" s="16"/>
      <c r="T958" s="14"/>
      <c r="U958" s="14">
        <v>4</v>
      </c>
      <c r="V958" s="14" t="s">
        <v>569</v>
      </c>
      <c r="W958" s="14" t="s">
        <v>576</v>
      </c>
      <c r="X958" s="13">
        <v>45896</v>
      </c>
      <c r="Y958" s="13"/>
      <c r="AB958" t="e">
        <v>#N/A</v>
      </c>
      <c r="AC958" t="e">
        <v>#N/A</v>
      </c>
      <c r="AE958" t="str">
        <f t="shared" si="111"/>
        <v>P000482</v>
      </c>
      <c r="AF958" t="str">
        <f>_xlfn.XLOOKUP(AE958, Hoja2!A:A, Hoja2!A:A)</f>
        <v>P000482</v>
      </c>
      <c r="AG958" t="str">
        <f t="shared" si="112"/>
        <v>PP00038-0003</v>
      </c>
      <c r="AH958">
        <f>_xlfn.XLOOKUP(AG958, Hoja3!A:A, Hoja3!B:B)</f>
        <v>4217</v>
      </c>
      <c r="AI958">
        <f>_xlfn.XLOOKUP(AH958, Hoja4!A:A, Hoja4!B:B)</f>
        <v>713518</v>
      </c>
      <c r="AJ958" t="b">
        <f t="shared" si="113"/>
        <v>1</v>
      </c>
    </row>
    <row r="959" spans="1:36" ht="15.5" customHeight="1" x14ac:dyDescent="0.35">
      <c r="A959">
        <f t="shared" ca="1" si="110"/>
        <v>41</v>
      </c>
      <c r="B959" s="12" t="s">
        <v>2895</v>
      </c>
      <c r="C959" s="13">
        <v>45855</v>
      </c>
      <c r="D959" s="14" t="s">
        <v>875</v>
      </c>
      <c r="E959" s="14" t="s">
        <v>139</v>
      </c>
      <c r="F959" s="14" t="s">
        <v>768</v>
      </c>
      <c r="G959" s="14" t="s">
        <v>32</v>
      </c>
      <c r="H959" s="14">
        <v>713519</v>
      </c>
      <c r="I959" s="14" t="s">
        <v>494</v>
      </c>
      <c r="J959" s="14" t="str">
        <f>IF(E959="KTG","KTG",(VLOOKUP(I959,'[1]list of outsource'!B:H,2,0)))</f>
        <v>ETC</v>
      </c>
      <c r="K959" s="14" t="s">
        <v>495</v>
      </c>
      <c r="L959" s="14"/>
      <c r="M959" s="14" t="s">
        <v>781</v>
      </c>
      <c r="N959" s="14" t="s">
        <v>782</v>
      </c>
      <c r="O959" s="14" t="s">
        <v>783</v>
      </c>
      <c r="P959" s="14"/>
      <c r="Q959" s="15"/>
      <c r="R959" s="14"/>
      <c r="S959" s="16"/>
      <c r="T959" s="14"/>
      <c r="U959" s="14">
        <v>4</v>
      </c>
      <c r="V959" s="14" t="s">
        <v>569</v>
      </c>
      <c r="W959" s="14" t="s">
        <v>576</v>
      </c>
      <c r="X959" s="13">
        <v>45896</v>
      </c>
      <c r="Y959" s="13"/>
      <c r="AB959" t="e">
        <v>#N/A</v>
      </c>
      <c r="AC959" t="e">
        <v>#N/A</v>
      </c>
      <c r="AE959" t="str">
        <f t="shared" si="111"/>
        <v>P000485</v>
      </c>
      <c r="AF959" t="str">
        <f>_xlfn.XLOOKUP(AE959, Hoja2!A:A, Hoja2!A:A)</f>
        <v>P000485</v>
      </c>
      <c r="AG959" t="str">
        <f t="shared" si="112"/>
        <v>PP00038-0004</v>
      </c>
      <c r="AH959">
        <f>_xlfn.XLOOKUP(AG959, Hoja3!A:A, Hoja3!B:B)</f>
        <v>4218</v>
      </c>
      <c r="AI959">
        <f>_xlfn.XLOOKUP(AH959, Hoja4!A:A, Hoja4!B:B)</f>
        <v>713519</v>
      </c>
      <c r="AJ959" t="b">
        <f t="shared" si="113"/>
        <v>1</v>
      </c>
    </row>
    <row r="960" spans="1:36" ht="15.5" hidden="1" customHeight="1" x14ac:dyDescent="0.35">
      <c r="A960" s="25">
        <f t="shared" ca="1" si="110"/>
        <v>150</v>
      </c>
      <c r="B960" s="56" t="s">
        <v>2896</v>
      </c>
      <c r="C960" s="27">
        <v>45859</v>
      </c>
      <c r="D960" s="28" t="s">
        <v>875</v>
      </c>
      <c r="E960" s="28" t="s">
        <v>139</v>
      </c>
      <c r="F960" s="28" t="s">
        <v>508</v>
      </c>
      <c r="G960" s="28" t="s">
        <v>299</v>
      </c>
      <c r="H960" s="28">
        <v>69322903</v>
      </c>
      <c r="I960" s="28" t="s">
        <v>943</v>
      </c>
      <c r="J960" s="28" t="str">
        <f>IF(E960="KTG","KTG",(VLOOKUP(I960,'[1]list of outsource'!B:H,2,0)))</f>
        <v>ETC</v>
      </c>
      <c r="K960" s="28" t="s">
        <v>2897</v>
      </c>
      <c r="L960" s="29"/>
      <c r="M960" s="55" t="s">
        <v>2898</v>
      </c>
      <c r="N960" s="28" t="s">
        <v>2899</v>
      </c>
      <c r="O960" s="28" t="s">
        <v>2900</v>
      </c>
      <c r="P960" s="28"/>
      <c r="Q960" s="30">
        <v>45891</v>
      </c>
      <c r="R960" s="28"/>
      <c r="S960" s="31"/>
      <c r="T960" s="28"/>
      <c r="U960" s="28">
        <v>4</v>
      </c>
      <c r="V960" s="28" t="s">
        <v>879</v>
      </c>
      <c r="W960" s="28" t="s">
        <v>37</v>
      </c>
      <c r="X960" s="27"/>
      <c r="Y960" s="27"/>
      <c r="AC960" t="e">
        <v>#N/A</v>
      </c>
      <c r="AE960" t="str">
        <f t="shared" si="111"/>
        <v>P001120</v>
      </c>
      <c r="AF960" t="e">
        <f>_xlfn.XLOOKUP(AE960, Hoja2!A:A, Hoja2!A:A)</f>
        <v>#N/A</v>
      </c>
    </row>
    <row r="961" spans="1:36" ht="15.5" customHeight="1" x14ac:dyDescent="0.35">
      <c r="A961">
        <f t="shared" ca="1" si="110"/>
        <v>121</v>
      </c>
      <c r="B961" s="26" t="s">
        <v>2901</v>
      </c>
      <c r="C961" s="50">
        <v>45888</v>
      </c>
      <c r="D961" s="26" t="s">
        <v>2902</v>
      </c>
      <c r="E961" s="26" t="s">
        <v>30</v>
      </c>
      <c r="F961" s="26" t="s">
        <v>140</v>
      </c>
      <c r="G961" s="26" t="s">
        <v>299</v>
      </c>
      <c r="H961" s="26">
        <v>3013462</v>
      </c>
      <c r="I961" s="26"/>
      <c r="J961" s="26" t="str">
        <f>IF(E961="KTG","KTG",(VLOOKUP(I961,'[1]list of outsource'!B:H,2,0)))</f>
        <v>KTG</v>
      </c>
      <c r="K961" s="26"/>
      <c r="L961" s="51"/>
      <c r="M961" s="26" t="s">
        <v>2903</v>
      </c>
      <c r="N961" s="26" t="s">
        <v>2904</v>
      </c>
      <c r="O961" s="26"/>
      <c r="P961" s="26"/>
      <c r="Q961" s="52"/>
      <c r="R961" s="26"/>
      <c r="S961" s="53"/>
      <c r="T961" s="26"/>
      <c r="U961" s="26" t="s">
        <v>2905</v>
      </c>
      <c r="V961" s="26" t="s">
        <v>569</v>
      </c>
      <c r="W961" s="26" t="s">
        <v>37</v>
      </c>
      <c r="X961" s="50"/>
      <c r="Y961" s="50"/>
      <c r="Z961" s="32" t="s">
        <v>1264</v>
      </c>
      <c r="AA961" s="32"/>
      <c r="AB961" s="32"/>
      <c r="AC961" t="e">
        <v>#N/A</v>
      </c>
      <c r="AE961" t="str">
        <f t="shared" si="111"/>
        <v>E20032</v>
      </c>
      <c r="AF961" t="str">
        <f>_xlfn.XLOOKUP(AE961, Hoja2!A:A, Hoja2!A:A)</f>
        <v>E20032</v>
      </c>
      <c r="AG961" t="str">
        <f>LEFT(B961, FIND(" ", B961 &amp; " ") - 1)</f>
        <v>PP00074-0001</v>
      </c>
      <c r="AH961">
        <v>5220</v>
      </c>
      <c r="AI961">
        <f>_xlfn.XLOOKUP(AH961, Hoja4!A:A, Hoja4!B:B)</f>
        <v>3013462</v>
      </c>
      <c r="AJ961" t="b">
        <f>H961=AI961</f>
        <v>1</v>
      </c>
    </row>
    <row r="962" spans="1:36" ht="15.5" hidden="1" customHeight="1" x14ac:dyDescent="0.35">
      <c r="A962">
        <f t="shared" ref="A962:A1025" ca="1" si="114">IF(X962="",(TODAY()-C962),(X962-C962))</f>
        <v>142</v>
      </c>
      <c r="B962" s="56" t="s">
        <v>2906</v>
      </c>
      <c r="C962" s="13">
        <v>45859</v>
      </c>
      <c r="D962" s="14" t="s">
        <v>121</v>
      </c>
      <c r="E962" s="14" t="s">
        <v>139</v>
      </c>
      <c r="F962" s="14" t="s">
        <v>508</v>
      </c>
      <c r="G962" s="14" t="s">
        <v>299</v>
      </c>
      <c r="H962" s="14">
        <v>69322889</v>
      </c>
      <c r="I962" s="14" t="s">
        <v>943</v>
      </c>
      <c r="J962" s="14" t="str">
        <f>IF(E962="KTG","KTG",(VLOOKUP(I962,'[1]list of outsource'!B:H,2,0)))</f>
        <v>ETC</v>
      </c>
      <c r="K962" s="14" t="s">
        <v>2897</v>
      </c>
      <c r="L962" s="14" t="s">
        <v>2907</v>
      </c>
      <c r="M962" s="55" t="s">
        <v>2908</v>
      </c>
      <c r="N962" s="14" t="s">
        <v>2909</v>
      </c>
      <c r="O962" s="14" t="s">
        <v>2910</v>
      </c>
      <c r="P962" s="14"/>
      <c r="Q962" s="15">
        <v>45891</v>
      </c>
      <c r="R962" s="14"/>
      <c r="S962" s="16"/>
      <c r="T962" s="14"/>
      <c r="U962" s="14">
        <v>4</v>
      </c>
      <c r="V962" s="14" t="s">
        <v>879</v>
      </c>
      <c r="W962" s="14" t="s">
        <v>37</v>
      </c>
      <c r="X962" s="13">
        <v>46001</v>
      </c>
      <c r="Y962" s="13"/>
      <c r="AC962"/>
      <c r="AE962" t="str">
        <f t="shared" si="111"/>
        <v>P001121</v>
      </c>
      <c r="AF962" t="e">
        <f>_xlfn.XLOOKUP(AE962, Hoja2!A:A, Hoja2!A:A)</f>
        <v>#N/A</v>
      </c>
    </row>
    <row r="963" spans="1:36" ht="15.5" hidden="1" customHeight="1" x14ac:dyDescent="0.35">
      <c r="A963">
        <f t="shared" ca="1" si="114"/>
        <v>142</v>
      </c>
      <c r="B963" s="56" t="s">
        <v>2911</v>
      </c>
      <c r="C963" s="13">
        <v>45859</v>
      </c>
      <c r="D963" s="14" t="s">
        <v>121</v>
      </c>
      <c r="E963" s="14" t="s">
        <v>139</v>
      </c>
      <c r="F963" s="14" t="s">
        <v>508</v>
      </c>
      <c r="G963" s="14" t="s">
        <v>299</v>
      </c>
      <c r="H963" s="14">
        <v>69322881</v>
      </c>
      <c r="I963" s="14" t="s">
        <v>943</v>
      </c>
      <c r="J963" s="14" t="str">
        <f>IF(E963="KTG","KTG",(VLOOKUP(I963,'[1]list of outsource'!B:H,2,0)))</f>
        <v>ETC</v>
      </c>
      <c r="K963" s="14" t="s">
        <v>2897</v>
      </c>
      <c r="L963" s="14" t="s">
        <v>2907</v>
      </c>
      <c r="M963" s="55" t="s">
        <v>966</v>
      </c>
      <c r="N963" s="14" t="s">
        <v>2912</v>
      </c>
      <c r="O963" s="14" t="s">
        <v>2913</v>
      </c>
      <c r="P963" s="14"/>
      <c r="Q963" s="15">
        <v>45891</v>
      </c>
      <c r="R963" s="14"/>
      <c r="S963" s="16"/>
      <c r="T963" s="14"/>
      <c r="U963" s="14">
        <v>4</v>
      </c>
      <c r="V963" s="14" t="s">
        <v>879</v>
      </c>
      <c r="W963" s="14" t="s">
        <v>37</v>
      </c>
      <c r="X963" s="13">
        <v>46001</v>
      </c>
      <c r="Y963" s="13"/>
      <c r="AE963" t="str">
        <f t="shared" ref="AE963:AE1026" si="115">LEFT(M963, FIND(" ", M963 &amp; " ") - 1)</f>
        <v>P000609</v>
      </c>
      <c r="AF963" t="e">
        <f>_xlfn.XLOOKUP(AE963, Hoja2!A:A, Hoja2!A:A)</f>
        <v>#N/A</v>
      </c>
    </row>
    <row r="964" spans="1:36" ht="15.5" hidden="1" customHeight="1" x14ac:dyDescent="0.35">
      <c r="A964">
        <f t="shared" ca="1" si="114"/>
        <v>95</v>
      </c>
      <c r="B964" s="56" t="s">
        <v>2914</v>
      </c>
      <c r="C964" s="13">
        <v>45859</v>
      </c>
      <c r="D964" s="14" t="s">
        <v>121</v>
      </c>
      <c r="E964" s="14" t="s">
        <v>139</v>
      </c>
      <c r="F964" s="14" t="s">
        <v>508</v>
      </c>
      <c r="G964" s="14" t="s">
        <v>299</v>
      </c>
      <c r="H964" s="14">
        <v>69322848</v>
      </c>
      <c r="I964" s="14" t="s">
        <v>849</v>
      </c>
      <c r="J964" s="14" t="str">
        <f>IF(E964="KTG","KTG",(VLOOKUP(I964,'[1]list of outsource'!B:H,2,0)))</f>
        <v>ETC</v>
      </c>
      <c r="K964" s="14" t="s">
        <v>876</v>
      </c>
      <c r="L964" s="14" t="s">
        <v>2915</v>
      </c>
      <c r="M964" s="55" t="s">
        <v>2916</v>
      </c>
      <c r="N964" s="14" t="s">
        <v>2917</v>
      </c>
      <c r="O964" s="14" t="s">
        <v>2918</v>
      </c>
      <c r="P964" s="14"/>
      <c r="Q964" s="15">
        <v>45891</v>
      </c>
      <c r="R964" s="14"/>
      <c r="S964" s="16"/>
      <c r="T964" s="14"/>
      <c r="U964" s="14">
        <v>4</v>
      </c>
      <c r="V964" s="14" t="s">
        <v>879</v>
      </c>
      <c r="W964" s="14" t="s">
        <v>37</v>
      </c>
      <c r="X964" s="13">
        <v>45954</v>
      </c>
      <c r="Y964" s="13"/>
      <c r="AC964"/>
      <c r="AE964" t="str">
        <f t="shared" si="115"/>
        <v>P001122</v>
      </c>
      <c r="AF964" t="e">
        <f>_xlfn.XLOOKUP(AE964, Hoja2!A:A, Hoja2!A:A)</f>
        <v>#N/A</v>
      </c>
    </row>
    <row r="965" spans="1:36" ht="15.5" hidden="1" customHeight="1" x14ac:dyDescent="0.35">
      <c r="A965">
        <f t="shared" ca="1" si="114"/>
        <v>95</v>
      </c>
      <c r="B965" s="56" t="s">
        <v>2919</v>
      </c>
      <c r="C965" s="13">
        <v>45859</v>
      </c>
      <c r="D965" s="14" t="s">
        <v>121</v>
      </c>
      <c r="E965" s="14" t="s">
        <v>139</v>
      </c>
      <c r="F965" s="14" t="s">
        <v>508</v>
      </c>
      <c r="G965" s="14" t="s">
        <v>299</v>
      </c>
      <c r="H965" s="14">
        <v>69322849</v>
      </c>
      <c r="I965" s="14" t="s">
        <v>849</v>
      </c>
      <c r="J965" s="14" t="str">
        <f>IF(E965="KTG","KTG",(VLOOKUP(I965,'[1]list of outsource'!B:H,2,0)))</f>
        <v>ETC</v>
      </c>
      <c r="K965" s="14" t="s">
        <v>876</v>
      </c>
      <c r="L965" s="14" t="s">
        <v>2915</v>
      </c>
      <c r="M965" s="55" t="s">
        <v>2920</v>
      </c>
      <c r="N965" s="14" t="s">
        <v>2921</v>
      </c>
      <c r="O965" s="14" t="s">
        <v>2922</v>
      </c>
      <c r="P965" s="14"/>
      <c r="Q965" s="15">
        <v>45891</v>
      </c>
      <c r="R965" s="14"/>
      <c r="S965" s="16"/>
      <c r="T965" s="14"/>
      <c r="U965" s="14">
        <v>4</v>
      </c>
      <c r="V965" s="14" t="s">
        <v>879</v>
      </c>
      <c r="W965" s="14" t="s">
        <v>37</v>
      </c>
      <c r="X965" s="13">
        <v>45954</v>
      </c>
      <c r="Y965" s="13"/>
      <c r="AC965"/>
      <c r="AE965" t="str">
        <f t="shared" si="115"/>
        <v>P001123</v>
      </c>
      <c r="AF965" t="e">
        <f>_xlfn.XLOOKUP(AE965, Hoja2!A:A, Hoja2!A:A)</f>
        <v>#N/A</v>
      </c>
    </row>
    <row r="966" spans="1:36" ht="15.5" hidden="1" customHeight="1" x14ac:dyDescent="0.35">
      <c r="A966">
        <f t="shared" ca="1" si="114"/>
        <v>95</v>
      </c>
      <c r="B966" s="56" t="s">
        <v>2923</v>
      </c>
      <c r="C966" s="13">
        <v>45859</v>
      </c>
      <c r="D966" s="14" t="s">
        <v>121</v>
      </c>
      <c r="E966" s="14" t="s">
        <v>139</v>
      </c>
      <c r="F966" s="14" t="s">
        <v>508</v>
      </c>
      <c r="G966" s="14" t="s">
        <v>299</v>
      </c>
      <c r="H966" s="14">
        <v>69322859</v>
      </c>
      <c r="I966" s="14" t="s">
        <v>943</v>
      </c>
      <c r="J966" s="14" t="str">
        <f>IF(E966="KTG","KTG",(VLOOKUP(I966,'[1]list of outsource'!B:H,2,0)))</f>
        <v>ETC</v>
      </c>
      <c r="K966" s="14" t="s">
        <v>2897</v>
      </c>
      <c r="L966" s="14" t="s">
        <v>2907</v>
      </c>
      <c r="M966" s="55" t="s">
        <v>2924</v>
      </c>
      <c r="N966" s="14" t="s">
        <v>2925</v>
      </c>
      <c r="O966" s="14" t="s">
        <v>2926</v>
      </c>
      <c r="P966" s="14"/>
      <c r="Q966" s="15">
        <v>45891</v>
      </c>
      <c r="R966" s="14"/>
      <c r="S966" s="16"/>
      <c r="T966" s="14"/>
      <c r="U966" s="14">
        <v>4</v>
      </c>
      <c r="V966" s="14" t="s">
        <v>879</v>
      </c>
      <c r="W966" s="14" t="s">
        <v>37</v>
      </c>
      <c r="X966" s="13">
        <v>45954</v>
      </c>
      <c r="Y966" s="13"/>
      <c r="AC966"/>
      <c r="AE966" t="str">
        <f t="shared" si="115"/>
        <v>P001119</v>
      </c>
      <c r="AF966" t="e">
        <f>_xlfn.XLOOKUP(AE966, Hoja2!A:A, Hoja2!A:A)</f>
        <v>#N/A</v>
      </c>
    </row>
    <row r="967" spans="1:36" ht="15.5" hidden="1" customHeight="1" x14ac:dyDescent="0.35">
      <c r="A967">
        <f t="shared" ca="1" si="114"/>
        <v>95</v>
      </c>
      <c r="B967" s="56" t="s">
        <v>2927</v>
      </c>
      <c r="C967" s="13">
        <v>45859</v>
      </c>
      <c r="D967" s="14" t="s">
        <v>121</v>
      </c>
      <c r="E967" s="14" t="s">
        <v>139</v>
      </c>
      <c r="F967" s="14" t="s">
        <v>508</v>
      </c>
      <c r="G967" s="14" t="s">
        <v>299</v>
      </c>
      <c r="H967" s="14">
        <v>69322872</v>
      </c>
      <c r="I967" s="14" t="s">
        <v>943</v>
      </c>
      <c r="J967" s="14" t="str">
        <f>IF(E967="KTG","KTG",(VLOOKUP(I967,'[1]list of outsource'!B:H,2,0)))</f>
        <v>ETC</v>
      </c>
      <c r="K967" s="14" t="s">
        <v>2897</v>
      </c>
      <c r="L967" s="14" t="s">
        <v>2907</v>
      </c>
      <c r="M967" s="55" t="s">
        <v>1018</v>
      </c>
      <c r="N967" s="14" t="s">
        <v>2928</v>
      </c>
      <c r="O967" s="14" t="s">
        <v>2929</v>
      </c>
      <c r="P967" s="14"/>
      <c r="Q967" s="15">
        <v>45891</v>
      </c>
      <c r="R967" s="14"/>
      <c r="S967" s="16"/>
      <c r="T967" s="14"/>
      <c r="U967" s="14">
        <v>4</v>
      </c>
      <c r="V967" s="14" t="s">
        <v>879</v>
      </c>
      <c r="W967" s="14" t="s">
        <v>37</v>
      </c>
      <c r="X967" s="13">
        <v>45954</v>
      </c>
      <c r="Y967" s="13"/>
      <c r="AC967"/>
      <c r="AE967" t="str">
        <f t="shared" si="115"/>
        <v>P000606</v>
      </c>
      <c r="AF967" t="e">
        <f>_xlfn.XLOOKUP(AE967, Hoja2!A:A, Hoja2!A:A)</f>
        <v>#N/A</v>
      </c>
    </row>
    <row r="968" spans="1:36" ht="15.5" hidden="1" customHeight="1" x14ac:dyDescent="0.35">
      <c r="A968">
        <f t="shared" ca="1" si="114"/>
        <v>95</v>
      </c>
      <c r="B968" s="56" t="s">
        <v>2930</v>
      </c>
      <c r="C968" s="13">
        <v>45859</v>
      </c>
      <c r="D968" s="14" t="s">
        <v>121</v>
      </c>
      <c r="E968" s="14" t="s">
        <v>139</v>
      </c>
      <c r="F968" s="14" t="s">
        <v>508</v>
      </c>
      <c r="G968" s="14" t="s">
        <v>299</v>
      </c>
      <c r="H968" s="14">
        <v>69322860</v>
      </c>
      <c r="I968" s="14" t="s">
        <v>943</v>
      </c>
      <c r="J968" s="14" t="str">
        <f>IF(E968="KTG","KTG",(VLOOKUP(I968,'[1]list of outsource'!B:H,2,0)))</f>
        <v>ETC</v>
      </c>
      <c r="K968" s="14" t="s">
        <v>2897</v>
      </c>
      <c r="L968" s="14" t="s">
        <v>2907</v>
      </c>
      <c r="M968" s="55" t="s">
        <v>1010</v>
      </c>
      <c r="N968" s="14" t="s">
        <v>2931</v>
      </c>
      <c r="O968" s="14" t="s">
        <v>2932</v>
      </c>
      <c r="P968" s="14"/>
      <c r="Q968" s="15">
        <v>45891</v>
      </c>
      <c r="R968" s="14"/>
      <c r="S968" s="16"/>
      <c r="T968" s="14"/>
      <c r="U968" s="14">
        <v>4</v>
      </c>
      <c r="V968" s="14" t="s">
        <v>879</v>
      </c>
      <c r="W968" s="14" t="s">
        <v>37</v>
      </c>
      <c r="X968" s="13">
        <v>45954</v>
      </c>
      <c r="Y968" s="13"/>
      <c r="AC968"/>
      <c r="AE968" t="str">
        <f t="shared" si="115"/>
        <v>P000608</v>
      </c>
      <c r="AF968" t="e">
        <f>_xlfn.XLOOKUP(AE968, Hoja2!A:A, Hoja2!A:A)</f>
        <v>#N/A</v>
      </c>
    </row>
    <row r="969" spans="1:36" ht="15.5" hidden="1" customHeight="1" x14ac:dyDescent="0.35">
      <c r="A969">
        <f t="shared" ca="1" si="114"/>
        <v>95</v>
      </c>
      <c r="B969" s="56" t="s">
        <v>2933</v>
      </c>
      <c r="C969" s="13">
        <v>45859</v>
      </c>
      <c r="D969" s="14" t="s">
        <v>121</v>
      </c>
      <c r="E969" s="14" t="s">
        <v>139</v>
      </c>
      <c r="F969" s="14" t="s">
        <v>508</v>
      </c>
      <c r="G969" s="14" t="s">
        <v>299</v>
      </c>
      <c r="H969" s="14">
        <v>69322874</v>
      </c>
      <c r="I969" s="14" t="s">
        <v>943</v>
      </c>
      <c r="J969" s="14" t="str">
        <f>IF(E969="KTG","KTG",(VLOOKUP(I969,'[1]list of outsource'!B:H,2,0)))</f>
        <v>ETC</v>
      </c>
      <c r="K969" s="14" t="s">
        <v>2897</v>
      </c>
      <c r="L969" s="14" t="s">
        <v>2907</v>
      </c>
      <c r="M969" s="55" t="s">
        <v>2934</v>
      </c>
      <c r="N969" s="14" t="s">
        <v>2935</v>
      </c>
      <c r="O969" s="14" t="s">
        <v>2936</v>
      </c>
      <c r="P969" s="14"/>
      <c r="Q969" s="15">
        <v>45891</v>
      </c>
      <c r="R969" s="14"/>
      <c r="S969" s="16"/>
      <c r="T969" s="14"/>
      <c r="U969" s="14">
        <v>4</v>
      </c>
      <c r="V969" s="14" t="s">
        <v>879</v>
      </c>
      <c r="W969" s="14" t="s">
        <v>37</v>
      </c>
      <c r="X969" s="13">
        <v>45954</v>
      </c>
      <c r="Y969" s="13"/>
      <c r="AC969"/>
      <c r="AE969" t="str">
        <f t="shared" si="115"/>
        <v>P000802</v>
      </c>
      <c r="AF969" t="e">
        <f>_xlfn.XLOOKUP(AE969, Hoja2!A:A, Hoja2!A:A)</f>
        <v>#N/A</v>
      </c>
    </row>
    <row r="970" spans="1:36" ht="15.5" hidden="1" customHeight="1" x14ac:dyDescent="0.35">
      <c r="A970">
        <f t="shared" ca="1" si="114"/>
        <v>95</v>
      </c>
      <c r="B970" s="56" t="s">
        <v>2937</v>
      </c>
      <c r="C970" s="13">
        <v>45859</v>
      </c>
      <c r="D970" s="14" t="s">
        <v>121</v>
      </c>
      <c r="E970" s="14" t="s">
        <v>139</v>
      </c>
      <c r="F970" s="14" t="s">
        <v>508</v>
      </c>
      <c r="G970" s="14" t="s">
        <v>299</v>
      </c>
      <c r="H970" s="14">
        <v>69322858</v>
      </c>
      <c r="I970" s="14" t="s">
        <v>943</v>
      </c>
      <c r="J970" s="14" t="str">
        <f>IF(E970="KTG","KTG",(VLOOKUP(I970,'[1]list of outsource'!B:H,2,0)))</f>
        <v>ETC</v>
      </c>
      <c r="K970" s="14" t="s">
        <v>2897</v>
      </c>
      <c r="L970" s="14" t="s">
        <v>2907</v>
      </c>
      <c r="M970" s="55" t="s">
        <v>2938</v>
      </c>
      <c r="N970" s="14" t="s">
        <v>2939</v>
      </c>
      <c r="O970" s="14" t="s">
        <v>2940</v>
      </c>
      <c r="P970" s="14"/>
      <c r="Q970" s="15">
        <v>45891</v>
      </c>
      <c r="R970" s="14"/>
      <c r="S970" s="16"/>
      <c r="T970" s="14"/>
      <c r="U970" s="14">
        <v>4</v>
      </c>
      <c r="V970" s="14" t="s">
        <v>879</v>
      </c>
      <c r="W970" s="14" t="s">
        <v>37</v>
      </c>
      <c r="X970" s="13">
        <v>45954</v>
      </c>
      <c r="Y970" s="13"/>
      <c r="AC970"/>
      <c r="AE970" t="str">
        <f t="shared" si="115"/>
        <v>P001118</v>
      </c>
      <c r="AF970" t="e">
        <f>_xlfn.XLOOKUP(AE970, Hoja2!A:A, Hoja2!A:A)</f>
        <v>#N/A</v>
      </c>
    </row>
    <row r="971" spans="1:36" ht="15.5" customHeight="1" x14ac:dyDescent="0.35">
      <c r="A971">
        <f t="shared" ca="1" si="114"/>
        <v>28</v>
      </c>
      <c r="B971" s="17" t="s">
        <v>2941</v>
      </c>
      <c r="C971" s="7">
        <v>45861</v>
      </c>
      <c r="D971" s="6" t="s">
        <v>564</v>
      </c>
      <c r="E971" s="6" t="s">
        <v>139</v>
      </c>
      <c r="F971" s="6" t="s">
        <v>933</v>
      </c>
      <c r="G971" s="6" t="s">
        <v>32</v>
      </c>
      <c r="H971" s="6">
        <v>35738176</v>
      </c>
      <c r="I971" s="6" t="s">
        <v>529</v>
      </c>
      <c r="J971" s="6" t="str">
        <f>IF(E971="KTG","KTG",(VLOOKUP(I971,'[1]list of outsource'!B:H,2,0)))</f>
        <v>ETC</v>
      </c>
      <c r="K971" s="6" t="s">
        <v>530</v>
      </c>
      <c r="L971" s="24">
        <v>2</v>
      </c>
      <c r="M971" s="6" t="s">
        <v>1796</v>
      </c>
      <c r="N971" s="6" t="s">
        <v>2942</v>
      </c>
      <c r="O971" s="6" t="s">
        <v>2943</v>
      </c>
      <c r="P971" s="6"/>
      <c r="Q971" s="8"/>
      <c r="R971" s="6"/>
      <c r="S971" s="18"/>
      <c r="T971" s="6"/>
      <c r="U971" s="6">
        <v>4</v>
      </c>
      <c r="V971" s="6" t="s">
        <v>879</v>
      </c>
      <c r="W971" s="6" t="s">
        <v>37</v>
      </c>
      <c r="X971" s="7">
        <v>45889</v>
      </c>
      <c r="Y971" s="7">
        <v>45898</v>
      </c>
      <c r="AC971"/>
      <c r="AE971" t="str">
        <f t="shared" si="115"/>
        <v>P000368</v>
      </c>
      <c r="AF971" t="str">
        <f>_xlfn.XLOOKUP(AE971, Hoja2!A:A, Hoja2!A:A)</f>
        <v>P000368</v>
      </c>
      <c r="AG971" t="str">
        <f t="shared" ref="AG971:AG1034" si="116">LEFT(B971, FIND(" ", B971 &amp; " ") - 1)</f>
        <v>PP00042-0029</v>
      </c>
      <c r="AH971">
        <f>_xlfn.XLOOKUP(AG971, Hoja3!A:A, Hoja3!B:B)</f>
        <v>5147</v>
      </c>
      <c r="AI971">
        <f>_xlfn.XLOOKUP(AH971, Hoja4!A:A, Hoja4!B:B)</f>
        <v>35738176</v>
      </c>
      <c r="AJ971" t="b">
        <f t="shared" ref="AJ971:AJ1034" si="117">H971=AI971</f>
        <v>1</v>
      </c>
    </row>
    <row r="972" spans="1:36" ht="15.5" customHeight="1" x14ac:dyDescent="0.35">
      <c r="A972">
        <f t="shared" ca="1" si="114"/>
        <v>28</v>
      </c>
      <c r="B972" s="17" t="s">
        <v>2944</v>
      </c>
      <c r="C972" s="7">
        <v>45861</v>
      </c>
      <c r="D972" s="6" t="s">
        <v>564</v>
      </c>
      <c r="E972" s="6" t="s">
        <v>139</v>
      </c>
      <c r="F972" s="6" t="s">
        <v>933</v>
      </c>
      <c r="G972" s="6" t="s">
        <v>32</v>
      </c>
      <c r="H972" s="6">
        <v>35758276</v>
      </c>
      <c r="I972" s="6" t="s">
        <v>208</v>
      </c>
      <c r="J972" s="6" t="str">
        <f>IF(E972="KTG","KTG",(VLOOKUP(I972,'[1]list of outsource'!B:H,2,0)))</f>
        <v>ETC</v>
      </c>
      <c r="K972" s="6" t="s">
        <v>209</v>
      </c>
      <c r="L972" s="24">
        <v>6</v>
      </c>
      <c r="M972" s="6" t="s">
        <v>1192</v>
      </c>
      <c r="N972" s="6" t="s">
        <v>2945</v>
      </c>
      <c r="O972" s="6" t="s">
        <v>2946</v>
      </c>
      <c r="P972" s="6"/>
      <c r="Q972" s="8"/>
      <c r="R972" s="6"/>
      <c r="S972" s="18"/>
      <c r="T972" s="6"/>
      <c r="U972" s="6">
        <v>4</v>
      </c>
      <c r="V972" s="6" t="s">
        <v>879</v>
      </c>
      <c r="W972" s="6" t="s">
        <v>37</v>
      </c>
      <c r="X972" s="7">
        <v>45889</v>
      </c>
      <c r="Y972" s="7">
        <v>45898</v>
      </c>
      <c r="AC972"/>
      <c r="AE972" t="str">
        <f t="shared" si="115"/>
        <v>P000469</v>
      </c>
      <c r="AF972" t="str">
        <f>_xlfn.XLOOKUP(AE972, Hoja2!A:A, Hoja2!A:A)</f>
        <v>P000469</v>
      </c>
      <c r="AG972" t="str">
        <f t="shared" si="116"/>
        <v>PP00042-0030</v>
      </c>
      <c r="AH972">
        <f>_xlfn.XLOOKUP(AG972, Hoja3!A:A, Hoja3!B:B)</f>
        <v>5148</v>
      </c>
      <c r="AI972">
        <f>_xlfn.XLOOKUP(AH972, Hoja4!A:A, Hoja4!B:B)</f>
        <v>35758276</v>
      </c>
      <c r="AJ972" t="b">
        <f t="shared" si="117"/>
        <v>1</v>
      </c>
    </row>
    <row r="973" spans="1:36" ht="15.5" customHeight="1" x14ac:dyDescent="0.35">
      <c r="A973">
        <f t="shared" ca="1" si="114"/>
        <v>28</v>
      </c>
      <c r="B973" s="17" t="s">
        <v>2947</v>
      </c>
      <c r="C973" s="7">
        <v>45861</v>
      </c>
      <c r="D973" s="6" t="s">
        <v>564</v>
      </c>
      <c r="E973" s="6" t="s">
        <v>139</v>
      </c>
      <c r="F973" s="6" t="s">
        <v>933</v>
      </c>
      <c r="G973" s="6" t="s">
        <v>32</v>
      </c>
      <c r="H973" s="6">
        <v>35758271</v>
      </c>
      <c r="I973" s="6" t="s">
        <v>208</v>
      </c>
      <c r="J973" s="6" t="str">
        <f>IF(E973="KTG","KTG",(VLOOKUP(I973,'[1]list of outsource'!B:H,2,0)))</f>
        <v>ETC</v>
      </c>
      <c r="K973" s="6" t="s">
        <v>209</v>
      </c>
      <c r="L973" s="24">
        <v>6</v>
      </c>
      <c r="M973" s="6" t="s">
        <v>2948</v>
      </c>
      <c r="N973" s="6" t="s">
        <v>2949</v>
      </c>
      <c r="O973" s="6" t="s">
        <v>2950</v>
      </c>
      <c r="P973" s="6"/>
      <c r="Q973" s="8"/>
      <c r="R973" s="6"/>
      <c r="S973" s="18"/>
      <c r="T973" s="6"/>
      <c r="U973" s="6">
        <v>4</v>
      </c>
      <c r="V973" s="6" t="s">
        <v>879</v>
      </c>
      <c r="W973" s="6" t="s">
        <v>37</v>
      </c>
      <c r="X973" s="7">
        <v>45889</v>
      </c>
      <c r="Y973" s="7">
        <v>45898</v>
      </c>
      <c r="AC973"/>
      <c r="AE973" t="str">
        <f t="shared" si="115"/>
        <v>P000465</v>
      </c>
      <c r="AF973" t="str">
        <f>_xlfn.XLOOKUP(AE973, Hoja2!A:A, Hoja2!A:A)</f>
        <v>P000465</v>
      </c>
      <c r="AG973" t="str">
        <f t="shared" si="116"/>
        <v>PP00042-0031</v>
      </c>
      <c r="AH973">
        <f>_xlfn.XLOOKUP(AG973, Hoja3!A:A, Hoja3!B:B)</f>
        <v>5149</v>
      </c>
      <c r="AI973">
        <f>_xlfn.XLOOKUP(AH973, Hoja4!A:A, Hoja4!B:B)</f>
        <v>35758271</v>
      </c>
      <c r="AJ973" t="b">
        <f t="shared" si="117"/>
        <v>1</v>
      </c>
    </row>
    <row r="974" spans="1:36" ht="15.5" customHeight="1" x14ac:dyDescent="0.35">
      <c r="A974">
        <f t="shared" ca="1" si="114"/>
        <v>15</v>
      </c>
      <c r="B974" s="17" t="s">
        <v>2870</v>
      </c>
      <c r="C974" s="7">
        <v>45798</v>
      </c>
      <c r="D974" s="6" t="s">
        <v>564</v>
      </c>
      <c r="E974" s="6" t="s">
        <v>139</v>
      </c>
      <c r="F974" s="6" t="s">
        <v>84</v>
      </c>
      <c r="G974" s="6" t="s">
        <v>156</v>
      </c>
      <c r="H974" s="6" t="s">
        <v>2871</v>
      </c>
      <c r="I974" s="6" t="s">
        <v>1442</v>
      </c>
      <c r="J974" s="6" t="str">
        <f>IF(E974="KTG","KTG",(VLOOKUP(I974,'[1]list of outsource'!B:H,2,0)))</f>
        <v>ETC</v>
      </c>
      <c r="K974" s="6" t="s">
        <v>1443</v>
      </c>
      <c r="L974" s="24">
        <v>20</v>
      </c>
      <c r="M974" s="6" t="s">
        <v>2872</v>
      </c>
      <c r="N974" s="6" t="s">
        <v>2873</v>
      </c>
      <c r="O974" s="6" t="s">
        <v>2951</v>
      </c>
      <c r="P974" s="6"/>
      <c r="Q974" s="8">
        <v>45422</v>
      </c>
      <c r="R974" s="6"/>
      <c r="S974" s="18"/>
      <c r="T974" s="6"/>
      <c r="U974" s="6">
        <v>1</v>
      </c>
      <c r="V974" s="6" t="s">
        <v>569</v>
      </c>
      <c r="W974" s="6" t="s">
        <v>154</v>
      </c>
      <c r="X974" s="7">
        <v>45813</v>
      </c>
      <c r="Y974" s="7">
        <v>45825</v>
      </c>
      <c r="AB974" t="e">
        <v>#N/A</v>
      </c>
      <c r="AC974"/>
      <c r="AE974" t="str">
        <f t="shared" si="115"/>
        <v>P000347</v>
      </c>
      <c r="AF974" t="str">
        <f>_xlfn.XLOOKUP(AE974, Hoja2!A:A, Hoja2!A:A)</f>
        <v>P000347</v>
      </c>
      <c r="AG974" t="str">
        <f t="shared" si="116"/>
        <v>PP00028-79</v>
      </c>
      <c r="AH974">
        <f>_xlfn.XLOOKUP(AG974, Hoja3!A:A, Hoja3!B:B)</f>
        <v>5411</v>
      </c>
      <c r="AI974" t="str">
        <f>_xlfn.XLOOKUP(AH974, Hoja4!A:A, Hoja4!B:B)</f>
        <v>E43445600</v>
      </c>
      <c r="AJ974" t="b">
        <f t="shared" si="117"/>
        <v>1</v>
      </c>
    </row>
    <row r="975" spans="1:36" ht="15.5" customHeight="1" x14ac:dyDescent="0.35">
      <c r="A975">
        <f t="shared" ca="1" si="114"/>
        <v>40</v>
      </c>
      <c r="B975" s="6" t="s">
        <v>2952</v>
      </c>
      <c r="C975" s="7">
        <v>45401</v>
      </c>
      <c r="D975" s="6" t="s">
        <v>912</v>
      </c>
      <c r="E975" s="6" t="s">
        <v>139</v>
      </c>
      <c r="F975" s="6" t="s">
        <v>84</v>
      </c>
      <c r="G975" s="6" t="s">
        <v>156</v>
      </c>
      <c r="H975" s="6" t="s">
        <v>2953</v>
      </c>
      <c r="I975" s="6" t="s">
        <v>1442</v>
      </c>
      <c r="J975" s="6" t="str">
        <f>IF(E975="KTG","KTG",(VLOOKUP(I975,'[1]list of outsource'!B:H,2,0)))</f>
        <v>ETC</v>
      </c>
      <c r="K975" s="6" t="s">
        <v>1443</v>
      </c>
      <c r="L975" s="6">
        <v>19</v>
      </c>
      <c r="M975" s="6" t="s">
        <v>1444</v>
      </c>
      <c r="N975" s="6" t="s">
        <v>2954</v>
      </c>
      <c r="O975" s="6">
        <v>1326977769</v>
      </c>
      <c r="P975" s="6"/>
      <c r="Q975" s="8">
        <v>45422</v>
      </c>
      <c r="R975" s="6"/>
      <c r="S975" s="6"/>
      <c r="T975" s="6"/>
      <c r="U975" s="6">
        <v>4</v>
      </c>
      <c r="V975" s="6" t="s">
        <v>879</v>
      </c>
      <c r="W975" s="6" t="s">
        <v>37</v>
      </c>
      <c r="X975" s="7">
        <v>45441</v>
      </c>
      <c r="Y975" s="7">
        <v>45464</v>
      </c>
      <c r="AB975" t="e">
        <v>#N/A</v>
      </c>
      <c r="AC975"/>
      <c r="AE975" t="str">
        <f t="shared" si="115"/>
        <v>P000350</v>
      </c>
      <c r="AF975" t="str">
        <f>_xlfn.XLOOKUP(AE975, Hoja2!A:A, Hoja2!A:A)</f>
        <v>P000350</v>
      </c>
      <c r="AG975" t="str">
        <f t="shared" si="116"/>
        <v>PP00028-80</v>
      </c>
      <c r="AH975">
        <f>_xlfn.XLOOKUP(AG975, Hoja3!A:A, Hoja3!B:B)</f>
        <v>5413</v>
      </c>
      <c r="AI975" t="str">
        <f>_xlfn.XLOOKUP(AH975, Hoja4!A:A, Hoja4!B:B)</f>
        <v>E43445500</v>
      </c>
      <c r="AJ975" t="b">
        <f t="shared" si="117"/>
        <v>1</v>
      </c>
    </row>
    <row r="976" spans="1:36" ht="15.5" customHeight="1" x14ac:dyDescent="0.35">
      <c r="A976">
        <f t="shared" ca="1" si="114"/>
        <v>15</v>
      </c>
      <c r="B976" s="17" t="s">
        <v>2952</v>
      </c>
      <c r="C976" s="7">
        <v>45798</v>
      </c>
      <c r="D976" s="6" t="s">
        <v>564</v>
      </c>
      <c r="E976" s="6" t="s">
        <v>139</v>
      </c>
      <c r="F976" s="6" t="s">
        <v>84</v>
      </c>
      <c r="G976" s="6" t="s">
        <v>156</v>
      </c>
      <c r="H976" s="6" t="s">
        <v>2953</v>
      </c>
      <c r="I976" s="6" t="s">
        <v>1442</v>
      </c>
      <c r="J976" s="6" t="str">
        <f>IF(E976="KTG","KTG",(VLOOKUP(I976,'[1]list of outsource'!B:H,2,0)))</f>
        <v>ETC</v>
      </c>
      <c r="K976" s="6" t="s">
        <v>1443</v>
      </c>
      <c r="L976" s="24">
        <v>20</v>
      </c>
      <c r="M976" s="6" t="s">
        <v>1444</v>
      </c>
      <c r="N976" s="6" t="s">
        <v>2954</v>
      </c>
      <c r="O976" s="6" t="s">
        <v>2955</v>
      </c>
      <c r="P976" s="6"/>
      <c r="Q976" s="8">
        <v>45422</v>
      </c>
      <c r="R976" s="6"/>
      <c r="S976" s="18"/>
      <c r="T976" s="6"/>
      <c r="U976" s="6">
        <v>1</v>
      </c>
      <c r="V976" s="6" t="s">
        <v>569</v>
      </c>
      <c r="W976" s="6" t="s">
        <v>154</v>
      </c>
      <c r="X976" s="7">
        <v>45813</v>
      </c>
      <c r="Y976" s="7">
        <v>45825</v>
      </c>
      <c r="AB976" t="e">
        <v>#N/A</v>
      </c>
      <c r="AC976" t="e">
        <v>#N/A</v>
      </c>
      <c r="AE976" t="str">
        <f t="shared" si="115"/>
        <v>P000350</v>
      </c>
      <c r="AF976" t="str">
        <f>_xlfn.XLOOKUP(AE976, Hoja2!A:A, Hoja2!A:A)</f>
        <v>P000350</v>
      </c>
      <c r="AG976" t="str">
        <f t="shared" si="116"/>
        <v>PP00028-80</v>
      </c>
      <c r="AH976">
        <f>_xlfn.XLOOKUP(AG976, Hoja3!A:A, Hoja3!B:B)</f>
        <v>5413</v>
      </c>
      <c r="AI976" t="str">
        <f>_xlfn.XLOOKUP(AH976, Hoja4!A:A, Hoja4!B:B)</f>
        <v>E43445500</v>
      </c>
      <c r="AJ976" t="b">
        <f t="shared" si="117"/>
        <v>1</v>
      </c>
    </row>
    <row r="977" spans="1:36" ht="15.5" customHeight="1" x14ac:dyDescent="0.35">
      <c r="A977">
        <f t="shared" ca="1" si="114"/>
        <v>7</v>
      </c>
      <c r="B977" s="12" t="s">
        <v>2956</v>
      </c>
      <c r="C977" s="13">
        <v>45435</v>
      </c>
      <c r="D977" s="14" t="s">
        <v>121</v>
      </c>
      <c r="E977" s="14" t="s">
        <v>30</v>
      </c>
      <c r="F977" s="14" t="s">
        <v>739</v>
      </c>
      <c r="G977" s="14" t="s">
        <v>156</v>
      </c>
      <c r="H977" s="14" t="s">
        <v>2957</v>
      </c>
      <c r="I977" s="14"/>
      <c r="J977" s="14" t="str">
        <f>IF(E977="KTG","KTG",(VLOOKUP(I977,'[1]list of outsource'!B:H,2,0)))</f>
        <v>KTG</v>
      </c>
      <c r="K977" s="14"/>
      <c r="L977" s="14"/>
      <c r="M977" s="14" t="s">
        <v>2958</v>
      </c>
      <c r="N977" s="14" t="s">
        <v>2959</v>
      </c>
      <c r="O977" s="14"/>
      <c r="P977" s="14"/>
      <c r="Q977" s="15">
        <v>45442</v>
      </c>
      <c r="R977" s="14"/>
      <c r="S977" s="16"/>
      <c r="T977" s="14"/>
      <c r="U977" s="14">
        <v>1</v>
      </c>
      <c r="V977" s="14" t="s">
        <v>569</v>
      </c>
      <c r="W977" s="14" t="s">
        <v>154</v>
      </c>
      <c r="X977" s="13">
        <v>45442</v>
      </c>
      <c r="Y977" s="13"/>
      <c r="AB977" t="e">
        <v>#N/A</v>
      </c>
      <c r="AC977" t="e">
        <v>#N/A</v>
      </c>
      <c r="AE977" t="str">
        <f t="shared" si="115"/>
        <v>E74925</v>
      </c>
      <c r="AF977" t="str">
        <f>_xlfn.XLOOKUP(AE977, Hoja2!A:A, Hoja2!A:A)</f>
        <v>E74925</v>
      </c>
      <c r="AG977" t="str">
        <f t="shared" si="116"/>
        <v>PP00028-81</v>
      </c>
      <c r="AH977">
        <f>_xlfn.XLOOKUP(AG977, Hoja3!A:A, Hoja3!B:B)</f>
        <v>5472</v>
      </c>
      <c r="AI977" t="str">
        <f>_xlfn.XLOOKUP(AH977, Hoja4!A:A, Hoja4!B:B)</f>
        <v>E20504600</v>
      </c>
      <c r="AJ977" t="b">
        <f t="shared" si="117"/>
        <v>1</v>
      </c>
    </row>
    <row r="978" spans="1:36" ht="15.5" customHeight="1" x14ac:dyDescent="0.35">
      <c r="A978">
        <f t="shared" ca="1" si="114"/>
        <v>35</v>
      </c>
      <c r="B978" s="6" t="s">
        <v>2956</v>
      </c>
      <c r="C978" s="7">
        <v>45791</v>
      </c>
      <c r="D978" s="6" t="s">
        <v>564</v>
      </c>
      <c r="E978" s="6" t="s">
        <v>30</v>
      </c>
      <c r="F978" s="6" t="s">
        <v>739</v>
      </c>
      <c r="G978" s="6" t="s">
        <v>156</v>
      </c>
      <c r="H978" s="6" t="s">
        <v>2957</v>
      </c>
      <c r="I978" s="6"/>
      <c r="J978" s="6" t="str">
        <f>IF(E978="KTG","KTG",(VLOOKUP(I978,'[1]list of outsource'!B:H,2,0)))</f>
        <v>KTG</v>
      </c>
      <c r="K978" s="6"/>
      <c r="L978" s="6"/>
      <c r="M978" s="6" t="s">
        <v>2958</v>
      </c>
      <c r="N978" s="6" t="s">
        <v>2959</v>
      </c>
      <c r="O978" s="6"/>
      <c r="P978" s="6"/>
      <c r="Q978" s="8">
        <v>45442</v>
      </c>
      <c r="R978" s="6"/>
      <c r="S978" s="6"/>
      <c r="T978" s="6"/>
      <c r="U978" s="6">
        <v>1</v>
      </c>
      <c r="V978" s="6" t="s">
        <v>569</v>
      </c>
      <c r="W978" s="6" t="s">
        <v>154</v>
      </c>
      <c r="X978" s="7">
        <v>45826</v>
      </c>
      <c r="Y978" s="7">
        <v>45987</v>
      </c>
      <c r="AB978" t="e">
        <v>#N/A</v>
      </c>
      <c r="AC978" t="e">
        <v>#N/A</v>
      </c>
      <c r="AE978" t="str">
        <f t="shared" si="115"/>
        <v>E74925</v>
      </c>
      <c r="AF978" t="str">
        <f>_xlfn.XLOOKUP(AE978, Hoja2!A:A, Hoja2!A:A)</f>
        <v>E74925</v>
      </c>
      <c r="AG978" t="str">
        <f t="shared" si="116"/>
        <v>PP00028-81</v>
      </c>
      <c r="AH978">
        <f>_xlfn.XLOOKUP(AG978, Hoja3!A:A, Hoja3!B:B)</f>
        <v>5472</v>
      </c>
      <c r="AI978" t="str">
        <f>_xlfn.XLOOKUP(AH978, Hoja4!A:A, Hoja4!B:B)</f>
        <v>E20504600</v>
      </c>
      <c r="AJ978" t="b">
        <f t="shared" si="117"/>
        <v>1</v>
      </c>
    </row>
    <row r="979" spans="1:36" ht="15.5" customHeight="1" x14ac:dyDescent="0.35">
      <c r="A979">
        <f t="shared" ca="1" si="114"/>
        <v>57</v>
      </c>
      <c r="B979" s="12" t="s">
        <v>1417</v>
      </c>
      <c r="C979" s="13">
        <v>45873</v>
      </c>
      <c r="D979" s="14" t="s">
        <v>121</v>
      </c>
      <c r="E979" s="14" t="s">
        <v>139</v>
      </c>
      <c r="F979" s="14" t="s">
        <v>1418</v>
      </c>
      <c r="G979" s="14" t="s">
        <v>299</v>
      </c>
      <c r="H979" s="14" t="s">
        <v>1419</v>
      </c>
      <c r="I979" s="14" t="s">
        <v>535</v>
      </c>
      <c r="J979" s="14" t="str">
        <f>IF(E979="KTG","KTG",(VLOOKUP(I979,'[1]list of outsource'!B:H,2,0)))</f>
        <v>ETC</v>
      </c>
      <c r="K979" s="14" t="s">
        <v>536</v>
      </c>
      <c r="L979" s="14">
        <v>10</v>
      </c>
      <c r="M979" s="14" t="s">
        <v>1420</v>
      </c>
      <c r="N979" s="14" t="s">
        <v>1421</v>
      </c>
      <c r="O979" s="14" t="s">
        <v>1422</v>
      </c>
      <c r="P979" s="14"/>
      <c r="Q979" s="15">
        <v>45904</v>
      </c>
      <c r="R979" s="14"/>
      <c r="S979" s="16"/>
      <c r="T979" s="14"/>
      <c r="U979" s="14">
        <v>4</v>
      </c>
      <c r="V979" s="14" t="s">
        <v>569</v>
      </c>
      <c r="W979" s="14" t="s">
        <v>154</v>
      </c>
      <c r="X979" s="13">
        <v>45930</v>
      </c>
      <c r="Y979" s="13"/>
      <c r="AC979" t="e">
        <v>#N/A</v>
      </c>
      <c r="AE979" t="str">
        <f t="shared" si="115"/>
        <v>P000760</v>
      </c>
      <c r="AF979" t="str">
        <f>_xlfn.XLOOKUP(AE979, Hoja2!A:A, Hoja2!A:A)</f>
        <v>P000760</v>
      </c>
      <c r="AG979" t="str">
        <f t="shared" si="116"/>
        <v>PP00050-01</v>
      </c>
      <c r="AH979">
        <f>_xlfn.XLOOKUP(AG979, Hoja3!A:A, Hoja3!B:B)</f>
        <v>4491</v>
      </c>
      <c r="AI979" t="str">
        <f>_xlfn.XLOOKUP(AH979, Hoja4!A:A, Hoja4!B:B)</f>
        <v>SP0029136</v>
      </c>
      <c r="AJ979" t="b">
        <f t="shared" si="117"/>
        <v>1</v>
      </c>
    </row>
    <row r="980" spans="1:36" ht="15.5" customHeight="1" x14ac:dyDescent="0.35">
      <c r="A980">
        <f t="shared" ca="1" si="114"/>
        <v>57</v>
      </c>
      <c r="B980" s="12" t="s">
        <v>1423</v>
      </c>
      <c r="C980" s="13">
        <v>45873</v>
      </c>
      <c r="D980" s="14" t="s">
        <v>121</v>
      </c>
      <c r="E980" s="14" t="s">
        <v>139</v>
      </c>
      <c r="F980" s="14" t="s">
        <v>1418</v>
      </c>
      <c r="G980" s="14" t="s">
        <v>299</v>
      </c>
      <c r="H980" s="14" t="s">
        <v>1424</v>
      </c>
      <c r="I980" s="14" t="s">
        <v>535</v>
      </c>
      <c r="J980" s="14" t="str">
        <f>IF(E980="KTG","KTG",(VLOOKUP(I980,'[1]list of outsource'!B:H,2,0)))</f>
        <v>ETC</v>
      </c>
      <c r="K980" s="14" t="s">
        <v>536</v>
      </c>
      <c r="L980" s="14">
        <v>10</v>
      </c>
      <c r="M980" s="14" t="s">
        <v>1425</v>
      </c>
      <c r="N980" s="14" t="s">
        <v>1426</v>
      </c>
      <c r="O980" s="14" t="s">
        <v>1427</v>
      </c>
      <c r="P980" s="14"/>
      <c r="Q980" s="15">
        <v>45904</v>
      </c>
      <c r="R980" s="14"/>
      <c r="S980" s="16"/>
      <c r="T980" s="14"/>
      <c r="U980" s="14">
        <v>4</v>
      </c>
      <c r="V980" s="14" t="s">
        <v>569</v>
      </c>
      <c r="W980" s="14" t="s">
        <v>154</v>
      </c>
      <c r="X980" s="13">
        <v>45930</v>
      </c>
      <c r="Y980" s="13"/>
      <c r="AC980" t="e">
        <v>#N/A</v>
      </c>
      <c r="AE980" t="str">
        <f t="shared" si="115"/>
        <v>P000758</v>
      </c>
      <c r="AF980" t="str">
        <f>_xlfn.XLOOKUP(AE980, Hoja2!A:A, Hoja2!A:A)</f>
        <v>P000758</v>
      </c>
      <c r="AG980" t="str">
        <f t="shared" si="116"/>
        <v>PP00050-02</v>
      </c>
      <c r="AH980">
        <f>_xlfn.XLOOKUP(AG980, Hoja3!A:A, Hoja3!B:B)</f>
        <v>4489</v>
      </c>
      <c r="AI980" t="str">
        <f>_xlfn.XLOOKUP(AH980, Hoja4!A:A, Hoja4!B:B)</f>
        <v>SP0029138</v>
      </c>
      <c r="AJ980" t="b">
        <f t="shared" si="117"/>
        <v>1</v>
      </c>
    </row>
    <row r="981" spans="1:36" ht="15.5" customHeight="1" x14ac:dyDescent="0.35">
      <c r="A981">
        <f t="shared" ca="1" si="114"/>
        <v>57</v>
      </c>
      <c r="B981" s="12" t="s">
        <v>1428</v>
      </c>
      <c r="C981" s="13">
        <v>45873</v>
      </c>
      <c r="D981" s="14" t="s">
        <v>121</v>
      </c>
      <c r="E981" s="14" t="s">
        <v>139</v>
      </c>
      <c r="F981" s="14" t="s">
        <v>1418</v>
      </c>
      <c r="G981" s="14" t="s">
        <v>299</v>
      </c>
      <c r="H981" s="14" t="s">
        <v>1429</v>
      </c>
      <c r="I981" s="14" t="s">
        <v>535</v>
      </c>
      <c r="J981" s="14" t="str">
        <f>IF(E981="KTG","KTG",(VLOOKUP(I981,'[1]list of outsource'!B:H,2,0)))</f>
        <v>ETC</v>
      </c>
      <c r="K981" s="14" t="s">
        <v>536</v>
      </c>
      <c r="L981" s="14">
        <v>10</v>
      </c>
      <c r="M981" s="14" t="s">
        <v>1430</v>
      </c>
      <c r="N981" s="14" t="s">
        <v>1431</v>
      </c>
      <c r="O981" s="14" t="s">
        <v>1432</v>
      </c>
      <c r="P981" s="14"/>
      <c r="Q981" s="15">
        <v>45904</v>
      </c>
      <c r="R981" s="14"/>
      <c r="S981" s="16"/>
      <c r="T981" s="14"/>
      <c r="U981" s="14">
        <v>4</v>
      </c>
      <c r="V981" s="14" t="s">
        <v>569</v>
      </c>
      <c r="W981" s="14" t="s">
        <v>154</v>
      </c>
      <c r="X981" s="13">
        <v>45930</v>
      </c>
      <c r="Y981" s="13"/>
      <c r="AC981"/>
      <c r="AE981" t="str">
        <f t="shared" si="115"/>
        <v>P000759</v>
      </c>
      <c r="AF981" t="str">
        <f>_xlfn.XLOOKUP(AE981, Hoja2!A:A, Hoja2!A:A)</f>
        <v>P000759</v>
      </c>
      <c r="AG981" t="str">
        <f t="shared" si="116"/>
        <v>PP00050-03</v>
      </c>
      <c r="AH981">
        <f>_xlfn.XLOOKUP(AG981, Hoja3!A:A, Hoja3!B:B)</f>
        <v>4490</v>
      </c>
      <c r="AI981" t="str">
        <f>_xlfn.XLOOKUP(AH981, Hoja4!A:A, Hoja4!B:B)</f>
        <v>SP0029139</v>
      </c>
      <c r="AJ981" t="b">
        <f t="shared" si="117"/>
        <v>1</v>
      </c>
    </row>
    <row r="982" spans="1:36" ht="15.5" customHeight="1" x14ac:dyDescent="0.35">
      <c r="A982">
        <f t="shared" ca="1" si="114"/>
        <v>57</v>
      </c>
      <c r="B982" s="12" t="s">
        <v>1433</v>
      </c>
      <c r="C982" s="13">
        <v>45873</v>
      </c>
      <c r="D982" s="14" t="s">
        <v>121</v>
      </c>
      <c r="E982" s="14" t="s">
        <v>139</v>
      </c>
      <c r="F982" s="14" t="s">
        <v>1418</v>
      </c>
      <c r="G982" s="14" t="s">
        <v>299</v>
      </c>
      <c r="H982" s="14" t="s">
        <v>1434</v>
      </c>
      <c r="I982" s="14" t="s">
        <v>535</v>
      </c>
      <c r="J982" s="14" t="str">
        <f>IF(E982="KTG","KTG",(VLOOKUP(I982,'[1]list of outsource'!B:H,2,0)))</f>
        <v>ETC</v>
      </c>
      <c r="K982" s="14" t="s">
        <v>536</v>
      </c>
      <c r="L982" s="14">
        <v>10</v>
      </c>
      <c r="M982" s="14" t="s">
        <v>1435</v>
      </c>
      <c r="N982" s="14" t="s">
        <v>1436</v>
      </c>
      <c r="O982" s="14" t="s">
        <v>1437</v>
      </c>
      <c r="P982" s="14"/>
      <c r="Q982" s="15">
        <v>45904</v>
      </c>
      <c r="R982" s="14"/>
      <c r="S982" s="16"/>
      <c r="T982" s="14"/>
      <c r="U982" s="14">
        <v>4</v>
      </c>
      <c r="V982" s="14" t="s">
        <v>569</v>
      </c>
      <c r="W982" s="14" t="s">
        <v>154</v>
      </c>
      <c r="X982" s="13">
        <v>45930</v>
      </c>
      <c r="Y982" s="13"/>
      <c r="AC982"/>
      <c r="AE982" t="str">
        <f t="shared" si="115"/>
        <v>P000761</v>
      </c>
      <c r="AF982" t="str">
        <f>_xlfn.XLOOKUP(AE982, Hoja2!A:A, Hoja2!A:A)</f>
        <v>P000761</v>
      </c>
      <c r="AG982" t="str">
        <f t="shared" si="116"/>
        <v>PP00050-04</v>
      </c>
      <c r="AH982">
        <f>_xlfn.XLOOKUP(AG982, Hoja3!A:A, Hoja3!B:B)</f>
        <v>4492</v>
      </c>
      <c r="AI982" t="str">
        <f>_xlfn.XLOOKUP(AH982, Hoja4!A:A, Hoja4!B:B)</f>
        <v>SP0029137</v>
      </c>
      <c r="AJ982" t="b">
        <f t="shared" si="117"/>
        <v>1</v>
      </c>
    </row>
    <row r="983" spans="1:36" ht="15.5" customHeight="1" x14ac:dyDescent="0.35">
      <c r="A983">
        <f t="shared" ca="1" si="114"/>
        <v>36</v>
      </c>
      <c r="B983" s="12" t="s">
        <v>2960</v>
      </c>
      <c r="C983" s="13">
        <v>45873</v>
      </c>
      <c r="D983" s="14" t="s">
        <v>121</v>
      </c>
      <c r="E983" s="14" t="s">
        <v>139</v>
      </c>
      <c r="F983" s="14" t="s">
        <v>356</v>
      </c>
      <c r="G983" s="14" t="s">
        <v>32</v>
      </c>
      <c r="H983" s="14" t="s">
        <v>2961</v>
      </c>
      <c r="I983" s="14" t="s">
        <v>943</v>
      </c>
      <c r="J983" s="14" t="str">
        <f>IF(E983="KTG","KTG",(VLOOKUP(I983,'[1]list of outsource'!B:H,2,0)))</f>
        <v>ETC</v>
      </c>
      <c r="K983" s="14" t="s">
        <v>944</v>
      </c>
      <c r="L983" s="14">
        <v>18</v>
      </c>
      <c r="M983" s="14" t="s">
        <v>2962</v>
      </c>
      <c r="N983" s="14" t="s">
        <v>2963</v>
      </c>
      <c r="O983" s="14" t="s">
        <v>2964</v>
      </c>
      <c r="P983" s="14"/>
      <c r="Q983" s="15"/>
      <c r="R983" s="14"/>
      <c r="S983" s="16"/>
      <c r="T983" s="14"/>
      <c r="U983" s="14" t="s">
        <v>2965</v>
      </c>
      <c r="V983" s="14" t="s">
        <v>665</v>
      </c>
      <c r="W983" s="14" t="s">
        <v>37</v>
      </c>
      <c r="X983" s="13">
        <v>45909</v>
      </c>
      <c r="Y983" s="13"/>
      <c r="Z983" t="s">
        <v>1264</v>
      </c>
      <c r="AA983" t="s">
        <v>2966</v>
      </c>
      <c r="AC983"/>
      <c r="AE983" t="str">
        <f t="shared" si="115"/>
        <v>P001107</v>
      </c>
      <c r="AF983" t="str">
        <f>_xlfn.XLOOKUP(AE983, Hoja2!A:A, Hoja2!A:A)</f>
        <v>P001107</v>
      </c>
      <c r="AG983" t="str">
        <f t="shared" si="116"/>
        <v>PP00012-05</v>
      </c>
      <c r="AH983">
        <f>_xlfn.XLOOKUP(AG983, Hoja3!A:A, Hoja3!B:B)</f>
        <v>4047</v>
      </c>
      <c r="AI983" t="str">
        <f>_xlfn.XLOOKUP(AH983, Hoja4!A:A, Hoja4!B:B)</f>
        <v>GAT130</v>
      </c>
      <c r="AJ983" t="b">
        <f t="shared" si="117"/>
        <v>1</v>
      </c>
    </row>
    <row r="984" spans="1:36" ht="15.5" customHeight="1" x14ac:dyDescent="0.35">
      <c r="A984">
        <f t="shared" ca="1" si="114"/>
        <v>59</v>
      </c>
      <c r="B984" s="12" t="s">
        <v>1605</v>
      </c>
      <c r="C984" s="13">
        <v>45873</v>
      </c>
      <c r="D984" s="14" t="s">
        <v>2535</v>
      </c>
      <c r="E984" s="14" t="s">
        <v>139</v>
      </c>
      <c r="F984" s="14" t="s">
        <v>646</v>
      </c>
      <c r="G984" s="14" t="s">
        <v>32</v>
      </c>
      <c r="H984" s="14" t="s">
        <v>1607</v>
      </c>
      <c r="I984" s="14" t="s">
        <v>494</v>
      </c>
      <c r="J984" s="14" t="str">
        <f>IF(E984="KTG","KTG",(VLOOKUP(I984,'[1]list of outsource'!B:H,2,0)))</f>
        <v>ETC</v>
      </c>
      <c r="K984" s="14" t="s">
        <v>495</v>
      </c>
      <c r="L984" s="14">
        <v>34</v>
      </c>
      <c r="M984" s="14" t="s">
        <v>894</v>
      </c>
      <c r="N984" s="14" t="s">
        <v>895</v>
      </c>
      <c r="O984" s="14" t="s">
        <v>2967</v>
      </c>
      <c r="P984" s="14"/>
      <c r="Q984" s="15"/>
      <c r="R984" s="14"/>
      <c r="S984" s="16"/>
      <c r="T984" s="14"/>
      <c r="U984" s="14">
        <v>4</v>
      </c>
      <c r="V984" s="14" t="s">
        <v>665</v>
      </c>
      <c r="W984" s="14" t="s">
        <v>37</v>
      </c>
      <c r="X984" s="13">
        <v>45932</v>
      </c>
      <c r="Y984" s="13"/>
      <c r="Z984" t="s">
        <v>1264</v>
      </c>
      <c r="AC984"/>
      <c r="AE984" t="str">
        <f t="shared" si="115"/>
        <v>P000236</v>
      </c>
      <c r="AF984" t="str">
        <f>_xlfn.XLOOKUP(AE984, Hoja2!A:A, Hoja2!A:A)</f>
        <v>P000236</v>
      </c>
      <c r="AG984" t="str">
        <f t="shared" si="116"/>
        <v>PP00030-14</v>
      </c>
      <c r="AH984">
        <f>_xlfn.XLOOKUP(AG984, Hoja3!A:A, Hoja3!B:B)</f>
        <v>4288</v>
      </c>
      <c r="AI984" t="str">
        <f>_xlfn.XLOOKUP(AH984, Hoja4!A:A, Hoja4!B:B)</f>
        <v>714041 11.0 050</v>
      </c>
      <c r="AJ984" t="b">
        <f t="shared" si="117"/>
        <v>1</v>
      </c>
    </row>
    <row r="985" spans="1:36" ht="15.5" customHeight="1" x14ac:dyDescent="0.35">
      <c r="A985">
        <f t="shared" ca="1" si="114"/>
        <v>63</v>
      </c>
      <c r="B985" s="12" t="s">
        <v>2968</v>
      </c>
      <c r="C985" s="13">
        <v>45873</v>
      </c>
      <c r="D985" s="14" t="s">
        <v>121</v>
      </c>
      <c r="E985" s="14" t="s">
        <v>139</v>
      </c>
      <c r="F985" s="14" t="s">
        <v>1302</v>
      </c>
      <c r="G985" s="14" t="s">
        <v>299</v>
      </c>
      <c r="H985" s="14" t="s">
        <v>1303</v>
      </c>
      <c r="I985" s="14" t="s">
        <v>1304</v>
      </c>
      <c r="J985" s="14" t="str">
        <f>IF(E985="KTG","KTG",(VLOOKUP(I985,'[1]list of outsource'!B:H,2,0)))</f>
        <v>ETC</v>
      </c>
      <c r="K985" s="14" t="s">
        <v>1305</v>
      </c>
      <c r="L985" s="14">
        <v>5</v>
      </c>
      <c r="M985" s="14" t="s">
        <v>2969</v>
      </c>
      <c r="N985" s="14" t="s">
        <v>2970</v>
      </c>
      <c r="O985" s="14" t="s">
        <v>2971</v>
      </c>
      <c r="P985" s="14"/>
      <c r="Q985" s="15"/>
      <c r="R985" s="14"/>
      <c r="S985" s="16"/>
      <c r="T985" s="14"/>
      <c r="U985" s="14">
        <v>4</v>
      </c>
      <c r="V985" s="14" t="s">
        <v>665</v>
      </c>
      <c r="W985" s="14" t="s">
        <v>37</v>
      </c>
      <c r="X985" s="13">
        <v>45936</v>
      </c>
      <c r="Y985" s="13"/>
      <c r="Z985" t="s">
        <v>1264</v>
      </c>
      <c r="AC985"/>
      <c r="AE985" t="str">
        <f t="shared" si="115"/>
        <v>P001146</v>
      </c>
      <c r="AF985" t="str">
        <f>_xlfn.XLOOKUP(AE985, Hoja2!A:A, Hoja2!A:A)</f>
        <v>P001146</v>
      </c>
      <c r="AG985" t="str">
        <f t="shared" si="116"/>
        <v>PP00049-02</v>
      </c>
      <c r="AH985">
        <f>_xlfn.XLOOKUP(AG985, Hoja3!A:A, Hoja3!B:B)</f>
        <v>4487</v>
      </c>
      <c r="AI985" t="str">
        <f>_xlfn.XLOOKUP(AH985, Hoja4!A:A, Hoja4!B:B)</f>
        <v>ET73 4.3/2.0</v>
      </c>
      <c r="AJ985" t="b">
        <f t="shared" si="117"/>
        <v>1</v>
      </c>
    </row>
    <row r="986" spans="1:36" ht="15.5" customHeight="1" x14ac:dyDescent="0.35">
      <c r="A986">
        <f t="shared" ca="1" si="114"/>
        <v>57</v>
      </c>
      <c r="B986" s="12" t="s">
        <v>2972</v>
      </c>
      <c r="C986" s="13">
        <v>45873</v>
      </c>
      <c r="D986" s="14" t="s">
        <v>121</v>
      </c>
      <c r="E986" s="14" t="s">
        <v>83</v>
      </c>
      <c r="F986" s="14" t="s">
        <v>356</v>
      </c>
      <c r="G986" s="14" t="s">
        <v>32</v>
      </c>
      <c r="H986" s="14" t="s">
        <v>2973</v>
      </c>
      <c r="I986" s="14" t="s">
        <v>95</v>
      </c>
      <c r="J986" s="14" t="str">
        <f>IF(E986="KTG","KTG",(VLOOKUP(I986,'[1]list of outsource'!B:H,2,0)))</f>
        <v>Woer</v>
      </c>
      <c r="K986" s="14" t="s">
        <v>96</v>
      </c>
      <c r="L986" s="14">
        <v>56</v>
      </c>
      <c r="M986" s="14" t="s">
        <v>2974</v>
      </c>
      <c r="N986" s="14" t="s">
        <v>2975</v>
      </c>
      <c r="O986" s="14" t="s">
        <v>2976</v>
      </c>
      <c r="P986" s="14"/>
      <c r="Q986" s="15">
        <v>45912</v>
      </c>
      <c r="R986" s="14"/>
      <c r="S986" s="16"/>
      <c r="T986" s="14"/>
      <c r="U986" s="14">
        <v>4</v>
      </c>
      <c r="V986" s="14" t="s">
        <v>665</v>
      </c>
      <c r="W986" s="14" t="s">
        <v>37</v>
      </c>
      <c r="X986" s="13">
        <v>45930</v>
      </c>
      <c r="Y986" s="13"/>
      <c r="Z986" t="s">
        <v>1264</v>
      </c>
      <c r="AC986"/>
      <c r="AE986" t="str">
        <f t="shared" si="115"/>
        <v>P001117</v>
      </c>
      <c r="AF986" t="str">
        <f>_xlfn.XLOOKUP(AE986, Hoja2!A:A, Hoja2!A:A)</f>
        <v>P001117</v>
      </c>
      <c r="AG986" t="str">
        <f t="shared" si="116"/>
        <v>PP00012-04</v>
      </c>
      <c r="AH986">
        <f>_xlfn.XLOOKUP(AG986, Hoja3!A:A, Hoja3!B:B)</f>
        <v>4048</v>
      </c>
      <c r="AI986" t="str">
        <f>_xlfn.XLOOKUP(AH986, Hoja4!A:A, Hoja4!B:B)</f>
        <v>GAT132</v>
      </c>
      <c r="AJ986" t="b">
        <f t="shared" si="117"/>
        <v>1</v>
      </c>
    </row>
    <row r="987" spans="1:36" ht="15.5" customHeight="1" x14ac:dyDescent="0.35">
      <c r="A987">
        <f t="shared" ca="1" si="114"/>
        <v>7</v>
      </c>
      <c r="B987" s="12" t="s">
        <v>2977</v>
      </c>
      <c r="C987" s="13">
        <v>45435</v>
      </c>
      <c r="D987" s="14" t="s">
        <v>121</v>
      </c>
      <c r="E987" s="14" t="s">
        <v>30</v>
      </c>
      <c r="F987" s="14" t="s">
        <v>739</v>
      </c>
      <c r="G987" s="14" t="s">
        <v>156</v>
      </c>
      <c r="H987" s="14" t="s">
        <v>2978</v>
      </c>
      <c r="I987" s="14"/>
      <c r="J987" s="14" t="str">
        <f>IF(E987="KTG","KTG",(VLOOKUP(I987,'[1]list of outsource'!B:H,2,0)))</f>
        <v>KTG</v>
      </c>
      <c r="K987" s="14"/>
      <c r="L987" s="14"/>
      <c r="M987" s="14" t="s">
        <v>2979</v>
      </c>
      <c r="N987" s="14" t="s">
        <v>2980</v>
      </c>
      <c r="O987" s="14"/>
      <c r="P987" s="14"/>
      <c r="Q987" s="15">
        <v>45442</v>
      </c>
      <c r="R987" s="14"/>
      <c r="S987" s="16"/>
      <c r="T987" s="14"/>
      <c r="U987" s="14">
        <v>1</v>
      </c>
      <c r="V987" s="14" t="s">
        <v>569</v>
      </c>
      <c r="W987" s="14" t="s">
        <v>154</v>
      </c>
      <c r="X987" s="13">
        <v>45442</v>
      </c>
      <c r="Y987" s="13"/>
      <c r="AB987" t="e">
        <v>#N/A</v>
      </c>
      <c r="AC987"/>
      <c r="AE987" t="str">
        <f t="shared" si="115"/>
        <v>E74903</v>
      </c>
      <c r="AF987" t="str">
        <f>_xlfn.XLOOKUP(AE987, Hoja2!A:A, Hoja2!A:A)</f>
        <v>E74903</v>
      </c>
      <c r="AG987" t="str">
        <f t="shared" si="116"/>
        <v>PP00028-82</v>
      </c>
      <c r="AH987">
        <f>_xlfn.XLOOKUP(AG987, Hoja3!A:A, Hoja3!B:B)</f>
        <v>5474</v>
      </c>
      <c r="AI987" t="str">
        <f>_xlfn.XLOOKUP(AH987, Hoja4!A:A, Hoja4!B:B)</f>
        <v>E14168900</v>
      </c>
      <c r="AJ987" t="b">
        <f t="shared" si="117"/>
        <v>1</v>
      </c>
    </row>
    <row r="988" spans="1:36" ht="15.5" customHeight="1" x14ac:dyDescent="0.35">
      <c r="A988">
        <f t="shared" ca="1" si="114"/>
        <v>35</v>
      </c>
      <c r="B988" s="12" t="s">
        <v>2977</v>
      </c>
      <c r="C988" s="13">
        <v>45791</v>
      </c>
      <c r="D988" s="14" t="s">
        <v>121</v>
      </c>
      <c r="E988" s="14" t="s">
        <v>30</v>
      </c>
      <c r="F988" s="14" t="s">
        <v>739</v>
      </c>
      <c r="G988" s="14" t="s">
        <v>156</v>
      </c>
      <c r="H988" s="14" t="s">
        <v>2978</v>
      </c>
      <c r="I988" s="14"/>
      <c r="J988" s="14" t="str">
        <f>IF(E988="KTG","KTG",(VLOOKUP(I988,'[1]list of outsource'!B:H,2,0)))</f>
        <v>KTG</v>
      </c>
      <c r="K988" s="14"/>
      <c r="L988" s="49"/>
      <c r="M988" s="14" t="s">
        <v>2979</v>
      </c>
      <c r="N988" s="14" t="s">
        <v>2980</v>
      </c>
      <c r="O988" s="14"/>
      <c r="P988" s="14"/>
      <c r="Q988" s="15">
        <v>45442</v>
      </c>
      <c r="R988" s="14"/>
      <c r="S988" s="16"/>
      <c r="T988" s="14"/>
      <c r="U988" s="14">
        <v>1</v>
      </c>
      <c r="V988" s="14" t="s">
        <v>569</v>
      </c>
      <c r="W988" s="14" t="s">
        <v>154</v>
      </c>
      <c r="X988" s="13">
        <v>45826</v>
      </c>
      <c r="Y988" s="13"/>
      <c r="AB988" t="e">
        <v>#N/A</v>
      </c>
      <c r="AC988"/>
      <c r="AE988" t="str">
        <f t="shared" si="115"/>
        <v>E74903</v>
      </c>
      <c r="AF988" t="str">
        <f>_xlfn.XLOOKUP(AE988, Hoja2!A:A, Hoja2!A:A)</f>
        <v>E74903</v>
      </c>
      <c r="AG988" t="str">
        <f t="shared" si="116"/>
        <v>PP00028-82</v>
      </c>
      <c r="AH988">
        <f>_xlfn.XLOOKUP(AG988, Hoja3!A:A, Hoja3!B:B)</f>
        <v>5474</v>
      </c>
      <c r="AI988" t="str">
        <f>_xlfn.XLOOKUP(AH988, Hoja4!A:A, Hoja4!B:B)</f>
        <v>E14168900</v>
      </c>
      <c r="AJ988" t="b">
        <f t="shared" si="117"/>
        <v>1</v>
      </c>
    </row>
    <row r="989" spans="1:36" ht="15.5" customHeight="1" x14ac:dyDescent="0.35">
      <c r="A989">
        <f t="shared" ca="1" si="114"/>
        <v>121</v>
      </c>
      <c r="B989" s="26" t="s">
        <v>2981</v>
      </c>
      <c r="C989" s="50">
        <v>45888</v>
      </c>
      <c r="D989" s="26" t="s">
        <v>2902</v>
      </c>
      <c r="E989" s="26" t="s">
        <v>30</v>
      </c>
      <c r="F989" s="26" t="s">
        <v>140</v>
      </c>
      <c r="G989" s="26" t="s">
        <v>299</v>
      </c>
      <c r="H989" s="26">
        <v>3013550</v>
      </c>
      <c r="I989" s="26"/>
      <c r="J989" s="26" t="str">
        <f>IF(E989="KTG","KTG",(VLOOKUP(I989,'[1]list of outsource'!B:H,2,0)))</f>
        <v>KTG</v>
      </c>
      <c r="K989" s="26"/>
      <c r="L989" s="51"/>
      <c r="M989" s="26" t="s">
        <v>2982</v>
      </c>
      <c r="N989" s="26" t="s">
        <v>2983</v>
      </c>
      <c r="O989" s="26"/>
      <c r="P989" s="26"/>
      <c r="Q989" s="52"/>
      <c r="R989" s="26"/>
      <c r="S989" s="53"/>
      <c r="T989" s="26"/>
      <c r="U989" s="26" t="s">
        <v>2905</v>
      </c>
      <c r="V989" s="26" t="s">
        <v>569</v>
      </c>
      <c r="W989" s="26" t="s">
        <v>37</v>
      </c>
      <c r="X989" s="50"/>
      <c r="Y989" s="50"/>
      <c r="Z989" s="32" t="s">
        <v>1264</v>
      </c>
      <c r="AA989" s="32"/>
      <c r="AB989" s="32"/>
      <c r="AC989" t="e">
        <v>#N/A</v>
      </c>
      <c r="AE989" t="str">
        <f t="shared" si="115"/>
        <v>E20031</v>
      </c>
      <c r="AF989" t="str">
        <f>_xlfn.XLOOKUP(AE989, Hoja2!A:A, Hoja2!A:A)</f>
        <v>E20031</v>
      </c>
      <c r="AG989" t="str">
        <f t="shared" si="116"/>
        <v>PP00074-0002</v>
      </c>
      <c r="AH989">
        <v>4533</v>
      </c>
      <c r="AI989">
        <f>_xlfn.XLOOKUP(AH989, Hoja4!A:A, Hoja4!B:B)</f>
        <v>3013550</v>
      </c>
      <c r="AJ989" t="b">
        <f t="shared" si="117"/>
        <v>1</v>
      </c>
    </row>
    <row r="990" spans="1:36" ht="15.5" customHeight="1" x14ac:dyDescent="0.35">
      <c r="A990">
        <f t="shared" ca="1" si="114"/>
        <v>121</v>
      </c>
      <c r="B990" s="26" t="s">
        <v>2984</v>
      </c>
      <c r="C990" s="50">
        <v>45888</v>
      </c>
      <c r="D990" s="26" t="s">
        <v>2902</v>
      </c>
      <c r="E990" s="26" t="s">
        <v>30</v>
      </c>
      <c r="F990" s="26" t="s">
        <v>140</v>
      </c>
      <c r="G990" s="26" t="s">
        <v>299</v>
      </c>
      <c r="H990" s="26">
        <v>3013433</v>
      </c>
      <c r="I990" s="26"/>
      <c r="J990" s="26" t="str">
        <f>IF(E990="KTG","KTG",(VLOOKUP(I990,'[1]list of outsource'!B:H,2,0)))</f>
        <v>KTG</v>
      </c>
      <c r="K990" s="26"/>
      <c r="L990" s="51"/>
      <c r="M990" s="26" t="s">
        <v>2985</v>
      </c>
      <c r="N990" s="26" t="s">
        <v>2986</v>
      </c>
      <c r="O990" s="26"/>
      <c r="P990" s="26"/>
      <c r="Q990" s="52"/>
      <c r="R990" s="26"/>
      <c r="S990" s="53"/>
      <c r="T990" s="26"/>
      <c r="U990" s="26" t="s">
        <v>2905</v>
      </c>
      <c r="V990" s="26" t="s">
        <v>569</v>
      </c>
      <c r="W990" s="26" t="s">
        <v>37</v>
      </c>
      <c r="X990" s="50"/>
      <c r="Y990" s="50"/>
      <c r="Z990" s="32" t="s">
        <v>1264</v>
      </c>
      <c r="AA990" s="32"/>
      <c r="AB990" s="32"/>
      <c r="AC990" t="e">
        <v>#N/A</v>
      </c>
      <c r="AE990" t="str">
        <f t="shared" si="115"/>
        <v>E20027</v>
      </c>
      <c r="AF990" t="str">
        <f>_xlfn.XLOOKUP(AE990, Hoja2!A:A, Hoja2!A:A)</f>
        <v>E20027</v>
      </c>
      <c r="AG990" t="str">
        <f t="shared" si="116"/>
        <v>PP00074-0007</v>
      </c>
      <c r="AH990">
        <v>5224</v>
      </c>
      <c r="AI990">
        <f>_xlfn.XLOOKUP(AH990, Hoja4!A:A, Hoja4!B:B)</f>
        <v>3013433</v>
      </c>
      <c r="AJ990" t="b">
        <f t="shared" si="117"/>
        <v>1</v>
      </c>
    </row>
    <row r="991" spans="1:36" ht="15.5" customHeight="1" x14ac:dyDescent="0.35">
      <c r="A991">
        <f t="shared" ca="1" si="114"/>
        <v>7</v>
      </c>
      <c r="B991" s="12" t="s">
        <v>2987</v>
      </c>
      <c r="C991" s="13">
        <v>45888</v>
      </c>
      <c r="D991" s="14" t="s">
        <v>2902</v>
      </c>
      <c r="E991" s="14" t="s">
        <v>30</v>
      </c>
      <c r="F991" s="14" t="s">
        <v>140</v>
      </c>
      <c r="G991" s="14" t="s">
        <v>299</v>
      </c>
      <c r="H991" s="14" t="s">
        <v>2988</v>
      </c>
      <c r="I991" s="14"/>
      <c r="J991" s="14" t="str">
        <f>IF(E991="KTG","KTG",(VLOOKUP(I991,'[1]list of outsource'!B:H,2,0)))</f>
        <v>KTG</v>
      </c>
      <c r="K991" s="14"/>
      <c r="L991" s="14"/>
      <c r="M991" s="14" t="s">
        <v>2989</v>
      </c>
      <c r="N991" s="14" t="s">
        <v>2990</v>
      </c>
      <c r="O991" s="14"/>
      <c r="P991" s="14"/>
      <c r="Q991" s="15"/>
      <c r="R991" s="14"/>
      <c r="S991" s="16"/>
      <c r="T991" s="14"/>
      <c r="U991" s="14" t="s">
        <v>2905</v>
      </c>
      <c r="V991" s="14" t="s">
        <v>569</v>
      </c>
      <c r="W991" s="14" t="s">
        <v>37</v>
      </c>
      <c r="X991" s="13">
        <v>45895</v>
      </c>
      <c r="Y991" s="13"/>
      <c r="Z991" t="s">
        <v>1264</v>
      </c>
      <c r="AE991" t="str">
        <f t="shared" si="115"/>
        <v>E20002</v>
      </c>
      <c r="AF991" t="str">
        <f>_xlfn.XLOOKUP(AE991, Hoja2!A:A, Hoja2!A:A)</f>
        <v>E20002</v>
      </c>
      <c r="AG991" t="str">
        <f t="shared" si="116"/>
        <v>PP00074-03</v>
      </c>
      <c r="AH991">
        <f>_xlfn.XLOOKUP(AG991, Hoja3!A:A, Hoja3!B:B)</f>
        <v>5203</v>
      </c>
      <c r="AI991" t="str">
        <f>_xlfn.XLOOKUP(AH991, Hoja4!A:A, Hoja4!B:B)</f>
        <v>L000003722</v>
      </c>
      <c r="AJ991" t="b">
        <f t="shared" si="117"/>
        <v>1</v>
      </c>
    </row>
    <row r="992" spans="1:36" ht="15.5" customHeight="1" x14ac:dyDescent="0.35">
      <c r="A992">
        <f t="shared" ca="1" si="114"/>
        <v>7</v>
      </c>
      <c r="B992" s="12" t="s">
        <v>2991</v>
      </c>
      <c r="C992" s="13">
        <v>45888</v>
      </c>
      <c r="D992" s="14" t="s">
        <v>2902</v>
      </c>
      <c r="E992" s="14" t="s">
        <v>30</v>
      </c>
      <c r="F992" s="14" t="s">
        <v>140</v>
      </c>
      <c r="G992" s="14" t="s">
        <v>299</v>
      </c>
      <c r="H992" s="14" t="s">
        <v>2992</v>
      </c>
      <c r="I992" s="14"/>
      <c r="J992" s="14" t="str">
        <f>IF(E992="KTG","KTG",(VLOOKUP(I992,'[1]list of outsource'!B:H,2,0)))</f>
        <v>KTG</v>
      </c>
      <c r="K992" s="14"/>
      <c r="L992" s="14"/>
      <c r="M992" s="14" t="s">
        <v>2993</v>
      </c>
      <c r="N992" s="14" t="s">
        <v>2994</v>
      </c>
      <c r="O992" s="14"/>
      <c r="P992" s="14"/>
      <c r="Q992" s="15"/>
      <c r="R992" s="14"/>
      <c r="S992" s="16"/>
      <c r="T992" s="14"/>
      <c r="U992" s="14" t="s">
        <v>2905</v>
      </c>
      <c r="V992" s="14" t="s">
        <v>569</v>
      </c>
      <c r="W992" s="14" t="s">
        <v>37</v>
      </c>
      <c r="X992" s="13">
        <v>45895</v>
      </c>
      <c r="Y992" s="13"/>
      <c r="Z992" t="s">
        <v>1264</v>
      </c>
      <c r="AE992" t="str">
        <f t="shared" si="115"/>
        <v>E20026</v>
      </c>
      <c r="AF992" t="str">
        <f>_xlfn.XLOOKUP(AE992, Hoja2!A:A, Hoja2!A:A)</f>
        <v>E20026</v>
      </c>
      <c r="AG992" t="str">
        <f t="shared" si="116"/>
        <v>PP00074-04</v>
      </c>
      <c r="AH992">
        <f>_xlfn.XLOOKUP(AG992, Hoja3!A:A, Hoja3!B:B)</f>
        <v>5204</v>
      </c>
      <c r="AI992" t="str">
        <f>_xlfn.XLOOKUP(AH992, Hoja4!A:A, Hoja4!B:B)</f>
        <v>L000001768</v>
      </c>
      <c r="AJ992" t="b">
        <f t="shared" si="117"/>
        <v>1</v>
      </c>
    </row>
    <row r="993" spans="1:36" ht="15.5" customHeight="1" x14ac:dyDescent="0.35">
      <c r="A993">
        <f t="shared" ca="1" si="114"/>
        <v>7</v>
      </c>
      <c r="B993" s="12" t="s">
        <v>2995</v>
      </c>
      <c r="C993" s="13">
        <v>45888</v>
      </c>
      <c r="D993" s="14" t="s">
        <v>2902</v>
      </c>
      <c r="E993" s="14" t="s">
        <v>30</v>
      </c>
      <c r="F993" s="14" t="s">
        <v>140</v>
      </c>
      <c r="G993" s="14" t="s">
        <v>299</v>
      </c>
      <c r="H993" s="14" t="s">
        <v>2996</v>
      </c>
      <c r="I993" s="14"/>
      <c r="J993" s="14" t="str">
        <f>IF(E993="KTG","KTG",(VLOOKUP(I993,'[1]list of outsource'!B:H,2,0)))</f>
        <v>KTG</v>
      </c>
      <c r="K993" s="14"/>
      <c r="L993" s="14"/>
      <c r="M993" s="14" t="s">
        <v>2997</v>
      </c>
      <c r="N993" s="14" t="s">
        <v>2998</v>
      </c>
      <c r="O993" s="14"/>
      <c r="P993" s="14"/>
      <c r="Q993" s="15"/>
      <c r="R993" s="14"/>
      <c r="S993" s="16"/>
      <c r="T993" s="14"/>
      <c r="U993" s="14" t="s">
        <v>2905</v>
      </c>
      <c r="V993" s="14" t="s">
        <v>569</v>
      </c>
      <c r="W993" s="14" t="s">
        <v>37</v>
      </c>
      <c r="X993" s="13">
        <v>45895</v>
      </c>
      <c r="Y993" s="13"/>
      <c r="Z993" t="s">
        <v>1264</v>
      </c>
      <c r="AC993"/>
      <c r="AE993" t="str">
        <f t="shared" si="115"/>
        <v>E20012</v>
      </c>
      <c r="AF993" t="str">
        <f>_xlfn.XLOOKUP(AE993, Hoja2!A:A, Hoja2!A:A)</f>
        <v>E20012</v>
      </c>
      <c r="AG993" t="str">
        <f t="shared" si="116"/>
        <v>PP00074-05</v>
      </c>
      <c r="AH993">
        <f>_xlfn.XLOOKUP(AG993, Hoja3!A:A, Hoja3!B:B)</f>
        <v>5205</v>
      </c>
      <c r="AI993" t="str">
        <f>_xlfn.XLOOKUP(AH993, Hoja4!A:A, Hoja4!B:B)</f>
        <v>L000003061</v>
      </c>
      <c r="AJ993" t="b">
        <f t="shared" si="117"/>
        <v>1</v>
      </c>
    </row>
    <row r="994" spans="1:36" ht="15.5" customHeight="1" x14ac:dyDescent="0.35">
      <c r="A994">
        <f t="shared" ca="1" si="114"/>
        <v>7</v>
      </c>
      <c r="B994" s="12" t="s">
        <v>2999</v>
      </c>
      <c r="C994" s="13">
        <v>45888</v>
      </c>
      <c r="D994" s="14" t="s">
        <v>2902</v>
      </c>
      <c r="E994" s="14" t="s">
        <v>30</v>
      </c>
      <c r="F994" s="14" t="s">
        <v>140</v>
      </c>
      <c r="G994" s="14" t="s">
        <v>299</v>
      </c>
      <c r="H994" s="14" t="s">
        <v>3000</v>
      </c>
      <c r="I994" s="14"/>
      <c r="J994" s="14" t="str">
        <f>IF(E994="KTG","KTG",(VLOOKUP(I994,'[1]list of outsource'!B:H,2,0)))</f>
        <v>KTG</v>
      </c>
      <c r="K994" s="14"/>
      <c r="L994" s="14"/>
      <c r="M994" s="14" t="s">
        <v>3001</v>
      </c>
      <c r="N994" s="14" t="s">
        <v>3002</v>
      </c>
      <c r="O994" s="14"/>
      <c r="P994" s="14"/>
      <c r="Q994" s="15"/>
      <c r="R994" s="14"/>
      <c r="S994" s="16"/>
      <c r="T994" s="14"/>
      <c r="U994" s="14" t="s">
        <v>2905</v>
      </c>
      <c r="V994" s="14" t="s">
        <v>569</v>
      </c>
      <c r="W994" s="14" t="s">
        <v>37</v>
      </c>
      <c r="X994" s="13">
        <v>45895</v>
      </c>
      <c r="Y994" s="13"/>
      <c r="Z994" t="s">
        <v>1264</v>
      </c>
      <c r="AC994"/>
      <c r="AE994" t="str">
        <f t="shared" si="115"/>
        <v>E20019</v>
      </c>
      <c r="AF994" t="str">
        <f>_xlfn.XLOOKUP(AE994, Hoja2!A:A, Hoja2!A:A)</f>
        <v>E20019</v>
      </c>
      <c r="AG994" t="str">
        <f t="shared" si="116"/>
        <v>PP00074-06</v>
      </c>
      <c r="AH994">
        <f>_xlfn.XLOOKUP(AG994, Hoja3!A:A, Hoja3!B:B)</f>
        <v>5206</v>
      </c>
      <c r="AI994" t="str">
        <f>_xlfn.XLOOKUP(AH994, Hoja4!A:A, Hoja4!B:B)</f>
        <v>L000003247</v>
      </c>
      <c r="AJ994" t="b">
        <f t="shared" si="117"/>
        <v>1</v>
      </c>
    </row>
    <row r="995" spans="1:36" ht="15.5" customHeight="1" x14ac:dyDescent="0.35">
      <c r="A995">
        <f t="shared" ca="1" si="114"/>
        <v>26</v>
      </c>
      <c r="B995" s="6" t="s">
        <v>3003</v>
      </c>
      <c r="C995" s="7">
        <v>45756</v>
      </c>
      <c r="D995" s="6" t="s">
        <v>564</v>
      </c>
      <c r="E995" s="6" t="s">
        <v>139</v>
      </c>
      <c r="F995" s="6" t="s">
        <v>658</v>
      </c>
      <c r="G995" s="6" t="s">
        <v>32</v>
      </c>
      <c r="H995" s="6">
        <v>35758237</v>
      </c>
      <c r="I995" s="6" t="s">
        <v>1442</v>
      </c>
      <c r="J995" s="6" t="str">
        <f>IF(E995="KTG","KTG",(VLOOKUP(I995,'[1]list of outsource'!B:H,2,0)))</f>
        <v>ETC</v>
      </c>
      <c r="K995" s="6" t="s">
        <v>1443</v>
      </c>
      <c r="L995" s="6">
        <v>20</v>
      </c>
      <c r="M995" s="6" t="s">
        <v>3004</v>
      </c>
      <c r="N995" s="6" t="s">
        <v>3005</v>
      </c>
      <c r="O995" s="6" t="s">
        <v>3006</v>
      </c>
      <c r="P995" s="6"/>
      <c r="Q995" s="8">
        <v>45765</v>
      </c>
      <c r="R995" s="6"/>
      <c r="S995" s="6"/>
      <c r="T995" s="6"/>
      <c r="U995" s="6">
        <v>4</v>
      </c>
      <c r="V995" s="6" t="s">
        <v>665</v>
      </c>
      <c r="W995" s="6" t="s">
        <v>37</v>
      </c>
      <c r="X995" s="7">
        <v>45782</v>
      </c>
      <c r="Y995" s="7">
        <v>45782</v>
      </c>
      <c r="AB995">
        <v>0</v>
      </c>
      <c r="AC995"/>
      <c r="AE995" t="str">
        <f t="shared" si="115"/>
        <v>P000435</v>
      </c>
      <c r="AF995" t="str">
        <f>_xlfn.XLOOKUP(AE995, Hoja2!A:A, Hoja2!A:A)</f>
        <v>P000435</v>
      </c>
      <c r="AG995" t="str">
        <f t="shared" si="116"/>
        <v>PP00034-45</v>
      </c>
      <c r="AH995">
        <f>_xlfn.XLOOKUP(AG995, Hoja3!A:A, Hoja3!B:B)</f>
        <v>4793</v>
      </c>
      <c r="AI995">
        <f>_xlfn.XLOOKUP(AH995, Hoja4!A:A, Hoja4!B:B)</f>
        <v>35758237</v>
      </c>
      <c r="AJ995" t="b">
        <f t="shared" si="117"/>
        <v>1</v>
      </c>
    </row>
    <row r="996" spans="1:36" ht="15.5" customHeight="1" x14ac:dyDescent="0.35">
      <c r="A996">
        <f t="shared" ca="1" si="114"/>
        <v>121</v>
      </c>
      <c r="B996" s="26" t="s">
        <v>3007</v>
      </c>
      <c r="C996" s="50">
        <v>45888</v>
      </c>
      <c r="D996" s="26" t="s">
        <v>2902</v>
      </c>
      <c r="E996" s="26" t="s">
        <v>30</v>
      </c>
      <c r="F996" s="26" t="s">
        <v>140</v>
      </c>
      <c r="G996" s="26" t="s">
        <v>299</v>
      </c>
      <c r="H996" s="26">
        <v>3013430</v>
      </c>
      <c r="I996" s="26"/>
      <c r="J996" s="26" t="str">
        <f>IF(E996="KTG","KTG",(VLOOKUP(I996,'[1]list of outsource'!B:H,2,0)))</f>
        <v>KTG</v>
      </c>
      <c r="K996" s="26"/>
      <c r="L996" s="51"/>
      <c r="M996" s="26" t="s">
        <v>3008</v>
      </c>
      <c r="N996" s="26" t="s">
        <v>3009</v>
      </c>
      <c r="O996" s="26"/>
      <c r="P996" s="26"/>
      <c r="Q996" s="52"/>
      <c r="R996" s="26"/>
      <c r="S996" s="53"/>
      <c r="T996" s="26"/>
      <c r="U996" s="26" t="s">
        <v>2905</v>
      </c>
      <c r="V996" s="26" t="s">
        <v>569</v>
      </c>
      <c r="W996" s="26" t="s">
        <v>37</v>
      </c>
      <c r="X996" s="50"/>
      <c r="Y996" s="50"/>
      <c r="Z996" s="32" t="s">
        <v>1264</v>
      </c>
      <c r="AA996" s="32"/>
      <c r="AB996" s="32"/>
      <c r="AC996"/>
      <c r="AE996" t="str">
        <f t="shared" si="115"/>
        <v>E20034</v>
      </c>
      <c r="AF996" t="str">
        <f>_xlfn.XLOOKUP(AE996, Hoja2!A:A, Hoja2!A:A)</f>
        <v>E20034</v>
      </c>
      <c r="AG996" t="str">
        <f t="shared" si="116"/>
        <v>PP00074-0008</v>
      </c>
      <c r="AH996">
        <v>5225</v>
      </c>
      <c r="AI996">
        <f>_xlfn.XLOOKUP(AH996, Hoja4!A:A, Hoja4!B:B)</f>
        <v>3013430</v>
      </c>
      <c r="AJ996" t="b">
        <f t="shared" si="117"/>
        <v>1</v>
      </c>
    </row>
    <row r="997" spans="1:36" ht="15.5" customHeight="1" x14ac:dyDescent="0.35">
      <c r="A997">
        <f t="shared" ca="1" si="114"/>
        <v>121</v>
      </c>
      <c r="B997" s="26" t="s">
        <v>3010</v>
      </c>
      <c r="C997" s="50">
        <v>45888</v>
      </c>
      <c r="D997" s="26" t="s">
        <v>2902</v>
      </c>
      <c r="E997" s="26" t="s">
        <v>30</v>
      </c>
      <c r="F997" s="26" t="s">
        <v>140</v>
      </c>
      <c r="G997" s="26" t="s">
        <v>299</v>
      </c>
      <c r="H997" s="26">
        <v>3013442</v>
      </c>
      <c r="I997" s="26"/>
      <c r="J997" s="26" t="str">
        <f>IF(E997="KTG","KTG",(VLOOKUP(I997,'[1]list of outsource'!B:H,2,0)))</f>
        <v>KTG</v>
      </c>
      <c r="K997" s="26"/>
      <c r="L997" s="51"/>
      <c r="M997" s="26" t="s">
        <v>3011</v>
      </c>
      <c r="N997" s="26" t="s">
        <v>3012</v>
      </c>
      <c r="O997" s="26"/>
      <c r="P997" s="26"/>
      <c r="Q997" s="52"/>
      <c r="R997" s="26"/>
      <c r="S997" s="53"/>
      <c r="T997" s="26"/>
      <c r="U997" s="26" t="s">
        <v>2905</v>
      </c>
      <c r="V997" s="26" t="s">
        <v>569</v>
      </c>
      <c r="W997" s="26" t="s">
        <v>37</v>
      </c>
      <c r="X997" s="50"/>
      <c r="Y997" s="50"/>
      <c r="Z997" s="32" t="s">
        <v>1264</v>
      </c>
      <c r="AA997" s="32"/>
      <c r="AB997" s="32"/>
      <c r="AC997" t="s">
        <v>4210</v>
      </c>
      <c r="AE997" t="str">
        <f t="shared" si="115"/>
        <v>E20025</v>
      </c>
      <c r="AF997" t="str">
        <f>_xlfn.XLOOKUP(AE997, Hoja2!A:A, Hoja2!A:A)</f>
        <v>E20025</v>
      </c>
      <c r="AG997" t="str">
        <f t="shared" si="116"/>
        <v>PP00074-0009</v>
      </c>
      <c r="AH997">
        <v>5221</v>
      </c>
      <c r="AI997">
        <f>_xlfn.XLOOKUP(AH997, Hoja4!A:A, Hoja4!B:B)</f>
        <v>3013442</v>
      </c>
      <c r="AJ997" t="b">
        <f t="shared" si="117"/>
        <v>1</v>
      </c>
    </row>
    <row r="998" spans="1:36" ht="15.5" customHeight="1" x14ac:dyDescent="0.35">
      <c r="A998">
        <f t="shared" ca="1" si="114"/>
        <v>121</v>
      </c>
      <c r="B998" s="26" t="s">
        <v>3013</v>
      </c>
      <c r="C998" s="50">
        <v>45888</v>
      </c>
      <c r="D998" s="26" t="s">
        <v>2902</v>
      </c>
      <c r="E998" s="26" t="s">
        <v>30</v>
      </c>
      <c r="F998" s="26" t="s">
        <v>140</v>
      </c>
      <c r="G998" s="26" t="s">
        <v>299</v>
      </c>
      <c r="H998" s="26">
        <v>3013388</v>
      </c>
      <c r="I998" s="26"/>
      <c r="J998" s="26" t="str">
        <f>IF(E998="KTG","KTG",(VLOOKUP(I998,'[1]list of outsource'!B:H,2,0)))</f>
        <v>KTG</v>
      </c>
      <c r="K998" s="26"/>
      <c r="L998" s="51"/>
      <c r="M998" s="26" t="s">
        <v>3014</v>
      </c>
      <c r="N998" s="26" t="s">
        <v>3015</v>
      </c>
      <c r="O998" s="26"/>
      <c r="P998" s="26"/>
      <c r="Q998" s="52"/>
      <c r="R998" s="26"/>
      <c r="S998" s="53"/>
      <c r="T998" s="26"/>
      <c r="U998" s="26" t="s">
        <v>2905</v>
      </c>
      <c r="V998" s="26" t="s">
        <v>569</v>
      </c>
      <c r="W998" s="26" t="s">
        <v>37</v>
      </c>
      <c r="X998" s="50"/>
      <c r="Y998" s="50"/>
      <c r="Z998" s="32" t="s">
        <v>1264</v>
      </c>
      <c r="AA998" s="32"/>
      <c r="AB998" s="32"/>
      <c r="AE998" t="str">
        <f t="shared" si="115"/>
        <v>E20009</v>
      </c>
      <c r="AF998" t="str">
        <f>_xlfn.XLOOKUP(AE998, Hoja2!A:A, Hoja2!A:A)</f>
        <v>E20009</v>
      </c>
      <c r="AG998" t="str">
        <f t="shared" si="116"/>
        <v>PP00074-0016</v>
      </c>
      <c r="AH998">
        <v>5223</v>
      </c>
      <c r="AI998">
        <f>_xlfn.XLOOKUP(AH998, Hoja4!A:A, Hoja4!B:B)</f>
        <v>3013388</v>
      </c>
      <c r="AJ998" t="b">
        <f t="shared" si="117"/>
        <v>1</v>
      </c>
    </row>
    <row r="999" spans="1:36" ht="15.5" customHeight="1" x14ac:dyDescent="0.35">
      <c r="A999">
        <f t="shared" ca="1" si="114"/>
        <v>7</v>
      </c>
      <c r="B999" s="12" t="s">
        <v>3016</v>
      </c>
      <c r="C999" s="13">
        <v>45888</v>
      </c>
      <c r="D999" s="14" t="s">
        <v>2902</v>
      </c>
      <c r="E999" s="14" t="s">
        <v>30</v>
      </c>
      <c r="F999" s="14" t="s">
        <v>140</v>
      </c>
      <c r="G999" s="14" t="s">
        <v>299</v>
      </c>
      <c r="H999" s="14" t="s">
        <v>3017</v>
      </c>
      <c r="I999" s="14"/>
      <c r="J999" s="14" t="str">
        <f>IF(E999="KTG","KTG",(VLOOKUP(I999,'[1]list of outsource'!B:H,2,0)))</f>
        <v>KTG</v>
      </c>
      <c r="K999" s="14"/>
      <c r="L999" s="14"/>
      <c r="M999" s="14" t="s">
        <v>3018</v>
      </c>
      <c r="N999" s="14" t="s">
        <v>3019</v>
      </c>
      <c r="O999" s="14"/>
      <c r="P999" s="14"/>
      <c r="Q999" s="15"/>
      <c r="R999" s="14"/>
      <c r="S999" s="16"/>
      <c r="T999" s="14"/>
      <c r="U999" s="14" t="s">
        <v>2905</v>
      </c>
      <c r="V999" s="14" t="s">
        <v>569</v>
      </c>
      <c r="W999" s="14" t="s">
        <v>37</v>
      </c>
      <c r="X999" s="13">
        <v>45895</v>
      </c>
      <c r="Y999" s="13"/>
      <c r="Z999" t="s">
        <v>1264</v>
      </c>
      <c r="AE999" t="str">
        <f t="shared" si="115"/>
        <v>E20033</v>
      </c>
      <c r="AF999" t="str">
        <f>_xlfn.XLOOKUP(AE999, Hoja2!A:A, Hoja2!A:A)</f>
        <v>E20033</v>
      </c>
      <c r="AG999" t="str">
        <f t="shared" si="116"/>
        <v>PP00074-10</v>
      </c>
      <c r="AH999">
        <f>_xlfn.XLOOKUP(AG999, Hoja3!A:A, Hoja3!B:B)</f>
        <v>5210</v>
      </c>
      <c r="AI999" t="str">
        <f>_xlfn.XLOOKUP(AH999, Hoja4!A:A, Hoja4!B:B)</f>
        <v>L000003703</v>
      </c>
      <c r="AJ999" t="b">
        <f t="shared" si="117"/>
        <v>1</v>
      </c>
    </row>
    <row r="1000" spans="1:36" ht="15.5" customHeight="1" x14ac:dyDescent="0.35">
      <c r="A1000">
        <f t="shared" ca="1" si="114"/>
        <v>7</v>
      </c>
      <c r="B1000" s="12" t="s">
        <v>3020</v>
      </c>
      <c r="C1000" s="13">
        <v>45888</v>
      </c>
      <c r="D1000" s="14" t="s">
        <v>2902</v>
      </c>
      <c r="E1000" s="14" t="s">
        <v>30</v>
      </c>
      <c r="F1000" s="14" t="s">
        <v>140</v>
      </c>
      <c r="G1000" s="14" t="s">
        <v>299</v>
      </c>
      <c r="H1000" s="14" t="s">
        <v>3021</v>
      </c>
      <c r="I1000" s="14"/>
      <c r="J1000" s="14" t="str">
        <f>IF(E1000="KTG","KTG",(VLOOKUP(I1000,'[1]list of outsource'!B:H,2,0)))</f>
        <v>KTG</v>
      </c>
      <c r="K1000" s="14"/>
      <c r="L1000" s="14"/>
      <c r="M1000" s="14" t="s">
        <v>3022</v>
      </c>
      <c r="N1000" s="14" t="s">
        <v>3023</v>
      </c>
      <c r="O1000" s="14"/>
      <c r="P1000" s="14"/>
      <c r="Q1000" s="15"/>
      <c r="R1000" s="14"/>
      <c r="S1000" s="16"/>
      <c r="T1000" s="14"/>
      <c r="U1000" s="14" t="s">
        <v>2905</v>
      </c>
      <c r="V1000" s="14" t="s">
        <v>569</v>
      </c>
      <c r="W1000" s="14" t="s">
        <v>37</v>
      </c>
      <c r="X1000" s="13">
        <v>45895</v>
      </c>
      <c r="Y1000" s="13"/>
      <c r="Z1000" t="s">
        <v>1264</v>
      </c>
      <c r="AE1000" t="str">
        <f t="shared" si="115"/>
        <v>E20023</v>
      </c>
      <c r="AF1000" t="str">
        <f>_xlfn.XLOOKUP(AE1000, Hoja2!A:A, Hoja2!A:A)</f>
        <v>E20023</v>
      </c>
      <c r="AG1000" t="str">
        <f t="shared" si="116"/>
        <v>PP00074-11</v>
      </c>
      <c r="AH1000">
        <f>_xlfn.XLOOKUP(AG1000, Hoja3!A:A, Hoja3!B:B)</f>
        <v>5211</v>
      </c>
      <c r="AI1000" t="str">
        <f>_xlfn.XLOOKUP(AH1000, Hoja4!A:A, Hoja4!B:B)</f>
        <v>L000003786</v>
      </c>
      <c r="AJ1000" t="b">
        <f t="shared" si="117"/>
        <v>1</v>
      </c>
    </row>
    <row r="1001" spans="1:36" ht="15.5" customHeight="1" x14ac:dyDescent="0.35">
      <c r="A1001">
        <f t="shared" ca="1" si="114"/>
        <v>7</v>
      </c>
      <c r="B1001" s="12" t="s">
        <v>3024</v>
      </c>
      <c r="C1001" s="13">
        <v>45888</v>
      </c>
      <c r="D1001" s="14" t="s">
        <v>2902</v>
      </c>
      <c r="E1001" s="14" t="s">
        <v>30</v>
      </c>
      <c r="F1001" s="14" t="s">
        <v>140</v>
      </c>
      <c r="G1001" s="14" t="s">
        <v>299</v>
      </c>
      <c r="H1001" s="14" t="s">
        <v>3025</v>
      </c>
      <c r="I1001" s="14"/>
      <c r="J1001" s="14" t="str">
        <f>IF(E1001="KTG","KTG",(VLOOKUP(I1001,'[1]list of outsource'!B:H,2,0)))</f>
        <v>KTG</v>
      </c>
      <c r="K1001" s="14"/>
      <c r="L1001" s="14"/>
      <c r="M1001" s="14" t="s">
        <v>3026</v>
      </c>
      <c r="N1001" s="14" t="s">
        <v>3027</v>
      </c>
      <c r="O1001" s="14"/>
      <c r="P1001" s="14"/>
      <c r="Q1001" s="15"/>
      <c r="R1001" s="14"/>
      <c r="S1001" s="16"/>
      <c r="T1001" s="14"/>
      <c r="U1001" s="14" t="s">
        <v>2905</v>
      </c>
      <c r="V1001" s="14" t="s">
        <v>569</v>
      </c>
      <c r="W1001" s="14" t="s">
        <v>37</v>
      </c>
      <c r="X1001" s="13">
        <v>45895</v>
      </c>
      <c r="Y1001" s="13"/>
      <c r="Z1001" t="s">
        <v>1264</v>
      </c>
      <c r="AC1001"/>
      <c r="AE1001" t="str">
        <f t="shared" si="115"/>
        <v>E20030</v>
      </c>
      <c r="AF1001" t="str">
        <f>_xlfn.XLOOKUP(AE1001, Hoja2!A:A, Hoja2!A:A)</f>
        <v>E20030</v>
      </c>
      <c r="AG1001" t="str">
        <f t="shared" si="116"/>
        <v>PP00074-12</v>
      </c>
      <c r="AH1001">
        <f>_xlfn.XLOOKUP(AG1001, Hoja3!A:A, Hoja3!B:B)</f>
        <v>5212</v>
      </c>
      <c r="AI1001" t="str">
        <f>_xlfn.XLOOKUP(AH1001, Hoja4!A:A, Hoja4!B:B)</f>
        <v>L000004126</v>
      </c>
      <c r="AJ1001" t="b">
        <f t="shared" si="117"/>
        <v>1</v>
      </c>
    </row>
    <row r="1002" spans="1:36" ht="15.5" customHeight="1" x14ac:dyDescent="0.35">
      <c r="A1002">
        <f t="shared" ca="1" si="114"/>
        <v>7</v>
      </c>
      <c r="B1002" s="12" t="s">
        <v>3028</v>
      </c>
      <c r="C1002" s="13">
        <v>45888</v>
      </c>
      <c r="D1002" s="14" t="s">
        <v>2902</v>
      </c>
      <c r="E1002" s="14" t="s">
        <v>30</v>
      </c>
      <c r="F1002" s="14" t="s">
        <v>140</v>
      </c>
      <c r="G1002" s="14" t="s">
        <v>299</v>
      </c>
      <c r="H1002" s="14" t="s">
        <v>3029</v>
      </c>
      <c r="I1002" s="14"/>
      <c r="J1002" s="14" t="str">
        <f>IF(E1002="KTG","KTG",(VLOOKUP(I1002,'[1]list of outsource'!B:H,2,0)))</f>
        <v>KTG</v>
      </c>
      <c r="K1002" s="14"/>
      <c r="L1002" s="14"/>
      <c r="M1002" s="14" t="s">
        <v>3030</v>
      </c>
      <c r="N1002" s="14" t="s">
        <v>3031</v>
      </c>
      <c r="O1002" s="14"/>
      <c r="P1002" s="14"/>
      <c r="Q1002" s="15"/>
      <c r="R1002" s="14"/>
      <c r="S1002" s="16"/>
      <c r="T1002" s="14"/>
      <c r="U1002" s="14" t="s">
        <v>2905</v>
      </c>
      <c r="V1002" s="14" t="s">
        <v>569</v>
      </c>
      <c r="W1002" s="14" t="s">
        <v>37</v>
      </c>
      <c r="X1002" s="13">
        <v>45895</v>
      </c>
      <c r="Y1002" s="13"/>
      <c r="Z1002" t="s">
        <v>1264</v>
      </c>
      <c r="AC1002"/>
      <c r="AE1002" t="str">
        <f t="shared" si="115"/>
        <v>E20007</v>
      </c>
      <c r="AF1002" t="str">
        <f>_xlfn.XLOOKUP(AE1002, Hoja2!A:A, Hoja2!A:A)</f>
        <v>E20007</v>
      </c>
      <c r="AG1002" t="str">
        <f t="shared" si="116"/>
        <v>PP00074-13</v>
      </c>
      <c r="AH1002">
        <f>_xlfn.XLOOKUP(AG1002, Hoja3!A:A, Hoja3!B:B)</f>
        <v>5213</v>
      </c>
      <c r="AI1002" t="str">
        <f>_xlfn.XLOOKUP(AH1002, Hoja4!A:A, Hoja4!B:B)</f>
        <v>L000005194</v>
      </c>
      <c r="AJ1002" t="b">
        <f t="shared" si="117"/>
        <v>1</v>
      </c>
    </row>
    <row r="1003" spans="1:36" ht="15.5" customHeight="1" x14ac:dyDescent="0.35">
      <c r="A1003">
        <f t="shared" ca="1" si="114"/>
        <v>7</v>
      </c>
      <c r="B1003" s="12" t="s">
        <v>3032</v>
      </c>
      <c r="C1003" s="13">
        <v>45888</v>
      </c>
      <c r="D1003" s="14" t="s">
        <v>2902</v>
      </c>
      <c r="E1003" s="14" t="s">
        <v>30</v>
      </c>
      <c r="F1003" s="14" t="s">
        <v>140</v>
      </c>
      <c r="G1003" s="14" t="s">
        <v>299</v>
      </c>
      <c r="H1003" s="14" t="s">
        <v>3033</v>
      </c>
      <c r="I1003" s="14"/>
      <c r="J1003" s="14" t="str">
        <f>IF(E1003="KTG","KTG",(VLOOKUP(I1003,'[1]list of outsource'!B:H,2,0)))</f>
        <v>KTG</v>
      </c>
      <c r="K1003" s="14"/>
      <c r="L1003" s="14"/>
      <c r="M1003" s="14" t="s">
        <v>3034</v>
      </c>
      <c r="N1003" s="14" t="s">
        <v>3035</v>
      </c>
      <c r="O1003" s="14"/>
      <c r="P1003" s="14"/>
      <c r="Q1003" s="15"/>
      <c r="R1003" s="14"/>
      <c r="S1003" s="16"/>
      <c r="T1003" s="14"/>
      <c r="U1003" s="14" t="s">
        <v>2905</v>
      </c>
      <c r="V1003" s="14" t="s">
        <v>569</v>
      </c>
      <c r="W1003" s="14" t="s">
        <v>37</v>
      </c>
      <c r="X1003" s="13">
        <v>45895</v>
      </c>
      <c r="Y1003" s="13"/>
      <c r="Z1003" t="s">
        <v>1264</v>
      </c>
      <c r="AC1003"/>
      <c r="AE1003" t="str">
        <f t="shared" si="115"/>
        <v>E20028</v>
      </c>
      <c r="AF1003" t="str">
        <f>_xlfn.XLOOKUP(AE1003, Hoja2!A:A, Hoja2!A:A)</f>
        <v>E20028</v>
      </c>
      <c r="AG1003" t="str">
        <f t="shared" si="116"/>
        <v>PP00074-14</v>
      </c>
      <c r="AH1003">
        <f>_xlfn.XLOOKUP(AG1003, Hoja3!A:A, Hoja3!B:B)</f>
        <v>5214</v>
      </c>
      <c r="AI1003" t="str">
        <f>_xlfn.XLOOKUP(AH1003, Hoja4!A:A, Hoja4!B:B)</f>
        <v>M000007043</v>
      </c>
      <c r="AJ1003" t="b">
        <f t="shared" si="117"/>
        <v>1</v>
      </c>
    </row>
    <row r="1004" spans="1:36" ht="15.5" customHeight="1" x14ac:dyDescent="0.35">
      <c r="A1004">
        <f t="shared" ca="1" si="114"/>
        <v>7</v>
      </c>
      <c r="B1004" s="12" t="s">
        <v>3036</v>
      </c>
      <c r="C1004" s="13">
        <v>45888</v>
      </c>
      <c r="D1004" s="14" t="s">
        <v>2902</v>
      </c>
      <c r="E1004" s="14" t="s">
        <v>30</v>
      </c>
      <c r="F1004" s="14" t="s">
        <v>140</v>
      </c>
      <c r="G1004" s="14" t="s">
        <v>299</v>
      </c>
      <c r="H1004" s="14" t="s">
        <v>3037</v>
      </c>
      <c r="I1004" s="14"/>
      <c r="J1004" s="14" t="str">
        <f>IF(E1004="KTG","KTG",(VLOOKUP(I1004,'[1]list of outsource'!B:H,2,0)))</f>
        <v>KTG</v>
      </c>
      <c r="K1004" s="14"/>
      <c r="L1004" s="14"/>
      <c r="M1004" s="14" t="s">
        <v>3038</v>
      </c>
      <c r="N1004" s="14" t="s">
        <v>3039</v>
      </c>
      <c r="O1004" s="14"/>
      <c r="P1004" s="14"/>
      <c r="Q1004" s="15"/>
      <c r="R1004" s="14"/>
      <c r="S1004" s="16"/>
      <c r="T1004" s="14"/>
      <c r="U1004" s="14" t="s">
        <v>2905</v>
      </c>
      <c r="V1004" s="14" t="s">
        <v>569</v>
      </c>
      <c r="W1004" s="14" t="s">
        <v>37</v>
      </c>
      <c r="X1004" s="13">
        <v>45895</v>
      </c>
      <c r="Y1004" s="13"/>
      <c r="Z1004" t="s">
        <v>1264</v>
      </c>
      <c r="AC1004"/>
      <c r="AE1004" t="str">
        <f t="shared" si="115"/>
        <v>E20035</v>
      </c>
      <c r="AF1004" t="str">
        <f>_xlfn.XLOOKUP(AE1004, Hoja2!A:A, Hoja2!A:A)</f>
        <v>E20035</v>
      </c>
      <c r="AG1004" t="str">
        <f t="shared" si="116"/>
        <v>PP00074-15</v>
      </c>
      <c r="AH1004">
        <f>_xlfn.XLOOKUP(AG1004, Hoja3!A:A, Hoja3!B:B)</f>
        <v>5215</v>
      </c>
      <c r="AI1004" t="str">
        <f>_xlfn.XLOOKUP(AH1004, Hoja4!A:A, Hoja4!B:B)</f>
        <v>L000001043</v>
      </c>
      <c r="AJ1004" t="b">
        <f t="shared" si="117"/>
        <v>1</v>
      </c>
    </row>
    <row r="1005" spans="1:36" ht="15.5" customHeight="1" x14ac:dyDescent="0.35">
      <c r="A1005">
        <f t="shared" ca="1" si="114"/>
        <v>121</v>
      </c>
      <c r="B1005" s="26" t="s">
        <v>3040</v>
      </c>
      <c r="C1005" s="50">
        <v>45888</v>
      </c>
      <c r="D1005" s="26" t="s">
        <v>2902</v>
      </c>
      <c r="E1005" s="26" t="s">
        <v>30</v>
      </c>
      <c r="F1005" s="26" t="s">
        <v>140</v>
      </c>
      <c r="G1005" s="26" t="s">
        <v>299</v>
      </c>
      <c r="H1005" s="26">
        <v>3013582</v>
      </c>
      <c r="I1005" s="26"/>
      <c r="J1005" s="26" t="str">
        <f>IF(E1005="KTG","KTG",(VLOOKUP(I1005,'[1]list of outsource'!B:H,2,0)))</f>
        <v>KTG</v>
      </c>
      <c r="K1005" s="26"/>
      <c r="L1005" s="51"/>
      <c r="M1005" s="26" t="s">
        <v>3041</v>
      </c>
      <c r="N1005" s="26" t="s">
        <v>3042</v>
      </c>
      <c r="O1005" s="26"/>
      <c r="P1005" s="26"/>
      <c r="Q1005" s="52"/>
      <c r="R1005" s="26"/>
      <c r="S1005" s="53"/>
      <c r="T1005" s="26"/>
      <c r="U1005" s="26" t="s">
        <v>2905</v>
      </c>
      <c r="V1005" s="26" t="s">
        <v>569</v>
      </c>
      <c r="W1005" s="26" t="s">
        <v>37</v>
      </c>
      <c r="X1005" s="50"/>
      <c r="Y1005" s="50"/>
      <c r="Z1005" s="32" t="s">
        <v>1264</v>
      </c>
      <c r="AA1005" s="32"/>
      <c r="AB1005" s="32"/>
      <c r="AC1005"/>
      <c r="AE1005" t="str">
        <f t="shared" si="115"/>
        <v>E20018</v>
      </c>
      <c r="AF1005" t="str">
        <f>_xlfn.XLOOKUP(AE1005, Hoja2!A:A, Hoja2!A:A)</f>
        <v>E20018</v>
      </c>
      <c r="AG1005" t="str">
        <f t="shared" si="116"/>
        <v>PP00074-0017</v>
      </c>
      <c r="AH1005">
        <v>5222</v>
      </c>
      <c r="AI1005">
        <f>_xlfn.XLOOKUP(AH1005, Hoja4!A:A, Hoja4!B:B)</f>
        <v>3013582</v>
      </c>
      <c r="AJ1005" t="b">
        <f t="shared" si="117"/>
        <v>1</v>
      </c>
    </row>
    <row r="1006" spans="1:36" ht="15.5" customHeight="1" x14ac:dyDescent="0.35">
      <c r="A1006">
        <f t="shared" ca="1" si="114"/>
        <v>121</v>
      </c>
      <c r="B1006" s="26" t="s">
        <v>3043</v>
      </c>
      <c r="C1006" s="50">
        <v>45888</v>
      </c>
      <c r="D1006" s="26" t="s">
        <v>2902</v>
      </c>
      <c r="E1006" s="26" t="s">
        <v>30</v>
      </c>
      <c r="F1006" s="26" t="s">
        <v>140</v>
      </c>
      <c r="G1006" s="26" t="s">
        <v>299</v>
      </c>
      <c r="H1006" s="26">
        <v>3013429</v>
      </c>
      <c r="I1006" s="26"/>
      <c r="J1006" s="26" t="str">
        <f>IF(E1006="KTG","KTG",(VLOOKUP(I1006,'[1]list of outsource'!B:H,2,0)))</f>
        <v>KTG</v>
      </c>
      <c r="K1006" s="26"/>
      <c r="L1006" s="51"/>
      <c r="M1006" s="26" t="s">
        <v>3044</v>
      </c>
      <c r="N1006" s="26" t="s">
        <v>3045</v>
      </c>
      <c r="O1006" s="26"/>
      <c r="P1006" s="26"/>
      <c r="Q1006" s="52"/>
      <c r="R1006" s="26"/>
      <c r="S1006" s="53"/>
      <c r="T1006" s="26"/>
      <c r="U1006" s="26" t="s">
        <v>2905</v>
      </c>
      <c r="V1006" s="26" t="s">
        <v>569</v>
      </c>
      <c r="W1006" s="26" t="s">
        <v>37</v>
      </c>
      <c r="X1006" s="50"/>
      <c r="Y1006" s="50"/>
      <c r="Z1006" s="32" t="s">
        <v>1264</v>
      </c>
      <c r="AA1006" s="32"/>
      <c r="AB1006" s="32"/>
      <c r="AC1006"/>
      <c r="AE1006" t="str">
        <f t="shared" si="115"/>
        <v>E20010</v>
      </c>
      <c r="AF1006" t="str">
        <f>_xlfn.XLOOKUP(AE1006, Hoja2!A:A, Hoja2!A:A)</f>
        <v>E20010</v>
      </c>
      <c r="AG1006" t="str">
        <f t="shared" si="116"/>
        <v>PP00074-0018</v>
      </c>
      <c r="AH1006">
        <v>4529</v>
      </c>
      <c r="AI1006">
        <f>_xlfn.XLOOKUP(AH1006, Hoja4!A:A, Hoja4!B:B)</f>
        <v>3013429</v>
      </c>
      <c r="AJ1006" t="b">
        <f t="shared" si="117"/>
        <v>1</v>
      </c>
    </row>
    <row r="1007" spans="1:36" ht="15.5" customHeight="1" x14ac:dyDescent="0.35">
      <c r="A1007">
        <f t="shared" ca="1" si="114"/>
        <v>121</v>
      </c>
      <c r="B1007" s="26" t="s">
        <v>3046</v>
      </c>
      <c r="C1007" s="50">
        <v>45888</v>
      </c>
      <c r="D1007" s="26" t="s">
        <v>875</v>
      </c>
      <c r="E1007" s="26" t="s">
        <v>139</v>
      </c>
      <c r="F1007" s="26" t="s">
        <v>1697</v>
      </c>
      <c r="G1007" s="26" t="s">
        <v>299</v>
      </c>
      <c r="H1007" s="26">
        <v>7194183730</v>
      </c>
      <c r="I1007" s="26" t="s">
        <v>3047</v>
      </c>
      <c r="J1007" s="26" t="str">
        <f>IF(E1007="KTG","KTG",(VLOOKUP(I1007,'[1]list of outsource'!B:H,2,0)))</f>
        <v>ETC</v>
      </c>
      <c r="K1007" s="26" t="s">
        <v>3048</v>
      </c>
      <c r="L1007" s="51"/>
      <c r="M1007" s="26" t="s">
        <v>3049</v>
      </c>
      <c r="N1007" s="26" t="s">
        <v>3050</v>
      </c>
      <c r="O1007" s="26" t="s">
        <v>3051</v>
      </c>
      <c r="P1007" s="26"/>
      <c r="Q1007" s="52">
        <v>45923</v>
      </c>
      <c r="R1007" s="26"/>
      <c r="S1007" s="53"/>
      <c r="T1007" s="26"/>
      <c r="U1007" s="26">
        <v>3</v>
      </c>
      <c r="V1007" s="26" t="s">
        <v>569</v>
      </c>
      <c r="W1007" s="26" t="s">
        <v>37</v>
      </c>
      <c r="X1007" s="50"/>
      <c r="Y1007" s="50"/>
      <c r="Z1007" s="32" t="s">
        <v>1264</v>
      </c>
      <c r="AA1007" s="32"/>
      <c r="AB1007" s="32"/>
      <c r="AE1007" t="str">
        <f t="shared" si="115"/>
        <v>P200279</v>
      </c>
      <c r="AF1007" t="str">
        <f>_xlfn.XLOOKUP(AE1007, Hoja2!A:A, Hoja2!A:A)</f>
        <v>P200279</v>
      </c>
      <c r="AG1007" t="str">
        <f t="shared" si="116"/>
        <v>PP00072-50</v>
      </c>
      <c r="AH1007">
        <f>_xlfn.XLOOKUP(AG1007, Hoja3!A:A, Hoja3!B:B)</f>
        <v>4557</v>
      </c>
      <c r="AI1007">
        <f>_xlfn.XLOOKUP(AH1007, Hoja4!A:A, Hoja4!B:B)</f>
        <v>7194183730</v>
      </c>
      <c r="AJ1007" t="b">
        <f t="shared" si="117"/>
        <v>1</v>
      </c>
    </row>
    <row r="1008" spans="1:36" ht="15.5" customHeight="1" x14ac:dyDescent="0.35">
      <c r="A1008">
        <f t="shared" ca="1" si="114"/>
        <v>7</v>
      </c>
      <c r="B1008" s="12" t="s">
        <v>3052</v>
      </c>
      <c r="C1008" s="13">
        <v>45888</v>
      </c>
      <c r="D1008" s="14" t="s">
        <v>2902</v>
      </c>
      <c r="E1008" s="14" t="s">
        <v>30</v>
      </c>
      <c r="F1008" s="14" t="s">
        <v>140</v>
      </c>
      <c r="G1008" s="14" t="s">
        <v>299</v>
      </c>
      <c r="H1008" s="14" t="s">
        <v>3053</v>
      </c>
      <c r="I1008" s="14"/>
      <c r="J1008" s="14" t="str">
        <f>IF(E1008="KTG","KTG",(VLOOKUP(I1008,'[1]list of outsource'!B:H,2,0)))</f>
        <v>KTG</v>
      </c>
      <c r="K1008" s="14"/>
      <c r="L1008" s="14"/>
      <c r="M1008" s="14" t="s">
        <v>3054</v>
      </c>
      <c r="N1008" s="14" t="s">
        <v>3055</v>
      </c>
      <c r="O1008" s="14"/>
      <c r="P1008" s="14"/>
      <c r="Q1008" s="15"/>
      <c r="R1008" s="14"/>
      <c r="S1008" s="16"/>
      <c r="T1008" s="14"/>
      <c r="U1008" s="14" t="s">
        <v>2905</v>
      </c>
      <c r="V1008" s="14" t="s">
        <v>569</v>
      </c>
      <c r="W1008" s="14" t="s">
        <v>37</v>
      </c>
      <c r="X1008" s="13">
        <v>45895</v>
      </c>
      <c r="Y1008" s="13"/>
      <c r="Z1008" t="s">
        <v>1264</v>
      </c>
      <c r="AE1008" t="str">
        <f t="shared" si="115"/>
        <v>E20014</v>
      </c>
      <c r="AF1008" t="str">
        <f>_xlfn.XLOOKUP(AE1008, Hoja2!A:A, Hoja2!A:A)</f>
        <v>E20014</v>
      </c>
      <c r="AG1008" t="str">
        <f t="shared" si="116"/>
        <v>PP00074-19</v>
      </c>
      <c r="AH1008">
        <f>_xlfn.XLOOKUP(AG1008, Hoja3!A:A, Hoja3!B:B)</f>
        <v>5219</v>
      </c>
      <c r="AI1008" t="str">
        <f>_xlfn.XLOOKUP(AH1008, Hoja4!A:A, Hoja4!B:B)</f>
        <v>M000007294</v>
      </c>
      <c r="AJ1008" t="b">
        <f t="shared" si="117"/>
        <v>1</v>
      </c>
    </row>
    <row r="1009" spans="1:36" ht="15.5" customHeight="1" x14ac:dyDescent="0.35">
      <c r="A1009">
        <f t="shared" ca="1" si="114"/>
        <v>107</v>
      </c>
      <c r="B1009" s="12" t="s">
        <v>3056</v>
      </c>
      <c r="C1009" s="13">
        <v>45888</v>
      </c>
      <c r="D1009" s="14" t="s">
        <v>121</v>
      </c>
      <c r="E1009" s="14" t="s">
        <v>139</v>
      </c>
      <c r="F1009" s="14" t="s">
        <v>1697</v>
      </c>
      <c r="G1009" s="14" t="s">
        <v>299</v>
      </c>
      <c r="H1009" s="14">
        <v>7194242130</v>
      </c>
      <c r="I1009" s="14" t="s">
        <v>208</v>
      </c>
      <c r="J1009" s="14" t="str">
        <f>IF(E1009="KTG","KTG",(VLOOKUP(I1009,'[1]list of outsource'!B:H,2,0)))</f>
        <v>ETC</v>
      </c>
      <c r="K1009" s="14" t="s">
        <v>209</v>
      </c>
      <c r="L1009" s="14">
        <v>24</v>
      </c>
      <c r="M1009" s="14" t="s">
        <v>210</v>
      </c>
      <c r="N1009" s="42" t="s">
        <v>3057</v>
      </c>
      <c r="O1009" s="14" t="s">
        <v>3058</v>
      </c>
      <c r="P1009" s="14"/>
      <c r="Q1009" s="15">
        <v>45919</v>
      </c>
      <c r="R1009" s="14"/>
      <c r="S1009" s="16"/>
      <c r="T1009" s="14"/>
      <c r="U1009" s="14">
        <v>3</v>
      </c>
      <c r="V1009" s="14" t="s">
        <v>569</v>
      </c>
      <c r="W1009" s="14" t="s">
        <v>37</v>
      </c>
      <c r="X1009" s="13">
        <v>45995</v>
      </c>
      <c r="Y1009" s="13"/>
      <c r="Z1009" t="s">
        <v>1264</v>
      </c>
      <c r="AE1009" t="str">
        <f t="shared" si="115"/>
        <v>P000160</v>
      </c>
      <c r="AF1009" t="str">
        <f>_xlfn.XLOOKUP(AE1009, Hoja2!A:A, Hoja2!A:A)</f>
        <v>P000160</v>
      </c>
      <c r="AG1009" t="str">
        <f t="shared" si="116"/>
        <v>PP00072-0042</v>
      </c>
      <c r="AH1009">
        <f>_xlfn.XLOOKUP(AG1009, Hoja3!A:A, Hoja3!B:B)</f>
        <v>4538</v>
      </c>
      <c r="AI1009">
        <f>_xlfn.XLOOKUP(AH1009, Hoja4!A:A, Hoja4!B:B)</f>
        <v>7194242130</v>
      </c>
      <c r="AJ1009" t="b">
        <f t="shared" si="117"/>
        <v>1</v>
      </c>
    </row>
    <row r="1010" spans="1:36" ht="15.5" customHeight="1" x14ac:dyDescent="0.35">
      <c r="A1010">
        <f t="shared" ca="1" si="114"/>
        <v>107</v>
      </c>
      <c r="B1010" s="12" t="s">
        <v>3059</v>
      </c>
      <c r="C1010" s="13">
        <v>45888</v>
      </c>
      <c r="D1010" s="14" t="s">
        <v>121</v>
      </c>
      <c r="E1010" s="14" t="s">
        <v>139</v>
      </c>
      <c r="F1010" s="14" t="s">
        <v>1697</v>
      </c>
      <c r="G1010" s="14" t="s">
        <v>299</v>
      </c>
      <c r="H1010" s="14">
        <v>7194242230</v>
      </c>
      <c r="I1010" s="14" t="s">
        <v>208</v>
      </c>
      <c r="J1010" s="14" t="str">
        <f>IF(E1010="KTG","KTG",(VLOOKUP(I1010,'[1]list of outsource'!B:H,2,0)))</f>
        <v>ETC</v>
      </c>
      <c r="K1010" s="14" t="s">
        <v>209</v>
      </c>
      <c r="L1010" s="14">
        <v>24</v>
      </c>
      <c r="M1010" s="14" t="s">
        <v>232</v>
      </c>
      <c r="N1010" s="42" t="s">
        <v>3060</v>
      </c>
      <c r="O1010" s="14" t="s">
        <v>3061</v>
      </c>
      <c r="P1010" s="14"/>
      <c r="Q1010" s="15">
        <v>45919</v>
      </c>
      <c r="R1010" s="14"/>
      <c r="S1010" s="16"/>
      <c r="T1010" s="14"/>
      <c r="U1010" s="14">
        <v>3</v>
      </c>
      <c r="V1010" s="14" t="s">
        <v>569</v>
      </c>
      <c r="W1010" s="14" t="s">
        <v>37</v>
      </c>
      <c r="X1010" s="13">
        <v>45995</v>
      </c>
      <c r="Y1010" s="13"/>
      <c r="Z1010" t="s">
        <v>1264</v>
      </c>
      <c r="AC1010"/>
      <c r="AE1010" t="str">
        <f t="shared" si="115"/>
        <v>P000161</v>
      </c>
      <c r="AF1010" t="str">
        <f>_xlfn.XLOOKUP(AE1010, Hoja2!A:A, Hoja2!A:A)</f>
        <v>P000161</v>
      </c>
      <c r="AG1010" t="str">
        <f t="shared" si="116"/>
        <v>PP00072-0043</v>
      </c>
      <c r="AH1010">
        <f>_xlfn.XLOOKUP(AG1010, Hoja3!A:A, Hoja3!B:B)</f>
        <v>4539</v>
      </c>
      <c r="AI1010">
        <f>_xlfn.XLOOKUP(AH1010, Hoja4!A:A, Hoja4!B:B)</f>
        <v>7194242230</v>
      </c>
      <c r="AJ1010" t="b">
        <f t="shared" si="117"/>
        <v>1</v>
      </c>
    </row>
    <row r="1011" spans="1:36" ht="15.5" customHeight="1" x14ac:dyDescent="0.35">
      <c r="A1011">
        <f t="shared" ca="1" si="114"/>
        <v>107</v>
      </c>
      <c r="B1011" s="12" t="s">
        <v>3062</v>
      </c>
      <c r="C1011" s="13">
        <v>45888</v>
      </c>
      <c r="D1011" s="14" t="s">
        <v>121</v>
      </c>
      <c r="E1011" s="14" t="s">
        <v>139</v>
      </c>
      <c r="F1011" s="14" t="s">
        <v>1697</v>
      </c>
      <c r="G1011" s="14" t="s">
        <v>299</v>
      </c>
      <c r="H1011" s="14">
        <v>7194242330</v>
      </c>
      <c r="I1011" s="14" t="s">
        <v>208</v>
      </c>
      <c r="J1011" s="14" t="str">
        <f>IF(E1011="KTG","KTG",(VLOOKUP(I1011,'[1]list of outsource'!B:H,2,0)))</f>
        <v>ETC</v>
      </c>
      <c r="K1011" s="14" t="s">
        <v>209</v>
      </c>
      <c r="L1011" s="14">
        <v>24</v>
      </c>
      <c r="M1011" s="14" t="s">
        <v>336</v>
      </c>
      <c r="N1011" s="42" t="s">
        <v>3063</v>
      </c>
      <c r="O1011" s="14" t="s">
        <v>3064</v>
      </c>
      <c r="P1011" s="14"/>
      <c r="Q1011" s="15">
        <v>45919</v>
      </c>
      <c r="R1011" s="14"/>
      <c r="S1011" s="16"/>
      <c r="T1011" s="14"/>
      <c r="U1011" s="14">
        <v>3</v>
      </c>
      <c r="V1011" s="14" t="s">
        <v>569</v>
      </c>
      <c r="W1011" s="14" t="s">
        <v>37</v>
      </c>
      <c r="X1011" s="13">
        <v>45995</v>
      </c>
      <c r="Y1011" s="13"/>
      <c r="Z1011" t="s">
        <v>1264</v>
      </c>
      <c r="AC1011"/>
      <c r="AE1011" t="str">
        <f t="shared" si="115"/>
        <v>P000164</v>
      </c>
      <c r="AF1011" t="str">
        <f>_xlfn.XLOOKUP(AE1011, Hoja2!A:A, Hoja2!A:A)</f>
        <v>P000164</v>
      </c>
      <c r="AG1011" t="str">
        <f t="shared" si="116"/>
        <v>PP00072-0044</v>
      </c>
      <c r="AH1011">
        <f>_xlfn.XLOOKUP(AG1011, Hoja3!A:A, Hoja3!B:B)</f>
        <v>4540</v>
      </c>
      <c r="AI1011">
        <f>_xlfn.XLOOKUP(AH1011, Hoja4!A:A, Hoja4!B:B)</f>
        <v>7194242330</v>
      </c>
      <c r="AJ1011" t="b">
        <f t="shared" si="117"/>
        <v>1</v>
      </c>
    </row>
    <row r="1012" spans="1:36" ht="15.5" customHeight="1" x14ac:dyDescent="0.35">
      <c r="A1012">
        <f t="shared" ca="1" si="114"/>
        <v>108</v>
      </c>
      <c r="B1012" s="12" t="s">
        <v>3065</v>
      </c>
      <c r="C1012" s="13">
        <v>45888</v>
      </c>
      <c r="D1012" s="14" t="s">
        <v>121</v>
      </c>
      <c r="E1012" s="14" t="s">
        <v>139</v>
      </c>
      <c r="F1012" s="14" t="s">
        <v>1697</v>
      </c>
      <c r="G1012" s="14" t="s">
        <v>299</v>
      </c>
      <c r="H1012" s="14">
        <v>7194242530</v>
      </c>
      <c r="I1012" s="14" t="s">
        <v>208</v>
      </c>
      <c r="J1012" s="14" t="str">
        <f>IF(E1012="KTG","KTG",(VLOOKUP(I1012,'[1]list of outsource'!B:H,2,0)))</f>
        <v>ETC</v>
      </c>
      <c r="K1012" s="14" t="s">
        <v>209</v>
      </c>
      <c r="L1012" s="14">
        <v>24</v>
      </c>
      <c r="M1012" s="14" t="s">
        <v>586</v>
      </c>
      <c r="N1012" s="42" t="s">
        <v>3066</v>
      </c>
      <c r="O1012" s="14" t="s">
        <v>3067</v>
      </c>
      <c r="P1012" s="14"/>
      <c r="Q1012" s="15">
        <v>45919</v>
      </c>
      <c r="R1012" s="14"/>
      <c r="S1012" s="16"/>
      <c r="T1012" s="14"/>
      <c r="U1012" s="14">
        <v>3</v>
      </c>
      <c r="V1012" s="14" t="s">
        <v>569</v>
      </c>
      <c r="W1012" s="14" t="s">
        <v>37</v>
      </c>
      <c r="X1012" s="13">
        <v>45996</v>
      </c>
      <c r="Y1012" s="13"/>
      <c r="Z1012" t="s">
        <v>1264</v>
      </c>
      <c r="AC1012"/>
      <c r="AE1012" t="str">
        <f t="shared" si="115"/>
        <v>P000183</v>
      </c>
      <c r="AF1012" t="str">
        <f>_xlfn.XLOOKUP(AE1012, Hoja2!A:A, Hoja2!A:A)</f>
        <v>P000183</v>
      </c>
      <c r="AG1012" t="str">
        <f t="shared" si="116"/>
        <v>PP00072-0045</v>
      </c>
      <c r="AH1012">
        <f>_xlfn.XLOOKUP(AG1012, Hoja3!A:A, Hoja3!B:B)</f>
        <v>4541</v>
      </c>
      <c r="AI1012">
        <f>_xlfn.XLOOKUP(AH1012, Hoja4!A:A, Hoja4!B:B)</f>
        <v>7194242530</v>
      </c>
      <c r="AJ1012" t="b">
        <f t="shared" si="117"/>
        <v>1</v>
      </c>
    </row>
    <row r="1013" spans="1:36" ht="15.5" customHeight="1" x14ac:dyDescent="0.35">
      <c r="A1013">
        <f t="shared" ca="1" si="114"/>
        <v>107</v>
      </c>
      <c r="B1013" s="12" t="s">
        <v>3068</v>
      </c>
      <c r="C1013" s="13">
        <v>45888</v>
      </c>
      <c r="D1013" s="14" t="s">
        <v>121</v>
      </c>
      <c r="E1013" s="14" t="s">
        <v>139</v>
      </c>
      <c r="F1013" s="14" t="s">
        <v>1697</v>
      </c>
      <c r="G1013" s="14" t="s">
        <v>299</v>
      </c>
      <c r="H1013" s="14">
        <v>7194242030</v>
      </c>
      <c r="I1013" s="14" t="s">
        <v>208</v>
      </c>
      <c r="J1013" s="14" t="str">
        <f>IF(E1013="KTG","KTG",(VLOOKUP(I1013,'[1]list of outsource'!B:H,2,0)))</f>
        <v>ETC</v>
      </c>
      <c r="K1013" s="14" t="s">
        <v>209</v>
      </c>
      <c r="L1013" s="14">
        <v>24</v>
      </c>
      <c r="M1013" s="14" t="s">
        <v>934</v>
      </c>
      <c r="N1013" s="42" t="s">
        <v>3069</v>
      </c>
      <c r="O1013" s="14" t="s">
        <v>3070</v>
      </c>
      <c r="P1013" s="14"/>
      <c r="Q1013" s="15">
        <v>45919</v>
      </c>
      <c r="R1013" s="14"/>
      <c r="S1013" s="16"/>
      <c r="T1013" s="14"/>
      <c r="U1013" s="14">
        <v>3</v>
      </c>
      <c r="V1013" s="14" t="s">
        <v>569</v>
      </c>
      <c r="W1013" s="14" t="s">
        <v>37</v>
      </c>
      <c r="X1013" s="13">
        <v>45995</v>
      </c>
      <c r="Y1013" s="13"/>
      <c r="Z1013" t="s">
        <v>1264</v>
      </c>
      <c r="AC1013"/>
      <c r="AE1013" t="str">
        <f t="shared" si="115"/>
        <v>P000554</v>
      </c>
      <c r="AF1013" t="str">
        <f>_xlfn.XLOOKUP(AE1013, Hoja2!A:A, Hoja2!A:A)</f>
        <v>P000554</v>
      </c>
      <c r="AG1013" t="str">
        <f t="shared" si="116"/>
        <v>PP00072-0046</v>
      </c>
      <c r="AH1013">
        <f>_xlfn.XLOOKUP(AG1013, Hoja3!A:A, Hoja3!B:B)</f>
        <v>4550</v>
      </c>
      <c r="AI1013">
        <f>_xlfn.XLOOKUP(AH1013, Hoja4!A:A, Hoja4!B:B)</f>
        <v>7194242030</v>
      </c>
      <c r="AJ1013" t="b">
        <f t="shared" si="117"/>
        <v>1</v>
      </c>
    </row>
    <row r="1014" spans="1:36" ht="15.5" customHeight="1" x14ac:dyDescent="0.35">
      <c r="A1014">
        <f t="shared" ca="1" si="114"/>
        <v>108</v>
      </c>
      <c r="B1014" s="12" t="s">
        <v>3071</v>
      </c>
      <c r="C1014" s="13">
        <v>45888</v>
      </c>
      <c r="D1014" s="14" t="s">
        <v>121</v>
      </c>
      <c r="E1014" s="14" t="s">
        <v>139</v>
      </c>
      <c r="F1014" s="14" t="s">
        <v>1697</v>
      </c>
      <c r="G1014" s="14" t="s">
        <v>299</v>
      </c>
      <c r="H1014" s="14">
        <v>7194242630</v>
      </c>
      <c r="I1014" s="14" t="s">
        <v>208</v>
      </c>
      <c r="J1014" s="14" t="str">
        <f>IF(E1014="KTG","KTG",(VLOOKUP(I1014,'[1]list of outsource'!B:H,2,0)))</f>
        <v>ETC</v>
      </c>
      <c r="K1014" s="14" t="s">
        <v>209</v>
      </c>
      <c r="L1014" s="14">
        <v>24</v>
      </c>
      <c r="M1014" s="14" t="s">
        <v>1988</v>
      </c>
      <c r="N1014" s="42" t="s">
        <v>3072</v>
      </c>
      <c r="O1014" s="14" t="s">
        <v>3073</v>
      </c>
      <c r="P1014" s="14"/>
      <c r="Q1014" s="15">
        <v>45919</v>
      </c>
      <c r="R1014" s="14"/>
      <c r="S1014" s="16"/>
      <c r="T1014" s="14"/>
      <c r="U1014" s="14">
        <v>3</v>
      </c>
      <c r="V1014" s="14" t="s">
        <v>569</v>
      </c>
      <c r="W1014" s="14" t="s">
        <v>37</v>
      </c>
      <c r="X1014" s="13">
        <v>45996</v>
      </c>
      <c r="Y1014" s="13"/>
      <c r="Z1014" t="s">
        <v>1264</v>
      </c>
      <c r="AC1014"/>
      <c r="AE1014" t="str">
        <f t="shared" si="115"/>
        <v>P000572</v>
      </c>
      <c r="AF1014" t="str">
        <f>_xlfn.XLOOKUP(AE1014, Hoja2!A:A, Hoja2!A:A)</f>
        <v>P000572</v>
      </c>
      <c r="AG1014" t="str">
        <f t="shared" si="116"/>
        <v>PP00072-0047</v>
      </c>
      <c r="AH1014">
        <f>_xlfn.XLOOKUP(AG1014, Hoja3!A:A, Hoja3!B:B)</f>
        <v>4551</v>
      </c>
      <c r="AI1014">
        <f>_xlfn.XLOOKUP(AH1014, Hoja4!A:A, Hoja4!B:B)</f>
        <v>7194242630</v>
      </c>
      <c r="AJ1014" t="b">
        <f t="shared" si="117"/>
        <v>1</v>
      </c>
    </row>
    <row r="1015" spans="1:36" ht="15.5" customHeight="1" x14ac:dyDescent="0.35">
      <c r="A1015">
        <f t="shared" ca="1" si="114"/>
        <v>107</v>
      </c>
      <c r="B1015" s="12" t="s">
        <v>3074</v>
      </c>
      <c r="C1015" s="13">
        <v>45888</v>
      </c>
      <c r="D1015" s="14" t="s">
        <v>121</v>
      </c>
      <c r="E1015" s="14" t="s">
        <v>139</v>
      </c>
      <c r="F1015" s="14" t="s">
        <v>1697</v>
      </c>
      <c r="G1015" s="14" t="s">
        <v>299</v>
      </c>
      <c r="H1015" s="14">
        <v>7194242430</v>
      </c>
      <c r="I1015" s="14" t="s">
        <v>208</v>
      </c>
      <c r="J1015" s="14" t="str">
        <f>IF(E1015="KTG","KTG",(VLOOKUP(I1015,'[1]list of outsource'!B:H,2,0)))</f>
        <v>ETC</v>
      </c>
      <c r="K1015" s="14" t="s">
        <v>209</v>
      </c>
      <c r="L1015" s="14">
        <v>24</v>
      </c>
      <c r="M1015" s="14" t="s">
        <v>3075</v>
      </c>
      <c r="N1015" s="42" t="s">
        <v>3076</v>
      </c>
      <c r="O1015" s="14" t="s">
        <v>3077</v>
      </c>
      <c r="P1015" s="14"/>
      <c r="Q1015" s="15">
        <v>45919</v>
      </c>
      <c r="R1015" s="14"/>
      <c r="S1015" s="16"/>
      <c r="T1015" s="14"/>
      <c r="U1015" s="14">
        <v>3</v>
      </c>
      <c r="V1015" s="14" t="s">
        <v>569</v>
      </c>
      <c r="W1015" s="14" t="s">
        <v>37</v>
      </c>
      <c r="X1015" s="13">
        <v>45995</v>
      </c>
      <c r="Y1015" s="13"/>
      <c r="Z1015" t="s">
        <v>1264</v>
      </c>
      <c r="AC1015"/>
      <c r="AE1015" t="str">
        <f t="shared" si="115"/>
        <v>P200156</v>
      </c>
      <c r="AF1015" t="str">
        <f>_xlfn.XLOOKUP(AE1015, Hoja2!A:A, Hoja2!A:A)</f>
        <v>P200156</v>
      </c>
      <c r="AG1015" t="str">
        <f t="shared" si="116"/>
        <v>PP00072-0048</v>
      </c>
      <c r="AH1015">
        <f>_xlfn.XLOOKUP(AG1015, Hoja3!A:A, Hoja3!B:B)</f>
        <v>4556</v>
      </c>
      <c r="AI1015">
        <f>_xlfn.XLOOKUP(AH1015, Hoja4!A:A, Hoja4!B:B)</f>
        <v>7194242430</v>
      </c>
      <c r="AJ1015" t="b">
        <f t="shared" si="117"/>
        <v>1</v>
      </c>
    </row>
    <row r="1016" spans="1:36" ht="15.5" customHeight="1" x14ac:dyDescent="0.35">
      <c r="A1016">
        <f t="shared" ca="1" si="114"/>
        <v>108</v>
      </c>
      <c r="B1016" s="12" t="s">
        <v>3078</v>
      </c>
      <c r="C1016" s="13">
        <v>45888</v>
      </c>
      <c r="D1016" s="14" t="s">
        <v>121</v>
      </c>
      <c r="E1016" s="14" t="s">
        <v>139</v>
      </c>
      <c r="F1016" s="14" t="s">
        <v>1697</v>
      </c>
      <c r="G1016" s="14" t="s">
        <v>299</v>
      </c>
      <c r="H1016" s="14">
        <v>7194242730</v>
      </c>
      <c r="I1016" s="14" t="s">
        <v>208</v>
      </c>
      <c r="J1016" s="14" t="str">
        <f>IF(E1016="KTG","KTG",(VLOOKUP(I1016,'[1]list of outsource'!B:H,2,0)))</f>
        <v>ETC</v>
      </c>
      <c r="K1016" s="14" t="s">
        <v>209</v>
      </c>
      <c r="L1016" s="14">
        <v>24</v>
      </c>
      <c r="M1016" s="14" t="s">
        <v>3079</v>
      </c>
      <c r="N1016" s="42" t="s">
        <v>3080</v>
      </c>
      <c r="O1016" s="14" t="s">
        <v>3081</v>
      </c>
      <c r="P1016" s="14"/>
      <c r="Q1016" s="15">
        <v>45919</v>
      </c>
      <c r="R1016" s="14"/>
      <c r="S1016" s="16"/>
      <c r="T1016" s="14"/>
      <c r="U1016" s="14">
        <v>3</v>
      </c>
      <c r="V1016" s="14" t="s">
        <v>569</v>
      </c>
      <c r="W1016" s="14" t="s">
        <v>37</v>
      </c>
      <c r="X1016" s="13">
        <v>45996</v>
      </c>
      <c r="Y1016" s="13"/>
      <c r="Z1016" t="s">
        <v>1264</v>
      </c>
      <c r="AC1016"/>
      <c r="AE1016" t="str">
        <f t="shared" si="115"/>
        <v>P200623</v>
      </c>
      <c r="AF1016" t="str">
        <f>_xlfn.XLOOKUP(AE1016, Hoja2!A:A, Hoja2!A:A)</f>
        <v>P200623</v>
      </c>
      <c r="AG1016" t="str">
        <f t="shared" si="116"/>
        <v>PP00072-0049</v>
      </c>
      <c r="AH1016">
        <f>_xlfn.XLOOKUP(AG1016, Hoja3!A:A, Hoja3!B:B)</f>
        <v>4559</v>
      </c>
      <c r="AI1016">
        <f>_xlfn.XLOOKUP(AH1016, Hoja4!A:A, Hoja4!B:B)</f>
        <v>7194242730</v>
      </c>
      <c r="AJ1016" t="b">
        <f t="shared" si="117"/>
        <v>1</v>
      </c>
    </row>
    <row r="1017" spans="1:36" ht="15.5" customHeight="1" x14ac:dyDescent="0.35">
      <c r="A1017">
        <f t="shared" ca="1" si="114"/>
        <v>101</v>
      </c>
      <c r="B1017" s="26" t="s">
        <v>3082</v>
      </c>
      <c r="C1017" s="50">
        <v>45908</v>
      </c>
      <c r="D1017" s="26" t="s">
        <v>875</v>
      </c>
      <c r="E1017" s="26" t="s">
        <v>139</v>
      </c>
      <c r="F1017" s="26" t="s">
        <v>1697</v>
      </c>
      <c r="G1017" s="26" t="s">
        <v>299</v>
      </c>
      <c r="H1017" s="26">
        <v>7094177730</v>
      </c>
      <c r="I1017" s="26" t="s">
        <v>849</v>
      </c>
      <c r="J1017" s="26" t="str">
        <f>IF(E1017="KTG","KTG",(VLOOKUP(I1017,'[1]list of outsource'!B:H,2,0)))</f>
        <v>ETC</v>
      </c>
      <c r="K1017" s="26" t="s">
        <v>850</v>
      </c>
      <c r="L1017" s="51">
        <v>19</v>
      </c>
      <c r="M1017" s="26" t="s">
        <v>1840</v>
      </c>
      <c r="N1017" s="26" t="s">
        <v>1841</v>
      </c>
      <c r="O1017" s="26" t="s">
        <v>3083</v>
      </c>
      <c r="P1017" s="26"/>
      <c r="Q1017" s="52">
        <v>45968</v>
      </c>
      <c r="R1017" s="26"/>
      <c r="S1017" s="53"/>
      <c r="T1017" s="26"/>
      <c r="U1017" s="26">
        <v>3</v>
      </c>
      <c r="V1017" s="26" t="s">
        <v>665</v>
      </c>
      <c r="W1017" s="26" t="s">
        <v>37</v>
      </c>
      <c r="X1017" s="50"/>
      <c r="Y1017" s="50"/>
      <c r="Z1017" s="32"/>
      <c r="AA1017" s="32"/>
      <c r="AB1017" s="32"/>
      <c r="AC1017"/>
      <c r="AE1017" t="str">
        <f t="shared" si="115"/>
        <v>P000378</v>
      </c>
      <c r="AF1017" t="str">
        <f>_xlfn.XLOOKUP(AE1017, Hoja2!A:A, Hoja2!A:A)</f>
        <v>P000378</v>
      </c>
      <c r="AG1017" t="str">
        <f t="shared" si="116"/>
        <v>PP00072-51</v>
      </c>
      <c r="AH1017">
        <f>_xlfn.XLOOKUP(AG1017, Hoja3!A:A, Hoja3!B:B)</f>
        <v>5712</v>
      </c>
      <c r="AI1017">
        <f>_xlfn.XLOOKUP(AH1017, Hoja4!A:A, Hoja4!B:B)</f>
        <v>7094177730</v>
      </c>
      <c r="AJ1017" t="b">
        <f t="shared" si="117"/>
        <v>1</v>
      </c>
    </row>
    <row r="1018" spans="1:36" ht="15.5" customHeight="1" x14ac:dyDescent="0.35">
      <c r="A1018">
        <f t="shared" ca="1" si="114"/>
        <v>9</v>
      </c>
      <c r="B1018" s="6" t="s">
        <v>3084</v>
      </c>
      <c r="C1018" s="7">
        <v>45896</v>
      </c>
      <c r="D1018" s="6" t="s">
        <v>564</v>
      </c>
      <c r="E1018" s="6" t="s">
        <v>139</v>
      </c>
      <c r="F1018" s="6" t="s">
        <v>84</v>
      </c>
      <c r="G1018" s="6" t="s">
        <v>578</v>
      </c>
      <c r="H1018" s="6" t="s">
        <v>401</v>
      </c>
      <c r="I1018" s="6" t="s">
        <v>402</v>
      </c>
      <c r="J1018" s="6" t="str">
        <f>IF(E1018="KTG","KTG",(VLOOKUP(I1018,'[1]list of outsource'!B:H,2,0)))</f>
        <v>ETC</v>
      </c>
      <c r="K1018" s="6" t="s">
        <v>403</v>
      </c>
      <c r="L1018" s="6">
        <v>73</v>
      </c>
      <c r="M1018" s="6" t="s">
        <v>404</v>
      </c>
      <c r="N1018" s="6" t="s">
        <v>405</v>
      </c>
      <c r="O1018" s="6" t="s">
        <v>3085</v>
      </c>
      <c r="P1018" s="6"/>
      <c r="Q1018" s="8">
        <v>45903</v>
      </c>
      <c r="R1018" s="6"/>
      <c r="S1018" s="6"/>
      <c r="T1018" s="6"/>
      <c r="U1018" s="6">
        <v>3</v>
      </c>
      <c r="V1018" s="6" t="s">
        <v>569</v>
      </c>
      <c r="W1018" s="6" t="s">
        <v>37</v>
      </c>
      <c r="X1018" s="7">
        <v>45905</v>
      </c>
      <c r="Y1018" s="7">
        <v>45910</v>
      </c>
      <c r="AC1018"/>
      <c r="AE1018" t="str">
        <f t="shared" si="115"/>
        <v>P000296</v>
      </c>
      <c r="AF1018" t="str">
        <f>_xlfn.XLOOKUP(AE1018, Hoja2!A:A, Hoja2!A:A)</f>
        <v>P000296</v>
      </c>
      <c r="AG1018" t="str">
        <f t="shared" si="116"/>
        <v>PP00032-38</v>
      </c>
      <c r="AH1018">
        <f>_xlfn.XLOOKUP(AG1018, Hoja3!A:A, Hoja3!B:B)</f>
        <v>5462</v>
      </c>
      <c r="AI1018" t="str">
        <f>_xlfn.XLOOKUP(AH1018, Hoja4!A:A, Hoja4!B:B)</f>
        <v>E39029300</v>
      </c>
      <c r="AJ1018" t="b">
        <f t="shared" si="117"/>
        <v>1</v>
      </c>
    </row>
    <row r="1019" spans="1:36" ht="15.5" customHeight="1" x14ac:dyDescent="0.35">
      <c r="A1019">
        <f t="shared" ca="1" si="114"/>
        <v>0</v>
      </c>
      <c r="B1019" s="12" t="s">
        <v>457</v>
      </c>
      <c r="C1019" s="13">
        <v>45896</v>
      </c>
      <c r="D1019" s="14" t="s">
        <v>121</v>
      </c>
      <c r="E1019" s="14" t="s">
        <v>83</v>
      </c>
      <c r="F1019" s="14" t="s">
        <v>101</v>
      </c>
      <c r="G1019" s="14" t="s">
        <v>299</v>
      </c>
      <c r="H1019" s="14" t="s">
        <v>300</v>
      </c>
      <c r="I1019" s="14" t="s">
        <v>133</v>
      </c>
      <c r="J1019" s="14" t="str">
        <f>IF(E1019="KTG","KTG",(VLOOKUP(I1019,'[1]list of outsource'!B:H,2,0)))</f>
        <v>UPM</v>
      </c>
      <c r="K1019" s="14" t="s">
        <v>301</v>
      </c>
      <c r="L1019" s="14">
        <v>27</v>
      </c>
      <c r="M1019" s="14" t="s">
        <v>302</v>
      </c>
      <c r="N1019" s="14" t="s">
        <v>303</v>
      </c>
      <c r="O1019" s="14" t="s">
        <v>3086</v>
      </c>
      <c r="P1019" s="14"/>
      <c r="Q1019" s="15">
        <v>45720</v>
      </c>
      <c r="R1019" s="14"/>
      <c r="S1019" s="16"/>
      <c r="T1019" s="14"/>
      <c r="U1019" s="14">
        <v>4</v>
      </c>
      <c r="V1019" s="14" t="s">
        <v>569</v>
      </c>
      <c r="W1019" s="14" t="s">
        <v>37</v>
      </c>
      <c r="X1019" s="13">
        <v>45896</v>
      </c>
      <c r="Y1019" s="13"/>
      <c r="AB1019">
        <v>0</v>
      </c>
      <c r="AE1019" t="str">
        <f t="shared" si="115"/>
        <v>P000026</v>
      </c>
      <c r="AF1019" t="str">
        <f>_xlfn.XLOOKUP(AE1019, Hoja2!A:A, Hoja2!A:A)</f>
        <v>P000026</v>
      </c>
      <c r="AG1019" t="str">
        <f t="shared" si="116"/>
        <v>PP00027-04</v>
      </c>
      <c r="AH1019">
        <f>_xlfn.XLOOKUP(AG1019, Hoja3!A:A, Hoja3!B:B)</f>
        <v>4570</v>
      </c>
      <c r="AI1019" t="str">
        <f>_xlfn.XLOOKUP(AH1019, Hoja4!A:A, Hoja4!B:B)</f>
        <v>GP088846</v>
      </c>
      <c r="AJ1019" t="b">
        <f t="shared" si="117"/>
        <v>1</v>
      </c>
    </row>
    <row r="1020" spans="1:36" ht="15.5" customHeight="1" x14ac:dyDescent="0.35">
      <c r="A1020">
        <f t="shared" ca="1" si="114"/>
        <v>15</v>
      </c>
      <c r="B1020" s="6" t="s">
        <v>3087</v>
      </c>
      <c r="C1020" s="7">
        <v>45896</v>
      </c>
      <c r="D1020" s="6" t="s">
        <v>564</v>
      </c>
      <c r="E1020" s="6" t="s">
        <v>139</v>
      </c>
      <c r="F1020" s="6" t="s">
        <v>933</v>
      </c>
      <c r="G1020" s="6" t="s">
        <v>32</v>
      </c>
      <c r="H1020" s="6">
        <v>35758273</v>
      </c>
      <c r="I1020" s="6" t="s">
        <v>208</v>
      </c>
      <c r="J1020" s="6" t="str">
        <f>IF(E1020="KTG","KTG",(VLOOKUP(I1020,'[1]list of outsource'!B:H,2,0)))</f>
        <v>ETC</v>
      </c>
      <c r="K1020" s="6" t="s">
        <v>209</v>
      </c>
      <c r="L1020" s="6">
        <v>6</v>
      </c>
      <c r="M1020" s="6" t="s">
        <v>3088</v>
      </c>
      <c r="N1020" s="6" t="s">
        <v>3089</v>
      </c>
      <c r="O1020" s="6" t="s">
        <v>3090</v>
      </c>
      <c r="P1020" s="6" t="s">
        <v>3091</v>
      </c>
      <c r="Q1020" s="8"/>
      <c r="R1020" s="6" t="s">
        <v>3091</v>
      </c>
      <c r="S1020" s="6"/>
      <c r="T1020" s="6"/>
      <c r="U1020" s="6">
        <v>3</v>
      </c>
      <c r="V1020" s="6" t="s">
        <v>879</v>
      </c>
      <c r="W1020" s="6" t="s">
        <v>37</v>
      </c>
      <c r="X1020" s="7">
        <v>45911</v>
      </c>
      <c r="Y1020" s="7">
        <v>45912</v>
      </c>
      <c r="AC1020"/>
      <c r="AE1020" t="str">
        <f t="shared" si="115"/>
        <v>P000467</v>
      </c>
      <c r="AF1020" t="str">
        <f>_xlfn.XLOOKUP(AE1020, Hoja2!A:A, Hoja2!A:A)</f>
        <v>P000467</v>
      </c>
      <c r="AG1020" t="str">
        <f t="shared" si="116"/>
        <v>PP00042-0032</v>
      </c>
      <c r="AH1020">
        <f>_xlfn.XLOOKUP(AG1020, Hoja3!A:A, Hoja3!B:B)</f>
        <v>5150</v>
      </c>
      <c r="AI1020">
        <f>_xlfn.XLOOKUP(AH1020, Hoja4!A:A, Hoja4!B:B)</f>
        <v>35758273</v>
      </c>
      <c r="AJ1020" t="b">
        <f t="shared" si="117"/>
        <v>1</v>
      </c>
    </row>
    <row r="1021" spans="1:36" ht="15.5" customHeight="1" x14ac:dyDescent="0.35">
      <c r="A1021">
        <f t="shared" ca="1" si="114"/>
        <v>15</v>
      </c>
      <c r="B1021" s="6" t="s">
        <v>3092</v>
      </c>
      <c r="C1021" s="7">
        <v>45896</v>
      </c>
      <c r="D1021" s="6" t="s">
        <v>564</v>
      </c>
      <c r="E1021" s="6" t="s">
        <v>83</v>
      </c>
      <c r="F1021" s="6" t="s">
        <v>933</v>
      </c>
      <c r="G1021" s="6" t="s">
        <v>32</v>
      </c>
      <c r="H1021" s="6">
        <v>35758190</v>
      </c>
      <c r="I1021" s="6" t="s">
        <v>133</v>
      </c>
      <c r="J1021" s="6" t="str">
        <f>IF(E1021="KTG","KTG",(VLOOKUP(I1021,'[1]list of outsource'!B:H,2,0)))</f>
        <v>UPM</v>
      </c>
      <c r="K1021" s="6" t="s">
        <v>301</v>
      </c>
      <c r="L1021" s="6">
        <v>1</v>
      </c>
      <c r="M1021" s="6" t="s">
        <v>3093</v>
      </c>
      <c r="N1021" s="6" t="s">
        <v>3094</v>
      </c>
      <c r="O1021" s="6" t="s">
        <v>3095</v>
      </c>
      <c r="P1021" s="6" t="s">
        <v>3091</v>
      </c>
      <c r="Q1021" s="8">
        <v>45903</v>
      </c>
      <c r="R1021" s="6" t="s">
        <v>3091</v>
      </c>
      <c r="S1021" s="6" t="s">
        <v>3091</v>
      </c>
      <c r="T1021" s="6"/>
      <c r="U1021" s="6">
        <v>3</v>
      </c>
      <c r="V1021" s="6" t="s">
        <v>879</v>
      </c>
      <c r="W1021" s="6" t="s">
        <v>37</v>
      </c>
      <c r="X1021" s="7">
        <v>45911</v>
      </c>
      <c r="Y1021" s="7">
        <v>45919</v>
      </c>
      <c r="AC1021" t="s">
        <v>4209</v>
      </c>
      <c r="AE1021" t="str">
        <f t="shared" si="115"/>
        <v>P000542</v>
      </c>
      <c r="AF1021" t="str">
        <f>_xlfn.XLOOKUP(AE1021, Hoja2!A:A, Hoja2!A:A)</f>
        <v>P000542</v>
      </c>
      <c r="AG1021" t="str">
        <f t="shared" si="116"/>
        <v>PP00042-0033</v>
      </c>
      <c r="AH1021">
        <f>_xlfn.XLOOKUP(AG1021, Hoja3!A:A, Hoja3!B:B)</f>
        <v>5151</v>
      </c>
      <c r="AI1021">
        <f>_xlfn.XLOOKUP(AH1021, Hoja4!A:A, Hoja4!B:B)</f>
        <v>35758190</v>
      </c>
      <c r="AJ1021" t="b">
        <f t="shared" si="117"/>
        <v>1</v>
      </c>
    </row>
    <row r="1022" spans="1:36" ht="15.5" customHeight="1" x14ac:dyDescent="0.35">
      <c r="A1022">
        <f t="shared" ca="1" si="114"/>
        <v>20</v>
      </c>
      <c r="B1022" s="6" t="s">
        <v>3096</v>
      </c>
      <c r="C1022" s="7">
        <v>45897</v>
      </c>
      <c r="D1022" s="6" t="s">
        <v>564</v>
      </c>
      <c r="E1022" s="6" t="s">
        <v>139</v>
      </c>
      <c r="F1022" s="6" t="s">
        <v>329</v>
      </c>
      <c r="G1022" s="6" t="s">
        <v>299</v>
      </c>
      <c r="H1022" s="6" t="s">
        <v>3097</v>
      </c>
      <c r="I1022" s="6" t="s">
        <v>402</v>
      </c>
      <c r="J1022" s="6" t="str">
        <f>IF(E1022="KTG","KTG",(VLOOKUP(I1022,'[1]list of outsource'!B:H,2,0)))</f>
        <v>ETC</v>
      </c>
      <c r="K1022" s="6" t="s">
        <v>403</v>
      </c>
      <c r="L1022" s="6">
        <v>73</v>
      </c>
      <c r="M1022" s="6" t="s">
        <v>3098</v>
      </c>
      <c r="N1022" s="6" t="s">
        <v>3099</v>
      </c>
      <c r="O1022" s="6" t="s">
        <v>3100</v>
      </c>
      <c r="P1022" s="6" t="s">
        <v>3091</v>
      </c>
      <c r="Q1022" s="8">
        <v>45912</v>
      </c>
      <c r="R1022" s="6"/>
      <c r="S1022" s="6"/>
      <c r="T1022" s="6"/>
      <c r="U1022" s="6">
        <v>3</v>
      </c>
      <c r="V1022" s="6" t="s">
        <v>879</v>
      </c>
      <c r="W1022" s="6" t="s">
        <v>37</v>
      </c>
      <c r="X1022" s="7">
        <v>45917</v>
      </c>
      <c r="Y1022" s="7">
        <v>45959</v>
      </c>
      <c r="AC1022"/>
      <c r="AE1022" t="str">
        <f t="shared" si="115"/>
        <v>P001153</v>
      </c>
      <c r="AF1022" t="str">
        <f>_xlfn.XLOOKUP(AE1022, Hoja2!A:A, Hoja2!A:A)</f>
        <v>P001153</v>
      </c>
      <c r="AG1022" t="str">
        <f t="shared" si="116"/>
        <v>PP00024-27</v>
      </c>
      <c r="AH1022">
        <f>_xlfn.XLOOKUP(AG1022, Hoja3!A:A, Hoja3!B:B)</f>
        <v>5500</v>
      </c>
      <c r="AI1022" t="str">
        <f>_xlfn.XLOOKUP(AH1022, Hoja4!A:A, Hoja4!B:B)</f>
        <v>E55046100</v>
      </c>
      <c r="AJ1022" t="b">
        <f t="shared" si="117"/>
        <v>1</v>
      </c>
    </row>
    <row r="1023" spans="1:36" ht="15.5" customHeight="1" x14ac:dyDescent="0.35">
      <c r="A1023">
        <f t="shared" ca="1" si="114"/>
        <v>28</v>
      </c>
      <c r="B1023" s="6" t="s">
        <v>3101</v>
      </c>
      <c r="C1023" s="7">
        <v>45902</v>
      </c>
      <c r="D1023" s="6" t="s">
        <v>564</v>
      </c>
      <c r="E1023" s="6" t="s">
        <v>139</v>
      </c>
      <c r="F1023" s="6" t="s">
        <v>1117</v>
      </c>
      <c r="G1023" s="6" t="s">
        <v>32</v>
      </c>
      <c r="H1023" s="6">
        <v>61219</v>
      </c>
      <c r="I1023" s="6" t="s">
        <v>3102</v>
      </c>
      <c r="J1023" s="6" t="str">
        <f>IF(E1023="KTG","KTG",(VLOOKUP(I1023,'[1]list of outsource'!B:H,2,0)))</f>
        <v>ETC</v>
      </c>
      <c r="K1023" s="6" t="s">
        <v>3103</v>
      </c>
      <c r="L1023" s="6">
        <v>7</v>
      </c>
      <c r="M1023" s="6" t="s">
        <v>3104</v>
      </c>
      <c r="N1023" s="6" t="s">
        <v>3105</v>
      </c>
      <c r="O1023" s="6" t="s">
        <v>3106</v>
      </c>
      <c r="P1023" s="6"/>
      <c r="Q1023" s="8">
        <v>45912</v>
      </c>
      <c r="R1023" s="6"/>
      <c r="S1023" s="6"/>
      <c r="T1023" s="6"/>
      <c r="U1023" s="6">
        <v>3</v>
      </c>
      <c r="V1023" s="6" t="s">
        <v>879</v>
      </c>
      <c r="W1023" s="6" t="s">
        <v>37</v>
      </c>
      <c r="X1023" s="7">
        <v>45930</v>
      </c>
      <c r="Y1023" s="7">
        <v>45957</v>
      </c>
      <c r="AC1023"/>
      <c r="AE1023" t="str">
        <f t="shared" si="115"/>
        <v>P001159</v>
      </c>
      <c r="AF1023" t="str">
        <f>_xlfn.XLOOKUP(AE1023, Hoja2!A:A, Hoja2!A:A)</f>
        <v>P001159</v>
      </c>
      <c r="AG1023" t="str">
        <f t="shared" si="116"/>
        <v>PP00045-0006</v>
      </c>
      <c r="AH1023">
        <f>_xlfn.XLOOKUP(AG1023, Hoja3!A:A, Hoja3!B:B)</f>
        <v>4729</v>
      </c>
      <c r="AI1023">
        <f>_xlfn.XLOOKUP(AH1023, Hoja4!A:A, Hoja4!B:B)</f>
        <v>61219</v>
      </c>
      <c r="AJ1023" t="b">
        <f t="shared" si="117"/>
        <v>1</v>
      </c>
    </row>
    <row r="1024" spans="1:36" ht="15.5" customHeight="1" x14ac:dyDescent="0.35">
      <c r="A1024">
        <f t="shared" ca="1" si="114"/>
        <v>26</v>
      </c>
      <c r="B1024" s="17" t="s">
        <v>3107</v>
      </c>
      <c r="C1024" s="7">
        <v>45821</v>
      </c>
      <c r="D1024" s="6" t="s">
        <v>564</v>
      </c>
      <c r="E1024" s="6" t="s">
        <v>139</v>
      </c>
      <c r="F1024" s="6" t="s">
        <v>658</v>
      </c>
      <c r="G1024" s="6" t="s">
        <v>32</v>
      </c>
      <c r="H1024" s="6">
        <v>35758230</v>
      </c>
      <c r="I1024" s="6" t="s">
        <v>1442</v>
      </c>
      <c r="J1024" s="6" t="str">
        <f>IF(E1024="KTG","KTG",(VLOOKUP(I1024,'[1]list of outsource'!B:H,2,0)))</f>
        <v>ETC</v>
      </c>
      <c r="K1024" s="6" t="s">
        <v>1443</v>
      </c>
      <c r="L1024" s="24">
        <v>20</v>
      </c>
      <c r="M1024" s="6" t="s">
        <v>3108</v>
      </c>
      <c r="N1024" s="6" t="s">
        <v>3109</v>
      </c>
      <c r="O1024" s="6" t="s">
        <v>3110</v>
      </c>
      <c r="P1024" s="6"/>
      <c r="Q1024" s="8">
        <v>45847</v>
      </c>
      <c r="R1024" s="6"/>
      <c r="S1024" s="18"/>
      <c r="T1024" s="6"/>
      <c r="U1024" s="6">
        <v>4</v>
      </c>
      <c r="V1024" s="6" t="s">
        <v>919</v>
      </c>
      <c r="W1024" s="6" t="s">
        <v>37</v>
      </c>
      <c r="X1024" s="7">
        <v>45847</v>
      </c>
      <c r="Y1024" s="7">
        <v>45848</v>
      </c>
      <c r="AB1024" t="s">
        <v>3111</v>
      </c>
      <c r="AC1024"/>
      <c r="AE1024" t="str">
        <f t="shared" si="115"/>
        <v>P000428</v>
      </c>
      <c r="AF1024" t="str">
        <f>_xlfn.XLOOKUP(AE1024, Hoja2!A:A, Hoja2!A:A)</f>
        <v>P000428</v>
      </c>
      <c r="AG1024" t="str">
        <f t="shared" si="116"/>
        <v>PP00034-46</v>
      </c>
      <c r="AH1024">
        <f>_xlfn.XLOOKUP(AG1024, Hoja3!A:A, Hoja3!B:B)</f>
        <v>4792</v>
      </c>
      <c r="AI1024">
        <f>_xlfn.XLOOKUP(AH1024, Hoja4!A:A, Hoja4!B:B)</f>
        <v>35758230</v>
      </c>
      <c r="AJ1024" t="b">
        <f t="shared" si="117"/>
        <v>1</v>
      </c>
    </row>
    <row r="1025" spans="1:36" ht="15.5" customHeight="1" x14ac:dyDescent="0.35">
      <c r="A1025">
        <f t="shared" ca="1" si="114"/>
        <v>58</v>
      </c>
      <c r="B1025" s="26" t="s">
        <v>3112</v>
      </c>
      <c r="C1025" s="50">
        <v>45951</v>
      </c>
      <c r="D1025" s="26" t="s">
        <v>875</v>
      </c>
      <c r="E1025" s="26" t="s">
        <v>83</v>
      </c>
      <c r="F1025" s="26" t="s">
        <v>2401</v>
      </c>
      <c r="G1025" s="26" t="s">
        <v>32</v>
      </c>
      <c r="H1025" s="26" t="s">
        <v>3113</v>
      </c>
      <c r="I1025" s="26" t="s">
        <v>87</v>
      </c>
      <c r="J1025" s="26" t="str">
        <f>IF(E1025="KTG","KTG",(VLOOKUP(I1025,'[1]list of outsource'!B:H,2,0)))</f>
        <v>UPM</v>
      </c>
      <c r="K1025" s="26" t="s">
        <v>88</v>
      </c>
      <c r="L1025" s="51"/>
      <c r="M1025" s="26" t="s">
        <v>3114</v>
      </c>
      <c r="N1025" s="26" t="s">
        <v>3115</v>
      </c>
      <c r="O1025" s="26"/>
      <c r="P1025" s="26"/>
      <c r="Q1025" s="52">
        <v>45973</v>
      </c>
      <c r="R1025" s="26"/>
      <c r="S1025" s="53"/>
      <c r="T1025" s="26"/>
      <c r="U1025" s="26">
        <v>3</v>
      </c>
      <c r="V1025" s="26" t="s">
        <v>665</v>
      </c>
      <c r="W1025" s="26" t="s">
        <v>37</v>
      </c>
      <c r="X1025" s="50"/>
      <c r="Y1025" s="50"/>
      <c r="Z1025" s="32"/>
      <c r="AA1025" s="32"/>
      <c r="AB1025" s="32"/>
      <c r="AC1025"/>
      <c r="AE1025" t="str">
        <f t="shared" si="115"/>
        <v>P000956</v>
      </c>
      <c r="AF1025" t="str">
        <f>_xlfn.XLOOKUP(AE1025, Hoja2!A:A, Hoja2!A:A)</f>
        <v>P000956</v>
      </c>
      <c r="AG1025" t="str">
        <f t="shared" si="116"/>
        <v>PP00069-0003</v>
      </c>
      <c r="AH1025">
        <f>_xlfn.XLOOKUP(AG1025, Hoja3!A:A, Hoja3!B:B)</f>
        <v>5172</v>
      </c>
      <c r="AI1025" t="str">
        <f>_xlfn.XLOOKUP(AH1025, Hoja4!A:A, Hoja4!B:B)</f>
        <v>S8100200</v>
      </c>
      <c r="AJ1025" t="b">
        <f t="shared" si="117"/>
        <v>1</v>
      </c>
    </row>
    <row r="1026" spans="1:36" ht="15.5" customHeight="1" x14ac:dyDescent="0.35">
      <c r="A1026">
        <f t="shared" ref="A1026:A1089" ca="1" si="118">IF(X1026="",(TODAY()-C1026),(X1026-C1026))</f>
        <v>15</v>
      </c>
      <c r="B1026" s="12" t="s">
        <v>3116</v>
      </c>
      <c r="C1026" s="13">
        <v>45909</v>
      </c>
      <c r="D1026" s="14" t="s">
        <v>121</v>
      </c>
      <c r="E1026" s="14" t="s">
        <v>30</v>
      </c>
      <c r="F1026" s="14" t="s">
        <v>1371</v>
      </c>
      <c r="G1026" s="14" t="s">
        <v>32</v>
      </c>
      <c r="H1026" s="14" t="s">
        <v>1464</v>
      </c>
      <c r="I1026" s="14"/>
      <c r="J1026" s="14" t="str">
        <f>IF(E1026="KTG","KTG",(VLOOKUP(I1026,'[1]list of outsource'!B:H,2,0)))</f>
        <v>KTG</v>
      </c>
      <c r="K1026" s="14"/>
      <c r="L1026" s="14"/>
      <c r="M1026" s="14" t="s">
        <v>1465</v>
      </c>
      <c r="N1026" s="14" t="s">
        <v>3117</v>
      </c>
      <c r="O1026" s="14"/>
      <c r="P1026" s="14"/>
      <c r="Q1026" s="15">
        <v>45923</v>
      </c>
      <c r="R1026" s="14"/>
      <c r="S1026" s="16"/>
      <c r="T1026" s="14"/>
      <c r="U1026" s="14">
        <v>3</v>
      </c>
      <c r="V1026" s="14" t="s">
        <v>569</v>
      </c>
      <c r="W1026" s="14" t="s">
        <v>576</v>
      </c>
      <c r="X1026" s="13">
        <v>45924</v>
      </c>
      <c r="Y1026" s="13"/>
      <c r="AC1026" t="s">
        <v>4210</v>
      </c>
      <c r="AE1026" t="str">
        <f t="shared" si="115"/>
        <v>E58313</v>
      </c>
      <c r="AF1026" t="str">
        <f>_xlfn.XLOOKUP(AE1026, Hoja2!A:A, Hoja2!A:A)</f>
        <v>E58313</v>
      </c>
      <c r="AG1026" t="str">
        <f t="shared" si="116"/>
        <v>PP00047-36</v>
      </c>
      <c r="AH1026">
        <f>_xlfn.XLOOKUP(AG1026, Hoja3!A:A, Hoja3!B:B)</f>
        <v>5546</v>
      </c>
      <c r="AI1026" t="str">
        <f>_xlfn.XLOOKUP(AH1026, Hoja4!A:A, Hoja4!B:B)</f>
        <v>DWT-RO-3-40MM</v>
      </c>
      <c r="AJ1026" t="b">
        <f t="shared" si="117"/>
        <v>1</v>
      </c>
    </row>
    <row r="1027" spans="1:36" ht="15.5" customHeight="1" x14ac:dyDescent="0.35">
      <c r="A1027">
        <f t="shared" ca="1" si="118"/>
        <v>1</v>
      </c>
      <c r="B1027" s="6" t="s">
        <v>3118</v>
      </c>
      <c r="C1027" s="7">
        <v>45909</v>
      </c>
      <c r="D1027" s="6" t="s">
        <v>564</v>
      </c>
      <c r="E1027" s="6" t="s">
        <v>139</v>
      </c>
      <c r="F1027" s="6" t="s">
        <v>933</v>
      </c>
      <c r="G1027" s="6" t="s">
        <v>32</v>
      </c>
      <c r="H1027" s="6">
        <v>35758215</v>
      </c>
      <c r="I1027" s="6" t="s">
        <v>402</v>
      </c>
      <c r="J1027" s="6" t="str">
        <f>IF(E1027="KTG","KTG",(VLOOKUP(I1027,'[1]list of outsource'!B:H,2,0)))</f>
        <v>ETC</v>
      </c>
      <c r="K1027" s="6" t="s">
        <v>403</v>
      </c>
      <c r="L1027" s="6">
        <v>10</v>
      </c>
      <c r="M1027" s="6" t="s">
        <v>1709</v>
      </c>
      <c r="N1027" s="6" t="s">
        <v>2539</v>
      </c>
      <c r="O1027" s="6" t="s">
        <v>3119</v>
      </c>
      <c r="P1027" s="6"/>
      <c r="Q1027" s="8"/>
      <c r="R1027" s="6"/>
      <c r="S1027" s="6"/>
      <c r="T1027" s="6"/>
      <c r="U1027" s="6">
        <v>3</v>
      </c>
      <c r="V1027" s="6" t="s">
        <v>569</v>
      </c>
      <c r="W1027" s="6" t="s">
        <v>37</v>
      </c>
      <c r="X1027" s="7">
        <v>45910</v>
      </c>
      <c r="Y1027" s="7">
        <v>45919</v>
      </c>
      <c r="AE1027" t="str">
        <f t="shared" ref="AE1027:AE1090" si="119">LEFT(M1027, FIND(" ", M1027 &amp; " ") - 1)</f>
        <v>P000337</v>
      </c>
      <c r="AF1027" t="str">
        <f>_xlfn.XLOOKUP(AE1027, Hoja2!A:A, Hoja2!A:A)</f>
        <v>P000337</v>
      </c>
      <c r="AG1027" t="str">
        <f t="shared" si="116"/>
        <v>PP00042-0034</v>
      </c>
      <c r="AH1027">
        <f>_xlfn.XLOOKUP(AG1027, Hoja3!A:A, Hoja3!B:B)</f>
        <v>5152</v>
      </c>
      <c r="AI1027">
        <f>_xlfn.XLOOKUP(AH1027, Hoja4!A:A, Hoja4!B:B)</f>
        <v>35758215</v>
      </c>
      <c r="AJ1027" t="b">
        <f t="shared" si="117"/>
        <v>1</v>
      </c>
    </row>
    <row r="1028" spans="1:36" ht="15.5" customHeight="1" x14ac:dyDescent="0.35">
      <c r="A1028">
        <f t="shared" ca="1" si="118"/>
        <v>20</v>
      </c>
      <c r="B1028" s="12" t="s">
        <v>355</v>
      </c>
      <c r="C1028" s="13">
        <v>45910</v>
      </c>
      <c r="D1028" s="14" t="s">
        <v>121</v>
      </c>
      <c r="E1028" s="14" t="s">
        <v>83</v>
      </c>
      <c r="F1028" s="14" t="s">
        <v>356</v>
      </c>
      <c r="G1028" s="14" t="s">
        <v>32</v>
      </c>
      <c r="H1028" s="14" t="s">
        <v>357</v>
      </c>
      <c r="I1028" s="14" t="s">
        <v>158</v>
      </c>
      <c r="J1028" s="14" t="str">
        <f>IF(E1028="KTG","KTG",(VLOOKUP(I1028,'[1]list of outsource'!B:H,2,0)))</f>
        <v>UPM</v>
      </c>
      <c r="K1028" s="14" t="s">
        <v>159</v>
      </c>
      <c r="L1028" s="14">
        <v>46</v>
      </c>
      <c r="M1028" s="14" t="s">
        <v>358</v>
      </c>
      <c r="N1028" s="14" t="s">
        <v>1241</v>
      </c>
      <c r="O1028" s="14" t="s">
        <v>1242</v>
      </c>
      <c r="P1028" s="14"/>
      <c r="Q1028" s="15">
        <v>45912</v>
      </c>
      <c r="R1028" s="14"/>
      <c r="S1028" s="16"/>
      <c r="T1028" s="14"/>
      <c r="U1028" s="14">
        <v>2</v>
      </c>
      <c r="V1028" s="14" t="s">
        <v>569</v>
      </c>
      <c r="W1028" s="14" t="s">
        <v>154</v>
      </c>
      <c r="X1028" s="13">
        <v>45930</v>
      </c>
      <c r="Y1028" s="13"/>
      <c r="AC1028"/>
      <c r="AE1028" t="str">
        <f t="shared" si="119"/>
        <v>P000109</v>
      </c>
      <c r="AF1028" t="str">
        <f>_xlfn.XLOOKUP(AE1028, Hoja2!A:A, Hoja2!A:A)</f>
        <v>P000109</v>
      </c>
      <c r="AG1028" t="str">
        <f t="shared" si="116"/>
        <v>PP00012-01</v>
      </c>
      <c r="AH1028">
        <f>_xlfn.XLOOKUP(AG1028, Hoja3!A:A, Hoja3!B:B)</f>
        <v>4045</v>
      </c>
      <c r="AI1028" t="str">
        <f>_xlfn.XLOOKUP(AH1028, Hoja4!A:A, Hoja4!B:B)</f>
        <v>GAT125</v>
      </c>
      <c r="AJ1028" t="b">
        <f t="shared" si="117"/>
        <v>1</v>
      </c>
    </row>
    <row r="1029" spans="1:36" ht="15.5" customHeight="1" x14ac:dyDescent="0.35">
      <c r="A1029">
        <f t="shared" ca="1" si="118"/>
        <v>28</v>
      </c>
      <c r="B1029" s="6" t="s">
        <v>3120</v>
      </c>
      <c r="C1029" s="7">
        <v>45912</v>
      </c>
      <c r="D1029" s="6" t="s">
        <v>564</v>
      </c>
      <c r="E1029" s="6" t="s">
        <v>139</v>
      </c>
      <c r="F1029" s="6" t="s">
        <v>933</v>
      </c>
      <c r="G1029" s="6" t="s">
        <v>32</v>
      </c>
      <c r="H1029" s="6">
        <v>35738193</v>
      </c>
      <c r="I1029" s="6" t="s">
        <v>208</v>
      </c>
      <c r="J1029" s="6" t="str">
        <f>IF(E1029="KTG","KTG",(VLOOKUP(I1029,'[1]list of outsource'!B:H,2,0)))</f>
        <v>ETC</v>
      </c>
      <c r="K1029" s="6" t="s">
        <v>209</v>
      </c>
      <c r="L1029" s="6" t="s">
        <v>3121</v>
      </c>
      <c r="M1029" s="6" t="s">
        <v>3122</v>
      </c>
      <c r="N1029" s="6" t="s">
        <v>3123</v>
      </c>
      <c r="O1029" s="6" t="s">
        <v>3124</v>
      </c>
      <c r="P1029" s="6">
        <v>0</v>
      </c>
      <c r="Q1029" s="8">
        <v>45923</v>
      </c>
      <c r="R1029" s="6" t="s">
        <v>575</v>
      </c>
      <c r="S1029" s="6" t="s">
        <v>575</v>
      </c>
      <c r="T1029" s="6" t="s">
        <v>575</v>
      </c>
      <c r="U1029" s="6">
        <v>4</v>
      </c>
      <c r="V1029" s="6" t="s">
        <v>919</v>
      </c>
      <c r="W1029" s="6" t="s">
        <v>37</v>
      </c>
      <c r="X1029" s="7">
        <v>45940</v>
      </c>
      <c r="Y1029" s="7">
        <v>45946</v>
      </c>
      <c r="AC1029"/>
      <c r="AE1029" t="str">
        <f t="shared" si="119"/>
        <v>P000362</v>
      </c>
      <c r="AF1029" t="str">
        <f>_xlfn.XLOOKUP(AE1029, Hoja2!A:A, Hoja2!A:A)</f>
        <v>P000362</v>
      </c>
      <c r="AG1029" t="str">
        <f t="shared" si="116"/>
        <v>PP00042-0013</v>
      </c>
      <c r="AH1029">
        <f>_xlfn.XLOOKUP(AG1029, Hoja3!A:A, Hoja3!B:B)</f>
        <v>5140</v>
      </c>
      <c r="AI1029">
        <f>_xlfn.XLOOKUP(AH1029, Hoja4!A:A, Hoja4!B:B)</f>
        <v>35738193</v>
      </c>
      <c r="AJ1029" t="b">
        <f t="shared" si="117"/>
        <v>1</v>
      </c>
    </row>
    <row r="1030" spans="1:36" ht="15.5" customHeight="1" x14ac:dyDescent="0.35">
      <c r="A1030">
        <f t="shared" ca="1" si="118"/>
        <v>13</v>
      </c>
      <c r="B1030" s="12" t="s">
        <v>451</v>
      </c>
      <c r="C1030" s="13">
        <v>45917</v>
      </c>
      <c r="D1030" s="14" t="s">
        <v>121</v>
      </c>
      <c r="E1030" s="14" t="s">
        <v>83</v>
      </c>
      <c r="F1030" s="14" t="s">
        <v>101</v>
      </c>
      <c r="G1030" s="14" t="s">
        <v>299</v>
      </c>
      <c r="H1030" s="14" t="s">
        <v>305</v>
      </c>
      <c r="I1030" s="14" t="s">
        <v>218</v>
      </c>
      <c r="J1030" s="14" t="str">
        <f>IF(E1030="KTG","KTG",(VLOOKUP(I1030,'[1]list of outsource'!B:H,2,0)))</f>
        <v>UPM</v>
      </c>
      <c r="K1030" s="14" t="s">
        <v>219</v>
      </c>
      <c r="L1030" s="14">
        <v>13</v>
      </c>
      <c r="M1030" s="14" t="s">
        <v>306</v>
      </c>
      <c r="N1030" s="14" t="s">
        <v>307</v>
      </c>
      <c r="O1030" s="14" t="s">
        <v>3125</v>
      </c>
      <c r="P1030" s="14"/>
      <c r="Q1030" s="15">
        <v>45925</v>
      </c>
      <c r="R1030" s="14"/>
      <c r="S1030" s="16"/>
      <c r="T1030" s="14"/>
      <c r="U1030" s="14">
        <v>3</v>
      </c>
      <c r="V1030" s="14" t="s">
        <v>879</v>
      </c>
      <c r="W1030" s="14" t="s">
        <v>3126</v>
      </c>
      <c r="X1030" s="13">
        <v>45930</v>
      </c>
      <c r="Y1030" s="13"/>
      <c r="AC1030"/>
      <c r="AE1030" t="str">
        <f t="shared" si="119"/>
        <v>P000032</v>
      </c>
      <c r="AF1030" t="str">
        <f>_xlfn.XLOOKUP(AE1030, Hoja2!A:A, Hoja2!A:A)</f>
        <v>P000032</v>
      </c>
      <c r="AG1030" t="str">
        <f t="shared" si="116"/>
        <v>PP00027-10</v>
      </c>
      <c r="AH1030">
        <f>_xlfn.XLOOKUP(AG1030, Hoja3!A:A, Hoja3!B:B)</f>
        <v>4574</v>
      </c>
      <c r="AI1030" t="str">
        <f>_xlfn.XLOOKUP(AH1030, Hoja4!A:A, Hoja4!B:B)</f>
        <v>GP089792</v>
      </c>
      <c r="AJ1030" t="b">
        <f t="shared" si="117"/>
        <v>1</v>
      </c>
    </row>
    <row r="1031" spans="1:36" ht="15.5" customHeight="1" x14ac:dyDescent="0.35">
      <c r="A1031">
        <f t="shared" ca="1" si="118"/>
        <v>13</v>
      </c>
      <c r="B1031" s="12" t="s">
        <v>455</v>
      </c>
      <c r="C1031" s="13">
        <v>45917</v>
      </c>
      <c r="D1031" s="14" t="s">
        <v>121</v>
      </c>
      <c r="E1031" s="14" t="s">
        <v>83</v>
      </c>
      <c r="F1031" s="14" t="s">
        <v>101</v>
      </c>
      <c r="G1031" s="14" t="s">
        <v>299</v>
      </c>
      <c r="H1031" s="14" t="s">
        <v>309</v>
      </c>
      <c r="I1031" s="14" t="s">
        <v>218</v>
      </c>
      <c r="J1031" s="14" t="str">
        <f>IF(E1031="KTG","KTG",(VLOOKUP(I1031,'[1]list of outsource'!B:H,2,0)))</f>
        <v>UPM</v>
      </c>
      <c r="K1031" s="14" t="s">
        <v>219</v>
      </c>
      <c r="L1031" s="14">
        <v>13</v>
      </c>
      <c r="M1031" s="14" t="s">
        <v>310</v>
      </c>
      <c r="N1031" s="14" t="s">
        <v>311</v>
      </c>
      <c r="O1031" s="14" t="s">
        <v>3127</v>
      </c>
      <c r="P1031" s="14"/>
      <c r="Q1031" s="15">
        <v>45925</v>
      </c>
      <c r="R1031" s="14"/>
      <c r="S1031" s="16"/>
      <c r="T1031" s="14"/>
      <c r="U1031" s="14">
        <v>3</v>
      </c>
      <c r="V1031" s="14" t="s">
        <v>879</v>
      </c>
      <c r="W1031" s="14" t="s">
        <v>3126</v>
      </c>
      <c r="X1031" s="13">
        <v>45930</v>
      </c>
      <c r="Y1031" s="13"/>
      <c r="AC1031"/>
      <c r="AE1031" t="str">
        <f t="shared" si="119"/>
        <v>P000033</v>
      </c>
      <c r="AF1031" t="str">
        <f>_xlfn.XLOOKUP(AE1031, Hoja2!A:A, Hoja2!A:A)</f>
        <v>P000033</v>
      </c>
      <c r="AG1031" t="str">
        <f t="shared" si="116"/>
        <v>PP00027-11</v>
      </c>
      <c r="AH1031">
        <f>_xlfn.XLOOKUP(AG1031, Hoja3!A:A, Hoja3!B:B)</f>
        <v>4575</v>
      </c>
      <c r="AI1031" t="str">
        <f>_xlfn.XLOOKUP(AH1031, Hoja4!A:A, Hoja4!B:B)</f>
        <v>GP089790</v>
      </c>
      <c r="AJ1031" t="b">
        <f t="shared" si="117"/>
        <v>1</v>
      </c>
    </row>
    <row r="1032" spans="1:36" ht="15.5" customHeight="1" x14ac:dyDescent="0.35">
      <c r="A1032">
        <f t="shared" ca="1" si="118"/>
        <v>5</v>
      </c>
      <c r="B1032" s="6" t="s">
        <v>3128</v>
      </c>
      <c r="C1032" s="7">
        <v>45918</v>
      </c>
      <c r="D1032" s="6" t="s">
        <v>564</v>
      </c>
      <c r="E1032" s="6" t="s">
        <v>30</v>
      </c>
      <c r="F1032" s="6" t="s">
        <v>140</v>
      </c>
      <c r="G1032" s="6" t="s">
        <v>32</v>
      </c>
      <c r="H1032" s="6" t="s">
        <v>3129</v>
      </c>
      <c r="I1032" s="6"/>
      <c r="J1032" s="6" t="str">
        <f>IF(E1032="KTG","KTG",(VLOOKUP(I1032,'[1]list of outsource'!B:H,2,0)))</f>
        <v>KTG</v>
      </c>
      <c r="K1032" s="6"/>
      <c r="L1032" s="6"/>
      <c r="M1032" s="6" t="s">
        <v>3130</v>
      </c>
      <c r="N1032" s="6" t="s">
        <v>3131</v>
      </c>
      <c r="O1032" s="6"/>
      <c r="P1032" s="6"/>
      <c r="Q1032" s="8"/>
      <c r="R1032" s="6"/>
      <c r="S1032" s="6"/>
      <c r="T1032" s="6"/>
      <c r="U1032" s="6">
        <v>3</v>
      </c>
      <c r="V1032" s="6" t="s">
        <v>569</v>
      </c>
      <c r="W1032" s="6" t="s">
        <v>37</v>
      </c>
      <c r="X1032" s="7">
        <v>45923</v>
      </c>
      <c r="Y1032" s="7">
        <v>45924</v>
      </c>
      <c r="AC1032"/>
      <c r="AE1032" t="str">
        <f t="shared" si="119"/>
        <v>E84461</v>
      </c>
      <c r="AF1032" t="str">
        <f>_xlfn.XLOOKUP(AE1032, Hoja2!A:A, Hoja2!A:A)</f>
        <v>E84461</v>
      </c>
      <c r="AG1032" t="str">
        <f t="shared" si="116"/>
        <v>PP00036-29</v>
      </c>
      <c r="AH1032">
        <f>_xlfn.XLOOKUP(AG1032, Hoja3!A:A, Hoja3!B:B)</f>
        <v>5200</v>
      </c>
      <c r="AI1032" t="str">
        <f>_xlfn.XLOOKUP(AH1032, Hoja4!A:A, Hoja4!B:B)</f>
        <v>HSTP2270</v>
      </c>
      <c r="AJ1032" t="b">
        <f t="shared" si="117"/>
        <v>1</v>
      </c>
    </row>
    <row r="1033" spans="1:36" ht="15.5" customHeight="1" x14ac:dyDescent="0.35">
      <c r="A1033">
        <f t="shared" ca="1" si="118"/>
        <v>25</v>
      </c>
      <c r="B1033" s="6" t="s">
        <v>3132</v>
      </c>
      <c r="C1033" s="7">
        <v>45919</v>
      </c>
      <c r="D1033" s="6" t="s">
        <v>564</v>
      </c>
      <c r="E1033" s="6" t="s">
        <v>139</v>
      </c>
      <c r="F1033" s="6" t="s">
        <v>933</v>
      </c>
      <c r="G1033" s="6" t="s">
        <v>32</v>
      </c>
      <c r="H1033" s="6">
        <v>35738192</v>
      </c>
      <c r="I1033" s="6" t="s">
        <v>208</v>
      </c>
      <c r="J1033" s="6" t="str">
        <f>IF(E1033="KTG","KTG",(VLOOKUP(I1033,'[1]list of outsource'!B:H,2,0)))</f>
        <v>ETC</v>
      </c>
      <c r="K1033" s="6" t="s">
        <v>209</v>
      </c>
      <c r="L1033" s="6" t="s">
        <v>3121</v>
      </c>
      <c r="M1033" s="6" t="s">
        <v>288</v>
      </c>
      <c r="N1033" s="6" t="s">
        <v>591</v>
      </c>
      <c r="O1033" s="6" t="s">
        <v>3133</v>
      </c>
      <c r="P1033" s="6" t="s">
        <v>3091</v>
      </c>
      <c r="Q1033" s="8">
        <v>45924</v>
      </c>
      <c r="R1033" s="6" t="s">
        <v>3091</v>
      </c>
      <c r="S1033" s="6"/>
      <c r="T1033" s="6" t="s">
        <v>3091</v>
      </c>
      <c r="U1033" s="6">
        <v>3</v>
      </c>
      <c r="V1033" s="6" t="s">
        <v>879</v>
      </c>
      <c r="W1033" s="6" t="s">
        <v>37</v>
      </c>
      <c r="X1033" s="7">
        <v>45944</v>
      </c>
      <c r="Y1033" s="7">
        <v>45946</v>
      </c>
      <c r="AC1033"/>
      <c r="AE1033" t="str">
        <f t="shared" si="119"/>
        <v>P000162</v>
      </c>
      <c r="AF1033" t="str">
        <f>_xlfn.XLOOKUP(AE1033, Hoja2!A:A, Hoja2!A:A)</f>
        <v>P000162</v>
      </c>
      <c r="AG1033" t="str">
        <f t="shared" si="116"/>
        <v>PP00042-0035</v>
      </c>
      <c r="AH1033">
        <f>_xlfn.XLOOKUP(AG1033, Hoja3!A:A, Hoja3!B:B)</f>
        <v>5153</v>
      </c>
      <c r="AI1033">
        <f>_xlfn.XLOOKUP(AH1033, Hoja4!A:A, Hoja4!B:B)</f>
        <v>35738192</v>
      </c>
      <c r="AJ1033" t="b">
        <f t="shared" si="117"/>
        <v>1</v>
      </c>
    </row>
    <row r="1034" spans="1:36" ht="15.5" customHeight="1" x14ac:dyDescent="0.35">
      <c r="A1034">
        <f t="shared" ca="1" si="118"/>
        <v>49</v>
      </c>
      <c r="B1034" s="12" t="s">
        <v>3134</v>
      </c>
      <c r="C1034" s="13">
        <v>45888</v>
      </c>
      <c r="D1034" s="14" t="s">
        <v>121</v>
      </c>
      <c r="E1034" s="14" t="s">
        <v>139</v>
      </c>
      <c r="F1034" s="14" t="s">
        <v>658</v>
      </c>
      <c r="G1034" s="14" t="s">
        <v>32</v>
      </c>
      <c r="H1034" s="14" t="s">
        <v>3135</v>
      </c>
      <c r="I1034" s="14" t="s">
        <v>2416</v>
      </c>
      <c r="J1034" s="14" t="str">
        <f>IF(E1034="KTG","KTG",(VLOOKUP(I1034,'[1]list of outsource'!B:H,2,0)))</f>
        <v xml:space="preserve">KEJIAN </v>
      </c>
      <c r="K1034" s="14" t="s">
        <v>2417</v>
      </c>
      <c r="L1034" s="14">
        <v>9</v>
      </c>
      <c r="M1034" s="14" t="s">
        <v>2418</v>
      </c>
      <c r="N1034" s="14" t="s">
        <v>3136</v>
      </c>
      <c r="O1034" s="14" t="s">
        <v>3137</v>
      </c>
      <c r="P1034" s="14"/>
      <c r="Q1034" s="15">
        <v>45932</v>
      </c>
      <c r="R1034" s="14"/>
      <c r="S1034" s="16"/>
      <c r="T1034" s="14"/>
      <c r="U1034" s="14">
        <v>3</v>
      </c>
      <c r="V1034" s="14" t="s">
        <v>879</v>
      </c>
      <c r="W1034" s="14" t="s">
        <v>37</v>
      </c>
      <c r="X1034" s="13">
        <v>45937</v>
      </c>
      <c r="Y1034" s="13"/>
      <c r="AC1034"/>
      <c r="AE1034" t="str">
        <f t="shared" si="119"/>
        <v>P000989</v>
      </c>
      <c r="AF1034" t="str">
        <f>_xlfn.XLOOKUP(AE1034, Hoja2!A:A, Hoja2!A:A)</f>
        <v>P000989</v>
      </c>
      <c r="AG1034" t="str">
        <f t="shared" si="116"/>
        <v>PP00034-47</v>
      </c>
      <c r="AH1034">
        <f>_xlfn.XLOOKUP(AG1034, Hoja3!A:A, Hoja3!B:B)</f>
        <v>4807</v>
      </c>
      <c r="AI1034" t="str">
        <f>_xlfn.XLOOKUP(AH1034, Hoja4!A:A, Hoja4!B:B)</f>
        <v>6211915105D</v>
      </c>
      <c r="AJ1034" t="b">
        <f t="shared" si="117"/>
        <v>1</v>
      </c>
    </row>
    <row r="1035" spans="1:36" ht="15.5" customHeight="1" x14ac:dyDescent="0.35">
      <c r="A1035">
        <f t="shared" ca="1" si="118"/>
        <v>16</v>
      </c>
      <c r="B1035" s="12" t="s">
        <v>328</v>
      </c>
      <c r="C1035" s="13">
        <v>45923</v>
      </c>
      <c r="D1035" s="14" t="s">
        <v>121</v>
      </c>
      <c r="E1035" s="14" t="s">
        <v>83</v>
      </c>
      <c r="F1035" s="14" t="s">
        <v>329</v>
      </c>
      <c r="G1035" s="14" t="s">
        <v>299</v>
      </c>
      <c r="H1035" s="14" t="s">
        <v>330</v>
      </c>
      <c r="I1035" s="14" t="s">
        <v>87</v>
      </c>
      <c r="J1035" s="14" t="str">
        <f>IF(E1035="KTG","KTG",(VLOOKUP(I1035,'[1]list of outsource'!B:H,2,0)))</f>
        <v>UPM</v>
      </c>
      <c r="K1035" s="14" t="s">
        <v>88</v>
      </c>
      <c r="L1035" s="14">
        <v>16</v>
      </c>
      <c r="M1035" s="14" t="s">
        <v>331</v>
      </c>
      <c r="N1035" s="14" t="s">
        <v>332</v>
      </c>
      <c r="O1035" s="14" t="s">
        <v>3138</v>
      </c>
      <c r="P1035" s="14"/>
      <c r="Q1035" s="15">
        <v>45931</v>
      </c>
      <c r="R1035" s="14"/>
      <c r="S1035" s="16"/>
      <c r="T1035" s="14"/>
      <c r="U1035" s="14">
        <v>1</v>
      </c>
      <c r="V1035" s="14" t="s">
        <v>569</v>
      </c>
      <c r="W1035" s="14" t="s">
        <v>576</v>
      </c>
      <c r="X1035" s="13">
        <v>45939</v>
      </c>
      <c r="Y1035" s="13"/>
      <c r="AC1035"/>
      <c r="AE1035" t="str">
        <f t="shared" si="119"/>
        <v>P000198</v>
      </c>
      <c r="AF1035" t="str">
        <f>_xlfn.XLOOKUP(AE1035, Hoja2!A:A, Hoja2!A:A)</f>
        <v>P000198</v>
      </c>
      <c r="AG1035" t="str">
        <f t="shared" ref="AG1035:AG1040" si="120">LEFT(B1035, FIND(" ", B1035 &amp; " ") - 1)</f>
        <v>PP00024-01</v>
      </c>
      <c r="AH1035">
        <f>_xlfn.XLOOKUP(AG1035, Hoja3!A:A, Hoja3!B:B)</f>
        <v>4498</v>
      </c>
      <c r="AI1035" t="str">
        <f>_xlfn.XLOOKUP(AH1035, Hoja4!A:A, Hoja4!B:B)</f>
        <v>E36091300</v>
      </c>
      <c r="AJ1035" t="b">
        <f t="shared" ref="AJ1035:AJ1040" si="121">H1035=AI1035</f>
        <v>1</v>
      </c>
    </row>
    <row r="1036" spans="1:36" ht="15.5" customHeight="1" x14ac:dyDescent="0.35">
      <c r="A1036">
        <f t="shared" ca="1" si="118"/>
        <v>20</v>
      </c>
      <c r="B1036" s="6" t="s">
        <v>3139</v>
      </c>
      <c r="C1036" s="7">
        <v>45926</v>
      </c>
      <c r="D1036" s="6" t="s">
        <v>564</v>
      </c>
      <c r="E1036" s="6" t="s">
        <v>30</v>
      </c>
      <c r="F1036" s="6" t="s">
        <v>31</v>
      </c>
      <c r="G1036" s="6" t="s">
        <v>32</v>
      </c>
      <c r="H1036" s="6">
        <v>95850340</v>
      </c>
      <c r="I1036" s="6"/>
      <c r="J1036" s="6" t="str">
        <f>IF(E1036="KTG","KTG",(VLOOKUP(I1036,'[1]list of outsource'!B:H,2,0)))</f>
        <v>KTG</v>
      </c>
      <c r="K1036" s="6"/>
      <c r="L1036" s="6"/>
      <c r="M1036" s="6" t="s">
        <v>3140</v>
      </c>
      <c r="N1036" s="6" t="s">
        <v>3141</v>
      </c>
      <c r="O1036" s="6"/>
      <c r="P1036" s="6"/>
      <c r="Q1036" s="8">
        <v>45943</v>
      </c>
      <c r="R1036" s="6"/>
      <c r="S1036" s="6"/>
      <c r="T1036" s="6"/>
      <c r="U1036" s="6">
        <v>4</v>
      </c>
      <c r="V1036" s="6" t="s">
        <v>569</v>
      </c>
      <c r="W1036" s="6" t="s">
        <v>37</v>
      </c>
      <c r="X1036" s="7">
        <v>45946</v>
      </c>
      <c r="Y1036" s="7">
        <v>45947</v>
      </c>
      <c r="Z1036" t="s">
        <v>1264</v>
      </c>
      <c r="AC1036"/>
      <c r="AE1036" t="str">
        <f t="shared" si="119"/>
        <v>E101709</v>
      </c>
      <c r="AF1036" t="str">
        <f>_xlfn.XLOOKUP(AE1036, Hoja2!A:A, Hoja2!A:A)</f>
        <v>E101709</v>
      </c>
      <c r="AG1036" t="str">
        <f t="shared" si="120"/>
        <v>PP00019-0005</v>
      </c>
      <c r="AH1036">
        <f>_xlfn.XLOOKUP(AG1036, Hoja3!A:A, Hoja3!B:B)</f>
        <v>110</v>
      </c>
      <c r="AI1036">
        <f>_xlfn.XLOOKUP(AH1036, Hoja4!A:A, Hoja4!B:B)</f>
        <v>95850340</v>
      </c>
      <c r="AJ1036" t="b">
        <f t="shared" si="121"/>
        <v>1</v>
      </c>
    </row>
    <row r="1037" spans="1:36" ht="15.5" customHeight="1" x14ac:dyDescent="0.35">
      <c r="A1037">
        <f t="shared" ca="1" si="118"/>
        <v>26</v>
      </c>
      <c r="B1037" s="6" t="s">
        <v>3142</v>
      </c>
      <c r="C1037" s="7">
        <v>45931</v>
      </c>
      <c r="D1037" s="6" t="s">
        <v>564</v>
      </c>
      <c r="E1037" s="6" t="s">
        <v>139</v>
      </c>
      <c r="F1037" s="6" t="s">
        <v>933</v>
      </c>
      <c r="G1037" s="6" t="s">
        <v>32</v>
      </c>
      <c r="H1037" s="6">
        <v>35738188</v>
      </c>
      <c r="I1037" s="6" t="s">
        <v>402</v>
      </c>
      <c r="J1037" s="6" t="str">
        <f>IF(E1037="KTG","KTG",(VLOOKUP(I1037,'[1]list of outsource'!B:H,2,0)))</f>
        <v>ETC</v>
      </c>
      <c r="K1037" s="6" t="s">
        <v>403</v>
      </c>
      <c r="L1037" s="6">
        <v>11</v>
      </c>
      <c r="M1037" s="6" t="s">
        <v>1732</v>
      </c>
      <c r="N1037" s="6" t="s">
        <v>1733</v>
      </c>
      <c r="O1037" s="6" t="s">
        <v>3143</v>
      </c>
      <c r="P1037" s="6"/>
      <c r="Q1037" s="8">
        <v>45951</v>
      </c>
      <c r="R1037" s="6"/>
      <c r="S1037" s="6"/>
      <c r="T1037" s="6"/>
      <c r="U1037" s="6">
        <v>3</v>
      </c>
      <c r="V1037" s="6" t="s">
        <v>879</v>
      </c>
      <c r="W1037" s="6" t="s">
        <v>37</v>
      </c>
      <c r="X1037" s="7">
        <v>45957</v>
      </c>
      <c r="Y1037" s="7">
        <v>45966</v>
      </c>
      <c r="AC1037"/>
      <c r="AE1037" t="str">
        <f t="shared" si="119"/>
        <v>P000354</v>
      </c>
      <c r="AF1037" t="str">
        <f>_xlfn.XLOOKUP(AE1037, Hoja2!A:A, Hoja2!A:A)</f>
        <v>P000354</v>
      </c>
      <c r="AG1037" t="str">
        <f t="shared" si="120"/>
        <v>PP00042-0036</v>
      </c>
      <c r="AH1037">
        <f>_xlfn.XLOOKUP(AG1037, Hoja3!A:A, Hoja3!B:B)</f>
        <v>5154</v>
      </c>
      <c r="AI1037">
        <f>_xlfn.XLOOKUP(AH1037, Hoja4!A:A, Hoja4!B:B)</f>
        <v>35738188</v>
      </c>
      <c r="AJ1037" t="b">
        <f t="shared" si="121"/>
        <v>1</v>
      </c>
    </row>
    <row r="1038" spans="1:36" ht="15.5" customHeight="1" x14ac:dyDescent="0.35">
      <c r="A1038">
        <f t="shared" ca="1" si="118"/>
        <v>26</v>
      </c>
      <c r="B1038" s="6" t="s">
        <v>3144</v>
      </c>
      <c r="C1038" s="7">
        <v>45931</v>
      </c>
      <c r="D1038" s="6" t="s">
        <v>564</v>
      </c>
      <c r="E1038" s="6" t="s">
        <v>139</v>
      </c>
      <c r="F1038" s="6" t="s">
        <v>933</v>
      </c>
      <c r="G1038" s="6" t="s">
        <v>32</v>
      </c>
      <c r="H1038" s="6">
        <v>35758207</v>
      </c>
      <c r="I1038" s="6" t="s">
        <v>402</v>
      </c>
      <c r="J1038" s="6" t="str">
        <f>IF(E1038="KTG","KTG",(VLOOKUP(I1038,'[1]list of outsource'!B:H,2,0)))</f>
        <v>ETC</v>
      </c>
      <c r="K1038" s="6" t="s">
        <v>403</v>
      </c>
      <c r="L1038" s="6">
        <v>11</v>
      </c>
      <c r="M1038" s="6" t="s">
        <v>3145</v>
      </c>
      <c r="N1038" s="6" t="s">
        <v>3146</v>
      </c>
      <c r="O1038" s="6" t="s">
        <v>3147</v>
      </c>
      <c r="P1038" s="6"/>
      <c r="Q1038" s="8">
        <v>45951</v>
      </c>
      <c r="R1038" s="6"/>
      <c r="S1038" s="6"/>
      <c r="T1038" s="6"/>
      <c r="U1038" s="6">
        <v>3</v>
      </c>
      <c r="V1038" s="6" t="s">
        <v>879</v>
      </c>
      <c r="W1038" s="6" t="s">
        <v>37</v>
      </c>
      <c r="X1038" s="7">
        <v>45957</v>
      </c>
      <c r="Y1038" s="7">
        <v>45966</v>
      </c>
      <c r="AC1038"/>
      <c r="AE1038" t="str">
        <f t="shared" si="119"/>
        <v>P000413</v>
      </c>
      <c r="AF1038" t="str">
        <f>_xlfn.XLOOKUP(AE1038, Hoja2!A:A, Hoja2!A:A)</f>
        <v>P000413</v>
      </c>
      <c r="AG1038" t="str">
        <f t="shared" si="120"/>
        <v>PP00042-0037</v>
      </c>
      <c r="AH1038">
        <f>_xlfn.XLOOKUP(AG1038, Hoja3!A:A, Hoja3!B:B)</f>
        <v>5155</v>
      </c>
      <c r="AI1038">
        <f>_xlfn.XLOOKUP(AH1038, Hoja4!A:A, Hoja4!B:B)</f>
        <v>35758207</v>
      </c>
      <c r="AJ1038" t="b">
        <f t="shared" si="121"/>
        <v>1</v>
      </c>
    </row>
    <row r="1039" spans="1:36" ht="15.5" customHeight="1" x14ac:dyDescent="0.35">
      <c r="A1039">
        <f t="shared" ca="1" si="118"/>
        <v>26</v>
      </c>
      <c r="B1039" s="6" t="s">
        <v>3148</v>
      </c>
      <c r="C1039" s="7">
        <v>45931</v>
      </c>
      <c r="D1039" s="6" t="s">
        <v>564</v>
      </c>
      <c r="E1039" s="6" t="s">
        <v>139</v>
      </c>
      <c r="F1039" s="6" t="s">
        <v>933</v>
      </c>
      <c r="G1039" s="6" t="s">
        <v>32</v>
      </c>
      <c r="H1039" s="6">
        <v>35758214</v>
      </c>
      <c r="I1039" s="6" t="s">
        <v>402</v>
      </c>
      <c r="J1039" s="6" t="str">
        <f>IF(E1039="KTG","KTG",(VLOOKUP(I1039,'[1]list of outsource'!B:H,2,0)))</f>
        <v>ETC</v>
      </c>
      <c r="K1039" s="6" t="s">
        <v>403</v>
      </c>
      <c r="L1039" s="6">
        <v>11</v>
      </c>
      <c r="M1039" s="6" t="s">
        <v>2706</v>
      </c>
      <c r="N1039" s="6" t="s">
        <v>3149</v>
      </c>
      <c r="O1039" s="6" t="s">
        <v>3150</v>
      </c>
      <c r="P1039" s="6"/>
      <c r="Q1039" s="8">
        <v>45951</v>
      </c>
      <c r="R1039" s="6"/>
      <c r="S1039" s="6"/>
      <c r="T1039" s="6"/>
      <c r="U1039" s="6">
        <v>3</v>
      </c>
      <c r="V1039" s="6" t="s">
        <v>879</v>
      </c>
      <c r="W1039" s="6" t="s">
        <v>37</v>
      </c>
      <c r="X1039" s="7">
        <v>45957</v>
      </c>
      <c r="Y1039" s="7">
        <v>45966</v>
      </c>
      <c r="AC1039"/>
      <c r="AE1039" t="str">
        <f t="shared" si="119"/>
        <v>P000417</v>
      </c>
      <c r="AF1039" t="str">
        <f>_xlfn.XLOOKUP(AE1039, Hoja2!A:A, Hoja2!A:A)</f>
        <v>P000417</v>
      </c>
      <c r="AG1039" t="str">
        <f t="shared" si="120"/>
        <v>PP00042-0038</v>
      </c>
      <c r="AH1039">
        <f>_xlfn.XLOOKUP(AG1039, Hoja3!A:A, Hoja3!B:B)</f>
        <v>5156</v>
      </c>
      <c r="AI1039">
        <f>_xlfn.XLOOKUP(AH1039, Hoja4!A:A, Hoja4!B:B)</f>
        <v>35758214</v>
      </c>
      <c r="AJ1039" t="b">
        <f t="shared" si="121"/>
        <v>1</v>
      </c>
    </row>
    <row r="1040" spans="1:36" ht="15.5" customHeight="1" x14ac:dyDescent="0.35">
      <c r="A1040">
        <f t="shared" ca="1" si="118"/>
        <v>26</v>
      </c>
      <c r="B1040" s="6" t="s">
        <v>3151</v>
      </c>
      <c r="C1040" s="7">
        <v>45931</v>
      </c>
      <c r="D1040" s="6" t="s">
        <v>564</v>
      </c>
      <c r="E1040" s="6" t="s">
        <v>139</v>
      </c>
      <c r="F1040" s="6" t="s">
        <v>933</v>
      </c>
      <c r="G1040" s="6" t="s">
        <v>32</v>
      </c>
      <c r="H1040" s="6">
        <v>35758225</v>
      </c>
      <c r="I1040" s="6" t="s">
        <v>402</v>
      </c>
      <c r="J1040" s="6" t="str">
        <f>IF(E1040="KTG","KTG",(VLOOKUP(I1040,'[1]list of outsource'!B:H,2,0)))</f>
        <v>ETC</v>
      </c>
      <c r="K1040" s="6" t="s">
        <v>403</v>
      </c>
      <c r="L1040" s="6">
        <v>11</v>
      </c>
      <c r="M1040" s="6" t="s">
        <v>3152</v>
      </c>
      <c r="N1040" s="6" t="s">
        <v>3153</v>
      </c>
      <c r="O1040" s="6" t="s">
        <v>3154</v>
      </c>
      <c r="P1040" s="6"/>
      <c r="Q1040" s="8">
        <v>45951</v>
      </c>
      <c r="R1040" s="6"/>
      <c r="S1040" s="6"/>
      <c r="T1040" s="6"/>
      <c r="U1040" s="6">
        <v>3</v>
      </c>
      <c r="V1040" s="6" t="s">
        <v>879</v>
      </c>
      <c r="W1040" s="6" t="s">
        <v>37</v>
      </c>
      <c r="X1040" s="7">
        <v>45957</v>
      </c>
      <c r="Y1040" s="7">
        <v>45966</v>
      </c>
      <c r="AC1040"/>
      <c r="AE1040" t="str">
        <f t="shared" si="119"/>
        <v>P000423</v>
      </c>
      <c r="AF1040" t="str">
        <f>_xlfn.XLOOKUP(AE1040, Hoja2!A:A, Hoja2!A:A)</f>
        <v>P000423</v>
      </c>
      <c r="AG1040" t="str">
        <f t="shared" si="120"/>
        <v>PP00042-0039</v>
      </c>
      <c r="AH1040">
        <f>_xlfn.XLOOKUP(AG1040, Hoja3!A:A, Hoja3!B:B)</f>
        <v>5157</v>
      </c>
      <c r="AI1040">
        <f>_xlfn.XLOOKUP(AH1040, Hoja4!A:A, Hoja4!B:B)</f>
        <v>35758225</v>
      </c>
      <c r="AJ1040" t="b">
        <f t="shared" si="121"/>
        <v>1</v>
      </c>
    </row>
    <row r="1041" spans="1:36" ht="15.5" hidden="1" customHeight="1" x14ac:dyDescent="0.35">
      <c r="A1041">
        <f t="shared" ca="1" si="118"/>
        <v>48</v>
      </c>
      <c r="B1041" s="56" t="s">
        <v>3155</v>
      </c>
      <c r="C1041" s="13">
        <v>45932</v>
      </c>
      <c r="D1041" s="14" t="s">
        <v>121</v>
      </c>
      <c r="E1041" s="14" t="s">
        <v>139</v>
      </c>
      <c r="F1041" s="14" t="s">
        <v>101</v>
      </c>
      <c r="G1041" s="14" t="s">
        <v>299</v>
      </c>
      <c r="H1041" s="14" t="s">
        <v>3156</v>
      </c>
      <c r="I1041" s="14" t="s">
        <v>2416</v>
      </c>
      <c r="J1041" s="14" t="str">
        <f>IF(E1041="KTG","KTG",(VLOOKUP(I1041,'[1]list of outsource'!B:H,2,0)))</f>
        <v xml:space="preserve">KEJIAN </v>
      </c>
      <c r="K1041" s="14" t="s">
        <v>2417</v>
      </c>
      <c r="L1041" s="14">
        <v>13</v>
      </c>
      <c r="M1041" s="55" t="s">
        <v>3157</v>
      </c>
      <c r="N1041" s="14" t="s">
        <v>3158</v>
      </c>
      <c r="O1041" s="14" t="s">
        <v>3159</v>
      </c>
      <c r="P1041" s="14"/>
      <c r="Q1041" s="15">
        <v>45978</v>
      </c>
      <c r="R1041" s="14"/>
      <c r="S1041" s="16"/>
      <c r="T1041" s="14"/>
      <c r="U1041" s="14">
        <v>3</v>
      </c>
      <c r="V1041" s="14" t="s">
        <v>665</v>
      </c>
      <c r="W1041" s="14" t="s">
        <v>37</v>
      </c>
      <c r="X1041" s="13">
        <v>45980</v>
      </c>
      <c r="Y1041" s="13"/>
      <c r="AC1041"/>
      <c r="AE1041" t="str">
        <f t="shared" si="119"/>
        <v>P001207</v>
      </c>
      <c r="AF1041" t="e">
        <f>_xlfn.XLOOKUP(AE1041, Hoja2!A:A, Hoja2!A:A)</f>
        <v>#N/A</v>
      </c>
    </row>
    <row r="1042" spans="1:36" ht="15.5" hidden="1" customHeight="1" x14ac:dyDescent="0.35">
      <c r="A1042">
        <f t="shared" ca="1" si="118"/>
        <v>48</v>
      </c>
      <c r="B1042" s="56" t="s">
        <v>3160</v>
      </c>
      <c r="C1042" s="13">
        <v>45932</v>
      </c>
      <c r="D1042" s="14" t="s">
        <v>121</v>
      </c>
      <c r="E1042" s="14" t="s">
        <v>139</v>
      </c>
      <c r="F1042" s="14" t="s">
        <v>101</v>
      </c>
      <c r="G1042" s="14" t="s">
        <v>299</v>
      </c>
      <c r="H1042" s="14" t="s">
        <v>3161</v>
      </c>
      <c r="I1042" s="14" t="s">
        <v>402</v>
      </c>
      <c r="J1042" s="14" t="str">
        <f>IF(E1042="KTG","KTG",(VLOOKUP(I1042,'[1]list of outsource'!B:H,2,0)))</f>
        <v>ETC</v>
      </c>
      <c r="K1042" s="14" t="s">
        <v>403</v>
      </c>
      <c r="L1042" s="14">
        <v>76</v>
      </c>
      <c r="M1042" s="55" t="s">
        <v>3162</v>
      </c>
      <c r="N1042" s="14" t="s">
        <v>3163</v>
      </c>
      <c r="O1042" s="14" t="s">
        <v>3164</v>
      </c>
      <c r="P1042" s="14"/>
      <c r="Q1042" s="15">
        <v>45971</v>
      </c>
      <c r="R1042" s="14"/>
      <c r="S1042" s="16"/>
      <c r="T1042" s="14"/>
      <c r="U1042" s="14">
        <v>3</v>
      </c>
      <c r="V1042" s="14" t="s">
        <v>665</v>
      </c>
      <c r="W1042" s="14" t="s">
        <v>37</v>
      </c>
      <c r="X1042" s="13">
        <v>45980</v>
      </c>
      <c r="Y1042" s="13"/>
      <c r="AC1042"/>
      <c r="AE1042" t="str">
        <f t="shared" si="119"/>
        <v>P001204</v>
      </c>
      <c r="AF1042" t="e">
        <f>_xlfn.XLOOKUP(AE1042, Hoja2!A:A, Hoja2!A:A)</f>
        <v>#N/A</v>
      </c>
    </row>
    <row r="1043" spans="1:36" ht="15.5" hidden="1" customHeight="1" x14ac:dyDescent="0.35">
      <c r="A1043">
        <f t="shared" ca="1" si="118"/>
        <v>48</v>
      </c>
      <c r="B1043" s="56" t="s">
        <v>3165</v>
      </c>
      <c r="C1043" s="13">
        <v>45932</v>
      </c>
      <c r="D1043" s="14" t="s">
        <v>121</v>
      </c>
      <c r="E1043" s="14" t="s">
        <v>139</v>
      </c>
      <c r="F1043" s="14" t="s">
        <v>101</v>
      </c>
      <c r="G1043" s="14" t="s">
        <v>299</v>
      </c>
      <c r="H1043" s="14" t="s">
        <v>3166</v>
      </c>
      <c r="I1043" s="14" t="s">
        <v>402</v>
      </c>
      <c r="J1043" s="14" t="str">
        <f>IF(E1043="KTG","KTG",(VLOOKUP(I1043,'[1]list of outsource'!B:H,2,0)))</f>
        <v>ETC</v>
      </c>
      <c r="K1043" s="14" t="s">
        <v>403</v>
      </c>
      <c r="L1043" s="14">
        <v>76</v>
      </c>
      <c r="M1043" s="55" t="s">
        <v>3167</v>
      </c>
      <c r="N1043" s="14" t="s">
        <v>3168</v>
      </c>
      <c r="O1043" s="14" t="s">
        <v>3169</v>
      </c>
      <c r="P1043" s="14"/>
      <c r="Q1043" s="15">
        <v>45971</v>
      </c>
      <c r="R1043" s="14"/>
      <c r="S1043" s="16"/>
      <c r="T1043" s="14"/>
      <c r="U1043" s="14">
        <v>3</v>
      </c>
      <c r="V1043" s="14" t="s">
        <v>665</v>
      </c>
      <c r="W1043" s="14" t="s">
        <v>37</v>
      </c>
      <c r="X1043" s="13">
        <v>45980</v>
      </c>
      <c r="Y1043" s="13"/>
      <c r="AC1043"/>
      <c r="AE1043" t="str">
        <f t="shared" si="119"/>
        <v>P000692</v>
      </c>
      <c r="AF1043" t="e">
        <f>_xlfn.XLOOKUP(AE1043, Hoja2!A:A, Hoja2!A:A)</f>
        <v>#N/A</v>
      </c>
    </row>
    <row r="1044" spans="1:36" ht="15.5" hidden="1" customHeight="1" x14ac:dyDescent="0.35">
      <c r="A1044">
        <f t="shared" ca="1" si="118"/>
        <v>48</v>
      </c>
      <c r="B1044" s="56" t="s">
        <v>3170</v>
      </c>
      <c r="C1044" s="13">
        <v>45932</v>
      </c>
      <c r="D1044" s="14" t="s">
        <v>121</v>
      </c>
      <c r="E1044" s="14" t="s">
        <v>139</v>
      </c>
      <c r="F1044" s="14" t="s">
        <v>101</v>
      </c>
      <c r="G1044" s="14" t="s">
        <v>299</v>
      </c>
      <c r="H1044" s="14" t="s">
        <v>3171</v>
      </c>
      <c r="I1044" s="14" t="s">
        <v>402</v>
      </c>
      <c r="J1044" s="14" t="str">
        <f>IF(E1044="KTG","KTG",(VLOOKUP(I1044,'[1]list of outsource'!B:H,2,0)))</f>
        <v>ETC</v>
      </c>
      <c r="K1044" s="14" t="s">
        <v>403</v>
      </c>
      <c r="L1044" s="14">
        <v>76</v>
      </c>
      <c r="M1044" s="55" t="s">
        <v>3172</v>
      </c>
      <c r="N1044" s="14" t="s">
        <v>3173</v>
      </c>
      <c r="O1044" s="14" t="s">
        <v>3174</v>
      </c>
      <c r="P1044" s="14"/>
      <c r="Q1044" s="15">
        <v>45971</v>
      </c>
      <c r="R1044" s="14"/>
      <c r="S1044" s="16"/>
      <c r="T1044" s="14"/>
      <c r="U1044" s="14">
        <v>3</v>
      </c>
      <c r="V1044" s="14" t="s">
        <v>665</v>
      </c>
      <c r="W1044" s="14" t="s">
        <v>37</v>
      </c>
      <c r="X1044" s="13">
        <v>45980</v>
      </c>
      <c r="Y1044" s="13"/>
      <c r="AC1044"/>
      <c r="AE1044" t="str">
        <f t="shared" si="119"/>
        <v>P001209</v>
      </c>
      <c r="AF1044" t="e">
        <f>_xlfn.XLOOKUP(AE1044, Hoja2!A:A, Hoja2!A:A)</f>
        <v>#N/A</v>
      </c>
    </row>
    <row r="1045" spans="1:36" ht="15.5" hidden="1" customHeight="1" x14ac:dyDescent="0.35">
      <c r="A1045">
        <f t="shared" ca="1" si="118"/>
        <v>48</v>
      </c>
      <c r="B1045" s="56" t="s">
        <v>3175</v>
      </c>
      <c r="C1045" s="13">
        <v>45932</v>
      </c>
      <c r="D1045" s="14" t="s">
        <v>121</v>
      </c>
      <c r="E1045" s="14" t="s">
        <v>139</v>
      </c>
      <c r="F1045" s="14" t="s">
        <v>101</v>
      </c>
      <c r="G1045" s="14" t="s">
        <v>299</v>
      </c>
      <c r="H1045" s="14" t="s">
        <v>3176</v>
      </c>
      <c r="I1045" s="14" t="s">
        <v>3177</v>
      </c>
      <c r="J1045" s="14" t="str">
        <f>IF(E1045="KTG","KTG",(VLOOKUP(I1045,'[1]list of outsource'!B:H,2,0)))</f>
        <v>ETC</v>
      </c>
      <c r="K1045" s="14" t="s">
        <v>3178</v>
      </c>
      <c r="L1045" s="14">
        <v>1</v>
      </c>
      <c r="M1045" s="55" t="s">
        <v>3179</v>
      </c>
      <c r="N1045" s="14" t="s">
        <v>3180</v>
      </c>
      <c r="O1045" s="14" t="s">
        <v>3181</v>
      </c>
      <c r="P1045" s="14"/>
      <c r="Q1045" s="15">
        <v>45972</v>
      </c>
      <c r="R1045" s="14"/>
      <c r="S1045" s="16"/>
      <c r="T1045" s="14"/>
      <c r="U1045" s="14">
        <v>3</v>
      </c>
      <c r="V1045" s="14" t="s">
        <v>665</v>
      </c>
      <c r="W1045" s="14" t="s">
        <v>37</v>
      </c>
      <c r="X1045" s="13">
        <v>45980</v>
      </c>
      <c r="Y1045" s="13"/>
      <c r="AC1045"/>
      <c r="AE1045" t="str">
        <f t="shared" si="119"/>
        <v>P001203</v>
      </c>
      <c r="AF1045" t="e">
        <f>_xlfn.XLOOKUP(AE1045, Hoja2!A:A, Hoja2!A:A)</f>
        <v>#N/A</v>
      </c>
    </row>
    <row r="1046" spans="1:36" ht="15.5" hidden="1" customHeight="1" x14ac:dyDescent="0.35">
      <c r="A1046">
        <f t="shared" ca="1" si="118"/>
        <v>48</v>
      </c>
      <c r="B1046" s="56" t="s">
        <v>3182</v>
      </c>
      <c r="C1046" s="13">
        <v>45932</v>
      </c>
      <c r="D1046" s="14" t="s">
        <v>121</v>
      </c>
      <c r="E1046" s="14" t="s">
        <v>139</v>
      </c>
      <c r="F1046" s="14" t="s">
        <v>101</v>
      </c>
      <c r="G1046" s="14" t="s">
        <v>299</v>
      </c>
      <c r="H1046" s="14" t="s">
        <v>3183</v>
      </c>
      <c r="I1046" s="14" t="s">
        <v>3184</v>
      </c>
      <c r="J1046" s="14" t="str">
        <f>IF(E1046="KTG","KTG",(VLOOKUP(I1046,'[1]list of outsource'!B:H,2,0)))</f>
        <v>ETC</v>
      </c>
      <c r="K1046" s="14" t="s">
        <v>3185</v>
      </c>
      <c r="L1046" s="14">
        <v>6</v>
      </c>
      <c r="M1046" s="55" t="s">
        <v>3186</v>
      </c>
      <c r="N1046" s="14" t="s">
        <v>3187</v>
      </c>
      <c r="O1046" s="14" t="s">
        <v>3188</v>
      </c>
      <c r="P1046" s="14"/>
      <c r="Q1046" s="15">
        <v>45971</v>
      </c>
      <c r="R1046" s="14"/>
      <c r="S1046" s="16"/>
      <c r="T1046" s="14"/>
      <c r="U1046" s="14">
        <v>3</v>
      </c>
      <c r="V1046" s="14" t="s">
        <v>665</v>
      </c>
      <c r="W1046" s="14" t="s">
        <v>37</v>
      </c>
      <c r="X1046" s="13">
        <v>45980</v>
      </c>
      <c r="Y1046" s="13"/>
      <c r="AC1046"/>
      <c r="AE1046" t="str">
        <f t="shared" si="119"/>
        <v>P001206</v>
      </c>
      <c r="AF1046" t="e">
        <f>_xlfn.XLOOKUP(AE1046, Hoja2!A:A, Hoja2!A:A)</f>
        <v>#N/A</v>
      </c>
    </row>
    <row r="1047" spans="1:36" ht="15.5" hidden="1" customHeight="1" x14ac:dyDescent="0.35">
      <c r="A1047">
        <f t="shared" ca="1" si="118"/>
        <v>48</v>
      </c>
      <c r="B1047" s="56" t="s">
        <v>3189</v>
      </c>
      <c r="C1047" s="13">
        <v>45932</v>
      </c>
      <c r="D1047" s="14" t="s">
        <v>121</v>
      </c>
      <c r="E1047" s="14" t="s">
        <v>139</v>
      </c>
      <c r="F1047" s="14" t="s">
        <v>101</v>
      </c>
      <c r="G1047" s="14" t="s">
        <v>299</v>
      </c>
      <c r="H1047" s="14" t="s">
        <v>3190</v>
      </c>
      <c r="I1047" s="14" t="s">
        <v>3184</v>
      </c>
      <c r="J1047" s="14" t="str">
        <f>IF(E1047="KTG","KTG",(VLOOKUP(I1047,'[1]list of outsource'!B:H,2,0)))</f>
        <v>ETC</v>
      </c>
      <c r="K1047" s="14" t="s">
        <v>3185</v>
      </c>
      <c r="L1047" s="14">
        <v>6</v>
      </c>
      <c r="M1047" s="55" t="s">
        <v>3191</v>
      </c>
      <c r="N1047" s="14" t="s">
        <v>3192</v>
      </c>
      <c r="O1047" s="14" t="s">
        <v>3193</v>
      </c>
      <c r="P1047" s="14"/>
      <c r="Q1047" s="15">
        <v>45971</v>
      </c>
      <c r="R1047" s="14"/>
      <c r="S1047" s="16"/>
      <c r="T1047" s="14"/>
      <c r="U1047" s="14">
        <v>3</v>
      </c>
      <c r="V1047" s="14" t="s">
        <v>665</v>
      </c>
      <c r="W1047" s="14" t="s">
        <v>37</v>
      </c>
      <c r="X1047" s="13">
        <v>45980</v>
      </c>
      <c r="Y1047" s="13"/>
      <c r="AC1047"/>
      <c r="AE1047" t="str">
        <f t="shared" si="119"/>
        <v>P001201</v>
      </c>
      <c r="AF1047" t="e">
        <f>_xlfn.XLOOKUP(AE1047, Hoja2!A:A, Hoja2!A:A)</f>
        <v>#N/A</v>
      </c>
    </row>
    <row r="1048" spans="1:36" ht="15.5" hidden="1" customHeight="1" x14ac:dyDescent="0.35">
      <c r="A1048">
        <f t="shared" ca="1" si="118"/>
        <v>48</v>
      </c>
      <c r="B1048" s="56" t="s">
        <v>3194</v>
      </c>
      <c r="C1048" s="13">
        <v>45932</v>
      </c>
      <c r="D1048" s="14" t="s">
        <v>121</v>
      </c>
      <c r="E1048" s="14" t="s">
        <v>139</v>
      </c>
      <c r="F1048" s="14" t="s">
        <v>101</v>
      </c>
      <c r="G1048" s="14" t="s">
        <v>299</v>
      </c>
      <c r="H1048" s="14" t="s">
        <v>3195</v>
      </c>
      <c r="I1048" s="14" t="s">
        <v>3184</v>
      </c>
      <c r="J1048" s="14" t="str">
        <f>IF(E1048="KTG","KTG",(VLOOKUP(I1048,'[1]list of outsource'!B:H,2,0)))</f>
        <v>ETC</v>
      </c>
      <c r="K1048" s="14" t="s">
        <v>3185</v>
      </c>
      <c r="L1048" s="14">
        <v>6</v>
      </c>
      <c r="M1048" s="55" t="s">
        <v>3196</v>
      </c>
      <c r="N1048" s="14" t="s">
        <v>3197</v>
      </c>
      <c r="O1048" s="14" t="s">
        <v>3198</v>
      </c>
      <c r="P1048" s="14"/>
      <c r="Q1048" s="15">
        <v>45971</v>
      </c>
      <c r="R1048" s="14"/>
      <c r="S1048" s="16"/>
      <c r="T1048" s="14"/>
      <c r="U1048" s="14">
        <v>3</v>
      </c>
      <c r="V1048" s="14" t="s">
        <v>665</v>
      </c>
      <c r="W1048" s="14" t="s">
        <v>37</v>
      </c>
      <c r="X1048" s="13">
        <v>45980</v>
      </c>
      <c r="Y1048" s="13"/>
      <c r="AC1048"/>
      <c r="AE1048" t="str">
        <f t="shared" si="119"/>
        <v>P001205</v>
      </c>
      <c r="AF1048" t="e">
        <f>_xlfn.XLOOKUP(AE1048, Hoja2!A:A, Hoja2!A:A)</f>
        <v>#N/A</v>
      </c>
    </row>
    <row r="1049" spans="1:36" ht="15.5" hidden="1" customHeight="1" x14ac:dyDescent="0.35">
      <c r="A1049">
        <f t="shared" ca="1" si="118"/>
        <v>48</v>
      </c>
      <c r="B1049" s="56" t="s">
        <v>3199</v>
      </c>
      <c r="C1049" s="13">
        <v>45932</v>
      </c>
      <c r="D1049" s="14" t="s">
        <v>121</v>
      </c>
      <c r="E1049" s="14" t="s">
        <v>139</v>
      </c>
      <c r="F1049" s="14" t="s">
        <v>101</v>
      </c>
      <c r="G1049" s="14" t="s">
        <v>299</v>
      </c>
      <c r="H1049" s="14" t="s">
        <v>3200</v>
      </c>
      <c r="I1049" s="14" t="s">
        <v>3184</v>
      </c>
      <c r="J1049" s="14" t="str">
        <f>IF(E1049="KTG","KTG",(VLOOKUP(I1049,'[1]list of outsource'!B:H,2,0)))</f>
        <v>ETC</v>
      </c>
      <c r="K1049" s="14" t="s">
        <v>3185</v>
      </c>
      <c r="L1049" s="14">
        <v>6</v>
      </c>
      <c r="M1049" s="55" t="s">
        <v>3201</v>
      </c>
      <c r="N1049" s="14" t="s">
        <v>3202</v>
      </c>
      <c r="O1049" s="14" t="s">
        <v>3203</v>
      </c>
      <c r="P1049" s="14"/>
      <c r="Q1049" s="15">
        <v>45971</v>
      </c>
      <c r="R1049" s="14"/>
      <c r="S1049" s="16"/>
      <c r="T1049" s="14"/>
      <c r="U1049" s="14">
        <v>3</v>
      </c>
      <c r="V1049" s="14" t="s">
        <v>665</v>
      </c>
      <c r="W1049" s="14" t="s">
        <v>37</v>
      </c>
      <c r="X1049" s="13">
        <v>45980</v>
      </c>
      <c r="Y1049" s="13"/>
      <c r="AC1049"/>
      <c r="AE1049" t="str">
        <f t="shared" si="119"/>
        <v>P001202</v>
      </c>
      <c r="AF1049" t="e">
        <f>_xlfn.XLOOKUP(AE1049, Hoja2!A:A, Hoja2!A:A)</f>
        <v>#N/A</v>
      </c>
    </row>
    <row r="1050" spans="1:36" ht="15.5" hidden="1" customHeight="1" x14ac:dyDescent="0.35">
      <c r="A1050">
        <f t="shared" ca="1" si="118"/>
        <v>48</v>
      </c>
      <c r="B1050" s="56" t="s">
        <v>3204</v>
      </c>
      <c r="C1050" s="13">
        <v>45932</v>
      </c>
      <c r="D1050" s="14" t="s">
        <v>121</v>
      </c>
      <c r="E1050" s="14" t="s">
        <v>139</v>
      </c>
      <c r="F1050" s="14" t="s">
        <v>101</v>
      </c>
      <c r="G1050" s="14" t="s">
        <v>299</v>
      </c>
      <c r="H1050" s="14" t="s">
        <v>3205</v>
      </c>
      <c r="I1050" s="14" t="s">
        <v>3184</v>
      </c>
      <c r="J1050" s="14" t="str">
        <f>IF(E1050="KTG","KTG",(VLOOKUP(I1050,'[1]list of outsource'!B:H,2,0)))</f>
        <v>ETC</v>
      </c>
      <c r="K1050" s="14" t="s">
        <v>3185</v>
      </c>
      <c r="L1050" s="14">
        <v>6</v>
      </c>
      <c r="M1050" s="55" t="s">
        <v>3206</v>
      </c>
      <c r="N1050" s="14" t="s">
        <v>3207</v>
      </c>
      <c r="O1050" s="14" t="s">
        <v>3208</v>
      </c>
      <c r="P1050" s="14"/>
      <c r="Q1050" s="15">
        <v>45971</v>
      </c>
      <c r="R1050" s="14"/>
      <c r="S1050" s="16"/>
      <c r="T1050" s="14"/>
      <c r="U1050" s="14">
        <v>3</v>
      </c>
      <c r="V1050" s="14" t="s">
        <v>665</v>
      </c>
      <c r="W1050" s="14" t="s">
        <v>37</v>
      </c>
      <c r="X1050" s="13">
        <v>45980</v>
      </c>
      <c r="Y1050" s="13"/>
      <c r="AC1050"/>
      <c r="AE1050" t="str">
        <f t="shared" si="119"/>
        <v>P001208</v>
      </c>
      <c r="AF1050" t="e">
        <f>_xlfn.XLOOKUP(AE1050, Hoja2!A:A, Hoja2!A:A)</f>
        <v>#N/A</v>
      </c>
    </row>
    <row r="1051" spans="1:36" ht="15.5" hidden="1" customHeight="1" x14ac:dyDescent="0.35">
      <c r="A1051">
        <f t="shared" ca="1" si="118"/>
        <v>48</v>
      </c>
      <c r="B1051" s="56" t="s">
        <v>3209</v>
      </c>
      <c r="C1051" s="13">
        <v>45932</v>
      </c>
      <c r="D1051" s="14" t="s">
        <v>121</v>
      </c>
      <c r="E1051" s="14" t="s">
        <v>139</v>
      </c>
      <c r="F1051" s="14" t="s">
        <v>101</v>
      </c>
      <c r="G1051" s="14" t="s">
        <v>299</v>
      </c>
      <c r="H1051" s="14" t="s">
        <v>3210</v>
      </c>
      <c r="I1051" s="14" t="s">
        <v>3184</v>
      </c>
      <c r="J1051" s="14" t="str">
        <f>IF(E1051="KTG","KTG",(VLOOKUP(I1051,'[1]list of outsource'!B:H,2,0)))</f>
        <v>ETC</v>
      </c>
      <c r="K1051" s="14" t="s">
        <v>3185</v>
      </c>
      <c r="L1051" s="14">
        <v>6</v>
      </c>
      <c r="M1051" s="55" t="s">
        <v>3211</v>
      </c>
      <c r="N1051" s="14" t="s">
        <v>3212</v>
      </c>
      <c r="O1051" s="14" t="s">
        <v>3213</v>
      </c>
      <c r="P1051" s="14"/>
      <c r="Q1051" s="15">
        <v>45971</v>
      </c>
      <c r="R1051" s="14"/>
      <c r="S1051" s="16"/>
      <c r="T1051" s="14"/>
      <c r="U1051" s="14">
        <v>3</v>
      </c>
      <c r="V1051" s="14" t="s">
        <v>665</v>
      </c>
      <c r="W1051" s="14" t="s">
        <v>37</v>
      </c>
      <c r="X1051" s="13">
        <v>45980</v>
      </c>
      <c r="Y1051" s="13"/>
      <c r="AC1051"/>
      <c r="AE1051" t="str">
        <f t="shared" si="119"/>
        <v>P001200</v>
      </c>
      <c r="AF1051" t="e">
        <f>_xlfn.XLOOKUP(AE1051, Hoja2!A:A, Hoja2!A:A)</f>
        <v>#N/A</v>
      </c>
    </row>
    <row r="1052" spans="1:36" ht="15.5" customHeight="1" x14ac:dyDescent="0.35">
      <c r="A1052">
        <f t="shared" ca="1" si="118"/>
        <v>7</v>
      </c>
      <c r="B1052" s="12" t="s">
        <v>3214</v>
      </c>
      <c r="C1052" s="13">
        <v>45435</v>
      </c>
      <c r="D1052" s="14" t="s">
        <v>121</v>
      </c>
      <c r="E1052" s="14" t="s">
        <v>30</v>
      </c>
      <c r="F1052" s="14" t="s">
        <v>739</v>
      </c>
      <c r="G1052" s="14" t="s">
        <v>156</v>
      </c>
      <c r="H1052" s="14" t="s">
        <v>871</v>
      </c>
      <c r="I1052" s="14"/>
      <c r="J1052" s="14" t="str">
        <f>IF(E1052="KTG","KTG",(VLOOKUP(I1052,'[1]list of outsource'!B:H,2,0)))</f>
        <v>KTG</v>
      </c>
      <c r="K1052" s="14"/>
      <c r="L1052" s="14"/>
      <c r="M1052" s="14" t="s">
        <v>872</v>
      </c>
      <c r="N1052" s="14" t="s">
        <v>873</v>
      </c>
      <c r="O1052" s="14"/>
      <c r="P1052" s="14"/>
      <c r="Q1052" s="15">
        <v>45442</v>
      </c>
      <c r="R1052" s="14"/>
      <c r="S1052" s="16"/>
      <c r="T1052" s="14"/>
      <c r="U1052" s="14">
        <v>1</v>
      </c>
      <c r="V1052" s="14" t="s">
        <v>569</v>
      </c>
      <c r="W1052" s="14" t="s">
        <v>154</v>
      </c>
      <c r="X1052" s="13">
        <v>45442</v>
      </c>
      <c r="Y1052" s="13"/>
      <c r="AB1052" t="e">
        <v>#N/A</v>
      </c>
      <c r="AC1052"/>
      <c r="AE1052" t="str">
        <f t="shared" si="119"/>
        <v>E74936</v>
      </c>
      <c r="AF1052" t="str">
        <f>_xlfn.XLOOKUP(AE1052, Hoja2!A:A, Hoja2!A:A)</f>
        <v>E74936</v>
      </c>
      <c r="AG1052" t="str">
        <f t="shared" ref="AG1052:AG1097" si="122">LEFT(B1052, FIND(" ", B1052 &amp; " ") - 1)</f>
        <v>PP00028-83</v>
      </c>
      <c r="AH1052">
        <f>_xlfn.XLOOKUP(AG1052, Hoja3!A:A, Hoja3!B:B)</f>
        <v>5475</v>
      </c>
      <c r="AI1052" t="str">
        <f>_xlfn.XLOOKUP(AH1052, Hoja4!A:A, Hoja4!B:B)</f>
        <v>E28493000</v>
      </c>
      <c r="AJ1052" t="b">
        <f t="shared" ref="AJ1052:AJ1096" si="123">H1052=AI1052</f>
        <v>1</v>
      </c>
    </row>
    <row r="1053" spans="1:36" ht="15.5" customHeight="1" x14ac:dyDescent="0.35">
      <c r="A1053">
        <f t="shared" ca="1" si="118"/>
        <v>37</v>
      </c>
      <c r="B1053" s="6" t="s">
        <v>3215</v>
      </c>
      <c r="C1053" s="7">
        <v>45455</v>
      </c>
      <c r="D1053" s="6" t="s">
        <v>912</v>
      </c>
      <c r="E1053" s="6" t="s">
        <v>139</v>
      </c>
      <c r="F1053" s="6" t="s">
        <v>84</v>
      </c>
      <c r="G1053" s="6" t="s">
        <v>156</v>
      </c>
      <c r="H1053" s="6" t="s">
        <v>3216</v>
      </c>
      <c r="I1053" s="6" t="s">
        <v>494</v>
      </c>
      <c r="J1053" s="6" t="str">
        <f>IF(E1053="KTG","KTG",(VLOOKUP(I1053,'[1]list of outsource'!B:H,2,0)))</f>
        <v>ETC</v>
      </c>
      <c r="K1053" s="6" t="s">
        <v>495</v>
      </c>
      <c r="L1053" s="6">
        <v>24</v>
      </c>
      <c r="M1053" s="6" t="s">
        <v>3217</v>
      </c>
      <c r="N1053" s="6" t="s">
        <v>3218</v>
      </c>
      <c r="O1053" s="6" t="s">
        <v>3219</v>
      </c>
      <c r="P1053" s="6" t="s">
        <v>1645</v>
      </c>
      <c r="Q1053" s="8">
        <v>45475</v>
      </c>
      <c r="R1053" s="6"/>
      <c r="S1053" s="6"/>
      <c r="T1053" s="6"/>
      <c r="U1053" s="6">
        <v>4</v>
      </c>
      <c r="V1053" s="6" t="s">
        <v>879</v>
      </c>
      <c r="W1053" s="6" t="s">
        <v>37</v>
      </c>
      <c r="X1053" s="7">
        <v>45492</v>
      </c>
      <c r="Y1053" s="7">
        <v>45497</v>
      </c>
      <c r="AB1053" t="e">
        <v>#N/A</v>
      </c>
      <c r="AC1053"/>
      <c r="AE1053" t="str">
        <f t="shared" si="119"/>
        <v>P000841</v>
      </c>
      <c r="AF1053" t="str">
        <f>_xlfn.XLOOKUP(AE1053, Hoja2!A:A, Hoja2!A:A)</f>
        <v>P000841</v>
      </c>
      <c r="AG1053" t="str">
        <f t="shared" si="122"/>
        <v>PP00028-84</v>
      </c>
      <c r="AH1053">
        <f>_xlfn.XLOOKUP(AG1053, Hoja3!A:A, Hoja3!B:B)</f>
        <v>5414</v>
      </c>
      <c r="AI1053" t="str">
        <f>_xlfn.XLOOKUP(AH1053, Hoja4!A:A, Hoja4!B:B)</f>
        <v>E47272500</v>
      </c>
      <c r="AJ1053" t="b">
        <f t="shared" si="123"/>
        <v>1</v>
      </c>
    </row>
    <row r="1054" spans="1:36" ht="15.5" customHeight="1" x14ac:dyDescent="0.35">
      <c r="A1054">
        <f t="shared" ca="1" si="118"/>
        <v>36</v>
      </c>
      <c r="B1054" s="6" t="s">
        <v>3220</v>
      </c>
      <c r="C1054" s="7">
        <v>45463</v>
      </c>
      <c r="D1054" s="6" t="s">
        <v>912</v>
      </c>
      <c r="E1054" s="6" t="s">
        <v>83</v>
      </c>
      <c r="F1054" s="6" t="s">
        <v>84</v>
      </c>
      <c r="G1054" s="6" t="s">
        <v>156</v>
      </c>
      <c r="H1054" s="6" t="s">
        <v>3221</v>
      </c>
      <c r="I1054" s="6" t="s">
        <v>218</v>
      </c>
      <c r="J1054" s="6" t="str">
        <f>IF(E1054="KTG","KTG",(VLOOKUP(I1054,'[1]list of outsource'!B:H,2,0)))</f>
        <v>UPM</v>
      </c>
      <c r="K1054" s="6" t="s">
        <v>219</v>
      </c>
      <c r="L1054" s="6">
        <v>11</v>
      </c>
      <c r="M1054" s="6" t="s">
        <v>3222</v>
      </c>
      <c r="N1054" s="6" t="s">
        <v>3223</v>
      </c>
      <c r="O1054" s="6">
        <v>1342983308</v>
      </c>
      <c r="P1054" s="6"/>
      <c r="Q1054" s="8">
        <v>45470</v>
      </c>
      <c r="R1054" s="6"/>
      <c r="S1054" s="6"/>
      <c r="T1054" s="6"/>
      <c r="U1054" s="6">
        <v>4</v>
      </c>
      <c r="V1054" s="6" t="s">
        <v>919</v>
      </c>
      <c r="W1054" s="6" t="s">
        <v>37</v>
      </c>
      <c r="X1054" s="7">
        <v>45499</v>
      </c>
      <c r="Y1054" s="7">
        <v>45505</v>
      </c>
      <c r="AB1054" t="e">
        <v>#N/A</v>
      </c>
      <c r="AC1054" t="e">
        <v>#N/A</v>
      </c>
      <c r="AE1054" t="str">
        <f t="shared" si="119"/>
        <v>P000728</v>
      </c>
      <c r="AF1054" t="str">
        <f>_xlfn.XLOOKUP(AE1054, Hoja2!A:A, Hoja2!A:A)</f>
        <v>P000728</v>
      </c>
      <c r="AG1054" t="str">
        <f t="shared" si="122"/>
        <v>PP00028-85</v>
      </c>
      <c r="AH1054">
        <f>_xlfn.XLOOKUP(AG1054, Hoja3!A:A, Hoja3!B:B)</f>
        <v>5416</v>
      </c>
      <c r="AI1054" t="str">
        <f>_xlfn.XLOOKUP(AH1054, Hoja4!A:A, Hoja4!B:B)</f>
        <v>E43971900</v>
      </c>
      <c r="AJ1054" t="b">
        <f t="shared" si="123"/>
        <v>1</v>
      </c>
    </row>
    <row r="1055" spans="1:36" ht="15.5" customHeight="1" x14ac:dyDescent="0.35">
      <c r="A1055">
        <f t="shared" ca="1" si="118"/>
        <v>22</v>
      </c>
      <c r="B1055" s="6" t="s">
        <v>3224</v>
      </c>
      <c r="C1055" s="7">
        <v>45936</v>
      </c>
      <c r="D1055" s="6" t="s">
        <v>564</v>
      </c>
      <c r="E1055" s="6" t="s">
        <v>83</v>
      </c>
      <c r="F1055" s="6" t="s">
        <v>641</v>
      </c>
      <c r="G1055" s="6" t="s">
        <v>299</v>
      </c>
      <c r="H1055" s="6">
        <v>350058</v>
      </c>
      <c r="I1055" s="6" t="s">
        <v>95</v>
      </c>
      <c r="J1055" s="6" t="str">
        <f>IF(E1055="KTG","KTG",(VLOOKUP(I1055,'[1]list of outsource'!B:H,2,0)))</f>
        <v>Woer</v>
      </c>
      <c r="K1055" s="6" t="s">
        <v>96</v>
      </c>
      <c r="L1055" s="6">
        <v>57</v>
      </c>
      <c r="M1055" s="6" t="s">
        <v>3225</v>
      </c>
      <c r="N1055" s="6" t="s">
        <v>3226</v>
      </c>
      <c r="O1055" s="6" t="s">
        <v>3227</v>
      </c>
      <c r="P1055" s="6"/>
      <c r="Q1055" s="8">
        <v>45943</v>
      </c>
      <c r="R1055" s="6"/>
      <c r="S1055" s="6"/>
      <c r="T1055" s="6"/>
      <c r="U1055" s="6">
        <v>3</v>
      </c>
      <c r="V1055" s="6" t="s">
        <v>919</v>
      </c>
      <c r="W1055" s="6" t="s">
        <v>37</v>
      </c>
      <c r="X1055" s="7">
        <v>45958</v>
      </c>
      <c r="Y1055" s="7">
        <v>45978</v>
      </c>
      <c r="Z1055" t="s">
        <v>1264</v>
      </c>
      <c r="AB1055" t="s">
        <v>3228</v>
      </c>
      <c r="AC1055" t="e">
        <v>#N/A</v>
      </c>
      <c r="AE1055" t="str">
        <f t="shared" si="119"/>
        <v>P000993</v>
      </c>
      <c r="AF1055" t="str">
        <f>_xlfn.XLOOKUP(AE1055, Hoja2!A:A, Hoja2!A:A)</f>
        <v>P000993</v>
      </c>
      <c r="AG1055" t="str">
        <f t="shared" si="122"/>
        <v>PP00031-0009</v>
      </c>
      <c r="AH1055">
        <f>_xlfn.XLOOKUP(AG1055, Hoja3!A:A, Hoja3!B:B)</f>
        <v>4566</v>
      </c>
      <c r="AI1055">
        <f>_xlfn.XLOOKUP(AH1055, Hoja4!A:A, Hoja4!B:B)</f>
        <v>350058</v>
      </c>
      <c r="AJ1055" t="b">
        <f t="shared" si="123"/>
        <v>1</v>
      </c>
    </row>
    <row r="1056" spans="1:36" ht="15.5" customHeight="1" x14ac:dyDescent="0.35">
      <c r="A1056">
        <f t="shared" ca="1" si="118"/>
        <v>28</v>
      </c>
      <c r="B1056" s="12" t="s">
        <v>3229</v>
      </c>
      <c r="C1056" s="13">
        <v>45936</v>
      </c>
      <c r="D1056" s="14" t="s">
        <v>875</v>
      </c>
      <c r="E1056" s="14" t="s">
        <v>139</v>
      </c>
      <c r="F1056" s="14" t="s">
        <v>1371</v>
      </c>
      <c r="G1056" s="14" t="s">
        <v>32</v>
      </c>
      <c r="H1056" s="14" t="s">
        <v>3230</v>
      </c>
      <c r="I1056" s="14" t="s">
        <v>402</v>
      </c>
      <c r="J1056" s="14" t="str">
        <f>IF(E1056="KTG","KTG",(VLOOKUP(I1056,'[1]list of outsource'!B:H,2,0)))</f>
        <v>ETC</v>
      </c>
      <c r="K1056" s="14" t="s">
        <v>403</v>
      </c>
      <c r="L1056" s="14"/>
      <c r="M1056" s="14" t="s">
        <v>3230</v>
      </c>
      <c r="N1056" s="14" t="s">
        <v>3231</v>
      </c>
      <c r="O1056" s="14" t="s">
        <v>3232</v>
      </c>
      <c r="P1056" s="14"/>
      <c r="Q1056" s="15">
        <v>45951</v>
      </c>
      <c r="R1056" s="14"/>
      <c r="S1056" s="16"/>
      <c r="T1056" s="14"/>
      <c r="U1056" s="14">
        <v>3</v>
      </c>
      <c r="V1056" s="14" t="s">
        <v>665</v>
      </c>
      <c r="W1056" s="14" t="s">
        <v>37</v>
      </c>
      <c r="X1056" s="13">
        <v>45964</v>
      </c>
      <c r="Y1056" s="13"/>
      <c r="Z1056" t="s">
        <v>1264</v>
      </c>
      <c r="AC1056" t="e">
        <v>#N/A</v>
      </c>
      <c r="AE1056" t="str">
        <f t="shared" si="119"/>
        <v>P000195</v>
      </c>
      <c r="AF1056" t="str">
        <f>_xlfn.XLOOKUP(AE1056, Hoja2!A:A, Hoja2!A:A)</f>
        <v>P000195</v>
      </c>
      <c r="AG1056" t="str">
        <f t="shared" si="122"/>
        <v>PP00047-0037</v>
      </c>
      <c r="AH1056">
        <f>_xlfn.XLOOKUP(AG1056, Hoja3!A:A, Hoja3!B:B)</f>
        <v>5505</v>
      </c>
      <c r="AI1056" t="str">
        <f>_xlfn.XLOOKUP(AH1056, Hoja4!A:A, Hoja4!B:B)</f>
        <v>P000195</v>
      </c>
      <c r="AJ1056" t="b">
        <f t="shared" si="123"/>
        <v>1</v>
      </c>
    </row>
    <row r="1057" spans="1:36" ht="15.5" customHeight="1" x14ac:dyDescent="0.35">
      <c r="A1057">
        <f t="shared" ca="1" si="118"/>
        <v>28</v>
      </c>
      <c r="B1057" s="12" t="s">
        <v>3233</v>
      </c>
      <c r="C1057" s="13">
        <v>45936</v>
      </c>
      <c r="D1057" s="14" t="s">
        <v>875</v>
      </c>
      <c r="E1057" s="14" t="s">
        <v>139</v>
      </c>
      <c r="F1057" s="14" t="s">
        <v>1371</v>
      </c>
      <c r="G1057" s="14" t="s">
        <v>32</v>
      </c>
      <c r="H1057" s="14" t="s">
        <v>860</v>
      </c>
      <c r="I1057" s="14" t="s">
        <v>402</v>
      </c>
      <c r="J1057" s="14" t="str">
        <f>IF(E1057="KTG","KTG",(VLOOKUP(I1057,'[1]list of outsource'!B:H,2,0)))</f>
        <v>ETC</v>
      </c>
      <c r="K1057" s="14" t="s">
        <v>403</v>
      </c>
      <c r="L1057" s="14"/>
      <c r="M1057" s="14" t="s">
        <v>860</v>
      </c>
      <c r="N1057" s="14" t="s">
        <v>3234</v>
      </c>
      <c r="O1057" s="14"/>
      <c r="P1057" s="14"/>
      <c r="Q1057" s="15">
        <v>45964</v>
      </c>
      <c r="R1057" s="14"/>
      <c r="S1057" s="16"/>
      <c r="T1057" s="14"/>
      <c r="U1057" s="14">
        <v>3</v>
      </c>
      <c r="V1057" s="14" t="s">
        <v>569</v>
      </c>
      <c r="W1057" s="14" t="s">
        <v>37</v>
      </c>
      <c r="X1057" s="13">
        <v>45964</v>
      </c>
      <c r="Y1057" s="13"/>
      <c r="Z1057" t="s">
        <v>1264</v>
      </c>
      <c r="AC1057"/>
      <c r="AE1057" t="str">
        <f t="shared" si="119"/>
        <v>P000214</v>
      </c>
      <c r="AF1057" t="str">
        <f>_xlfn.XLOOKUP(AE1057, Hoja2!A:A, Hoja2!A:A)</f>
        <v>P000214</v>
      </c>
      <c r="AG1057" t="str">
        <f t="shared" si="122"/>
        <v>PP00047-0038</v>
      </c>
      <c r="AH1057">
        <f>_xlfn.XLOOKUP(AG1057, Hoja3!A:A, Hoja3!B:B)</f>
        <v>5506</v>
      </c>
      <c r="AI1057" t="str">
        <f>_xlfn.XLOOKUP(AH1057, Hoja4!A:A, Hoja4!B:B)</f>
        <v>P000214</v>
      </c>
      <c r="AJ1057" t="b">
        <f t="shared" si="123"/>
        <v>1</v>
      </c>
    </row>
    <row r="1058" spans="1:36" ht="15.5" customHeight="1" x14ac:dyDescent="0.35">
      <c r="A1058">
        <f t="shared" ca="1" si="118"/>
        <v>28</v>
      </c>
      <c r="B1058" s="12" t="s">
        <v>3235</v>
      </c>
      <c r="C1058" s="13">
        <v>45936</v>
      </c>
      <c r="D1058" s="14" t="s">
        <v>875</v>
      </c>
      <c r="E1058" s="14" t="s">
        <v>139</v>
      </c>
      <c r="F1058" s="14" t="s">
        <v>1371</v>
      </c>
      <c r="G1058" s="14" t="s">
        <v>32</v>
      </c>
      <c r="H1058" s="14" t="s">
        <v>855</v>
      </c>
      <c r="I1058" s="14" t="s">
        <v>402</v>
      </c>
      <c r="J1058" s="14" t="str">
        <f>IF(E1058="KTG","KTG",(VLOOKUP(I1058,'[1]list of outsource'!B:H,2,0)))</f>
        <v>ETC</v>
      </c>
      <c r="K1058" s="14" t="s">
        <v>403</v>
      </c>
      <c r="L1058" s="14"/>
      <c r="M1058" s="14" t="s">
        <v>855</v>
      </c>
      <c r="N1058" s="14" t="s">
        <v>856</v>
      </c>
      <c r="O1058" s="14" t="s">
        <v>3236</v>
      </c>
      <c r="P1058" s="14"/>
      <c r="Q1058" s="15">
        <v>45951</v>
      </c>
      <c r="R1058" s="14"/>
      <c r="S1058" s="16"/>
      <c r="T1058" s="14"/>
      <c r="U1058" s="14">
        <v>3</v>
      </c>
      <c r="V1058" s="14" t="s">
        <v>665</v>
      </c>
      <c r="W1058" s="14" t="s">
        <v>37</v>
      </c>
      <c r="X1058" s="13">
        <v>45964</v>
      </c>
      <c r="Y1058" s="13"/>
      <c r="Z1058" t="s">
        <v>1264</v>
      </c>
      <c r="AC1058"/>
      <c r="AE1058" t="str">
        <f t="shared" si="119"/>
        <v>P000251</v>
      </c>
      <c r="AF1058" t="str">
        <f>_xlfn.XLOOKUP(AE1058, Hoja2!A:A, Hoja2!A:A)</f>
        <v>P000251</v>
      </c>
      <c r="AG1058" t="str">
        <f t="shared" si="122"/>
        <v>PP00047-0039</v>
      </c>
      <c r="AH1058">
        <f>_xlfn.XLOOKUP(AG1058, Hoja3!A:A, Hoja3!B:B)</f>
        <v>5507</v>
      </c>
      <c r="AI1058" t="str">
        <f>_xlfn.XLOOKUP(AH1058, Hoja4!A:A, Hoja4!B:B)</f>
        <v>P000251</v>
      </c>
      <c r="AJ1058" t="b">
        <f t="shared" si="123"/>
        <v>1</v>
      </c>
    </row>
    <row r="1059" spans="1:36" ht="15.5" customHeight="1" x14ac:dyDescent="0.35">
      <c r="A1059">
        <f t="shared" ca="1" si="118"/>
        <v>28</v>
      </c>
      <c r="B1059" s="12" t="s">
        <v>3237</v>
      </c>
      <c r="C1059" s="13">
        <v>45936</v>
      </c>
      <c r="D1059" s="14" t="s">
        <v>875</v>
      </c>
      <c r="E1059" s="14" t="s">
        <v>139</v>
      </c>
      <c r="F1059" s="14" t="s">
        <v>1371</v>
      </c>
      <c r="G1059" s="14" t="s">
        <v>32</v>
      </c>
      <c r="H1059" s="14" t="s">
        <v>491</v>
      </c>
      <c r="I1059" s="14" t="s">
        <v>402</v>
      </c>
      <c r="J1059" s="14" t="str">
        <f>IF(E1059="KTG","KTG",(VLOOKUP(I1059,'[1]list of outsource'!B:H,2,0)))</f>
        <v>ETC</v>
      </c>
      <c r="K1059" s="14" t="s">
        <v>403</v>
      </c>
      <c r="L1059" s="14"/>
      <c r="M1059" s="14" t="s">
        <v>491</v>
      </c>
      <c r="N1059" s="14" t="s">
        <v>698</v>
      </c>
      <c r="O1059" s="14"/>
      <c r="P1059" s="14"/>
      <c r="Q1059" s="15">
        <v>45951</v>
      </c>
      <c r="R1059" s="14"/>
      <c r="S1059" s="16"/>
      <c r="T1059" s="14"/>
      <c r="U1059" s="14">
        <v>3</v>
      </c>
      <c r="V1059" s="14" t="s">
        <v>569</v>
      </c>
      <c r="W1059" s="14" t="s">
        <v>37</v>
      </c>
      <c r="X1059" s="13">
        <v>45964</v>
      </c>
      <c r="Y1059" s="13"/>
      <c r="Z1059" t="s">
        <v>1264</v>
      </c>
      <c r="AC1059"/>
      <c r="AE1059" t="str">
        <f t="shared" si="119"/>
        <v>P000293</v>
      </c>
      <c r="AF1059" t="str">
        <f>_xlfn.XLOOKUP(AE1059, Hoja2!A:A, Hoja2!A:A)</f>
        <v>P000293</v>
      </c>
      <c r="AG1059" t="str">
        <f t="shared" si="122"/>
        <v>PP00047-40</v>
      </c>
      <c r="AH1059">
        <f>_xlfn.XLOOKUP(AG1059, Hoja3!A:A, Hoja3!B:B)</f>
        <v>5547</v>
      </c>
      <c r="AI1059" t="str">
        <f>_xlfn.XLOOKUP(AH1059, Hoja4!A:A, Hoja4!B:B)</f>
        <v>P000293</v>
      </c>
      <c r="AJ1059" t="b">
        <f t="shared" si="123"/>
        <v>1</v>
      </c>
    </row>
    <row r="1060" spans="1:36" ht="15.5" customHeight="1" x14ac:dyDescent="0.35">
      <c r="A1060">
        <f t="shared" ca="1" si="118"/>
        <v>28</v>
      </c>
      <c r="B1060" s="12" t="s">
        <v>3238</v>
      </c>
      <c r="C1060" s="13">
        <v>45936</v>
      </c>
      <c r="D1060" s="14" t="s">
        <v>875</v>
      </c>
      <c r="E1060" s="14" t="s">
        <v>139</v>
      </c>
      <c r="F1060" s="14" t="s">
        <v>1371</v>
      </c>
      <c r="G1060" s="14" t="s">
        <v>32</v>
      </c>
      <c r="H1060" s="14" t="s">
        <v>3239</v>
      </c>
      <c r="I1060" s="14" t="s">
        <v>402</v>
      </c>
      <c r="J1060" s="14" t="str">
        <f>IF(E1060="KTG","KTG",(VLOOKUP(I1060,'[1]list of outsource'!B:H,2,0)))</f>
        <v>ETC</v>
      </c>
      <c r="K1060" s="14" t="s">
        <v>403</v>
      </c>
      <c r="L1060" s="14"/>
      <c r="M1060" s="14" t="s">
        <v>3239</v>
      </c>
      <c r="N1060" s="14" t="s">
        <v>3240</v>
      </c>
      <c r="O1060" s="14"/>
      <c r="P1060" s="14"/>
      <c r="Q1060" s="15">
        <v>45951</v>
      </c>
      <c r="R1060" s="14"/>
      <c r="S1060" s="16"/>
      <c r="T1060" s="14"/>
      <c r="U1060" s="14">
        <v>3</v>
      </c>
      <c r="V1060" s="14" t="s">
        <v>665</v>
      </c>
      <c r="W1060" s="14" t="s">
        <v>37</v>
      </c>
      <c r="X1060" s="13">
        <v>45964</v>
      </c>
      <c r="Y1060" s="13"/>
      <c r="Z1060" t="s">
        <v>1264</v>
      </c>
      <c r="AC1060"/>
      <c r="AE1060" t="str">
        <f t="shared" si="119"/>
        <v>P000514</v>
      </c>
      <c r="AF1060" t="str">
        <f>_xlfn.XLOOKUP(AE1060, Hoja2!A:A, Hoja2!A:A)</f>
        <v>P000514</v>
      </c>
      <c r="AG1060" t="str">
        <f t="shared" si="122"/>
        <v>PP00047-41</v>
      </c>
      <c r="AH1060">
        <f>_xlfn.XLOOKUP(AG1060, Hoja3!A:A, Hoja3!B:B)</f>
        <v>5548</v>
      </c>
      <c r="AI1060" t="str">
        <f>_xlfn.XLOOKUP(AH1060, Hoja4!A:A, Hoja4!B:B)</f>
        <v>P000514</v>
      </c>
      <c r="AJ1060" t="b">
        <f t="shared" si="123"/>
        <v>1</v>
      </c>
    </row>
    <row r="1061" spans="1:36" ht="15.5" customHeight="1" x14ac:dyDescent="0.35">
      <c r="A1061">
        <f t="shared" ca="1" si="118"/>
        <v>28</v>
      </c>
      <c r="B1061" s="12" t="s">
        <v>3241</v>
      </c>
      <c r="C1061" s="13">
        <v>45936</v>
      </c>
      <c r="D1061" s="14" t="s">
        <v>875</v>
      </c>
      <c r="E1061" s="14" t="s">
        <v>139</v>
      </c>
      <c r="F1061" s="14" t="s">
        <v>1371</v>
      </c>
      <c r="G1061" s="14" t="s">
        <v>32</v>
      </c>
      <c r="H1061" s="14" t="s">
        <v>3242</v>
      </c>
      <c r="I1061" s="14" t="s">
        <v>402</v>
      </c>
      <c r="J1061" s="14" t="str">
        <f>IF(E1061="KTG","KTG",(VLOOKUP(I1061,'[1]list of outsource'!B:H,2,0)))</f>
        <v>ETC</v>
      </c>
      <c r="K1061" s="14" t="s">
        <v>403</v>
      </c>
      <c r="L1061" s="14"/>
      <c r="M1061" s="14" t="s">
        <v>3242</v>
      </c>
      <c r="N1061" s="14" t="s">
        <v>3243</v>
      </c>
      <c r="O1061" s="14"/>
      <c r="P1061" s="14"/>
      <c r="Q1061" s="15">
        <v>45951</v>
      </c>
      <c r="R1061" s="14"/>
      <c r="S1061" s="16"/>
      <c r="T1061" s="14"/>
      <c r="U1061" s="14">
        <v>3</v>
      </c>
      <c r="V1061" s="14" t="s">
        <v>665</v>
      </c>
      <c r="W1061" s="14" t="s">
        <v>37</v>
      </c>
      <c r="X1061" s="13">
        <v>45964</v>
      </c>
      <c r="Y1061" s="13"/>
      <c r="Z1061" t="s">
        <v>1264</v>
      </c>
      <c r="AC1061"/>
      <c r="AE1061" t="str">
        <f t="shared" si="119"/>
        <v>P000515</v>
      </c>
      <c r="AF1061" t="str">
        <f>_xlfn.XLOOKUP(AE1061, Hoja2!A:A, Hoja2!A:A)</f>
        <v>P000515</v>
      </c>
      <c r="AG1061" t="str">
        <f t="shared" si="122"/>
        <v>PP00047-42</v>
      </c>
      <c r="AH1061">
        <f>_xlfn.XLOOKUP(AG1061, Hoja3!A:A, Hoja3!B:B)</f>
        <v>5549</v>
      </c>
      <c r="AI1061" t="str">
        <f>_xlfn.XLOOKUP(AH1061, Hoja4!A:A, Hoja4!B:B)</f>
        <v>P000515</v>
      </c>
      <c r="AJ1061" t="b">
        <f t="shared" si="123"/>
        <v>1</v>
      </c>
    </row>
    <row r="1062" spans="1:36" ht="15.5" customHeight="1" x14ac:dyDescent="0.35">
      <c r="A1062">
        <f t="shared" ca="1" si="118"/>
        <v>28</v>
      </c>
      <c r="B1062" s="12" t="s">
        <v>3244</v>
      </c>
      <c r="C1062" s="13">
        <v>45936</v>
      </c>
      <c r="D1062" s="14" t="s">
        <v>875</v>
      </c>
      <c r="E1062" s="14" t="s">
        <v>139</v>
      </c>
      <c r="F1062" s="14" t="s">
        <v>1371</v>
      </c>
      <c r="G1062" s="14" t="s">
        <v>32</v>
      </c>
      <c r="H1062" s="14" t="s">
        <v>3245</v>
      </c>
      <c r="I1062" s="14" t="s">
        <v>402</v>
      </c>
      <c r="J1062" s="14" t="str">
        <f>IF(E1062="KTG","KTG",(VLOOKUP(I1062,'[1]list of outsource'!B:H,2,0)))</f>
        <v>ETC</v>
      </c>
      <c r="K1062" s="14" t="s">
        <v>403</v>
      </c>
      <c r="L1062" s="14"/>
      <c r="M1062" s="14" t="s">
        <v>3245</v>
      </c>
      <c r="N1062" s="14" t="s">
        <v>3246</v>
      </c>
      <c r="O1062" s="14"/>
      <c r="P1062" s="14"/>
      <c r="Q1062" s="15">
        <v>45951</v>
      </c>
      <c r="R1062" s="14"/>
      <c r="S1062" s="16"/>
      <c r="T1062" s="14"/>
      <c r="U1062" s="14">
        <v>3</v>
      </c>
      <c r="V1062" s="14" t="s">
        <v>665</v>
      </c>
      <c r="W1062" s="14" t="s">
        <v>37</v>
      </c>
      <c r="X1062" s="13">
        <v>45964</v>
      </c>
      <c r="Y1062" s="13"/>
      <c r="Z1062" t="s">
        <v>1264</v>
      </c>
      <c r="AC1062"/>
      <c r="AE1062" t="str">
        <f t="shared" si="119"/>
        <v>P000517</v>
      </c>
      <c r="AF1062" t="str">
        <f>_xlfn.XLOOKUP(AE1062, Hoja2!A:A, Hoja2!A:A)</f>
        <v>P000517</v>
      </c>
      <c r="AG1062" t="str">
        <f t="shared" si="122"/>
        <v>PP00047-43</v>
      </c>
      <c r="AH1062">
        <f>_xlfn.XLOOKUP(AG1062, Hoja3!A:A, Hoja3!B:B)</f>
        <v>5550</v>
      </c>
      <c r="AI1062" t="str">
        <f>_xlfn.XLOOKUP(AH1062, Hoja4!A:A, Hoja4!B:B)</f>
        <v>P000517</v>
      </c>
      <c r="AJ1062" t="b">
        <f t="shared" si="123"/>
        <v>1</v>
      </c>
    </row>
    <row r="1063" spans="1:36" ht="15.5" customHeight="1" x14ac:dyDescent="0.35">
      <c r="A1063">
        <f t="shared" ca="1" si="118"/>
        <v>24</v>
      </c>
      <c r="B1063" s="12" t="s">
        <v>3247</v>
      </c>
      <c r="C1063" s="13">
        <v>45936</v>
      </c>
      <c r="D1063" s="14" t="s">
        <v>875</v>
      </c>
      <c r="E1063" s="14" t="s">
        <v>139</v>
      </c>
      <c r="F1063" s="14" t="s">
        <v>1697</v>
      </c>
      <c r="G1063" s="14" t="s">
        <v>156</v>
      </c>
      <c r="H1063" s="14">
        <v>7094171330</v>
      </c>
      <c r="I1063" s="14" t="s">
        <v>402</v>
      </c>
      <c r="J1063" s="14" t="str">
        <f>IF(E1063="KTG","KTG",(VLOOKUP(I1063,'[1]list of outsource'!B:H,2,0)))</f>
        <v>ETC</v>
      </c>
      <c r="K1063" s="14" t="s">
        <v>403</v>
      </c>
      <c r="L1063" s="14">
        <v>72</v>
      </c>
      <c r="M1063" s="14" t="s">
        <v>1244</v>
      </c>
      <c r="N1063" s="14" t="s">
        <v>1504</v>
      </c>
      <c r="O1063" s="14"/>
      <c r="P1063" s="14"/>
      <c r="Q1063" s="15"/>
      <c r="R1063" s="14"/>
      <c r="S1063" s="16"/>
      <c r="T1063" s="14"/>
      <c r="U1063" s="14">
        <v>3</v>
      </c>
      <c r="V1063" s="14" t="s">
        <v>569</v>
      </c>
      <c r="W1063" s="14" t="s">
        <v>37</v>
      </c>
      <c r="X1063" s="13">
        <v>45960</v>
      </c>
      <c r="Y1063" s="13"/>
      <c r="Z1063" t="s">
        <v>1264</v>
      </c>
      <c r="AC1063"/>
      <c r="AE1063" t="str">
        <f t="shared" si="119"/>
        <v>P000339</v>
      </c>
      <c r="AF1063" t="str">
        <f>_xlfn.XLOOKUP(AE1063, Hoja2!A:A, Hoja2!A:A)</f>
        <v>P000339</v>
      </c>
      <c r="AG1063" t="str">
        <f t="shared" si="122"/>
        <v>PP00061-13</v>
      </c>
      <c r="AH1063">
        <f>_xlfn.XLOOKUP(AG1063, Hoja3!A:A, Hoja3!B:B)</f>
        <v>5703</v>
      </c>
      <c r="AI1063">
        <f>_xlfn.XLOOKUP(AH1063, Hoja4!A:A, Hoja4!B:B)</f>
        <v>7094171330</v>
      </c>
      <c r="AJ1063" t="b">
        <f t="shared" si="123"/>
        <v>1</v>
      </c>
    </row>
    <row r="1064" spans="1:36" ht="15.5" customHeight="1" x14ac:dyDescent="0.35">
      <c r="A1064">
        <f t="shared" ca="1" si="118"/>
        <v>24</v>
      </c>
      <c r="B1064" s="12" t="s">
        <v>3248</v>
      </c>
      <c r="C1064" s="13">
        <v>45936</v>
      </c>
      <c r="D1064" s="14" t="s">
        <v>875</v>
      </c>
      <c r="E1064" s="14" t="s">
        <v>139</v>
      </c>
      <c r="F1064" s="14" t="s">
        <v>2727</v>
      </c>
      <c r="G1064" s="14" t="s">
        <v>156</v>
      </c>
      <c r="H1064" s="14">
        <v>7094171430</v>
      </c>
      <c r="I1064" s="14" t="s">
        <v>402</v>
      </c>
      <c r="J1064" s="14" t="str">
        <f>IF(E1064="KTG","KTG",(VLOOKUP(I1064,'[1]list of outsource'!B:H,2,0)))</f>
        <v>ETC</v>
      </c>
      <c r="K1064" s="14" t="s">
        <v>403</v>
      </c>
      <c r="L1064" s="14">
        <v>72</v>
      </c>
      <c r="M1064" s="14" t="s">
        <v>1719</v>
      </c>
      <c r="N1064" s="14" t="s">
        <v>1720</v>
      </c>
      <c r="O1064" s="14"/>
      <c r="P1064" s="14"/>
      <c r="Q1064" s="15"/>
      <c r="R1064" s="14"/>
      <c r="S1064" s="16"/>
      <c r="T1064" s="14"/>
      <c r="U1064" s="14">
        <v>3</v>
      </c>
      <c r="V1064" s="14" t="s">
        <v>569</v>
      </c>
      <c r="W1064" s="14" t="s">
        <v>37</v>
      </c>
      <c r="X1064" s="13">
        <v>45960</v>
      </c>
      <c r="Y1064" s="13"/>
      <c r="Z1064" t="s">
        <v>1264</v>
      </c>
      <c r="AC1064"/>
      <c r="AE1064" t="str">
        <f t="shared" si="119"/>
        <v>P000342</v>
      </c>
      <c r="AF1064" t="str">
        <f>_xlfn.XLOOKUP(AE1064, Hoja2!A:A, Hoja2!A:A)</f>
        <v>P000342</v>
      </c>
      <c r="AG1064" t="str">
        <f t="shared" si="122"/>
        <v>PP00061-14</v>
      </c>
      <c r="AH1064">
        <f>_xlfn.XLOOKUP(AG1064, Hoja3!A:A, Hoja3!B:B)</f>
        <v>5713</v>
      </c>
      <c r="AI1064">
        <f>_xlfn.XLOOKUP(AH1064, Hoja4!A:A, Hoja4!B:B)</f>
        <v>7094171430</v>
      </c>
      <c r="AJ1064" t="b">
        <f t="shared" si="123"/>
        <v>1</v>
      </c>
    </row>
    <row r="1065" spans="1:36" ht="15.5" customHeight="1" x14ac:dyDescent="0.35">
      <c r="A1065">
        <f t="shared" ca="1" si="118"/>
        <v>24</v>
      </c>
      <c r="B1065" s="12" t="s">
        <v>3249</v>
      </c>
      <c r="C1065" s="13">
        <v>45936</v>
      </c>
      <c r="D1065" s="14" t="s">
        <v>875</v>
      </c>
      <c r="E1065" s="14" t="s">
        <v>139</v>
      </c>
      <c r="F1065" s="14" t="s">
        <v>2727</v>
      </c>
      <c r="G1065" s="14" t="s">
        <v>156</v>
      </c>
      <c r="H1065" s="14">
        <v>7094174030</v>
      </c>
      <c r="I1065" s="14" t="s">
        <v>529</v>
      </c>
      <c r="J1065" s="14" t="str">
        <f>IF(E1065="KTG","KTG",(VLOOKUP(I1065,'[1]list of outsource'!B:H,2,0)))</f>
        <v>ETC</v>
      </c>
      <c r="K1065" s="14" t="s">
        <v>530</v>
      </c>
      <c r="L1065" s="14"/>
      <c r="M1065" s="14" t="s">
        <v>655</v>
      </c>
      <c r="N1065" s="14" t="s">
        <v>656</v>
      </c>
      <c r="O1065" s="14"/>
      <c r="P1065" s="14"/>
      <c r="Q1065" s="15">
        <v>45951</v>
      </c>
      <c r="R1065" s="14"/>
      <c r="S1065" s="16"/>
      <c r="T1065" s="14"/>
      <c r="U1065" s="14">
        <v>3</v>
      </c>
      <c r="V1065" s="14" t="s">
        <v>665</v>
      </c>
      <c r="W1065" s="14" t="s">
        <v>37</v>
      </c>
      <c r="X1065" s="13">
        <v>45960</v>
      </c>
      <c r="Y1065" s="13"/>
      <c r="Z1065" t="s">
        <v>1264</v>
      </c>
      <c r="AC1065"/>
      <c r="AE1065" t="str">
        <f t="shared" si="119"/>
        <v>P000262</v>
      </c>
      <c r="AF1065" t="str">
        <f>_xlfn.XLOOKUP(AE1065, Hoja2!A:A, Hoja2!A:A)</f>
        <v>P000262</v>
      </c>
      <c r="AG1065" t="str">
        <f t="shared" si="122"/>
        <v>PP00061-15</v>
      </c>
      <c r="AH1065">
        <f>_xlfn.XLOOKUP(AG1065, Hoja3!A:A, Hoja3!B:B)</f>
        <v>5714</v>
      </c>
      <c r="AI1065">
        <f>_xlfn.XLOOKUP(AH1065, Hoja4!A:A, Hoja4!B:B)</f>
        <v>7094174030</v>
      </c>
      <c r="AJ1065" t="b">
        <f t="shared" si="123"/>
        <v>1</v>
      </c>
    </row>
    <row r="1066" spans="1:36" ht="15.5" customHeight="1" x14ac:dyDescent="0.35">
      <c r="A1066">
        <f t="shared" ca="1" si="118"/>
        <v>20</v>
      </c>
      <c r="B1066" s="12" t="s">
        <v>3220</v>
      </c>
      <c r="C1066" s="13">
        <v>45839</v>
      </c>
      <c r="D1066" s="14" t="s">
        <v>121</v>
      </c>
      <c r="E1066" s="14" t="s">
        <v>83</v>
      </c>
      <c r="F1066" s="14" t="s">
        <v>84</v>
      </c>
      <c r="G1066" s="14" t="s">
        <v>156</v>
      </c>
      <c r="H1066" s="14" t="s">
        <v>3221</v>
      </c>
      <c r="I1066" s="14" t="s">
        <v>218</v>
      </c>
      <c r="J1066" s="14" t="str">
        <f>IF(E1066="KTG","KTG",(VLOOKUP(I1066,'[1]list of outsource'!B:H,2,0)))</f>
        <v>UPM</v>
      </c>
      <c r="K1066" s="14" t="s">
        <v>219</v>
      </c>
      <c r="L1066" s="14">
        <v>13</v>
      </c>
      <c r="M1066" s="14" t="s">
        <v>3222</v>
      </c>
      <c r="N1066" s="14" t="s">
        <v>3223</v>
      </c>
      <c r="O1066" s="14" t="s">
        <v>3250</v>
      </c>
      <c r="P1066" s="14"/>
      <c r="Q1066" s="15">
        <v>45470</v>
      </c>
      <c r="R1066" s="14"/>
      <c r="S1066" s="16"/>
      <c r="T1066" s="14"/>
      <c r="U1066" s="14">
        <v>1</v>
      </c>
      <c r="V1066" s="14" t="s">
        <v>569</v>
      </c>
      <c r="W1066" s="14" t="s">
        <v>576</v>
      </c>
      <c r="X1066" s="13">
        <v>45859</v>
      </c>
      <c r="Y1066" s="13"/>
      <c r="AB1066" t="e">
        <v>#N/A</v>
      </c>
      <c r="AC1066"/>
      <c r="AE1066" t="str">
        <f t="shared" si="119"/>
        <v>P000728</v>
      </c>
      <c r="AF1066" t="str">
        <f>_xlfn.XLOOKUP(AE1066, Hoja2!A:A, Hoja2!A:A)</f>
        <v>P000728</v>
      </c>
      <c r="AG1066" t="str">
        <f t="shared" si="122"/>
        <v>PP00028-85</v>
      </c>
      <c r="AH1066">
        <f>_xlfn.XLOOKUP(AG1066, Hoja3!A:A, Hoja3!B:B)</f>
        <v>5416</v>
      </c>
      <c r="AI1066" t="str">
        <f>_xlfn.XLOOKUP(AH1066, Hoja4!A:A, Hoja4!B:B)</f>
        <v>E43971900</v>
      </c>
      <c r="AJ1066" t="b">
        <f t="shared" si="123"/>
        <v>1</v>
      </c>
    </row>
    <row r="1067" spans="1:36" ht="15.5" customHeight="1" x14ac:dyDescent="0.35">
      <c r="A1067">
        <f t="shared" ca="1" si="118"/>
        <v>8</v>
      </c>
      <c r="B1067" s="6" t="s">
        <v>3251</v>
      </c>
      <c r="C1067" s="7">
        <v>45637</v>
      </c>
      <c r="D1067" s="6" t="s">
        <v>564</v>
      </c>
      <c r="E1067" s="6" t="s">
        <v>30</v>
      </c>
      <c r="F1067" s="6" t="s">
        <v>84</v>
      </c>
      <c r="G1067" s="6" t="s">
        <v>156</v>
      </c>
      <c r="H1067" s="6" t="s">
        <v>3252</v>
      </c>
      <c r="I1067" s="6"/>
      <c r="J1067" s="6" t="str">
        <f>IF(E1067="KTG","KTG",(VLOOKUP(I1067,'[1]list of outsource'!B:H,2,0)))</f>
        <v>KTG</v>
      </c>
      <c r="K1067" s="6"/>
      <c r="L1067" s="6"/>
      <c r="M1067" s="6" t="s">
        <v>3253</v>
      </c>
      <c r="N1067" s="6" t="s">
        <v>3254</v>
      </c>
      <c r="O1067" s="6"/>
      <c r="P1067" s="6"/>
      <c r="Q1067" s="8"/>
      <c r="R1067" s="6"/>
      <c r="S1067" s="6"/>
      <c r="T1067" s="6"/>
      <c r="U1067" s="6">
        <v>1</v>
      </c>
      <c r="V1067" s="6" t="s">
        <v>569</v>
      </c>
      <c r="W1067" s="6" t="s">
        <v>154</v>
      </c>
      <c r="X1067" s="7">
        <v>45645</v>
      </c>
      <c r="Y1067" s="7">
        <v>45709</v>
      </c>
      <c r="AB1067" t="e">
        <v>#N/A</v>
      </c>
      <c r="AC1067"/>
      <c r="AE1067" t="str">
        <f t="shared" si="119"/>
        <v>E74901</v>
      </c>
      <c r="AF1067" t="str">
        <f>_xlfn.XLOOKUP(AE1067, Hoja2!A:A, Hoja2!A:A)</f>
        <v>E74901</v>
      </c>
      <c r="AG1067" t="str">
        <f t="shared" si="122"/>
        <v>PP00028-86</v>
      </c>
      <c r="AH1067">
        <f>_xlfn.XLOOKUP(AG1067, Hoja3!A:A, Hoja3!B:B)</f>
        <v>36</v>
      </c>
      <c r="AI1067" t="str">
        <f>_xlfn.XLOOKUP(AH1067, Hoja4!A:A, Hoja4!B:B)</f>
        <v>E08785100</v>
      </c>
      <c r="AJ1067" t="b">
        <f t="shared" si="123"/>
        <v>1</v>
      </c>
    </row>
    <row r="1068" spans="1:36" ht="15.5" customHeight="1" x14ac:dyDescent="0.35">
      <c r="A1068">
        <f t="shared" ca="1" si="118"/>
        <v>9</v>
      </c>
      <c r="B1068" s="17" t="s">
        <v>3255</v>
      </c>
      <c r="C1068" s="7">
        <v>45783</v>
      </c>
      <c r="D1068" s="6" t="s">
        <v>564</v>
      </c>
      <c r="E1068" s="6" t="s">
        <v>139</v>
      </c>
      <c r="F1068" s="6" t="s">
        <v>84</v>
      </c>
      <c r="G1068" s="6" t="s">
        <v>156</v>
      </c>
      <c r="H1068" s="6" t="s">
        <v>893</v>
      </c>
      <c r="I1068" s="6" t="s">
        <v>494</v>
      </c>
      <c r="J1068" s="6" t="str">
        <f>IF(E1068="KTG","KTG",(VLOOKUP(I1068,'[1]list of outsource'!B:H,2,0)))</f>
        <v>ETC</v>
      </c>
      <c r="K1068" s="6" t="s">
        <v>495</v>
      </c>
      <c r="L1068" s="24">
        <v>32</v>
      </c>
      <c r="M1068" s="6" t="s">
        <v>894</v>
      </c>
      <c r="N1068" s="6" t="s">
        <v>895</v>
      </c>
      <c r="O1068" s="6" t="s">
        <v>3256</v>
      </c>
      <c r="P1068" s="6"/>
      <c r="Q1068" s="8"/>
      <c r="R1068" s="6"/>
      <c r="S1068" s="18"/>
      <c r="T1068" s="6"/>
      <c r="U1068" s="6">
        <v>4</v>
      </c>
      <c r="V1068" s="6" t="s">
        <v>569</v>
      </c>
      <c r="W1068" s="6" t="s">
        <v>37</v>
      </c>
      <c r="X1068" s="7">
        <v>45792</v>
      </c>
      <c r="Y1068" s="7">
        <v>45832</v>
      </c>
      <c r="AB1068" t="e">
        <v>#N/A</v>
      </c>
      <c r="AC1068" t="e">
        <v>#N/A</v>
      </c>
      <c r="AE1068" t="str">
        <f t="shared" si="119"/>
        <v>P000236</v>
      </c>
      <c r="AF1068" t="str">
        <f>_xlfn.XLOOKUP(AE1068, Hoja2!A:A, Hoja2!A:A)</f>
        <v>P000236</v>
      </c>
      <c r="AG1068" t="str">
        <f t="shared" si="122"/>
        <v>PP00028-87</v>
      </c>
      <c r="AH1068">
        <f>_xlfn.XLOOKUP(AG1068, Hoja3!A:A, Hoja3!B:B)</f>
        <v>5417</v>
      </c>
      <c r="AI1068" t="str">
        <f>_xlfn.XLOOKUP(AH1068, Hoja4!A:A, Hoja4!B:B)</f>
        <v>E36962900</v>
      </c>
      <c r="AJ1068" t="b">
        <f t="shared" si="123"/>
        <v>1</v>
      </c>
    </row>
    <row r="1069" spans="1:36" ht="15.5" customHeight="1" x14ac:dyDescent="0.35">
      <c r="A1069">
        <f t="shared" ca="1" si="118"/>
        <v>35</v>
      </c>
      <c r="B1069" s="12" t="s">
        <v>3257</v>
      </c>
      <c r="C1069" s="13">
        <v>45945</v>
      </c>
      <c r="D1069" s="14" t="s">
        <v>121</v>
      </c>
      <c r="E1069" s="14" t="s">
        <v>83</v>
      </c>
      <c r="F1069" s="14" t="s">
        <v>101</v>
      </c>
      <c r="G1069" s="14" t="s">
        <v>299</v>
      </c>
      <c r="H1069" s="14" t="s">
        <v>132</v>
      </c>
      <c r="I1069" s="14" t="s">
        <v>133</v>
      </c>
      <c r="J1069" s="14" t="str">
        <f>IF(E1069="KTG","KTG",(VLOOKUP(I1069,'[1]list of outsource'!B:H,2,0)))</f>
        <v>UPM</v>
      </c>
      <c r="K1069" s="14" t="s">
        <v>301</v>
      </c>
      <c r="L1069" s="14">
        <v>28</v>
      </c>
      <c r="M1069" s="14" t="s">
        <v>135</v>
      </c>
      <c r="N1069" s="14" t="s">
        <v>3258</v>
      </c>
      <c r="O1069" s="14" t="s">
        <v>2370</v>
      </c>
      <c r="P1069" s="14"/>
      <c r="Q1069" s="15"/>
      <c r="R1069" s="14"/>
      <c r="S1069" s="16"/>
      <c r="T1069" s="14"/>
      <c r="U1069" s="14">
        <v>3</v>
      </c>
      <c r="V1069" s="14" t="s">
        <v>569</v>
      </c>
      <c r="W1069" s="14" t="s">
        <v>37</v>
      </c>
      <c r="X1069" s="13">
        <v>45980</v>
      </c>
      <c r="Y1069" s="13"/>
      <c r="AC1069" t="e">
        <v>#N/A</v>
      </c>
      <c r="AE1069" t="str">
        <f t="shared" si="119"/>
        <v>P000028</v>
      </c>
      <c r="AF1069" t="str">
        <f>_xlfn.XLOOKUP(AE1069, Hoja2!A:A, Hoja2!A:A)</f>
        <v>P000028</v>
      </c>
      <c r="AG1069" t="str">
        <f t="shared" si="122"/>
        <v>PP00027-0006</v>
      </c>
      <c r="AH1069">
        <f>_xlfn.XLOOKUP(AG1069, Hoja3!A:A, Hoja3!B:B)</f>
        <v>4572</v>
      </c>
      <c r="AI1069" t="str">
        <f>_xlfn.XLOOKUP(AH1069, Hoja4!A:A, Hoja4!B:B)</f>
        <v>GP085283</v>
      </c>
      <c r="AJ1069" t="b">
        <f t="shared" si="123"/>
        <v>1</v>
      </c>
    </row>
    <row r="1070" spans="1:36" ht="15.5" customHeight="1" x14ac:dyDescent="0.35">
      <c r="A1070">
        <f t="shared" ca="1" si="118"/>
        <v>35</v>
      </c>
      <c r="B1070" s="12" t="s">
        <v>3259</v>
      </c>
      <c r="C1070" s="13">
        <v>45945</v>
      </c>
      <c r="D1070" s="14" t="s">
        <v>121</v>
      </c>
      <c r="E1070" s="14" t="s">
        <v>83</v>
      </c>
      <c r="F1070" s="14" t="s">
        <v>101</v>
      </c>
      <c r="G1070" s="14" t="s">
        <v>299</v>
      </c>
      <c r="H1070" s="14" t="s">
        <v>1123</v>
      </c>
      <c r="I1070" s="14" t="s">
        <v>428</v>
      </c>
      <c r="J1070" s="14" t="str">
        <f>IF(E1070="KTG","KTG",(VLOOKUP(I1070,'[1]list of outsource'!B:H,2,0)))</f>
        <v>UPM</v>
      </c>
      <c r="K1070" s="14" t="s">
        <v>429</v>
      </c>
      <c r="L1070" s="14">
        <v>25</v>
      </c>
      <c r="M1070" s="14" t="s">
        <v>1124</v>
      </c>
      <c r="N1070" s="14" t="s">
        <v>3260</v>
      </c>
      <c r="O1070" s="14" t="s">
        <v>3261</v>
      </c>
      <c r="P1070" s="14"/>
      <c r="Q1070" s="15">
        <v>45954</v>
      </c>
      <c r="R1070" s="14"/>
      <c r="S1070" s="16"/>
      <c r="T1070" s="14"/>
      <c r="U1070" s="14">
        <v>3</v>
      </c>
      <c r="V1070" s="14" t="s">
        <v>665</v>
      </c>
      <c r="W1070" s="14" t="s">
        <v>37</v>
      </c>
      <c r="X1070" s="13">
        <v>45980</v>
      </c>
      <c r="Y1070" s="13"/>
      <c r="AC1070" t="e">
        <v>#N/A</v>
      </c>
      <c r="AE1070" t="str">
        <f t="shared" si="119"/>
        <v>P000315</v>
      </c>
      <c r="AF1070" t="str">
        <f>_xlfn.XLOOKUP(AE1070, Hoja2!A:A, Hoja2!A:A)</f>
        <v>P000315</v>
      </c>
      <c r="AG1070" t="str">
        <f t="shared" si="122"/>
        <v>PP00027-0014</v>
      </c>
      <c r="AH1070">
        <f>_xlfn.XLOOKUP(AG1070, Hoja3!A:A, Hoja3!B:B)</f>
        <v>4580</v>
      </c>
      <c r="AI1070" t="str">
        <f>_xlfn.XLOOKUP(AH1070, Hoja4!A:A, Hoja4!B:B)</f>
        <v>GP095936</v>
      </c>
      <c r="AJ1070" t="b">
        <f t="shared" si="123"/>
        <v>1</v>
      </c>
    </row>
    <row r="1071" spans="1:36" ht="15.5" customHeight="1" x14ac:dyDescent="0.35">
      <c r="A1071">
        <f t="shared" ca="1" si="118"/>
        <v>35</v>
      </c>
      <c r="B1071" s="12" t="s">
        <v>3262</v>
      </c>
      <c r="C1071" s="13">
        <v>45945</v>
      </c>
      <c r="D1071" s="14" t="s">
        <v>121</v>
      </c>
      <c r="E1071" s="14" t="s">
        <v>83</v>
      </c>
      <c r="F1071" s="14" t="s">
        <v>101</v>
      </c>
      <c r="G1071" s="14" t="s">
        <v>299</v>
      </c>
      <c r="H1071" s="14" t="s">
        <v>1410</v>
      </c>
      <c r="I1071" s="14" t="s">
        <v>428</v>
      </c>
      <c r="J1071" s="14" t="str">
        <f>IF(E1071="KTG","KTG",(VLOOKUP(I1071,'[1]list of outsource'!B:H,2,0)))</f>
        <v>UPM</v>
      </c>
      <c r="K1071" s="14" t="s">
        <v>429</v>
      </c>
      <c r="L1071" s="14">
        <v>25</v>
      </c>
      <c r="M1071" s="14" t="s">
        <v>1411</v>
      </c>
      <c r="N1071" s="14" t="s">
        <v>3263</v>
      </c>
      <c r="O1071" s="14" t="s">
        <v>3264</v>
      </c>
      <c r="P1071" s="14"/>
      <c r="Q1071" s="15">
        <v>45974</v>
      </c>
      <c r="R1071" s="14"/>
      <c r="S1071" s="16"/>
      <c r="T1071" s="14"/>
      <c r="U1071" s="14">
        <v>3</v>
      </c>
      <c r="V1071" s="14" t="s">
        <v>919</v>
      </c>
      <c r="W1071" s="14" t="s">
        <v>37</v>
      </c>
      <c r="X1071" s="13">
        <v>45980</v>
      </c>
      <c r="Y1071" s="13"/>
      <c r="AC1071"/>
      <c r="AE1071" t="str">
        <f t="shared" si="119"/>
        <v>P000683</v>
      </c>
      <c r="AF1071" t="str">
        <f>_xlfn.XLOOKUP(AE1071, Hoja2!A:A, Hoja2!A:A)</f>
        <v>P000683</v>
      </c>
      <c r="AG1071" t="str">
        <f t="shared" si="122"/>
        <v>PP00027-0025</v>
      </c>
      <c r="AH1071">
        <f>_xlfn.XLOOKUP(AG1071, Hoja3!A:A, Hoja3!B:B)</f>
        <v>4581</v>
      </c>
      <c r="AI1071" t="str">
        <f>_xlfn.XLOOKUP(AH1071, Hoja4!A:A, Hoja4!B:B)</f>
        <v>GP101858</v>
      </c>
      <c r="AJ1071" t="b">
        <f t="shared" si="123"/>
        <v>1</v>
      </c>
    </row>
    <row r="1072" spans="1:36" ht="15.5" customHeight="1" x14ac:dyDescent="0.35">
      <c r="A1072">
        <f t="shared" ca="1" si="118"/>
        <v>5</v>
      </c>
      <c r="B1072" s="12" t="s">
        <v>3265</v>
      </c>
      <c r="C1072" s="13">
        <v>45906</v>
      </c>
      <c r="D1072" s="14" t="s">
        <v>3266</v>
      </c>
      <c r="E1072" s="14" t="s">
        <v>30</v>
      </c>
      <c r="F1072" s="14" t="s">
        <v>658</v>
      </c>
      <c r="G1072" s="14" t="s">
        <v>32</v>
      </c>
      <c r="H1072" s="14" t="s">
        <v>3267</v>
      </c>
      <c r="I1072" s="14"/>
      <c r="J1072" s="14" t="str">
        <f>IF(E1072="KTG","KTG",(VLOOKUP(I1072,'[1]list of outsource'!B:H,2,0)))</f>
        <v>KTG</v>
      </c>
      <c r="K1072" s="14"/>
      <c r="L1072" s="14"/>
      <c r="M1072" s="14" t="s">
        <v>3268</v>
      </c>
      <c r="N1072" s="14" t="s">
        <v>3269</v>
      </c>
      <c r="O1072" s="14"/>
      <c r="P1072" s="14"/>
      <c r="Q1072" s="15"/>
      <c r="R1072" s="14"/>
      <c r="S1072" s="16"/>
      <c r="T1072" s="14"/>
      <c r="U1072" s="14">
        <v>4</v>
      </c>
      <c r="V1072" s="14" t="s">
        <v>569</v>
      </c>
      <c r="W1072" s="14" t="s">
        <v>576</v>
      </c>
      <c r="X1072" s="13">
        <v>45911</v>
      </c>
      <c r="Y1072" s="13"/>
      <c r="AC1072"/>
      <c r="AE1072" t="str">
        <f t="shared" si="119"/>
        <v>E47401</v>
      </c>
      <c r="AF1072" t="str">
        <f>_xlfn.XLOOKUP(AE1072, Hoja2!A:A, Hoja2!A:A)</f>
        <v>E47401</v>
      </c>
      <c r="AG1072" t="str">
        <f t="shared" si="122"/>
        <v>PP00034-48</v>
      </c>
      <c r="AH1072">
        <f>_xlfn.XLOOKUP(AG1072, Hoja3!A:A, Hoja3!B:B)</f>
        <v>4739</v>
      </c>
      <c r="AI1072" t="str">
        <f>_xlfn.XLOOKUP(AH1072, Hoja4!A:A, Hoja4!B:B)</f>
        <v>443 971 881 G</v>
      </c>
      <c r="AJ1072" t="b">
        <f t="shared" si="123"/>
        <v>1</v>
      </c>
    </row>
    <row r="1073" spans="1:36" ht="15.5" customHeight="1" x14ac:dyDescent="0.35">
      <c r="A1073">
        <f t="shared" ca="1" si="118"/>
        <v>22</v>
      </c>
      <c r="B1073" s="26" t="s">
        <v>3270</v>
      </c>
      <c r="C1073" s="50">
        <v>45987</v>
      </c>
      <c r="D1073" s="26" t="s">
        <v>3271</v>
      </c>
      <c r="E1073" s="26" t="s">
        <v>83</v>
      </c>
      <c r="F1073" s="26" t="s">
        <v>2221</v>
      </c>
      <c r="G1073" s="26" t="s">
        <v>32</v>
      </c>
      <c r="H1073" s="26" t="s">
        <v>3272</v>
      </c>
      <c r="I1073" s="26" t="s">
        <v>158</v>
      </c>
      <c r="J1073" s="26" t="str">
        <f>IF(E1073="KTG","KTG",(VLOOKUP(I1073,'[1]list of outsource'!B:H,2,0)))</f>
        <v>UPM</v>
      </c>
      <c r="K1073" s="26" t="s">
        <v>159</v>
      </c>
      <c r="L1073" s="51"/>
      <c r="M1073" s="26" t="s">
        <v>164</v>
      </c>
      <c r="N1073" s="26" t="s">
        <v>3273</v>
      </c>
      <c r="O1073" s="26"/>
      <c r="P1073" s="26"/>
      <c r="Q1073" s="52"/>
      <c r="R1073" s="26"/>
      <c r="S1073" s="53"/>
      <c r="T1073" s="26"/>
      <c r="U1073" s="26">
        <v>3</v>
      </c>
      <c r="V1073" s="26" t="s">
        <v>665</v>
      </c>
      <c r="W1073" s="26" t="s">
        <v>37</v>
      </c>
      <c r="X1073" s="50"/>
      <c r="Y1073" s="50"/>
      <c r="Z1073" s="32"/>
      <c r="AA1073" s="32"/>
      <c r="AB1073" s="32"/>
      <c r="AC1073"/>
      <c r="AE1073" t="str">
        <f t="shared" si="119"/>
        <v>P000106</v>
      </c>
      <c r="AF1073" t="str">
        <f>_xlfn.XLOOKUP(AE1073, Hoja2!A:A, Hoja2!A:A)</f>
        <v>P000106</v>
      </c>
      <c r="AG1073" t="str">
        <f t="shared" si="122"/>
        <v>PP00066-0003</v>
      </c>
      <c r="AH1073">
        <f>_xlfn.XLOOKUP(AG1073, Hoja3!A:A, Hoja3!B:B)</f>
        <v>5502</v>
      </c>
      <c r="AI1073" t="str">
        <f>_xlfn.XLOOKUP(AH1073, Hoja4!A:A, Hoja4!B:B)</f>
        <v>P01263747</v>
      </c>
      <c r="AJ1073" t="b">
        <f t="shared" si="123"/>
        <v>1</v>
      </c>
    </row>
    <row r="1074" spans="1:36" ht="15.5" customHeight="1" x14ac:dyDescent="0.35">
      <c r="A1074">
        <f t="shared" ca="1" si="118"/>
        <v>21</v>
      </c>
      <c r="B1074" s="12" t="s">
        <v>3274</v>
      </c>
      <c r="C1074" s="13">
        <v>45951</v>
      </c>
      <c r="D1074" s="14" t="s">
        <v>121</v>
      </c>
      <c r="E1074" s="14" t="s">
        <v>83</v>
      </c>
      <c r="F1074" s="14" t="s">
        <v>356</v>
      </c>
      <c r="G1074" s="14" t="s">
        <v>32</v>
      </c>
      <c r="H1074" s="14" t="s">
        <v>365</v>
      </c>
      <c r="I1074" s="14" t="s">
        <v>158</v>
      </c>
      <c r="J1074" s="14" t="str">
        <f>IF(E1074="KTG","KTG",(VLOOKUP(I1074,'[1]list of outsource'!B:H,2,0)))</f>
        <v>UPM</v>
      </c>
      <c r="K1074" s="14" t="s">
        <v>159</v>
      </c>
      <c r="L1074" s="14">
        <v>47</v>
      </c>
      <c r="M1074" s="14" t="s">
        <v>366</v>
      </c>
      <c r="N1074" s="14" t="s">
        <v>809</v>
      </c>
      <c r="O1074" s="14" t="s">
        <v>2167</v>
      </c>
      <c r="P1074" s="14"/>
      <c r="Q1074" s="15">
        <v>45968</v>
      </c>
      <c r="R1074" s="14"/>
      <c r="S1074" s="16"/>
      <c r="T1074" s="14"/>
      <c r="U1074" s="14">
        <v>4</v>
      </c>
      <c r="V1074" s="14" t="s">
        <v>569</v>
      </c>
      <c r="W1074" s="14" t="s">
        <v>576</v>
      </c>
      <c r="X1074" s="13">
        <v>45972</v>
      </c>
      <c r="Y1074" s="13"/>
      <c r="AC1074"/>
      <c r="AE1074" t="str">
        <f t="shared" si="119"/>
        <v>P000117</v>
      </c>
      <c r="AF1074" t="str">
        <f>_xlfn.XLOOKUP(AE1074, Hoja2!A:A, Hoja2!A:A)</f>
        <v>P000117</v>
      </c>
      <c r="AG1074" t="str">
        <f t="shared" si="122"/>
        <v>PP00012-0003</v>
      </c>
      <c r="AH1074">
        <f>_xlfn.XLOOKUP(AG1074, Hoja3!A:A, Hoja3!B:B)</f>
        <v>4046</v>
      </c>
      <c r="AI1074" t="str">
        <f>_xlfn.XLOOKUP(AH1074, Hoja4!A:A, Hoja4!B:B)</f>
        <v>GAT023</v>
      </c>
      <c r="AJ1074" t="b">
        <f t="shared" si="123"/>
        <v>1</v>
      </c>
    </row>
    <row r="1075" spans="1:36" ht="15.5" customHeight="1" x14ac:dyDescent="0.35">
      <c r="A1075">
        <f t="shared" ca="1" si="118"/>
        <v>35</v>
      </c>
      <c r="B1075" s="17" t="s">
        <v>3275</v>
      </c>
      <c r="C1075" s="7">
        <v>45953</v>
      </c>
      <c r="D1075" s="6" t="s">
        <v>564</v>
      </c>
      <c r="E1075" s="6" t="s">
        <v>83</v>
      </c>
      <c r="F1075" s="6" t="s">
        <v>101</v>
      </c>
      <c r="G1075" s="6" t="s">
        <v>299</v>
      </c>
      <c r="H1075" s="6" t="s">
        <v>433</v>
      </c>
      <c r="I1075" s="6" t="s">
        <v>158</v>
      </c>
      <c r="J1075" s="6" t="str">
        <f>IF(E1075="KTG","KTG",(VLOOKUP(I1075,'[1]list of outsource'!B:H,2,0)))</f>
        <v>UPM</v>
      </c>
      <c r="K1075" s="6" t="s">
        <v>159</v>
      </c>
      <c r="L1075" s="24">
        <v>47</v>
      </c>
      <c r="M1075" s="6" t="s">
        <v>3276</v>
      </c>
      <c r="N1075" s="6" t="s">
        <v>3277</v>
      </c>
      <c r="O1075" s="6" t="s">
        <v>3278</v>
      </c>
      <c r="P1075" s="6"/>
      <c r="Q1075" s="8">
        <v>45974</v>
      </c>
      <c r="R1075" s="6"/>
      <c r="S1075" s="18"/>
      <c r="T1075" s="6"/>
      <c r="U1075" s="6">
        <v>3</v>
      </c>
      <c r="V1075" s="6" t="s">
        <v>665</v>
      </c>
      <c r="W1075" s="6" t="s">
        <v>37</v>
      </c>
      <c r="X1075" s="7">
        <v>45988</v>
      </c>
      <c r="Y1075" s="7">
        <v>45994</v>
      </c>
      <c r="AE1075" t="str">
        <f t="shared" si="119"/>
        <v>P000632</v>
      </c>
      <c r="AF1075" t="str">
        <f>_xlfn.XLOOKUP(AE1075, Hoja2!A:A, Hoja2!A:A)</f>
        <v>P000632</v>
      </c>
      <c r="AG1075" t="str">
        <f t="shared" si="122"/>
        <v>PP00027-0039</v>
      </c>
      <c r="AH1075">
        <f>_xlfn.XLOOKUP(AG1075, Hoja3!A:A, Hoja3!B:B)</f>
        <v>5574</v>
      </c>
      <c r="AI1075" t="str">
        <f>_xlfn.XLOOKUP(AH1075, Hoja4!A:A, Hoja4!B:B)</f>
        <v>GP089412</v>
      </c>
      <c r="AJ1075" t="b">
        <f t="shared" si="123"/>
        <v>1</v>
      </c>
    </row>
    <row r="1076" spans="1:36" ht="15.5" customHeight="1" x14ac:dyDescent="0.35">
      <c r="A1076">
        <f t="shared" ca="1" si="118"/>
        <v>35</v>
      </c>
      <c r="B1076" s="6" t="s">
        <v>3279</v>
      </c>
      <c r="C1076" s="7">
        <v>45791</v>
      </c>
      <c r="D1076" s="6" t="s">
        <v>564</v>
      </c>
      <c r="E1076" s="6" t="s">
        <v>30</v>
      </c>
      <c r="F1076" s="6" t="s">
        <v>84</v>
      </c>
      <c r="G1076" s="6" t="s">
        <v>156</v>
      </c>
      <c r="H1076" s="6" t="s">
        <v>2409</v>
      </c>
      <c r="I1076" s="6"/>
      <c r="J1076" s="6" t="str">
        <f>IF(E1076="KTG","KTG",(VLOOKUP(I1076,'[1]list of outsource'!B:H,2,0)))</f>
        <v>KTG</v>
      </c>
      <c r="K1076" s="6"/>
      <c r="L1076" s="6"/>
      <c r="M1076" s="6" t="s">
        <v>2410</v>
      </c>
      <c r="N1076" s="6" t="s">
        <v>2411</v>
      </c>
      <c r="O1076" s="6"/>
      <c r="P1076" s="6"/>
      <c r="Q1076" s="8"/>
      <c r="R1076" s="6"/>
      <c r="S1076" s="6"/>
      <c r="T1076" s="6"/>
      <c r="U1076" s="6">
        <v>1</v>
      </c>
      <c r="V1076" s="6" t="s">
        <v>569</v>
      </c>
      <c r="W1076" s="6" t="s">
        <v>154</v>
      </c>
      <c r="X1076" s="7">
        <v>45826</v>
      </c>
      <c r="Y1076" s="7">
        <v>45828</v>
      </c>
      <c r="AB1076" t="e">
        <v>#N/A</v>
      </c>
      <c r="AC1076"/>
      <c r="AE1076" t="str">
        <f t="shared" si="119"/>
        <v>E74907</v>
      </c>
      <c r="AF1076" t="str">
        <f>_xlfn.XLOOKUP(AE1076, Hoja2!A:A, Hoja2!A:A)</f>
        <v>E74907</v>
      </c>
      <c r="AG1076" t="str">
        <f t="shared" si="122"/>
        <v>PP00028-88</v>
      </c>
      <c r="AH1076">
        <f>_xlfn.XLOOKUP(AG1076, Hoja3!A:A, Hoja3!B:B)</f>
        <v>5418</v>
      </c>
      <c r="AI1076" t="str">
        <f>_xlfn.XLOOKUP(AH1076, Hoja4!A:A, Hoja4!B:B)</f>
        <v>E13723900</v>
      </c>
      <c r="AJ1076" t="b">
        <f t="shared" si="123"/>
        <v>1</v>
      </c>
    </row>
    <row r="1077" spans="1:36" ht="15.5" customHeight="1" x14ac:dyDescent="0.35">
      <c r="A1077">
        <f t="shared" ca="1" si="118"/>
        <v>35</v>
      </c>
      <c r="B1077" s="6" t="s">
        <v>3280</v>
      </c>
      <c r="C1077" s="7">
        <v>45791</v>
      </c>
      <c r="D1077" s="6" t="s">
        <v>564</v>
      </c>
      <c r="E1077" s="6" t="s">
        <v>30</v>
      </c>
      <c r="F1077" s="6" t="s">
        <v>84</v>
      </c>
      <c r="G1077" s="6" t="s">
        <v>156</v>
      </c>
      <c r="H1077" s="6" t="s">
        <v>3281</v>
      </c>
      <c r="I1077" s="6"/>
      <c r="J1077" s="6" t="str">
        <f>IF(E1077="KTG","KTG",(VLOOKUP(I1077,'[1]list of outsource'!B:H,2,0)))</f>
        <v>KTG</v>
      </c>
      <c r="K1077" s="6"/>
      <c r="L1077" s="6"/>
      <c r="M1077" s="6" t="s">
        <v>3282</v>
      </c>
      <c r="N1077" s="6" t="s">
        <v>3283</v>
      </c>
      <c r="O1077" s="6"/>
      <c r="P1077" s="6"/>
      <c r="Q1077" s="8"/>
      <c r="R1077" s="6"/>
      <c r="S1077" s="6"/>
      <c r="T1077" s="6"/>
      <c r="U1077" s="6">
        <v>1</v>
      </c>
      <c r="V1077" s="6" t="s">
        <v>569</v>
      </c>
      <c r="W1077" s="6" t="s">
        <v>154</v>
      </c>
      <c r="X1077" s="7">
        <v>45826</v>
      </c>
      <c r="Y1077" s="7">
        <v>45952</v>
      </c>
      <c r="AB1077" t="e">
        <v>#N/A</v>
      </c>
      <c r="AC1077"/>
      <c r="AE1077" t="str">
        <f t="shared" si="119"/>
        <v>E74906</v>
      </c>
      <c r="AF1077" t="str">
        <f>_xlfn.XLOOKUP(AE1077, Hoja2!A:A, Hoja2!A:A)</f>
        <v>E74906</v>
      </c>
      <c r="AG1077" t="str">
        <f t="shared" si="122"/>
        <v>PP00028-89</v>
      </c>
      <c r="AH1077">
        <f>_xlfn.XLOOKUP(AG1077, Hoja3!A:A, Hoja3!B:B)</f>
        <v>5419</v>
      </c>
      <c r="AI1077" t="str">
        <f>_xlfn.XLOOKUP(AH1077, Hoja4!A:A, Hoja4!B:B)</f>
        <v>E13723700</v>
      </c>
      <c r="AJ1077" t="b">
        <f t="shared" si="123"/>
        <v>1</v>
      </c>
    </row>
    <row r="1078" spans="1:36" ht="15.5" customHeight="1" x14ac:dyDescent="0.35">
      <c r="A1078">
        <f t="shared" ca="1" si="118"/>
        <v>35</v>
      </c>
      <c r="B1078" s="6" t="s">
        <v>3284</v>
      </c>
      <c r="C1078" s="7">
        <v>45791</v>
      </c>
      <c r="D1078" s="6" t="s">
        <v>564</v>
      </c>
      <c r="E1078" s="6" t="s">
        <v>30</v>
      </c>
      <c r="F1078" s="6" t="s">
        <v>84</v>
      </c>
      <c r="G1078" s="6" t="s">
        <v>156</v>
      </c>
      <c r="H1078" s="6" t="s">
        <v>2405</v>
      </c>
      <c r="I1078" s="6"/>
      <c r="J1078" s="6" t="str">
        <f>IF(E1078="KTG","KTG",(VLOOKUP(I1078,'[1]list of outsource'!B:H,2,0)))</f>
        <v>KTG</v>
      </c>
      <c r="K1078" s="6"/>
      <c r="L1078" s="6"/>
      <c r="M1078" s="6" t="s">
        <v>2406</v>
      </c>
      <c r="N1078" s="6" t="s">
        <v>2407</v>
      </c>
      <c r="O1078" s="6"/>
      <c r="P1078" s="6"/>
      <c r="Q1078" s="8"/>
      <c r="R1078" s="6"/>
      <c r="S1078" s="6"/>
      <c r="T1078" s="6"/>
      <c r="U1078" s="6">
        <v>1</v>
      </c>
      <c r="V1078" s="6" t="s">
        <v>569</v>
      </c>
      <c r="W1078" s="6" t="s">
        <v>576</v>
      </c>
      <c r="X1078" s="7">
        <v>45826</v>
      </c>
      <c r="Y1078" s="7">
        <v>45828</v>
      </c>
      <c r="AB1078" t="e">
        <v>#N/A</v>
      </c>
      <c r="AC1078" t="e">
        <v>#N/A</v>
      </c>
      <c r="AE1078" t="str">
        <f t="shared" si="119"/>
        <v>E74905</v>
      </c>
      <c r="AF1078" t="str">
        <f>_xlfn.XLOOKUP(AE1078, Hoja2!A:A, Hoja2!A:A)</f>
        <v>E74905</v>
      </c>
      <c r="AG1078" t="str">
        <f t="shared" si="122"/>
        <v>PP00028-90</v>
      </c>
      <c r="AH1078">
        <f>_xlfn.XLOOKUP(AG1078, Hoja3!A:A, Hoja3!B:B)</f>
        <v>5420</v>
      </c>
      <c r="AI1078" t="str">
        <f>_xlfn.XLOOKUP(AH1078, Hoja4!A:A, Hoja4!B:B)</f>
        <v>E13723600</v>
      </c>
      <c r="AJ1078" t="b">
        <f t="shared" si="123"/>
        <v>1</v>
      </c>
    </row>
    <row r="1079" spans="1:36" ht="15.5" customHeight="1" x14ac:dyDescent="0.35">
      <c r="A1079">
        <f t="shared" ca="1" si="118"/>
        <v>29</v>
      </c>
      <c r="B1079" s="17" t="s">
        <v>3285</v>
      </c>
      <c r="C1079" s="7">
        <v>45959</v>
      </c>
      <c r="D1079" s="6" t="s">
        <v>564</v>
      </c>
      <c r="E1079" s="6" t="s">
        <v>83</v>
      </c>
      <c r="F1079" s="6" t="s">
        <v>101</v>
      </c>
      <c r="G1079" s="6" t="s">
        <v>299</v>
      </c>
      <c r="H1079" s="6" t="s">
        <v>427</v>
      </c>
      <c r="I1079" s="6" t="s">
        <v>428</v>
      </c>
      <c r="J1079" s="6" t="str">
        <f>IF(E1079="KTG","KTG",(VLOOKUP(I1079,'[1]list of outsource'!B:H,2,0)))</f>
        <v>UPM</v>
      </c>
      <c r="K1079" s="6" t="s">
        <v>429</v>
      </c>
      <c r="L1079" s="24">
        <v>25</v>
      </c>
      <c r="M1079" s="6" t="s">
        <v>3286</v>
      </c>
      <c r="N1079" s="6" t="s">
        <v>3287</v>
      </c>
      <c r="O1079" s="6" t="s">
        <v>3288</v>
      </c>
      <c r="P1079" s="6"/>
      <c r="Q1079" s="8">
        <v>45974</v>
      </c>
      <c r="R1079" s="6"/>
      <c r="S1079" s="18"/>
      <c r="T1079" s="6"/>
      <c r="U1079" s="6">
        <v>3</v>
      </c>
      <c r="V1079" s="6" t="s">
        <v>665</v>
      </c>
      <c r="W1079" s="6" t="s">
        <v>37</v>
      </c>
      <c r="X1079" s="7">
        <v>45988</v>
      </c>
      <c r="Y1079" s="7">
        <v>45994</v>
      </c>
      <c r="AC1079" t="e">
        <v>#N/A</v>
      </c>
      <c r="AE1079" t="str">
        <f t="shared" si="119"/>
        <v>P001195</v>
      </c>
      <c r="AF1079" t="str">
        <f>_xlfn.XLOOKUP(AE1079, Hoja2!A:A, Hoja2!A:A)</f>
        <v>P001195</v>
      </c>
      <c r="AG1079" t="str">
        <f t="shared" si="122"/>
        <v>PP00027-0040</v>
      </c>
      <c r="AH1079">
        <f>_xlfn.XLOOKUP(AG1079, Hoja3!A:A, Hoja3!B:B)</f>
        <v>5575</v>
      </c>
      <c r="AI1079" t="str">
        <f>_xlfn.XLOOKUP(AH1079, Hoja4!A:A, Hoja4!B:B)</f>
        <v>GP089281</v>
      </c>
      <c r="AJ1079" t="b">
        <f t="shared" si="123"/>
        <v>1</v>
      </c>
    </row>
    <row r="1080" spans="1:36" ht="15.5" customHeight="1" x14ac:dyDescent="0.35">
      <c r="A1080">
        <f t="shared" ca="1" si="118"/>
        <v>29</v>
      </c>
      <c r="B1080" s="17" t="s">
        <v>670</v>
      </c>
      <c r="C1080" s="7">
        <v>45959</v>
      </c>
      <c r="D1080" s="6" t="s">
        <v>564</v>
      </c>
      <c r="E1080" s="6" t="s">
        <v>83</v>
      </c>
      <c r="F1080" s="6" t="s">
        <v>101</v>
      </c>
      <c r="G1080" s="6" t="s">
        <v>299</v>
      </c>
      <c r="H1080" s="6" t="s">
        <v>671</v>
      </c>
      <c r="I1080" s="6" t="s">
        <v>158</v>
      </c>
      <c r="J1080" s="6" t="str">
        <f>IF(E1080="KTG","KTG",(VLOOKUP(I1080,'[1]list of outsource'!B:H,2,0)))</f>
        <v>UPM</v>
      </c>
      <c r="K1080" s="6" t="s">
        <v>159</v>
      </c>
      <c r="L1080" s="24">
        <v>47</v>
      </c>
      <c r="M1080" s="6" t="s">
        <v>3289</v>
      </c>
      <c r="N1080" s="6" t="s">
        <v>3290</v>
      </c>
      <c r="O1080" s="6" t="s">
        <v>3291</v>
      </c>
      <c r="P1080" s="6"/>
      <c r="Q1080" s="8">
        <v>45974</v>
      </c>
      <c r="R1080" s="6"/>
      <c r="S1080" s="18"/>
      <c r="T1080" s="6"/>
      <c r="U1080" s="6">
        <v>3</v>
      </c>
      <c r="V1080" s="6" t="s">
        <v>665</v>
      </c>
      <c r="W1080" s="6" t="s">
        <v>37</v>
      </c>
      <c r="X1080" s="7">
        <v>45988</v>
      </c>
      <c r="Y1080" s="7">
        <v>45994</v>
      </c>
      <c r="AC1080" t="e">
        <v>#N/A</v>
      </c>
      <c r="AE1080" t="str">
        <f t="shared" si="119"/>
        <v>P001197</v>
      </c>
      <c r="AF1080" t="str">
        <f>_xlfn.XLOOKUP(AE1080, Hoja2!A:A, Hoja2!A:A)</f>
        <v>P001197</v>
      </c>
      <c r="AG1080" t="str">
        <f t="shared" si="122"/>
        <v>PP00027-0016</v>
      </c>
      <c r="AH1080">
        <f>_xlfn.XLOOKUP(AG1080, Hoja3!A:A, Hoja3!B:B)</f>
        <v>4577</v>
      </c>
      <c r="AI1080" t="str">
        <f>_xlfn.XLOOKUP(AH1080, Hoja4!A:A, Hoja4!B:B)</f>
        <v>GP089416</v>
      </c>
      <c r="AJ1080" t="b">
        <f t="shared" si="123"/>
        <v>1</v>
      </c>
    </row>
    <row r="1081" spans="1:36" ht="15.5" customHeight="1" x14ac:dyDescent="0.35">
      <c r="A1081">
        <f t="shared" ca="1" si="118"/>
        <v>29</v>
      </c>
      <c r="B1081" s="17" t="s">
        <v>3292</v>
      </c>
      <c r="C1081" s="7">
        <v>45959</v>
      </c>
      <c r="D1081" s="6" t="s">
        <v>564</v>
      </c>
      <c r="E1081" s="6" t="s">
        <v>83</v>
      </c>
      <c r="F1081" s="6" t="s">
        <v>101</v>
      </c>
      <c r="G1081" s="6" t="s">
        <v>299</v>
      </c>
      <c r="H1081" s="6" t="s">
        <v>820</v>
      </c>
      <c r="I1081" s="6" t="s">
        <v>158</v>
      </c>
      <c r="J1081" s="6" t="str">
        <f>IF(E1081="KTG","KTG",(VLOOKUP(I1081,'[1]list of outsource'!B:H,2,0)))</f>
        <v>UPM</v>
      </c>
      <c r="K1081" s="6" t="s">
        <v>159</v>
      </c>
      <c r="L1081" s="24">
        <v>47</v>
      </c>
      <c r="M1081" s="6" t="s">
        <v>3293</v>
      </c>
      <c r="N1081" s="6" t="s">
        <v>3294</v>
      </c>
      <c r="O1081" s="6" t="s">
        <v>3295</v>
      </c>
      <c r="P1081" s="6"/>
      <c r="Q1081" s="8">
        <v>45974</v>
      </c>
      <c r="R1081" s="6"/>
      <c r="S1081" s="18"/>
      <c r="T1081" s="6"/>
      <c r="U1081" s="6">
        <v>3</v>
      </c>
      <c r="V1081" s="6" t="s">
        <v>665</v>
      </c>
      <c r="W1081" s="6" t="s">
        <v>37</v>
      </c>
      <c r="X1081" s="7">
        <v>45988</v>
      </c>
      <c r="Y1081" s="7">
        <v>45994</v>
      </c>
      <c r="AC1081"/>
      <c r="AE1081" t="str">
        <f t="shared" si="119"/>
        <v>P001128</v>
      </c>
      <c r="AF1081" t="str">
        <f>_xlfn.XLOOKUP(AE1081, Hoja2!A:A, Hoja2!A:A)</f>
        <v>P001128</v>
      </c>
      <c r="AG1081" t="str">
        <f t="shared" si="122"/>
        <v>PP00027-0012</v>
      </c>
      <c r="AH1081">
        <f>_xlfn.XLOOKUP(AG1081, Hoja3!A:A, Hoja3!B:B)</f>
        <v>5569</v>
      </c>
      <c r="AI1081" t="str">
        <f>_xlfn.XLOOKUP(AH1081, Hoja4!A:A, Hoja4!B:B)</f>
        <v>GP090353</v>
      </c>
      <c r="AJ1081" t="b">
        <f t="shared" si="123"/>
        <v>1</v>
      </c>
    </row>
    <row r="1082" spans="1:36" ht="15.5" customHeight="1" x14ac:dyDescent="0.35">
      <c r="A1082">
        <f t="shared" ca="1" si="118"/>
        <v>29</v>
      </c>
      <c r="B1082" s="17" t="s">
        <v>3296</v>
      </c>
      <c r="C1082" s="7">
        <v>45959</v>
      </c>
      <c r="D1082" s="6" t="s">
        <v>564</v>
      </c>
      <c r="E1082" s="6" t="s">
        <v>83</v>
      </c>
      <c r="F1082" s="6" t="s">
        <v>101</v>
      </c>
      <c r="G1082" s="6" t="s">
        <v>299</v>
      </c>
      <c r="H1082" s="6" t="s">
        <v>541</v>
      </c>
      <c r="I1082" s="6" t="s">
        <v>133</v>
      </c>
      <c r="J1082" s="6" t="str">
        <f>IF(E1082="KTG","KTG",(VLOOKUP(I1082,'[1]list of outsource'!B:H,2,0)))</f>
        <v>UPM</v>
      </c>
      <c r="K1082" s="6" t="s">
        <v>301</v>
      </c>
      <c r="L1082" s="24">
        <v>28</v>
      </c>
      <c r="M1082" s="6" t="s">
        <v>3297</v>
      </c>
      <c r="N1082" s="6" t="s">
        <v>3298</v>
      </c>
      <c r="O1082" s="6" t="s">
        <v>3299</v>
      </c>
      <c r="P1082" s="6"/>
      <c r="Q1082" s="8">
        <v>45974</v>
      </c>
      <c r="R1082" s="6"/>
      <c r="S1082" s="18"/>
      <c r="T1082" s="6"/>
      <c r="U1082" s="6">
        <v>3</v>
      </c>
      <c r="V1082" s="6" t="s">
        <v>665</v>
      </c>
      <c r="W1082" s="6" t="s">
        <v>37</v>
      </c>
      <c r="X1082" s="7">
        <v>45988</v>
      </c>
      <c r="Y1082" s="7">
        <v>45994</v>
      </c>
      <c r="AC1082"/>
      <c r="AE1082" t="str">
        <f t="shared" si="119"/>
        <v>P001129</v>
      </c>
      <c r="AF1082" t="str">
        <f>_xlfn.XLOOKUP(AE1082, Hoja2!A:A, Hoja2!A:A)</f>
        <v>P001129</v>
      </c>
      <c r="AG1082" t="str">
        <f t="shared" si="122"/>
        <v>PP00027-0002</v>
      </c>
      <c r="AH1082">
        <f>_xlfn.XLOOKUP(AG1082, Hoja3!A:A, Hoja3!B:B)</f>
        <v>5567</v>
      </c>
      <c r="AI1082" t="str">
        <f>_xlfn.XLOOKUP(AH1082, Hoja4!A:A, Hoja4!B:B)</f>
        <v>GP090357</v>
      </c>
      <c r="AJ1082" t="b">
        <f t="shared" si="123"/>
        <v>1</v>
      </c>
    </row>
    <row r="1083" spans="1:36" ht="15.5" customHeight="1" x14ac:dyDescent="0.35">
      <c r="A1083">
        <f t="shared" ca="1" si="118"/>
        <v>29</v>
      </c>
      <c r="B1083" s="17" t="s">
        <v>3300</v>
      </c>
      <c r="C1083" s="7">
        <v>45959</v>
      </c>
      <c r="D1083" s="6" t="s">
        <v>564</v>
      </c>
      <c r="E1083" s="6" t="s">
        <v>83</v>
      </c>
      <c r="F1083" s="6" t="s">
        <v>101</v>
      </c>
      <c r="G1083" s="6" t="s">
        <v>299</v>
      </c>
      <c r="H1083" s="6" t="s">
        <v>549</v>
      </c>
      <c r="I1083" s="6" t="s">
        <v>133</v>
      </c>
      <c r="J1083" s="6" t="str">
        <f>IF(E1083="KTG","KTG",(VLOOKUP(I1083,'[1]list of outsource'!B:H,2,0)))</f>
        <v>UPM</v>
      </c>
      <c r="K1083" s="6" t="s">
        <v>301</v>
      </c>
      <c r="L1083" s="24">
        <v>28</v>
      </c>
      <c r="M1083" s="6" t="s">
        <v>3301</v>
      </c>
      <c r="N1083" s="6" t="s">
        <v>3302</v>
      </c>
      <c r="O1083" s="6" t="s">
        <v>3303</v>
      </c>
      <c r="P1083" s="6"/>
      <c r="Q1083" s="8">
        <v>45974</v>
      </c>
      <c r="R1083" s="6"/>
      <c r="S1083" s="18"/>
      <c r="T1083" s="6"/>
      <c r="U1083" s="6">
        <v>3</v>
      </c>
      <c r="V1083" s="6" t="s">
        <v>665</v>
      </c>
      <c r="W1083" s="6" t="s">
        <v>37</v>
      </c>
      <c r="X1083" s="7">
        <v>45988</v>
      </c>
      <c r="Y1083" s="7">
        <v>45994</v>
      </c>
      <c r="AC1083"/>
      <c r="AE1083" t="str">
        <f t="shared" si="119"/>
        <v>P001130</v>
      </c>
      <c r="AF1083" t="str">
        <f>_xlfn.XLOOKUP(AE1083, Hoja2!A:A, Hoja2!A:A)</f>
        <v>P001130</v>
      </c>
      <c r="AG1083" t="str">
        <f t="shared" si="122"/>
        <v>PP00027-0015</v>
      </c>
      <c r="AH1083">
        <f>_xlfn.XLOOKUP(AG1083, Hoja3!A:A, Hoja3!B:B)</f>
        <v>5570</v>
      </c>
      <c r="AI1083" t="str">
        <f>_xlfn.XLOOKUP(AH1083, Hoja4!A:A, Hoja4!B:B)</f>
        <v>GP092563</v>
      </c>
      <c r="AJ1083" t="b">
        <f t="shared" si="123"/>
        <v>1</v>
      </c>
    </row>
    <row r="1084" spans="1:36" ht="15.5" customHeight="1" x14ac:dyDescent="0.35">
      <c r="A1084">
        <f t="shared" ca="1" si="118"/>
        <v>29</v>
      </c>
      <c r="B1084" s="17" t="s">
        <v>3304</v>
      </c>
      <c r="C1084" s="7">
        <v>45959</v>
      </c>
      <c r="D1084" s="6" t="s">
        <v>564</v>
      </c>
      <c r="E1084" s="6" t="s">
        <v>83</v>
      </c>
      <c r="F1084" s="6" t="s">
        <v>101</v>
      </c>
      <c r="G1084" s="6" t="s">
        <v>299</v>
      </c>
      <c r="H1084" s="6" t="s">
        <v>889</v>
      </c>
      <c r="I1084" s="6" t="s">
        <v>158</v>
      </c>
      <c r="J1084" s="6" t="str">
        <f>IF(E1084="KTG","KTG",(VLOOKUP(I1084,'[1]list of outsource'!B:H,2,0)))</f>
        <v>UPM</v>
      </c>
      <c r="K1084" s="6" t="s">
        <v>159</v>
      </c>
      <c r="L1084" s="24">
        <v>47</v>
      </c>
      <c r="M1084" s="6" t="s">
        <v>3305</v>
      </c>
      <c r="N1084" s="6" t="s">
        <v>3306</v>
      </c>
      <c r="O1084" s="6" t="s">
        <v>3307</v>
      </c>
      <c r="P1084" s="6"/>
      <c r="Q1084" s="8">
        <v>45974</v>
      </c>
      <c r="R1084" s="6"/>
      <c r="S1084" s="18"/>
      <c r="T1084" s="6"/>
      <c r="U1084" s="6">
        <v>3</v>
      </c>
      <c r="V1084" s="6" t="s">
        <v>665</v>
      </c>
      <c r="W1084" s="6" t="s">
        <v>37</v>
      </c>
      <c r="X1084" s="7">
        <v>45988</v>
      </c>
      <c r="Y1084" s="7">
        <v>45994</v>
      </c>
      <c r="AC1084"/>
      <c r="AE1084" t="str">
        <f t="shared" si="119"/>
        <v>P000935</v>
      </c>
      <c r="AF1084" t="str">
        <f>_xlfn.XLOOKUP(AE1084, Hoja2!A:A, Hoja2!A:A)</f>
        <v>P000935</v>
      </c>
      <c r="AG1084" t="str">
        <f t="shared" si="122"/>
        <v>PP00027-0018</v>
      </c>
      <c r="AH1084">
        <f>_xlfn.XLOOKUP(AG1084, Hoja3!A:A, Hoja3!B:B)</f>
        <v>5572</v>
      </c>
      <c r="AI1084" t="str">
        <f>_xlfn.XLOOKUP(AH1084, Hoja4!A:A, Hoja4!B:B)</f>
        <v>GP092724</v>
      </c>
      <c r="AJ1084" t="b">
        <f t="shared" si="123"/>
        <v>1</v>
      </c>
    </row>
    <row r="1085" spans="1:36" ht="15.5" customHeight="1" x14ac:dyDescent="0.35">
      <c r="A1085">
        <f t="shared" ca="1" si="118"/>
        <v>29</v>
      </c>
      <c r="B1085" s="17" t="s">
        <v>3308</v>
      </c>
      <c r="C1085" s="7">
        <v>45959</v>
      </c>
      <c r="D1085" s="6" t="s">
        <v>564</v>
      </c>
      <c r="E1085" s="6" t="s">
        <v>83</v>
      </c>
      <c r="F1085" s="6" t="s">
        <v>101</v>
      </c>
      <c r="G1085" s="6" t="s">
        <v>299</v>
      </c>
      <c r="H1085" s="6" t="s">
        <v>748</v>
      </c>
      <c r="I1085" s="6" t="s">
        <v>133</v>
      </c>
      <c r="J1085" s="6" t="str">
        <f>IF(E1085="KTG","KTG",(VLOOKUP(I1085,'[1]list of outsource'!B:H,2,0)))</f>
        <v>UPM</v>
      </c>
      <c r="K1085" s="6" t="s">
        <v>301</v>
      </c>
      <c r="L1085" s="24">
        <v>28</v>
      </c>
      <c r="M1085" s="6" t="s">
        <v>3309</v>
      </c>
      <c r="N1085" s="6" t="s">
        <v>3310</v>
      </c>
      <c r="O1085" s="6" t="s">
        <v>3311</v>
      </c>
      <c r="P1085" s="6"/>
      <c r="Q1085" s="8">
        <v>45974</v>
      </c>
      <c r="R1085" s="6"/>
      <c r="S1085" s="18"/>
      <c r="T1085" s="6"/>
      <c r="U1085" s="6">
        <v>3</v>
      </c>
      <c r="V1085" s="6" t="s">
        <v>665</v>
      </c>
      <c r="W1085" s="6" t="s">
        <v>37</v>
      </c>
      <c r="X1085" s="7">
        <v>45988</v>
      </c>
      <c r="Y1085" s="7">
        <v>45994</v>
      </c>
      <c r="AC1085"/>
      <c r="AE1085" t="str">
        <f t="shared" si="119"/>
        <v>P001131</v>
      </c>
      <c r="AF1085" t="str">
        <f>_xlfn.XLOOKUP(AE1085, Hoja2!A:A, Hoja2!A:A)</f>
        <v>P001131</v>
      </c>
      <c r="AG1085" t="str">
        <f t="shared" si="122"/>
        <v>PP00027-0009</v>
      </c>
      <c r="AH1085">
        <f>_xlfn.XLOOKUP(AG1085, Hoja3!A:A, Hoja3!B:B)</f>
        <v>5568</v>
      </c>
      <c r="AI1085" t="str">
        <f>_xlfn.XLOOKUP(AH1085, Hoja4!A:A, Hoja4!B:B)</f>
        <v>GP096745</v>
      </c>
      <c r="AJ1085" t="b">
        <f t="shared" si="123"/>
        <v>1</v>
      </c>
    </row>
    <row r="1086" spans="1:36" ht="15.5" customHeight="1" x14ac:dyDescent="0.35">
      <c r="A1086">
        <f t="shared" ca="1" si="118"/>
        <v>5</v>
      </c>
      <c r="B1086" s="6" t="s">
        <v>3312</v>
      </c>
      <c r="C1086" s="7">
        <v>45960</v>
      </c>
      <c r="D1086" s="6" t="s">
        <v>564</v>
      </c>
      <c r="E1086" s="6" t="s">
        <v>139</v>
      </c>
      <c r="F1086" s="6" t="s">
        <v>933</v>
      </c>
      <c r="G1086" s="6" t="s">
        <v>32</v>
      </c>
      <c r="H1086" s="6">
        <v>35738194</v>
      </c>
      <c r="I1086" s="6" t="s">
        <v>208</v>
      </c>
      <c r="J1086" s="6" t="str">
        <f>IF(E1086="KTG","KTG",(VLOOKUP(I1086,'[1]list of outsource'!B:H,2,0)))</f>
        <v>ETC</v>
      </c>
      <c r="K1086" s="6" t="s">
        <v>209</v>
      </c>
      <c r="L1086" s="6" t="s">
        <v>1488</v>
      </c>
      <c r="M1086" s="6" t="s">
        <v>336</v>
      </c>
      <c r="N1086" s="6" t="s">
        <v>3313</v>
      </c>
      <c r="O1086" s="6" t="s">
        <v>3314</v>
      </c>
      <c r="P1086" s="6"/>
      <c r="Q1086" s="8" t="s">
        <v>575</v>
      </c>
      <c r="R1086" s="6" t="s">
        <v>575</v>
      </c>
      <c r="S1086" s="6" t="s">
        <v>575</v>
      </c>
      <c r="T1086" s="6" t="s">
        <v>575</v>
      </c>
      <c r="U1086" s="6">
        <v>4</v>
      </c>
      <c r="V1086" s="6" t="s">
        <v>919</v>
      </c>
      <c r="W1086" s="6" t="s">
        <v>37</v>
      </c>
      <c r="X1086" s="7">
        <v>45965</v>
      </c>
      <c r="Y1086" s="7">
        <v>45966</v>
      </c>
      <c r="AB1086" t="e">
        <v>#N/A</v>
      </c>
      <c r="AC1086"/>
      <c r="AE1086" t="str">
        <f t="shared" si="119"/>
        <v>P000164</v>
      </c>
      <c r="AF1086" t="str">
        <f>_xlfn.XLOOKUP(AE1086, Hoja2!A:A, Hoja2!A:A)</f>
        <v>P000164</v>
      </c>
      <c r="AG1086" t="str">
        <f t="shared" si="122"/>
        <v>PP00042-0014</v>
      </c>
      <c r="AH1086">
        <f>_xlfn.XLOOKUP(AG1086, Hoja3!A:A, Hoja3!B:B)</f>
        <v>5141</v>
      </c>
      <c r="AI1086">
        <f>_xlfn.XLOOKUP(AH1086, Hoja4!A:A, Hoja4!B:B)</f>
        <v>35738194</v>
      </c>
      <c r="AJ1086" t="b">
        <f t="shared" si="123"/>
        <v>1</v>
      </c>
    </row>
    <row r="1087" spans="1:36" ht="15.5" customHeight="1" x14ac:dyDescent="0.35">
      <c r="A1087">
        <f t="shared" ca="1" si="118"/>
        <v>36</v>
      </c>
      <c r="B1087" s="12" t="s">
        <v>3315</v>
      </c>
      <c r="C1087" s="13">
        <v>45964</v>
      </c>
      <c r="D1087" s="14" t="s">
        <v>121</v>
      </c>
      <c r="E1087" s="14" t="s">
        <v>139</v>
      </c>
      <c r="F1087" s="14" t="s">
        <v>1857</v>
      </c>
      <c r="G1087" s="14" t="s">
        <v>32</v>
      </c>
      <c r="H1087" s="14">
        <v>92063</v>
      </c>
      <c r="I1087" s="14" t="s">
        <v>1858</v>
      </c>
      <c r="J1087" s="14" t="str">
        <f>IF(E1087="KTG","KTG",(VLOOKUP(I1087,'[1]list of outsource'!B:H,2,0)))</f>
        <v xml:space="preserve">Huapeng </v>
      </c>
      <c r="K1087" s="14" t="s">
        <v>1859</v>
      </c>
      <c r="L1087" s="14">
        <v>5</v>
      </c>
      <c r="M1087" s="14" t="s">
        <v>3316</v>
      </c>
      <c r="N1087" s="14" t="s">
        <v>3317</v>
      </c>
      <c r="O1087" s="14" t="s">
        <v>3318</v>
      </c>
      <c r="P1087" s="14"/>
      <c r="Q1087" s="15"/>
      <c r="R1087" s="14"/>
      <c r="S1087" s="16"/>
      <c r="T1087" s="14"/>
      <c r="U1087" s="14">
        <v>3</v>
      </c>
      <c r="V1087" s="14" t="s">
        <v>879</v>
      </c>
      <c r="W1087" s="14" t="s">
        <v>37</v>
      </c>
      <c r="X1087" s="13">
        <v>46000</v>
      </c>
      <c r="Y1087" s="13"/>
      <c r="AC1087"/>
      <c r="AE1087" t="str">
        <f t="shared" si="119"/>
        <v>P001216</v>
      </c>
      <c r="AF1087" t="str">
        <f>_xlfn.XLOOKUP(AE1087, Hoja2!A:A, Hoja2!A:A)</f>
        <v>P001216</v>
      </c>
      <c r="AG1087" t="str">
        <f t="shared" si="122"/>
        <v>PP00056-0008</v>
      </c>
      <c r="AH1087">
        <f>_xlfn.XLOOKUP(AG1087, Hoja3!A:A, Hoja3!B:B)</f>
        <v>5581</v>
      </c>
      <c r="AI1087">
        <f>_xlfn.XLOOKUP(AH1087, Hoja4!A:A, Hoja4!B:B)</f>
        <v>92063</v>
      </c>
      <c r="AJ1087" t="b">
        <f t="shared" si="123"/>
        <v>1</v>
      </c>
    </row>
    <row r="1088" spans="1:36" ht="15.5" customHeight="1" x14ac:dyDescent="0.35">
      <c r="A1088">
        <f t="shared" ca="1" si="118"/>
        <v>36</v>
      </c>
      <c r="B1088" s="12" t="s">
        <v>3319</v>
      </c>
      <c r="C1088" s="13">
        <v>45964</v>
      </c>
      <c r="D1088" s="14" t="s">
        <v>121</v>
      </c>
      <c r="E1088" s="14" t="s">
        <v>139</v>
      </c>
      <c r="F1088" s="14" t="s">
        <v>1857</v>
      </c>
      <c r="G1088" s="14" t="s">
        <v>32</v>
      </c>
      <c r="H1088" s="14">
        <v>92065</v>
      </c>
      <c r="I1088" s="14" t="s">
        <v>1858</v>
      </c>
      <c r="J1088" s="14" t="str">
        <f>IF(E1088="KTG","KTG",(VLOOKUP(I1088,'[1]list of outsource'!B:H,2,0)))</f>
        <v xml:space="preserve">Huapeng </v>
      </c>
      <c r="K1088" s="14" t="s">
        <v>1859</v>
      </c>
      <c r="L1088" s="14">
        <v>5</v>
      </c>
      <c r="M1088" s="14" t="s">
        <v>3320</v>
      </c>
      <c r="N1088" s="14" t="s">
        <v>3321</v>
      </c>
      <c r="O1088" s="14" t="s">
        <v>3322</v>
      </c>
      <c r="P1088" s="14"/>
      <c r="Q1088" s="15"/>
      <c r="R1088" s="14"/>
      <c r="S1088" s="16"/>
      <c r="T1088" s="14"/>
      <c r="U1088" s="14">
        <v>3</v>
      </c>
      <c r="V1088" s="14" t="s">
        <v>879</v>
      </c>
      <c r="W1088" s="14" t="s">
        <v>37</v>
      </c>
      <c r="X1088" s="13">
        <v>46000</v>
      </c>
      <c r="Y1088" s="13"/>
      <c r="AC1088" t="e">
        <v>#N/A</v>
      </c>
      <c r="AE1088" t="str">
        <f t="shared" si="119"/>
        <v>P001217</v>
      </c>
      <c r="AF1088" t="str">
        <f>_xlfn.XLOOKUP(AE1088, Hoja2!A:A, Hoja2!A:A)</f>
        <v>P001217</v>
      </c>
      <c r="AG1088" t="str">
        <f t="shared" si="122"/>
        <v>PP00056-0009</v>
      </c>
      <c r="AH1088">
        <f>_xlfn.XLOOKUP(AG1088, Hoja3!A:A, Hoja3!B:B)</f>
        <v>5582</v>
      </c>
      <c r="AI1088">
        <f>_xlfn.XLOOKUP(AH1088, Hoja4!A:A, Hoja4!B:B)</f>
        <v>92065</v>
      </c>
      <c r="AJ1088" t="b">
        <f t="shared" si="123"/>
        <v>1</v>
      </c>
    </row>
    <row r="1089" spans="1:36" ht="15.5" customHeight="1" x14ac:dyDescent="0.35">
      <c r="A1089">
        <f t="shared" ca="1" si="118"/>
        <v>36</v>
      </c>
      <c r="B1089" s="12" t="s">
        <v>3323</v>
      </c>
      <c r="C1089" s="13">
        <v>45964</v>
      </c>
      <c r="D1089" s="14" t="s">
        <v>121</v>
      </c>
      <c r="E1089" s="14" t="s">
        <v>139</v>
      </c>
      <c r="F1089" s="14" t="s">
        <v>1857</v>
      </c>
      <c r="G1089" s="14" t="s">
        <v>32</v>
      </c>
      <c r="H1089" s="14">
        <v>92067</v>
      </c>
      <c r="I1089" s="14" t="s">
        <v>1858</v>
      </c>
      <c r="J1089" s="14" t="str">
        <f>IF(E1089="KTG","KTG",(VLOOKUP(I1089,'[1]list of outsource'!B:H,2,0)))</f>
        <v xml:space="preserve">Huapeng </v>
      </c>
      <c r="K1089" s="14" t="s">
        <v>1859</v>
      </c>
      <c r="L1089" s="14">
        <v>5</v>
      </c>
      <c r="M1089" s="14" t="s">
        <v>3324</v>
      </c>
      <c r="N1089" s="14" t="s">
        <v>3325</v>
      </c>
      <c r="O1089" s="14" t="s">
        <v>3326</v>
      </c>
      <c r="P1089" s="14"/>
      <c r="Q1089" s="15"/>
      <c r="R1089" s="14"/>
      <c r="S1089" s="16"/>
      <c r="T1089" s="14"/>
      <c r="U1089" s="14">
        <v>3</v>
      </c>
      <c r="V1089" s="14" t="s">
        <v>879</v>
      </c>
      <c r="W1089" s="14" t="s">
        <v>37</v>
      </c>
      <c r="X1089" s="13">
        <v>46000</v>
      </c>
      <c r="Y1089" s="13"/>
      <c r="AC1089"/>
      <c r="AE1089" t="str">
        <f t="shared" si="119"/>
        <v>P001218</v>
      </c>
      <c r="AF1089" t="str">
        <f>_xlfn.XLOOKUP(AE1089, Hoja2!A:A, Hoja2!A:A)</f>
        <v>P001218</v>
      </c>
      <c r="AG1089" t="str">
        <f t="shared" si="122"/>
        <v>PP00056-0010</v>
      </c>
      <c r="AH1089">
        <f>_xlfn.XLOOKUP(AG1089, Hoja3!A:A, Hoja3!B:B)</f>
        <v>5583</v>
      </c>
      <c r="AI1089">
        <f>_xlfn.XLOOKUP(AH1089, Hoja4!A:A, Hoja4!B:B)</f>
        <v>92067</v>
      </c>
      <c r="AJ1089" t="b">
        <f t="shared" si="123"/>
        <v>1</v>
      </c>
    </row>
    <row r="1090" spans="1:36" ht="15.5" customHeight="1" x14ac:dyDescent="0.35">
      <c r="A1090">
        <f t="shared" ref="A1090:A1128" ca="1" si="124">IF(X1090="",(TODAY()-C1090),(X1090-C1090))</f>
        <v>36</v>
      </c>
      <c r="B1090" s="12" t="s">
        <v>3327</v>
      </c>
      <c r="C1090" s="13">
        <v>45964</v>
      </c>
      <c r="D1090" s="14" t="s">
        <v>121</v>
      </c>
      <c r="E1090" s="14" t="s">
        <v>139</v>
      </c>
      <c r="F1090" s="14" t="s">
        <v>1857</v>
      </c>
      <c r="G1090" s="14" t="s">
        <v>32</v>
      </c>
      <c r="H1090" s="14">
        <v>92068</v>
      </c>
      <c r="I1090" s="14" t="s">
        <v>1858</v>
      </c>
      <c r="J1090" s="14" t="str">
        <f>IF(E1090="KTG","KTG",(VLOOKUP(I1090,'[1]list of outsource'!B:H,2,0)))</f>
        <v xml:space="preserve">Huapeng </v>
      </c>
      <c r="K1090" s="14" t="s">
        <v>1859</v>
      </c>
      <c r="L1090" s="14">
        <v>5</v>
      </c>
      <c r="M1090" s="14" t="s">
        <v>3328</v>
      </c>
      <c r="N1090" s="14" t="s">
        <v>3329</v>
      </c>
      <c r="O1090" s="14" t="s">
        <v>3330</v>
      </c>
      <c r="P1090" s="14"/>
      <c r="Q1090" s="15"/>
      <c r="R1090" s="14"/>
      <c r="S1090" s="16"/>
      <c r="T1090" s="14"/>
      <c r="U1090" s="14">
        <v>3</v>
      </c>
      <c r="V1090" s="14" t="s">
        <v>879</v>
      </c>
      <c r="W1090" s="14" t="s">
        <v>37</v>
      </c>
      <c r="X1090" s="13">
        <v>46000</v>
      </c>
      <c r="Y1090" s="13"/>
      <c r="AC1090"/>
      <c r="AE1090" t="str">
        <f t="shared" si="119"/>
        <v>P001219</v>
      </c>
      <c r="AF1090" t="str">
        <f>_xlfn.XLOOKUP(AE1090, Hoja2!A:A, Hoja2!A:A)</f>
        <v>P001219</v>
      </c>
      <c r="AG1090" t="str">
        <f t="shared" si="122"/>
        <v>PP00056-0011</v>
      </c>
      <c r="AH1090">
        <f>_xlfn.XLOOKUP(AG1090, Hoja3!A:A, Hoja3!B:B)</f>
        <v>5584</v>
      </c>
      <c r="AI1090">
        <f>_xlfn.XLOOKUP(AH1090, Hoja4!A:A, Hoja4!B:B)</f>
        <v>92068</v>
      </c>
      <c r="AJ1090" t="b">
        <f t="shared" si="123"/>
        <v>1</v>
      </c>
    </row>
    <row r="1091" spans="1:36" ht="15.5" customHeight="1" x14ac:dyDescent="0.35">
      <c r="A1091">
        <f t="shared" ca="1" si="124"/>
        <v>36</v>
      </c>
      <c r="B1091" s="12" t="s">
        <v>3331</v>
      </c>
      <c r="C1091" s="13">
        <v>45964</v>
      </c>
      <c r="D1091" s="14" t="s">
        <v>121</v>
      </c>
      <c r="E1091" s="14" t="s">
        <v>139</v>
      </c>
      <c r="F1091" s="14" t="s">
        <v>1857</v>
      </c>
      <c r="G1091" s="14" t="s">
        <v>32</v>
      </c>
      <c r="H1091" s="14">
        <v>92069</v>
      </c>
      <c r="I1091" s="14" t="s">
        <v>1858</v>
      </c>
      <c r="J1091" s="14" t="str">
        <f>IF(E1091="KTG","KTG",(VLOOKUP(I1091,'[1]list of outsource'!B:H,2,0)))</f>
        <v xml:space="preserve">Huapeng </v>
      </c>
      <c r="K1091" s="14" t="s">
        <v>1859</v>
      </c>
      <c r="L1091" s="14">
        <v>5</v>
      </c>
      <c r="M1091" s="14" t="s">
        <v>3332</v>
      </c>
      <c r="N1091" s="14" t="s">
        <v>3333</v>
      </c>
      <c r="O1091" s="14" t="s">
        <v>3334</v>
      </c>
      <c r="P1091" s="14"/>
      <c r="Q1091" s="15"/>
      <c r="R1091" s="14"/>
      <c r="S1091" s="16"/>
      <c r="T1091" s="14"/>
      <c r="U1091" s="14">
        <v>3</v>
      </c>
      <c r="V1091" s="14" t="s">
        <v>879</v>
      </c>
      <c r="W1091" s="14" t="s">
        <v>37</v>
      </c>
      <c r="X1091" s="13">
        <v>46000</v>
      </c>
      <c r="Y1091" s="13"/>
      <c r="AC1091"/>
      <c r="AE1091" t="str">
        <f t="shared" ref="AE1091:AE1128" si="125">LEFT(M1091, FIND(" ", M1091 &amp; " ") - 1)</f>
        <v>P001220</v>
      </c>
      <c r="AF1091" t="str">
        <f>_xlfn.XLOOKUP(AE1091, Hoja2!A:A, Hoja2!A:A)</f>
        <v>P001220</v>
      </c>
      <c r="AG1091" t="str">
        <f t="shared" si="122"/>
        <v>PP00056-0012</v>
      </c>
      <c r="AH1091">
        <f>_xlfn.XLOOKUP(AG1091, Hoja3!A:A, Hoja3!B:B)</f>
        <v>5585</v>
      </c>
      <c r="AI1091">
        <f>_xlfn.XLOOKUP(AH1091, Hoja4!A:A, Hoja4!B:B)</f>
        <v>92069</v>
      </c>
      <c r="AJ1091" t="b">
        <f t="shared" si="123"/>
        <v>1</v>
      </c>
    </row>
    <row r="1092" spans="1:36" ht="15.5" customHeight="1" x14ac:dyDescent="0.35">
      <c r="A1092">
        <f t="shared" ca="1" si="124"/>
        <v>36</v>
      </c>
      <c r="B1092" s="12" t="s">
        <v>3335</v>
      </c>
      <c r="C1092" s="13">
        <v>45964</v>
      </c>
      <c r="D1092" s="14" t="s">
        <v>121</v>
      </c>
      <c r="E1092" s="14" t="s">
        <v>139</v>
      </c>
      <c r="F1092" s="14" t="s">
        <v>1857</v>
      </c>
      <c r="G1092" s="14" t="s">
        <v>32</v>
      </c>
      <c r="H1092" s="14">
        <v>92072</v>
      </c>
      <c r="I1092" s="14" t="s">
        <v>1858</v>
      </c>
      <c r="J1092" s="14" t="str">
        <f>IF(E1092="KTG","KTG",(VLOOKUP(I1092,'[1]list of outsource'!B:H,2,0)))</f>
        <v xml:space="preserve">Huapeng </v>
      </c>
      <c r="K1092" s="14" t="s">
        <v>1859</v>
      </c>
      <c r="L1092" s="14">
        <v>5</v>
      </c>
      <c r="M1092" s="14" t="s">
        <v>3336</v>
      </c>
      <c r="N1092" s="14" t="s">
        <v>3337</v>
      </c>
      <c r="O1092" s="14" t="s">
        <v>3338</v>
      </c>
      <c r="P1092" s="14"/>
      <c r="Q1092" s="15"/>
      <c r="R1092" s="14"/>
      <c r="S1092" s="16"/>
      <c r="T1092" s="14"/>
      <c r="U1092" s="14">
        <v>3</v>
      </c>
      <c r="V1092" s="14" t="s">
        <v>879</v>
      </c>
      <c r="W1092" s="14" t="s">
        <v>37</v>
      </c>
      <c r="X1092" s="13">
        <v>46000</v>
      </c>
      <c r="Y1092" s="13"/>
      <c r="AC1092"/>
      <c r="AE1092" t="str">
        <f t="shared" si="125"/>
        <v>P001221</v>
      </c>
      <c r="AF1092" t="str">
        <f>_xlfn.XLOOKUP(AE1092, Hoja2!A:A, Hoja2!A:A)</f>
        <v>P001221</v>
      </c>
      <c r="AG1092" t="str">
        <f t="shared" si="122"/>
        <v>PP00056-0013</v>
      </c>
      <c r="AH1092">
        <f>_xlfn.XLOOKUP(AG1092, Hoja3!A:A, Hoja3!B:B)</f>
        <v>5586</v>
      </c>
      <c r="AI1092">
        <f>_xlfn.XLOOKUP(AH1092, Hoja4!A:A, Hoja4!B:B)</f>
        <v>92072</v>
      </c>
      <c r="AJ1092" t="b">
        <f t="shared" si="123"/>
        <v>1</v>
      </c>
    </row>
    <row r="1093" spans="1:36" ht="15.5" customHeight="1" x14ac:dyDescent="0.35">
      <c r="A1093">
        <f t="shared" ca="1" si="124"/>
        <v>36</v>
      </c>
      <c r="B1093" s="12" t="s">
        <v>3339</v>
      </c>
      <c r="C1093" s="13">
        <v>45964</v>
      </c>
      <c r="D1093" s="14" t="s">
        <v>121</v>
      </c>
      <c r="E1093" s="14" t="s">
        <v>139</v>
      </c>
      <c r="F1093" s="14" t="s">
        <v>1857</v>
      </c>
      <c r="G1093" s="14" t="s">
        <v>32</v>
      </c>
      <c r="H1093" s="14">
        <v>92073</v>
      </c>
      <c r="I1093" s="14" t="s">
        <v>1858</v>
      </c>
      <c r="J1093" s="14" t="str">
        <f>IF(E1093="KTG","KTG",(VLOOKUP(I1093,'[1]list of outsource'!B:H,2,0)))</f>
        <v xml:space="preserve">Huapeng </v>
      </c>
      <c r="K1093" s="14" t="s">
        <v>1859</v>
      </c>
      <c r="L1093" s="14">
        <v>5</v>
      </c>
      <c r="M1093" s="14" t="s">
        <v>3340</v>
      </c>
      <c r="N1093" s="14" t="s">
        <v>3341</v>
      </c>
      <c r="O1093" s="14" t="s">
        <v>3342</v>
      </c>
      <c r="P1093" s="14"/>
      <c r="Q1093" s="15"/>
      <c r="R1093" s="14"/>
      <c r="S1093" s="16"/>
      <c r="T1093" s="14"/>
      <c r="U1093" s="14">
        <v>3</v>
      </c>
      <c r="V1093" s="14" t="s">
        <v>879</v>
      </c>
      <c r="W1093" s="14" t="s">
        <v>37</v>
      </c>
      <c r="X1093" s="13">
        <v>46000</v>
      </c>
      <c r="Y1093" s="13"/>
      <c r="AC1093"/>
      <c r="AE1093" t="str">
        <f t="shared" si="125"/>
        <v>P001222</v>
      </c>
      <c r="AF1093" t="str">
        <f>_xlfn.XLOOKUP(AE1093, Hoja2!A:A, Hoja2!A:A)</f>
        <v>P001222</v>
      </c>
      <c r="AG1093" t="str">
        <f t="shared" si="122"/>
        <v>PP00056-0014</v>
      </c>
      <c r="AH1093">
        <f>_xlfn.XLOOKUP(AG1093, Hoja3!A:A, Hoja3!B:B)</f>
        <v>5587</v>
      </c>
      <c r="AI1093">
        <f>_xlfn.XLOOKUP(AH1093, Hoja4!A:A, Hoja4!B:B)</f>
        <v>92073</v>
      </c>
      <c r="AJ1093" t="b">
        <f t="shared" si="123"/>
        <v>1</v>
      </c>
    </row>
    <row r="1094" spans="1:36" ht="15.5" customHeight="1" x14ac:dyDescent="0.35">
      <c r="A1094">
        <f t="shared" ca="1" si="124"/>
        <v>36</v>
      </c>
      <c r="B1094" s="12" t="s">
        <v>3343</v>
      </c>
      <c r="C1094" s="13">
        <v>45964</v>
      </c>
      <c r="D1094" s="14" t="s">
        <v>121</v>
      </c>
      <c r="E1094" s="14" t="s">
        <v>139</v>
      </c>
      <c r="F1094" s="14" t="s">
        <v>1857</v>
      </c>
      <c r="G1094" s="14" t="s">
        <v>32</v>
      </c>
      <c r="H1094" s="14">
        <v>92075</v>
      </c>
      <c r="I1094" s="14" t="s">
        <v>1858</v>
      </c>
      <c r="J1094" s="14" t="str">
        <f>IF(E1094="KTG","KTG",(VLOOKUP(I1094,'[1]list of outsource'!B:H,2,0)))</f>
        <v xml:space="preserve">Huapeng </v>
      </c>
      <c r="K1094" s="14" t="s">
        <v>1859</v>
      </c>
      <c r="L1094" s="14">
        <v>5</v>
      </c>
      <c r="M1094" s="14" t="s">
        <v>3344</v>
      </c>
      <c r="N1094" s="14" t="s">
        <v>3345</v>
      </c>
      <c r="O1094" s="14" t="s">
        <v>3346</v>
      </c>
      <c r="P1094" s="14"/>
      <c r="Q1094" s="15"/>
      <c r="R1094" s="14"/>
      <c r="S1094" s="16"/>
      <c r="T1094" s="14"/>
      <c r="U1094" s="14">
        <v>3</v>
      </c>
      <c r="V1094" s="14" t="s">
        <v>879</v>
      </c>
      <c r="W1094" s="14" t="s">
        <v>37</v>
      </c>
      <c r="X1094" s="13">
        <v>46000</v>
      </c>
      <c r="Y1094" s="13"/>
      <c r="AC1094"/>
      <c r="AE1094" t="str">
        <f t="shared" si="125"/>
        <v>P001223</v>
      </c>
      <c r="AF1094" t="str">
        <f>_xlfn.XLOOKUP(AE1094, Hoja2!A:A, Hoja2!A:A)</f>
        <v>P001223</v>
      </c>
      <c r="AG1094" t="str">
        <f t="shared" si="122"/>
        <v>PP00056-0015</v>
      </c>
      <c r="AH1094">
        <f>_xlfn.XLOOKUP(AG1094, Hoja3!A:A, Hoja3!B:B)</f>
        <v>5588</v>
      </c>
      <c r="AI1094">
        <f>_xlfn.XLOOKUP(AH1094, Hoja4!A:A, Hoja4!B:B)</f>
        <v>92075</v>
      </c>
      <c r="AJ1094" t="b">
        <f t="shared" si="123"/>
        <v>1</v>
      </c>
    </row>
    <row r="1095" spans="1:36" ht="15.5" customHeight="1" x14ac:dyDescent="0.35">
      <c r="A1095">
        <f t="shared" ca="1" si="124"/>
        <v>36</v>
      </c>
      <c r="B1095" s="12" t="s">
        <v>3347</v>
      </c>
      <c r="C1095" s="13">
        <v>45964</v>
      </c>
      <c r="D1095" s="14" t="s">
        <v>121</v>
      </c>
      <c r="E1095" s="14" t="s">
        <v>139</v>
      </c>
      <c r="F1095" s="14" t="s">
        <v>1857</v>
      </c>
      <c r="G1095" s="14" t="s">
        <v>32</v>
      </c>
      <c r="H1095" s="14">
        <v>92076</v>
      </c>
      <c r="I1095" s="14" t="s">
        <v>1858</v>
      </c>
      <c r="J1095" s="14" t="str">
        <f>IF(E1095="KTG","KTG",(VLOOKUP(I1095,'[1]list of outsource'!B:H,2,0)))</f>
        <v xml:space="preserve">Huapeng </v>
      </c>
      <c r="K1095" s="14" t="s">
        <v>1859</v>
      </c>
      <c r="L1095" s="14">
        <v>5</v>
      </c>
      <c r="M1095" s="14" t="s">
        <v>3348</v>
      </c>
      <c r="N1095" s="14" t="s">
        <v>3349</v>
      </c>
      <c r="O1095" s="14" t="s">
        <v>3350</v>
      </c>
      <c r="P1095" s="14"/>
      <c r="Q1095" s="15"/>
      <c r="R1095" s="14"/>
      <c r="S1095" s="16"/>
      <c r="T1095" s="14"/>
      <c r="U1095" s="14">
        <v>3</v>
      </c>
      <c r="V1095" s="14" t="s">
        <v>879</v>
      </c>
      <c r="W1095" s="14" t="s">
        <v>37</v>
      </c>
      <c r="X1095" s="13">
        <v>46000</v>
      </c>
      <c r="Y1095" s="13"/>
      <c r="AC1095"/>
      <c r="AE1095" t="str">
        <f t="shared" si="125"/>
        <v>P001224</v>
      </c>
      <c r="AF1095" t="str">
        <f>_xlfn.XLOOKUP(AE1095, Hoja2!A:A, Hoja2!A:A)</f>
        <v>P001224</v>
      </c>
      <c r="AG1095" t="str">
        <f t="shared" si="122"/>
        <v>PP00056-0016</v>
      </c>
      <c r="AH1095">
        <f>_xlfn.XLOOKUP(AG1095, Hoja3!A:A, Hoja3!B:B)</f>
        <v>5589</v>
      </c>
      <c r="AI1095">
        <f>_xlfn.XLOOKUP(AH1095, Hoja4!A:A, Hoja4!B:B)</f>
        <v>92076</v>
      </c>
      <c r="AJ1095" t="b">
        <f t="shared" si="123"/>
        <v>1</v>
      </c>
    </row>
    <row r="1096" spans="1:36" ht="15.5" customHeight="1" x14ac:dyDescent="0.35">
      <c r="A1096">
        <f t="shared" ca="1" si="124"/>
        <v>17</v>
      </c>
      <c r="B1096" s="12" t="s">
        <v>3265</v>
      </c>
      <c r="C1096" s="13">
        <v>45922</v>
      </c>
      <c r="D1096" s="14" t="s">
        <v>121</v>
      </c>
      <c r="E1096" s="14" t="s">
        <v>30</v>
      </c>
      <c r="F1096" s="14" t="s">
        <v>658</v>
      </c>
      <c r="G1096" s="14" t="s">
        <v>32</v>
      </c>
      <c r="H1096" s="14" t="s">
        <v>3267</v>
      </c>
      <c r="I1096" s="14"/>
      <c r="J1096" s="14" t="str">
        <f>IF(E1096="KTG","KTG",(VLOOKUP(I1096,'[1]list of outsource'!B:H,2,0)))</f>
        <v>KTG</v>
      </c>
      <c r="K1096" s="14"/>
      <c r="L1096" s="14"/>
      <c r="M1096" s="14" t="s">
        <v>3268</v>
      </c>
      <c r="N1096" s="14" t="s">
        <v>3269</v>
      </c>
      <c r="O1096" s="14"/>
      <c r="P1096" s="14"/>
      <c r="Q1096" s="15"/>
      <c r="R1096" s="14"/>
      <c r="S1096" s="16"/>
      <c r="T1096" s="14"/>
      <c r="U1096" s="14">
        <v>1</v>
      </c>
      <c r="V1096" s="14" t="s">
        <v>569</v>
      </c>
      <c r="W1096" s="14" t="s">
        <v>576</v>
      </c>
      <c r="X1096" s="13">
        <v>45939</v>
      </c>
      <c r="Y1096" s="13"/>
      <c r="AC1096"/>
      <c r="AE1096" t="str">
        <f t="shared" si="125"/>
        <v>E47401</v>
      </c>
      <c r="AF1096" t="str">
        <f>_xlfn.XLOOKUP(AE1096, Hoja2!A:A, Hoja2!A:A)</f>
        <v>E47401</v>
      </c>
      <c r="AG1096" t="str">
        <f t="shared" si="122"/>
        <v>PP00034-48</v>
      </c>
      <c r="AH1096">
        <f>_xlfn.XLOOKUP(AG1096, Hoja3!A:A, Hoja3!B:B)</f>
        <v>4739</v>
      </c>
      <c r="AI1096" t="str">
        <f>_xlfn.XLOOKUP(AH1096, Hoja4!A:A, Hoja4!B:B)</f>
        <v>443 971 881 G</v>
      </c>
      <c r="AJ1096" t="b">
        <f t="shared" si="123"/>
        <v>1</v>
      </c>
    </row>
    <row r="1097" spans="1:36" ht="15.5" hidden="1" customHeight="1" x14ac:dyDescent="0.35">
      <c r="A1097">
        <f t="shared" ca="1" si="124"/>
        <v>1</v>
      </c>
      <c r="B1097" s="56" t="s">
        <v>3351</v>
      </c>
      <c r="C1097" s="13">
        <v>45967</v>
      </c>
      <c r="D1097" s="14" t="s">
        <v>1606</v>
      </c>
      <c r="E1097" s="14" t="s">
        <v>83</v>
      </c>
      <c r="F1097" s="55" t="s">
        <v>3352</v>
      </c>
      <c r="G1097" s="14" t="s">
        <v>299</v>
      </c>
      <c r="H1097" s="14" t="s">
        <v>3353</v>
      </c>
      <c r="I1097" s="14" t="s">
        <v>158</v>
      </c>
      <c r="J1097" s="14" t="str">
        <f>IF(E1097="KTG","KTG",(VLOOKUP(I1097,'[1]list of outsource'!B:H,2,0)))</f>
        <v>UPM</v>
      </c>
      <c r="K1097" s="14" t="s">
        <v>159</v>
      </c>
      <c r="L1097" s="14"/>
      <c r="M1097" s="14" t="s">
        <v>168</v>
      </c>
      <c r="N1097" s="14" t="s">
        <v>3354</v>
      </c>
      <c r="O1097" s="14" t="s">
        <v>3355</v>
      </c>
      <c r="P1097" s="14"/>
      <c r="Q1097" s="15"/>
      <c r="R1097" s="14"/>
      <c r="S1097" s="16"/>
      <c r="T1097" s="14"/>
      <c r="U1097" s="14" t="s">
        <v>3356</v>
      </c>
      <c r="V1097" s="14" t="s">
        <v>569</v>
      </c>
      <c r="W1097" s="14" t="s">
        <v>1608</v>
      </c>
      <c r="X1097" s="13">
        <v>45968</v>
      </c>
      <c r="Y1097" s="13"/>
      <c r="AC1097"/>
      <c r="AE1097" t="str">
        <f t="shared" si="125"/>
        <v>P000121</v>
      </c>
      <c r="AF1097" t="str">
        <f>_xlfn.XLOOKUP(AE1097, Hoja2!A:A, Hoja2!A:A)</f>
        <v>P000121</v>
      </c>
      <c r="AG1097" t="str">
        <f t="shared" si="122"/>
        <v>PP00107-0001</v>
      </c>
      <c r="AH1097" t="e">
        <f>_xlfn.XLOOKUP(AG1097, Hoja3!A:A, Hoja3!B:B)</f>
        <v>#N/A</v>
      </c>
    </row>
    <row r="1098" spans="1:36" ht="15.5" hidden="1" customHeight="1" x14ac:dyDescent="0.35">
      <c r="A1098">
        <f t="shared" ca="1" si="124"/>
        <v>4</v>
      </c>
      <c r="B1098" s="56" t="s">
        <v>3357</v>
      </c>
      <c r="C1098" s="13">
        <v>45967</v>
      </c>
      <c r="D1098" s="14" t="s">
        <v>3358</v>
      </c>
      <c r="E1098" s="14" t="s">
        <v>83</v>
      </c>
      <c r="F1098" s="14" t="s">
        <v>3352</v>
      </c>
      <c r="G1098" s="14" t="s">
        <v>299</v>
      </c>
      <c r="H1098" s="14" t="s">
        <v>3359</v>
      </c>
      <c r="I1098" s="14" t="s">
        <v>158</v>
      </c>
      <c r="J1098" s="14" t="str">
        <f>IF(E1098="KTG","KTG",(VLOOKUP(I1098,'[1]list of outsource'!B:H,2,0)))</f>
        <v>UPM</v>
      </c>
      <c r="K1098" s="14" t="s">
        <v>159</v>
      </c>
      <c r="L1098" s="14"/>
      <c r="M1098" s="55" t="s">
        <v>3360</v>
      </c>
      <c r="N1098" s="14" t="s">
        <v>3361</v>
      </c>
      <c r="O1098" s="14" t="s">
        <v>3362</v>
      </c>
      <c r="P1098" s="14"/>
      <c r="Q1098" s="15"/>
      <c r="R1098" s="14"/>
      <c r="S1098" s="16"/>
      <c r="T1098" s="14"/>
      <c r="U1098" s="14" t="s">
        <v>3356</v>
      </c>
      <c r="V1098" s="14" t="s">
        <v>569</v>
      </c>
      <c r="W1098" s="14" t="s">
        <v>1608</v>
      </c>
      <c r="X1098" s="13">
        <v>45971</v>
      </c>
      <c r="Y1098" s="13"/>
      <c r="AC1098"/>
      <c r="AE1098" t="str">
        <f t="shared" si="125"/>
        <v>P001226</v>
      </c>
      <c r="AF1098" t="e">
        <f>_xlfn.XLOOKUP(AE1098, Hoja2!A:A, Hoja2!A:A)</f>
        <v>#N/A</v>
      </c>
    </row>
    <row r="1099" spans="1:36" ht="15.5" customHeight="1" x14ac:dyDescent="0.35">
      <c r="A1099">
        <f t="shared" ca="1" si="124"/>
        <v>35</v>
      </c>
      <c r="B1099" s="6" t="s">
        <v>3363</v>
      </c>
      <c r="C1099" s="7">
        <v>45791</v>
      </c>
      <c r="D1099" s="6" t="s">
        <v>564</v>
      </c>
      <c r="E1099" s="6" t="s">
        <v>30</v>
      </c>
      <c r="F1099" s="6" t="s">
        <v>739</v>
      </c>
      <c r="G1099" s="6" t="s">
        <v>156</v>
      </c>
      <c r="H1099" s="6" t="s">
        <v>3364</v>
      </c>
      <c r="I1099" s="6"/>
      <c r="J1099" s="6" t="str">
        <f>IF(E1099="KTG","KTG",(VLOOKUP(I1099,'[1]list of outsource'!B:H,2,0)))</f>
        <v>KTG</v>
      </c>
      <c r="K1099" s="6"/>
      <c r="L1099" s="6"/>
      <c r="M1099" s="6" t="s">
        <v>3365</v>
      </c>
      <c r="N1099" s="6" t="s">
        <v>3366</v>
      </c>
      <c r="O1099" s="6"/>
      <c r="P1099" s="6"/>
      <c r="Q1099" s="8"/>
      <c r="R1099" s="6"/>
      <c r="S1099" s="6"/>
      <c r="T1099" s="6"/>
      <c r="U1099" s="6">
        <v>1</v>
      </c>
      <c r="V1099" s="6" t="s">
        <v>569</v>
      </c>
      <c r="W1099" s="6" t="s">
        <v>154</v>
      </c>
      <c r="X1099" s="7">
        <v>45826</v>
      </c>
      <c r="Y1099" s="7">
        <v>45828</v>
      </c>
      <c r="AB1099" t="e">
        <v>#N/A</v>
      </c>
      <c r="AC1099"/>
      <c r="AE1099" t="str">
        <f t="shared" si="125"/>
        <v>E74919</v>
      </c>
      <c r="AF1099" t="str">
        <f>_xlfn.XLOOKUP(AE1099, Hoja2!A:A, Hoja2!A:A)</f>
        <v>E74919</v>
      </c>
      <c r="AG1099" t="str">
        <f t="shared" ref="AG1099:AG1128" si="126">LEFT(B1099, FIND(" ", B1099 &amp; " ") - 1)</f>
        <v>PP00028-91</v>
      </c>
      <c r="AH1099">
        <f>_xlfn.XLOOKUP(AG1099, Hoja3!A:A, Hoja3!B:B)</f>
        <v>5476</v>
      </c>
      <c r="AI1099" t="str">
        <f>_xlfn.XLOOKUP(AH1099, Hoja4!A:A, Hoja4!B:B)</f>
        <v>E01120300</v>
      </c>
      <c r="AJ1099" t="b">
        <f t="shared" ref="AJ1099:AJ1113" si="127">H1099=AI1099</f>
        <v>1</v>
      </c>
    </row>
    <row r="1100" spans="1:36" ht="15.5" customHeight="1" x14ac:dyDescent="0.35">
      <c r="A1100">
        <f t="shared" ca="1" si="124"/>
        <v>35</v>
      </c>
      <c r="B1100" s="6" t="s">
        <v>3367</v>
      </c>
      <c r="C1100" s="7">
        <v>45791</v>
      </c>
      <c r="D1100" s="6" t="s">
        <v>564</v>
      </c>
      <c r="E1100" s="6" t="s">
        <v>30</v>
      </c>
      <c r="F1100" s="6" t="s">
        <v>739</v>
      </c>
      <c r="G1100" s="6" t="s">
        <v>156</v>
      </c>
      <c r="H1100" s="6" t="s">
        <v>3368</v>
      </c>
      <c r="I1100" s="6"/>
      <c r="J1100" s="6" t="str">
        <f>IF(E1100="KTG","KTG",(VLOOKUP(I1100,'[1]list of outsource'!B:H,2,0)))</f>
        <v>KTG</v>
      </c>
      <c r="K1100" s="6"/>
      <c r="L1100" s="6"/>
      <c r="M1100" s="6" t="s">
        <v>3369</v>
      </c>
      <c r="N1100" s="6" t="s">
        <v>3370</v>
      </c>
      <c r="O1100" s="6"/>
      <c r="P1100" s="6"/>
      <c r="Q1100" s="8"/>
      <c r="R1100" s="6"/>
      <c r="S1100" s="6"/>
      <c r="T1100" s="6"/>
      <c r="U1100" s="6">
        <v>1</v>
      </c>
      <c r="V1100" s="6" t="s">
        <v>569</v>
      </c>
      <c r="W1100" s="6" t="s">
        <v>154</v>
      </c>
      <c r="X1100" s="7">
        <v>45826</v>
      </c>
      <c r="Y1100" s="7">
        <v>45828</v>
      </c>
      <c r="AB1100" t="e">
        <v>#N/A</v>
      </c>
      <c r="AC1100"/>
      <c r="AE1100" t="str">
        <f t="shared" si="125"/>
        <v>E74928</v>
      </c>
      <c r="AF1100" t="str">
        <f>_xlfn.XLOOKUP(AE1100, Hoja2!A:A, Hoja2!A:A)</f>
        <v>E74928</v>
      </c>
      <c r="AG1100" t="str">
        <f t="shared" si="126"/>
        <v>PP00028-92</v>
      </c>
      <c r="AH1100">
        <f>_xlfn.XLOOKUP(AG1100, Hoja3!A:A, Hoja3!B:B)</f>
        <v>5477</v>
      </c>
      <c r="AI1100" t="str">
        <f>_xlfn.XLOOKUP(AH1100, Hoja4!A:A, Hoja4!B:B)</f>
        <v>E04845500</v>
      </c>
      <c r="AJ1100" t="b">
        <f t="shared" si="127"/>
        <v>1</v>
      </c>
    </row>
    <row r="1101" spans="1:36" ht="15.5" customHeight="1" x14ac:dyDescent="0.35">
      <c r="A1101">
        <f t="shared" ca="1" si="124"/>
        <v>24</v>
      </c>
      <c r="B1101" s="12" t="s">
        <v>3371</v>
      </c>
      <c r="C1101" s="13">
        <v>45972</v>
      </c>
      <c r="D1101" s="14" t="s">
        <v>121</v>
      </c>
      <c r="E1101" s="14" t="s">
        <v>83</v>
      </c>
      <c r="F1101" s="14" t="s">
        <v>329</v>
      </c>
      <c r="G1101" s="14" t="s">
        <v>299</v>
      </c>
      <c r="H1101" s="14" t="s">
        <v>86</v>
      </c>
      <c r="I1101" s="14" t="s">
        <v>87</v>
      </c>
      <c r="J1101" s="14" t="str">
        <f>IF(E1101="KTG","KTG",(VLOOKUP(I1101,'[1]list of outsource'!B:H,2,0)))</f>
        <v>UPM</v>
      </c>
      <c r="K1101" s="14" t="s">
        <v>88</v>
      </c>
      <c r="L1101" s="14">
        <v>17</v>
      </c>
      <c r="M1101" s="14" t="s">
        <v>89</v>
      </c>
      <c r="N1101" s="14" t="s">
        <v>90</v>
      </c>
      <c r="O1101" s="14" t="s">
        <v>3372</v>
      </c>
      <c r="P1101" s="14"/>
      <c r="Q1101" s="15">
        <v>45978</v>
      </c>
      <c r="R1101" s="14"/>
      <c r="S1101" s="16"/>
      <c r="T1101" s="14"/>
      <c r="U1101" s="14">
        <v>1</v>
      </c>
      <c r="V1101" s="14" t="s">
        <v>569</v>
      </c>
      <c r="W1101" s="14" t="s">
        <v>576</v>
      </c>
      <c r="X1101" s="13">
        <v>45996</v>
      </c>
      <c r="Y1101" s="13"/>
      <c r="AC1101" t="e">
        <v>#N/A</v>
      </c>
      <c r="AE1101" t="str">
        <f t="shared" si="125"/>
        <v>P000042</v>
      </c>
      <c r="AF1101" t="str">
        <f>_xlfn.XLOOKUP(AE1101, Hoja2!A:A, Hoja2!A:A)</f>
        <v>P000042</v>
      </c>
      <c r="AG1101" t="str">
        <f t="shared" si="126"/>
        <v>PP00024-0023</v>
      </c>
      <c r="AH1101">
        <f>_xlfn.XLOOKUP(AG1101, Hoja3!A:A, Hoja3!B:B)</f>
        <v>4496</v>
      </c>
      <c r="AI1101" t="str">
        <f>_xlfn.XLOOKUP(AH1101, Hoja4!A:A, Hoja4!B:B)</f>
        <v>E26424100</v>
      </c>
      <c r="AJ1101" t="b">
        <f t="shared" si="127"/>
        <v>1</v>
      </c>
    </row>
    <row r="1102" spans="1:36" ht="15.5" customHeight="1" x14ac:dyDescent="0.35">
      <c r="A1102">
        <f t="shared" ca="1" si="124"/>
        <v>24</v>
      </c>
      <c r="B1102" s="12" t="s">
        <v>3373</v>
      </c>
      <c r="C1102" s="13">
        <v>45972</v>
      </c>
      <c r="D1102" s="14" t="s">
        <v>121</v>
      </c>
      <c r="E1102" s="14" t="s">
        <v>83</v>
      </c>
      <c r="F1102" s="14" t="s">
        <v>329</v>
      </c>
      <c r="G1102" s="14" t="s">
        <v>299</v>
      </c>
      <c r="H1102" s="14" t="s">
        <v>117</v>
      </c>
      <c r="I1102" s="14" t="s">
        <v>87</v>
      </c>
      <c r="J1102" s="14" t="str">
        <f>IF(E1102="KTG","KTG",(VLOOKUP(I1102,'[1]list of outsource'!B:H,2,0)))</f>
        <v>UPM</v>
      </c>
      <c r="K1102" s="14" t="s">
        <v>88</v>
      </c>
      <c r="L1102" s="14">
        <v>17</v>
      </c>
      <c r="M1102" s="14" t="s">
        <v>118</v>
      </c>
      <c r="N1102" s="14" t="s">
        <v>119</v>
      </c>
      <c r="O1102" s="14" t="s">
        <v>1073</v>
      </c>
      <c r="P1102" s="14"/>
      <c r="Q1102" s="15">
        <v>45978</v>
      </c>
      <c r="R1102" s="14"/>
      <c r="S1102" s="16"/>
      <c r="T1102" s="14"/>
      <c r="U1102" s="14">
        <v>1</v>
      </c>
      <c r="V1102" s="14" t="s">
        <v>569</v>
      </c>
      <c r="W1102" s="14" t="s">
        <v>154</v>
      </c>
      <c r="X1102" s="13">
        <v>45996</v>
      </c>
      <c r="Y1102" s="13"/>
      <c r="AC1102" t="e">
        <v>#N/A</v>
      </c>
      <c r="AE1102" t="str">
        <f t="shared" si="125"/>
        <v>P000043</v>
      </c>
      <c r="AF1102" t="str">
        <f>_xlfn.XLOOKUP(AE1102, Hoja2!A:A, Hoja2!A:A)</f>
        <v>P000043</v>
      </c>
      <c r="AG1102" t="str">
        <f t="shared" si="126"/>
        <v>PP00024-0021</v>
      </c>
      <c r="AH1102">
        <f>_xlfn.XLOOKUP(AG1102, Hoja3!A:A, Hoja3!B:B)</f>
        <v>4497</v>
      </c>
      <c r="AI1102" t="str">
        <f>_xlfn.XLOOKUP(AH1102, Hoja4!A:A, Hoja4!B:B)</f>
        <v>E26459700</v>
      </c>
      <c r="AJ1102" t="b">
        <f t="shared" si="127"/>
        <v>1</v>
      </c>
    </row>
    <row r="1103" spans="1:36" ht="15.5" customHeight="1" x14ac:dyDescent="0.35">
      <c r="A1103">
        <f t="shared" ca="1" si="124"/>
        <v>22</v>
      </c>
      <c r="B1103" s="12" t="s">
        <v>3374</v>
      </c>
      <c r="C1103" s="13">
        <v>45974</v>
      </c>
      <c r="D1103" s="14" t="s">
        <v>121</v>
      </c>
      <c r="E1103" s="14" t="s">
        <v>139</v>
      </c>
      <c r="F1103" s="14" t="s">
        <v>1612</v>
      </c>
      <c r="G1103" s="14" t="s">
        <v>32</v>
      </c>
      <c r="H1103" s="14">
        <v>252367</v>
      </c>
      <c r="I1103" s="14" t="s">
        <v>402</v>
      </c>
      <c r="J1103" s="14" t="str">
        <f>IF(E1103="KTG","KTG",(VLOOKUP(I1103,'[1]list of outsource'!B:H,2,0)))</f>
        <v>ETC</v>
      </c>
      <c r="K1103" s="14" t="s">
        <v>403</v>
      </c>
      <c r="L1103" s="14">
        <v>76</v>
      </c>
      <c r="M1103" s="14" t="s">
        <v>1709</v>
      </c>
      <c r="N1103" s="14" t="s">
        <v>1710</v>
      </c>
      <c r="O1103" s="14" t="s">
        <v>3375</v>
      </c>
      <c r="P1103" s="14" t="s">
        <v>1645</v>
      </c>
      <c r="Q1103" s="15">
        <v>45519</v>
      </c>
      <c r="R1103" s="14"/>
      <c r="S1103" s="16"/>
      <c r="T1103" s="14"/>
      <c r="U1103" s="14">
        <v>4</v>
      </c>
      <c r="V1103" s="14" t="s">
        <v>569</v>
      </c>
      <c r="W1103" s="14" t="s">
        <v>576</v>
      </c>
      <c r="X1103" s="13">
        <v>45996</v>
      </c>
      <c r="Y1103" s="13"/>
      <c r="AC1103"/>
      <c r="AE1103" t="str">
        <f t="shared" si="125"/>
        <v>P000337</v>
      </c>
      <c r="AF1103" t="str">
        <f>_xlfn.XLOOKUP(AE1103, Hoja2!A:A, Hoja2!A:A)</f>
        <v>P000337</v>
      </c>
      <c r="AG1103" t="str">
        <f t="shared" si="126"/>
        <v>PP00054-0003</v>
      </c>
      <c r="AH1103">
        <f>_xlfn.XLOOKUP(AG1103, Hoja3!A:A, Hoja3!B:B)</f>
        <v>81</v>
      </c>
      <c r="AI1103">
        <f>_xlfn.XLOOKUP(AH1103, Hoja4!A:A, Hoja4!B:B)</f>
        <v>252367</v>
      </c>
      <c r="AJ1103" t="b">
        <f t="shared" si="127"/>
        <v>1</v>
      </c>
    </row>
    <row r="1104" spans="1:36" ht="15.5" customHeight="1" x14ac:dyDescent="0.35">
      <c r="A1104">
        <f t="shared" ca="1" si="124"/>
        <v>10</v>
      </c>
      <c r="B1104" s="6" t="s">
        <v>3376</v>
      </c>
      <c r="C1104" s="7">
        <v>45979</v>
      </c>
      <c r="D1104" s="6" t="s">
        <v>564</v>
      </c>
      <c r="E1104" s="6" t="s">
        <v>139</v>
      </c>
      <c r="F1104" s="6" t="s">
        <v>933</v>
      </c>
      <c r="G1104" s="6" t="s">
        <v>32</v>
      </c>
      <c r="H1104" s="6">
        <v>35758209</v>
      </c>
      <c r="I1104" s="6" t="s">
        <v>402</v>
      </c>
      <c r="J1104" s="6" t="str">
        <f>IF(E1104="KTG","KTG",(VLOOKUP(I1104,'[1]list of outsource'!B:H,2,0)))</f>
        <v>ETC</v>
      </c>
      <c r="K1104" s="6" t="s">
        <v>403</v>
      </c>
      <c r="L1104" s="6">
        <v>76</v>
      </c>
      <c r="M1104" s="6" t="s">
        <v>1755</v>
      </c>
      <c r="N1104" s="6" t="s">
        <v>1756</v>
      </c>
      <c r="O1104" s="6" t="s">
        <v>3377</v>
      </c>
      <c r="P1104" s="6"/>
      <c r="Q1104" s="8">
        <v>45870</v>
      </c>
      <c r="R1104" s="6"/>
      <c r="S1104" s="6"/>
      <c r="T1104" s="6"/>
      <c r="U1104" s="6">
        <v>3</v>
      </c>
      <c r="V1104" s="6" t="s">
        <v>665</v>
      </c>
      <c r="W1104" s="6" t="s">
        <v>37</v>
      </c>
      <c r="X1104" s="7">
        <v>45989</v>
      </c>
      <c r="Y1104" s="7">
        <v>46000</v>
      </c>
      <c r="AC1104"/>
      <c r="AE1104" t="str">
        <f t="shared" si="125"/>
        <v>P000415</v>
      </c>
      <c r="AF1104" t="str">
        <f>_xlfn.XLOOKUP(AE1104, Hoja2!A:A, Hoja2!A:A)</f>
        <v>P000415</v>
      </c>
      <c r="AG1104" t="str">
        <f t="shared" si="126"/>
        <v>PP00042-0040</v>
      </c>
      <c r="AH1104">
        <f>_xlfn.XLOOKUP(AG1104, Hoja3!A:A, Hoja3!B:B)</f>
        <v>5158</v>
      </c>
      <c r="AI1104">
        <f>_xlfn.XLOOKUP(AH1104, Hoja4!A:A, Hoja4!B:B)</f>
        <v>35758209</v>
      </c>
      <c r="AJ1104" t="b">
        <f t="shared" si="127"/>
        <v>1</v>
      </c>
    </row>
    <row r="1105" spans="1:36" ht="15.5" customHeight="1" x14ac:dyDescent="0.35">
      <c r="A1105">
        <f t="shared" ca="1" si="124"/>
        <v>10</v>
      </c>
      <c r="B1105" s="6" t="s">
        <v>3378</v>
      </c>
      <c r="C1105" s="7">
        <v>45979</v>
      </c>
      <c r="D1105" s="6" t="s">
        <v>564</v>
      </c>
      <c r="E1105" s="6" t="s">
        <v>139</v>
      </c>
      <c r="F1105" s="6" t="s">
        <v>933</v>
      </c>
      <c r="G1105" s="6" t="s">
        <v>32</v>
      </c>
      <c r="H1105" s="6">
        <v>35758237</v>
      </c>
      <c r="I1105" s="6" t="s">
        <v>1442</v>
      </c>
      <c r="J1105" s="6" t="str">
        <f>IF(E1105="KTG","KTG",(VLOOKUP(I1105,'[1]list of outsource'!B:H,2,0)))</f>
        <v>ETC</v>
      </c>
      <c r="K1105" s="6" t="s">
        <v>1443</v>
      </c>
      <c r="L1105" s="6">
        <v>23</v>
      </c>
      <c r="M1105" s="6" t="s">
        <v>3004</v>
      </c>
      <c r="N1105" s="6" t="s">
        <v>3005</v>
      </c>
      <c r="O1105" s="6" t="s">
        <v>3379</v>
      </c>
      <c r="P1105" s="6"/>
      <c r="Q1105" s="8">
        <v>45762</v>
      </c>
      <c r="R1105" s="6"/>
      <c r="S1105" s="6"/>
      <c r="T1105" s="6"/>
      <c r="U1105" s="6">
        <v>3</v>
      </c>
      <c r="V1105" s="6" t="s">
        <v>665</v>
      </c>
      <c r="W1105" s="6" t="s">
        <v>37</v>
      </c>
      <c r="X1105" s="7">
        <v>45989</v>
      </c>
      <c r="Y1105" s="7">
        <v>46000</v>
      </c>
      <c r="AC1105"/>
      <c r="AE1105" t="str">
        <f t="shared" si="125"/>
        <v>P000435</v>
      </c>
      <c r="AF1105" t="str">
        <f>_xlfn.XLOOKUP(AE1105, Hoja2!A:A, Hoja2!A:A)</f>
        <v>P000435</v>
      </c>
      <c r="AG1105" t="str">
        <f t="shared" si="126"/>
        <v>PP00042-0041</v>
      </c>
      <c r="AH1105">
        <f>_xlfn.XLOOKUP(AG1105, Hoja3!A:A, Hoja3!B:B)</f>
        <v>5159</v>
      </c>
      <c r="AI1105">
        <f>_xlfn.XLOOKUP(AH1105, Hoja4!A:A, Hoja4!B:B)</f>
        <v>35758237</v>
      </c>
      <c r="AJ1105" t="b">
        <f t="shared" si="127"/>
        <v>1</v>
      </c>
    </row>
    <row r="1106" spans="1:36" ht="15.5" customHeight="1" x14ac:dyDescent="0.35">
      <c r="A1106">
        <f t="shared" ca="1" si="124"/>
        <v>54</v>
      </c>
      <c r="B1106" s="12" t="s">
        <v>3380</v>
      </c>
      <c r="C1106" s="13">
        <v>45800</v>
      </c>
      <c r="D1106" s="14" t="s">
        <v>2535</v>
      </c>
      <c r="E1106" s="14" t="s">
        <v>139</v>
      </c>
      <c r="F1106" s="14" t="s">
        <v>84</v>
      </c>
      <c r="G1106" s="14" t="s">
        <v>156</v>
      </c>
      <c r="H1106" s="14" t="s">
        <v>609</v>
      </c>
      <c r="I1106" s="14" t="s">
        <v>402</v>
      </c>
      <c r="J1106" s="14" t="str">
        <f>IF(E1106="KTG","KTG",(VLOOKUP(I1106,'[1]list of outsource'!B:H,2,0)))</f>
        <v>ETC</v>
      </c>
      <c r="K1106" s="14" t="s">
        <v>403</v>
      </c>
      <c r="L1106" s="14">
        <v>71</v>
      </c>
      <c r="M1106" s="14" t="s">
        <v>610</v>
      </c>
      <c r="N1106" s="14" t="s">
        <v>611</v>
      </c>
      <c r="O1106" s="14" t="s">
        <v>2598</v>
      </c>
      <c r="P1106" s="14"/>
      <c r="Q1106" s="15"/>
      <c r="R1106" s="14"/>
      <c r="S1106" s="16"/>
      <c r="T1106" s="14"/>
      <c r="U1106" s="14">
        <v>4</v>
      </c>
      <c r="V1106" s="14" t="s">
        <v>919</v>
      </c>
      <c r="W1106" s="14" t="s">
        <v>37</v>
      </c>
      <c r="X1106" s="13">
        <v>45854</v>
      </c>
      <c r="Y1106" s="13"/>
      <c r="Z1106" t="s">
        <v>1264</v>
      </c>
      <c r="AB1106" t="s">
        <v>2599</v>
      </c>
      <c r="AC1106"/>
      <c r="AE1106" t="str">
        <f t="shared" si="125"/>
        <v>P000250</v>
      </c>
      <c r="AF1106" t="str">
        <f>_xlfn.XLOOKUP(AE1106, Hoja2!A:A, Hoja2!A:A)</f>
        <v>P000250</v>
      </c>
      <c r="AG1106" t="str">
        <f t="shared" si="126"/>
        <v>PP00028-93</v>
      </c>
      <c r="AH1106">
        <f>_xlfn.XLOOKUP(AG1106, Hoja3!A:A, Hoja3!B:B)</f>
        <v>4018</v>
      </c>
      <c r="AI1106" t="str">
        <f>_xlfn.XLOOKUP(AH1106, Hoja4!A:A, Hoja4!B:B)</f>
        <v>E38846200</v>
      </c>
      <c r="AJ1106" t="b">
        <f t="shared" si="127"/>
        <v>1</v>
      </c>
    </row>
    <row r="1107" spans="1:36" ht="15.5" customHeight="1" x14ac:dyDescent="0.35">
      <c r="A1107">
        <f t="shared" ca="1" si="124"/>
        <v>47</v>
      </c>
      <c r="B1107" s="6" t="s">
        <v>3381</v>
      </c>
      <c r="C1107" s="7">
        <v>45456</v>
      </c>
      <c r="D1107" s="6" t="s">
        <v>912</v>
      </c>
      <c r="E1107" s="6" t="s">
        <v>83</v>
      </c>
      <c r="F1107" s="6" t="s">
        <v>84</v>
      </c>
      <c r="G1107" s="6" t="s">
        <v>156</v>
      </c>
      <c r="H1107" s="6" t="s">
        <v>185</v>
      </c>
      <c r="I1107" s="6" t="s">
        <v>158</v>
      </c>
      <c r="J1107" s="6" t="str">
        <f>IF(E1107="KTG","KTG",(VLOOKUP(I1107,'[1]list of outsource'!B:H,2,0)))</f>
        <v>UPM</v>
      </c>
      <c r="K1107" s="6" t="s">
        <v>159</v>
      </c>
      <c r="L1107" s="6">
        <v>42</v>
      </c>
      <c r="M1107" s="6" t="s">
        <v>186</v>
      </c>
      <c r="N1107" s="6" t="s">
        <v>187</v>
      </c>
      <c r="O1107" s="6" t="s">
        <v>1656</v>
      </c>
      <c r="P1107" s="6" t="s">
        <v>574</v>
      </c>
      <c r="Q1107" s="8">
        <v>45471</v>
      </c>
      <c r="R1107" s="6"/>
      <c r="S1107" s="6"/>
      <c r="T1107" s="6"/>
      <c r="U1107" s="6">
        <v>4</v>
      </c>
      <c r="V1107" s="6" t="s">
        <v>3382</v>
      </c>
      <c r="W1107" s="6" t="s">
        <v>37</v>
      </c>
      <c r="X1107" s="7">
        <v>45503</v>
      </c>
      <c r="Y1107" s="7"/>
      <c r="AB1107" t="e">
        <v>#N/A</v>
      </c>
      <c r="AC1107"/>
      <c r="AE1107" t="str">
        <f t="shared" si="125"/>
        <v>P000126</v>
      </c>
      <c r="AF1107" t="str">
        <f>_xlfn.XLOOKUP(AE1107, Hoja2!A:A, Hoja2!A:A)</f>
        <v>P000126</v>
      </c>
      <c r="AG1107" t="str">
        <f t="shared" si="126"/>
        <v>PP00059-01</v>
      </c>
      <c r="AH1107">
        <f>_xlfn.XLOOKUP(AG1107, Hoja3!A:A, Hoja3!B:B)</f>
        <v>46</v>
      </c>
      <c r="AI1107" t="str">
        <f>_xlfn.XLOOKUP(AH1107, Hoja4!A:A, Hoja4!B:B)</f>
        <v>E34427900</v>
      </c>
      <c r="AJ1107" t="b">
        <f t="shared" si="127"/>
        <v>1</v>
      </c>
    </row>
    <row r="1108" spans="1:36" ht="15.5" customHeight="1" x14ac:dyDescent="0.35">
      <c r="A1108">
        <f t="shared" ca="1" si="124"/>
        <v>47</v>
      </c>
      <c r="B1108" s="12" t="s">
        <v>3383</v>
      </c>
      <c r="C1108" s="13">
        <v>45456</v>
      </c>
      <c r="D1108" s="14" t="s">
        <v>121</v>
      </c>
      <c r="E1108" s="14" t="s">
        <v>83</v>
      </c>
      <c r="F1108" s="14" t="s">
        <v>84</v>
      </c>
      <c r="G1108" s="14" t="s">
        <v>156</v>
      </c>
      <c r="H1108" s="14" t="s">
        <v>181</v>
      </c>
      <c r="I1108" s="14" t="s">
        <v>176</v>
      </c>
      <c r="J1108" s="14" t="str">
        <f>IF(E1108="KTG","KTG",(VLOOKUP(I1108,'[1]list of outsource'!B:H,2,0)))</f>
        <v>UPM</v>
      </c>
      <c r="K1108" s="14" t="s">
        <v>177</v>
      </c>
      <c r="L1108" s="14">
        <v>12</v>
      </c>
      <c r="M1108" s="14" t="s">
        <v>182</v>
      </c>
      <c r="N1108" s="14" t="s">
        <v>183</v>
      </c>
      <c r="O1108" s="14" t="s">
        <v>2344</v>
      </c>
      <c r="P1108" s="14" t="s">
        <v>574</v>
      </c>
      <c r="Q1108" s="15"/>
      <c r="R1108" s="14"/>
      <c r="S1108" s="16"/>
      <c r="T1108" s="14"/>
      <c r="U1108" s="14">
        <v>4</v>
      </c>
      <c r="V1108" s="14" t="s">
        <v>919</v>
      </c>
      <c r="W1108" s="14" t="s">
        <v>37</v>
      </c>
      <c r="X1108" s="13">
        <v>45503</v>
      </c>
      <c r="Y1108" s="13"/>
      <c r="AB1108" t="e">
        <v>#N/A</v>
      </c>
      <c r="AC1108" t="s">
        <v>4210</v>
      </c>
      <c r="AE1108" t="str">
        <f t="shared" si="125"/>
        <v>P000150</v>
      </c>
      <c r="AF1108" t="str">
        <f>_xlfn.XLOOKUP(AE1108, Hoja2!A:A, Hoja2!A:A)</f>
        <v>P000150</v>
      </c>
      <c r="AG1108" t="str">
        <f t="shared" si="126"/>
        <v>PP00059-06</v>
      </c>
      <c r="AH1108">
        <f>_xlfn.XLOOKUP(AG1108, Hoja3!A:A, Hoja3!B:B)</f>
        <v>50</v>
      </c>
      <c r="AI1108" t="str">
        <f>_xlfn.XLOOKUP(AH1108, Hoja4!A:A, Hoja4!B:B)</f>
        <v>E35099100</v>
      </c>
      <c r="AJ1108" t="b">
        <f t="shared" si="127"/>
        <v>1</v>
      </c>
    </row>
    <row r="1109" spans="1:36" ht="15.5" customHeight="1" x14ac:dyDescent="0.35">
      <c r="A1109">
        <f t="shared" ca="1" si="124"/>
        <v>24</v>
      </c>
      <c r="B1109" s="12" t="s">
        <v>3384</v>
      </c>
      <c r="C1109" s="13">
        <v>45985</v>
      </c>
      <c r="D1109" s="14" t="s">
        <v>121</v>
      </c>
      <c r="E1109" s="14" t="s">
        <v>139</v>
      </c>
      <c r="F1109" s="14" t="s">
        <v>1890</v>
      </c>
      <c r="G1109" s="14" t="s">
        <v>32</v>
      </c>
      <c r="H1109" s="14">
        <v>713516</v>
      </c>
      <c r="I1109" s="14" t="s">
        <v>402</v>
      </c>
      <c r="J1109" s="14" t="str">
        <f>IF(E1109="KTG","KTG",(VLOOKUP(I1109,'[1]list of outsource'!B:H,2,0)))</f>
        <v>ETC</v>
      </c>
      <c r="K1109" s="14" t="s">
        <v>403</v>
      </c>
      <c r="L1109" s="14">
        <v>73</v>
      </c>
      <c r="M1109" s="14" t="s">
        <v>769</v>
      </c>
      <c r="N1109" s="14" t="s">
        <v>770</v>
      </c>
      <c r="O1109" s="14" t="s">
        <v>3385</v>
      </c>
      <c r="P1109" s="14"/>
      <c r="Q1109" s="15"/>
      <c r="R1109" s="14"/>
      <c r="S1109" s="16"/>
      <c r="T1109" s="14"/>
      <c r="U1109" s="14">
        <v>1</v>
      </c>
      <c r="V1109" s="14" t="s">
        <v>569</v>
      </c>
      <c r="W1109" s="14" t="s">
        <v>3386</v>
      </c>
      <c r="X1109" s="13"/>
      <c r="Y1109" s="13"/>
      <c r="AC1109" t="e">
        <v>#N/A</v>
      </c>
      <c r="AE1109" t="str">
        <f t="shared" si="125"/>
        <v>P000480</v>
      </c>
      <c r="AF1109" t="str">
        <f>_xlfn.XLOOKUP(AE1109, Hoja2!A:A, Hoja2!A:A)</f>
        <v>P000480</v>
      </c>
      <c r="AG1109" t="str">
        <f t="shared" si="126"/>
        <v>PP00058-0007</v>
      </c>
      <c r="AH1109">
        <f>_xlfn.XLOOKUP(AG1109, Hoja3!A:A, Hoja3!B:B)</f>
        <v>5170</v>
      </c>
      <c r="AI1109">
        <f>_xlfn.XLOOKUP(AH1109, Hoja4!A:A, Hoja4!B:B)</f>
        <v>713516</v>
      </c>
      <c r="AJ1109" t="b">
        <f t="shared" si="127"/>
        <v>1</v>
      </c>
    </row>
    <row r="1110" spans="1:36" ht="15.5" customHeight="1" x14ac:dyDescent="0.35">
      <c r="A1110">
        <f t="shared" ca="1" si="124"/>
        <v>21</v>
      </c>
      <c r="B1110" s="26" t="s">
        <v>3387</v>
      </c>
      <c r="C1110" s="50">
        <v>45988</v>
      </c>
      <c r="D1110" s="26" t="s">
        <v>875</v>
      </c>
      <c r="E1110" s="26" t="s">
        <v>139</v>
      </c>
      <c r="F1110" s="26" t="s">
        <v>84</v>
      </c>
      <c r="G1110" s="26" t="s">
        <v>156</v>
      </c>
      <c r="H1110" s="26" t="s">
        <v>3216</v>
      </c>
      <c r="I1110" s="26" t="s">
        <v>494</v>
      </c>
      <c r="J1110" s="26" t="str">
        <f>IF(E1110="KTG","KTG",(VLOOKUP(I1110,'[1]list of outsource'!B:H,2,0)))</f>
        <v>ETC</v>
      </c>
      <c r="K1110" s="26" t="s">
        <v>495</v>
      </c>
      <c r="L1110" s="51"/>
      <c r="M1110" s="26" t="s">
        <v>3217</v>
      </c>
      <c r="N1110" s="26" t="s">
        <v>3218</v>
      </c>
      <c r="O1110" s="26" t="s">
        <v>3219</v>
      </c>
      <c r="P1110" s="26" t="s">
        <v>1645</v>
      </c>
      <c r="Q1110" s="52">
        <v>45475</v>
      </c>
      <c r="R1110" s="26"/>
      <c r="S1110" s="53"/>
      <c r="T1110" s="26"/>
      <c r="U1110" s="26">
        <v>3</v>
      </c>
      <c r="V1110" s="26" t="s">
        <v>665</v>
      </c>
      <c r="W1110" s="26" t="s">
        <v>154</v>
      </c>
      <c r="X1110" s="50"/>
      <c r="Y1110" s="50"/>
      <c r="Z1110" s="32"/>
      <c r="AA1110" s="32"/>
      <c r="AB1110" s="32"/>
      <c r="AC1110" t="e">
        <v>#N/A</v>
      </c>
      <c r="AE1110" t="str">
        <f t="shared" si="125"/>
        <v>P000841</v>
      </c>
      <c r="AF1110" t="str">
        <f>_xlfn.XLOOKUP(AE1110, Hoja2!A:A, Hoja2!A:A)</f>
        <v>P000841</v>
      </c>
      <c r="AG1110" t="str">
        <f t="shared" si="126"/>
        <v>PP00028-0084</v>
      </c>
      <c r="AH1110">
        <f>_xlfn.XLOOKUP(AG1110, Hoja3!A:A, Hoja3!B:B)</f>
        <v>5301</v>
      </c>
      <c r="AI1110" t="str">
        <f>_xlfn.XLOOKUP(AH1110, Hoja4!A:A, Hoja4!B:B)</f>
        <v>E47272500</v>
      </c>
      <c r="AJ1110" t="b">
        <f t="shared" si="127"/>
        <v>1</v>
      </c>
    </row>
    <row r="1111" spans="1:36" ht="15.5" customHeight="1" x14ac:dyDescent="0.35">
      <c r="A1111">
        <f t="shared" ca="1" si="124"/>
        <v>47</v>
      </c>
      <c r="B1111" s="12" t="s">
        <v>3388</v>
      </c>
      <c r="C1111" s="13">
        <v>45456</v>
      </c>
      <c r="D1111" s="14" t="s">
        <v>121</v>
      </c>
      <c r="E1111" s="14" t="s">
        <v>139</v>
      </c>
      <c r="F1111" s="14" t="s">
        <v>84</v>
      </c>
      <c r="G1111" s="14" t="s">
        <v>156</v>
      </c>
      <c r="H1111" s="14" t="s">
        <v>700</v>
      </c>
      <c r="I1111" s="14" t="s">
        <v>402</v>
      </c>
      <c r="J1111" s="14" t="str">
        <f>IF(E1111="KTG","KTG",(VLOOKUP(I1111,'[1]list of outsource'!B:H,2,0)))</f>
        <v>ETC</v>
      </c>
      <c r="K1111" s="14" t="s">
        <v>403</v>
      </c>
      <c r="L1111" s="14">
        <v>62</v>
      </c>
      <c r="M1111" s="14" t="s">
        <v>498</v>
      </c>
      <c r="N1111" s="14" t="s">
        <v>911</v>
      </c>
      <c r="O1111" s="14" t="s">
        <v>2169</v>
      </c>
      <c r="P1111" s="14" t="s">
        <v>574</v>
      </c>
      <c r="Q1111" s="15">
        <v>45475</v>
      </c>
      <c r="R1111" s="14"/>
      <c r="S1111" s="16"/>
      <c r="T1111" s="14"/>
      <c r="U1111" s="14">
        <v>4</v>
      </c>
      <c r="V1111" s="14" t="s">
        <v>879</v>
      </c>
      <c r="W1111" s="14" t="s">
        <v>37</v>
      </c>
      <c r="X1111" s="13">
        <v>45503</v>
      </c>
      <c r="Y1111" s="13"/>
      <c r="AB1111" t="e">
        <v>#N/A</v>
      </c>
      <c r="AC1111"/>
      <c r="AE1111" t="str">
        <f t="shared" si="125"/>
        <v>P000204</v>
      </c>
      <c r="AF1111" t="str">
        <f>_xlfn.XLOOKUP(AE1111, Hoja2!A:A, Hoja2!A:A)</f>
        <v>P000204</v>
      </c>
      <c r="AG1111" t="str">
        <f t="shared" si="126"/>
        <v>PP00059-08</v>
      </c>
      <c r="AH1111">
        <f>_xlfn.XLOOKUP(AG1111, Hoja3!A:A, Hoja3!B:B)</f>
        <v>53</v>
      </c>
      <c r="AI1111" t="str">
        <f>_xlfn.XLOOKUP(AH1111, Hoja4!A:A, Hoja4!B:B)</f>
        <v>E36449000</v>
      </c>
      <c r="AJ1111" t="b">
        <f t="shared" si="127"/>
        <v>1</v>
      </c>
    </row>
    <row r="1112" spans="1:36" ht="15.5" customHeight="1" x14ac:dyDescent="0.35">
      <c r="A1112">
        <f t="shared" ca="1" si="124"/>
        <v>6</v>
      </c>
      <c r="B1112" s="12" t="s">
        <v>3389</v>
      </c>
      <c r="C1112" s="13">
        <v>45993</v>
      </c>
      <c r="D1112" s="14" t="s">
        <v>121</v>
      </c>
      <c r="E1112" s="14" t="s">
        <v>139</v>
      </c>
      <c r="F1112" s="14" t="s">
        <v>933</v>
      </c>
      <c r="G1112" s="14" t="s">
        <v>32</v>
      </c>
      <c r="H1112" s="14">
        <v>35738190</v>
      </c>
      <c r="I1112" s="14" t="s">
        <v>402</v>
      </c>
      <c r="J1112" s="14" t="str">
        <f>IF(E1112="KTG","KTG",(VLOOKUP(I1112,'[1]list of outsource'!B:H,2,0)))</f>
        <v>ETC</v>
      </c>
      <c r="K1112" s="14" t="s">
        <v>403</v>
      </c>
      <c r="L1112" s="14">
        <v>11</v>
      </c>
      <c r="M1112" s="14" t="s">
        <v>1760</v>
      </c>
      <c r="N1112" s="14" t="s">
        <v>3390</v>
      </c>
      <c r="O1112" s="14" t="s">
        <v>3391</v>
      </c>
      <c r="P1112" s="14"/>
      <c r="Q1112" s="15">
        <v>45852</v>
      </c>
      <c r="R1112" s="14"/>
      <c r="S1112" s="16"/>
      <c r="T1112" s="14"/>
      <c r="U1112" s="14">
        <v>3</v>
      </c>
      <c r="V1112" s="14" t="s">
        <v>665</v>
      </c>
      <c r="W1112" s="14" t="s">
        <v>37</v>
      </c>
      <c r="X1112" s="13">
        <v>45999</v>
      </c>
      <c r="Y1112" s="13"/>
      <c r="AE1112" t="str">
        <f t="shared" si="125"/>
        <v>P000355</v>
      </c>
      <c r="AF1112" t="str">
        <f>_xlfn.XLOOKUP(AE1112, Hoja2!A:A, Hoja2!A:A)</f>
        <v>P000355</v>
      </c>
      <c r="AG1112" t="str">
        <f t="shared" si="126"/>
        <v>PP00042-0042</v>
      </c>
      <c r="AH1112">
        <f>_xlfn.XLOOKUP(AG1112, Hoja3!A:A, Hoja3!B:B)</f>
        <v>5160</v>
      </c>
      <c r="AI1112">
        <f>_xlfn.XLOOKUP(AH1112, Hoja4!A:A, Hoja4!B:B)</f>
        <v>35738190</v>
      </c>
      <c r="AJ1112" t="b">
        <f t="shared" si="127"/>
        <v>1</v>
      </c>
    </row>
    <row r="1113" spans="1:36" ht="15.5" customHeight="1" x14ac:dyDescent="0.35">
      <c r="A1113">
        <f t="shared" ca="1" si="124"/>
        <v>32</v>
      </c>
      <c r="B1113" s="17" t="s">
        <v>3392</v>
      </c>
      <c r="C1113" s="7">
        <v>45757</v>
      </c>
      <c r="D1113" s="6" t="s">
        <v>564</v>
      </c>
      <c r="E1113" s="6" t="s">
        <v>139</v>
      </c>
      <c r="F1113" s="6" t="s">
        <v>84</v>
      </c>
      <c r="G1113" s="6" t="s">
        <v>156</v>
      </c>
      <c r="H1113" s="6" t="s">
        <v>3393</v>
      </c>
      <c r="I1113" s="6" t="s">
        <v>402</v>
      </c>
      <c r="J1113" s="6" t="str">
        <f>IF(E1113="KTG","KTG",(VLOOKUP(I1113,'[1]list of outsource'!B:H,2,0)))</f>
        <v>ETC</v>
      </c>
      <c r="K1113" s="6" t="s">
        <v>403</v>
      </c>
      <c r="L1113" s="6">
        <v>68</v>
      </c>
      <c r="M1113" s="6" t="s">
        <v>3394</v>
      </c>
      <c r="N1113" s="6" t="s">
        <v>3395</v>
      </c>
      <c r="O1113" s="6" t="s">
        <v>3396</v>
      </c>
      <c r="P1113" s="6"/>
      <c r="Q1113" s="8">
        <v>45765</v>
      </c>
      <c r="R1113" s="6"/>
      <c r="S1113" s="18"/>
      <c r="T1113" s="6"/>
      <c r="U1113" s="6">
        <v>4</v>
      </c>
      <c r="V1113" s="6" t="s">
        <v>665</v>
      </c>
      <c r="W1113" s="6" t="s">
        <v>37</v>
      </c>
      <c r="X1113" s="7">
        <v>45789</v>
      </c>
      <c r="Y1113" s="7">
        <v>45814</v>
      </c>
      <c r="AB1113" t="s">
        <v>3397</v>
      </c>
      <c r="AC1113" t="e">
        <v>#N/A</v>
      </c>
      <c r="AE1113" t="str">
        <f t="shared" si="125"/>
        <v>P001065</v>
      </c>
      <c r="AF1113" t="str">
        <f>_xlfn.XLOOKUP(AE1113, Hoja2!A:A, Hoja2!A:A)</f>
        <v>P001065</v>
      </c>
      <c r="AG1113" t="str">
        <f t="shared" si="126"/>
        <v>PP00059-12</v>
      </c>
      <c r="AH1113">
        <f>_xlfn.XLOOKUP(AG1113, Hoja3!A:A, Hoja3!B:B)</f>
        <v>58</v>
      </c>
      <c r="AI1113" t="str">
        <f>_xlfn.XLOOKUP(AH1113, Hoja4!A:A, Hoja4!B:B)</f>
        <v>E51299200</v>
      </c>
      <c r="AJ1113" t="b">
        <f t="shared" si="127"/>
        <v>1</v>
      </c>
    </row>
    <row r="1114" spans="1:36" ht="15.5" hidden="1" customHeight="1" x14ac:dyDescent="0.35">
      <c r="A1114">
        <f t="shared" ca="1" si="124"/>
        <v>8</v>
      </c>
      <c r="B1114" s="56" t="s">
        <v>3398</v>
      </c>
      <c r="C1114" s="50">
        <v>46001</v>
      </c>
      <c r="D1114" s="26" t="s">
        <v>3399</v>
      </c>
      <c r="E1114" s="26" t="s">
        <v>139</v>
      </c>
      <c r="F1114" s="56" t="s">
        <v>3400</v>
      </c>
      <c r="G1114" s="26" t="s">
        <v>299</v>
      </c>
      <c r="H1114" s="26" t="s">
        <v>3401</v>
      </c>
      <c r="I1114" s="26" t="s">
        <v>849</v>
      </c>
      <c r="J1114" s="26" t="str">
        <f>IF(E1114="KTG","KTG",(VLOOKUP(I1114,'[1]list of outsource'!B:H,2,0)))</f>
        <v>ETC</v>
      </c>
      <c r="K1114" s="26" t="s">
        <v>850</v>
      </c>
      <c r="L1114" s="51"/>
      <c r="M1114" s="26" t="s">
        <v>3402</v>
      </c>
      <c r="N1114" s="26" t="s">
        <v>3403</v>
      </c>
      <c r="O1114" s="26"/>
      <c r="P1114" s="26"/>
      <c r="Q1114" s="52"/>
      <c r="R1114" s="26"/>
      <c r="S1114" s="53"/>
      <c r="T1114" s="26"/>
      <c r="U1114" s="26">
        <v>3</v>
      </c>
      <c r="V1114" s="26" t="s">
        <v>665</v>
      </c>
      <c r="W1114" s="26" t="s">
        <v>37</v>
      </c>
      <c r="X1114" s="50"/>
      <c r="Y1114" s="50"/>
      <c r="Z1114" s="32"/>
      <c r="AA1114" s="32"/>
      <c r="AB1114" s="32"/>
      <c r="AC1114"/>
      <c r="AE1114" t="str">
        <f t="shared" si="125"/>
        <v>P000566</v>
      </c>
      <c r="AF1114" t="str">
        <f>_xlfn.XLOOKUP(AE1114, Hoja2!A:A, Hoja2!A:A)</f>
        <v>P000566</v>
      </c>
      <c r="AG1114" t="str">
        <f t="shared" si="126"/>
        <v>PP00108-0001</v>
      </c>
      <c r="AH1114" t="e">
        <f>_xlfn.XLOOKUP(AG1114, Hoja3!A:A, Hoja3!B:B)</f>
        <v>#N/A</v>
      </c>
    </row>
    <row r="1115" spans="1:36" ht="15.5" customHeight="1" x14ac:dyDescent="0.35">
      <c r="A1115">
        <f t="shared" ca="1" si="124"/>
        <v>46009</v>
      </c>
      <c r="B1115" s="36" t="s">
        <v>3120</v>
      </c>
      <c r="C1115" s="41"/>
      <c r="D1115" s="38" t="s">
        <v>3404</v>
      </c>
      <c r="E1115" s="38" t="s">
        <v>139</v>
      </c>
      <c r="F1115" s="38" t="s">
        <v>933</v>
      </c>
      <c r="G1115" s="38" t="s">
        <v>32</v>
      </c>
      <c r="H1115" s="38">
        <v>35738193</v>
      </c>
      <c r="I1115" s="38" t="s">
        <v>208</v>
      </c>
      <c r="J1115" s="38" t="str">
        <f>IF(E1115="KTG","KTG",(VLOOKUP(I1115,'[1]list of outsource'!B:H,2,0)))</f>
        <v>ETC</v>
      </c>
      <c r="K1115" s="38" t="s">
        <v>209</v>
      </c>
      <c r="L1115" s="39" t="s">
        <v>1488</v>
      </c>
      <c r="M1115" s="38" t="s">
        <v>3122</v>
      </c>
      <c r="N1115" s="38" t="s">
        <v>3123</v>
      </c>
      <c r="O1115" s="38">
        <v>1289739461</v>
      </c>
      <c r="P1115" s="38"/>
      <c r="Q1115" s="37" t="s">
        <v>575</v>
      </c>
      <c r="R1115" s="38" t="s">
        <v>575</v>
      </c>
      <c r="S1115" s="40" t="s">
        <v>575</v>
      </c>
      <c r="T1115" s="38" t="s">
        <v>575</v>
      </c>
      <c r="U1115" s="38">
        <v>4</v>
      </c>
      <c r="V1115" s="38" t="s">
        <v>919</v>
      </c>
      <c r="W1115" s="38" t="s">
        <v>37</v>
      </c>
      <c r="X1115" s="41"/>
      <c r="Y1115" s="41"/>
      <c r="AB1115" t="e">
        <v>#N/A</v>
      </c>
      <c r="AC1115" t="s">
        <v>4210</v>
      </c>
      <c r="AE1115" t="str">
        <f t="shared" si="125"/>
        <v>P000362</v>
      </c>
      <c r="AF1115" t="str">
        <f>_xlfn.XLOOKUP(AE1115, Hoja2!A:A, Hoja2!A:A)</f>
        <v>P000362</v>
      </c>
      <c r="AG1115" t="str">
        <f t="shared" si="126"/>
        <v>PP00042-0013</v>
      </c>
      <c r="AH1115">
        <f>_xlfn.XLOOKUP(AG1115, Hoja3!A:A, Hoja3!B:B)</f>
        <v>5140</v>
      </c>
      <c r="AI1115">
        <f>_xlfn.XLOOKUP(AH1115, Hoja4!A:A, Hoja4!B:B)</f>
        <v>35738193</v>
      </c>
      <c r="AJ1115" t="b">
        <f t="shared" ref="AJ1115:AJ1128" si="128">H1115=AI1115</f>
        <v>1</v>
      </c>
    </row>
    <row r="1116" spans="1:36" ht="15.5" customHeight="1" x14ac:dyDescent="0.35">
      <c r="A1116">
        <f t="shared" ca="1" si="124"/>
        <v>46009</v>
      </c>
      <c r="B1116" s="36" t="s">
        <v>3405</v>
      </c>
      <c r="C1116" s="41"/>
      <c r="D1116" s="38" t="s">
        <v>3404</v>
      </c>
      <c r="E1116" s="38" t="s">
        <v>139</v>
      </c>
      <c r="F1116" s="38" t="s">
        <v>933</v>
      </c>
      <c r="G1116" s="38" t="s">
        <v>32</v>
      </c>
      <c r="H1116" s="38">
        <v>35758211</v>
      </c>
      <c r="I1116" s="38" t="s">
        <v>402</v>
      </c>
      <c r="J1116" s="38" t="str">
        <f>IF(E1116="KTG","KTG",(VLOOKUP(I1116,'[1]list of outsource'!B:H,2,0)))</f>
        <v>ETC</v>
      </c>
      <c r="K1116" s="38" t="s">
        <v>403</v>
      </c>
      <c r="L1116" s="39" t="s">
        <v>2907</v>
      </c>
      <c r="M1116" s="38" t="s">
        <v>3406</v>
      </c>
      <c r="N1116" s="38" t="s">
        <v>3407</v>
      </c>
      <c r="O1116" s="38">
        <v>1289762327</v>
      </c>
      <c r="P1116" s="38"/>
      <c r="Q1116" s="37" t="s">
        <v>575</v>
      </c>
      <c r="R1116" s="38" t="s">
        <v>575</v>
      </c>
      <c r="S1116" s="40"/>
      <c r="T1116" s="38" t="s">
        <v>575</v>
      </c>
      <c r="U1116" s="38">
        <v>4</v>
      </c>
      <c r="V1116" s="38" t="s">
        <v>919</v>
      </c>
      <c r="W1116" s="38" t="s">
        <v>37</v>
      </c>
      <c r="X1116" s="41"/>
      <c r="Y1116" s="41"/>
      <c r="AB1116" t="e">
        <v>#N/A</v>
      </c>
      <c r="AE1116" t="str">
        <f t="shared" si="125"/>
        <v>P000359</v>
      </c>
      <c r="AF1116" t="str">
        <f>_xlfn.XLOOKUP(AE1116, Hoja2!A:A, Hoja2!A:A)</f>
        <v>P000359</v>
      </c>
      <c r="AG1116" t="str">
        <f t="shared" si="126"/>
        <v>PP00042-0017</v>
      </c>
      <c r="AH1116">
        <v>5143</v>
      </c>
      <c r="AI1116">
        <f>_xlfn.XLOOKUP(AH1116, Hoja4!A:A, Hoja4!B:B)</f>
        <v>35758211</v>
      </c>
      <c r="AJ1116" t="b">
        <f t="shared" si="128"/>
        <v>1</v>
      </c>
    </row>
    <row r="1117" spans="1:36" ht="15.5" customHeight="1" x14ac:dyDescent="0.35">
      <c r="A1117">
        <f t="shared" ca="1" si="124"/>
        <v>7</v>
      </c>
      <c r="B1117" s="26" t="s">
        <v>3408</v>
      </c>
      <c r="C1117" s="50">
        <v>46002</v>
      </c>
      <c r="D1117" s="26" t="s">
        <v>3409</v>
      </c>
      <c r="E1117" s="26" t="s">
        <v>83</v>
      </c>
      <c r="F1117" s="26" t="s">
        <v>84</v>
      </c>
      <c r="G1117" s="26" t="s">
        <v>156</v>
      </c>
      <c r="H1117" s="26" t="s">
        <v>3410</v>
      </c>
      <c r="I1117" s="26" t="s">
        <v>158</v>
      </c>
      <c r="J1117" s="26" t="str">
        <f>IF(E1117="KTG","KTG",(VLOOKUP(I1117,'[1]list of outsource'!B:H,2,0)))</f>
        <v>UPM</v>
      </c>
      <c r="K1117" s="26" t="s">
        <v>159</v>
      </c>
      <c r="L1117" s="51"/>
      <c r="M1117" s="26" t="s">
        <v>3411</v>
      </c>
      <c r="N1117" s="26" t="s">
        <v>3412</v>
      </c>
      <c r="O1117" s="26"/>
      <c r="P1117" s="26"/>
      <c r="Q1117" s="52"/>
      <c r="R1117" s="26"/>
      <c r="S1117" s="53"/>
      <c r="T1117" s="26"/>
      <c r="U1117" s="26">
        <v>3</v>
      </c>
      <c r="V1117" s="26" t="s">
        <v>665</v>
      </c>
      <c r="W1117" s="26" t="s">
        <v>37</v>
      </c>
      <c r="X1117" s="50"/>
      <c r="Y1117" s="50"/>
      <c r="Z1117" s="32"/>
      <c r="AA1117" s="32"/>
      <c r="AB1117" s="32"/>
      <c r="AC1117" t="e">
        <v>#N/A</v>
      </c>
      <c r="AE1117" t="str">
        <f t="shared" si="125"/>
        <v>P001215</v>
      </c>
      <c r="AF1117" t="str">
        <f>_xlfn.XLOOKUP(AE1117, Hoja2!A:A, Hoja2!A:A)</f>
        <v>P001215</v>
      </c>
      <c r="AG1117" t="str">
        <f t="shared" si="126"/>
        <v>PP00028-0096</v>
      </c>
      <c r="AH1117">
        <v>5738</v>
      </c>
      <c r="AI1117" t="str">
        <f>_xlfn.XLOOKUP(AH1117, Hoja4!A:A, Hoja4!B:B)</f>
        <v>E56949600</v>
      </c>
      <c r="AJ1117" t="b">
        <f t="shared" si="128"/>
        <v>1</v>
      </c>
    </row>
    <row r="1118" spans="1:36" ht="15.5" customHeight="1" x14ac:dyDescent="0.35">
      <c r="A1118">
        <f t="shared" ca="1" si="124"/>
        <v>7</v>
      </c>
      <c r="B1118" s="26" t="s">
        <v>3413</v>
      </c>
      <c r="C1118" s="50">
        <v>46002</v>
      </c>
      <c r="D1118" s="26" t="s">
        <v>3409</v>
      </c>
      <c r="E1118" s="26" t="s">
        <v>83</v>
      </c>
      <c r="F1118" s="26" t="s">
        <v>84</v>
      </c>
      <c r="G1118" s="26" t="s">
        <v>156</v>
      </c>
      <c r="H1118" s="26" t="s">
        <v>3414</v>
      </c>
      <c r="I1118" s="26" t="s">
        <v>158</v>
      </c>
      <c r="J1118" s="26" t="str">
        <f>IF(E1118="KTG","KTG",(VLOOKUP(I1118,'[1]list of outsource'!B:H,2,0)))</f>
        <v>UPM</v>
      </c>
      <c r="K1118" s="26" t="s">
        <v>159</v>
      </c>
      <c r="L1118" s="51"/>
      <c r="M1118" s="26" t="s">
        <v>1574</v>
      </c>
      <c r="N1118" s="26" t="s">
        <v>1575</v>
      </c>
      <c r="O1118" s="26"/>
      <c r="P1118" s="26"/>
      <c r="Q1118" s="52"/>
      <c r="R1118" s="26"/>
      <c r="S1118" s="53"/>
      <c r="T1118" s="26"/>
      <c r="U1118" s="26">
        <v>3</v>
      </c>
      <c r="V1118" s="26" t="s">
        <v>665</v>
      </c>
      <c r="W1118" s="26" t="s">
        <v>37</v>
      </c>
      <c r="X1118" s="50"/>
      <c r="Y1118" s="50"/>
      <c r="Z1118" s="32"/>
      <c r="AA1118" s="32"/>
      <c r="AB1118" s="32"/>
      <c r="AC1118" t="e">
        <v>#N/A</v>
      </c>
      <c r="AE1118" t="str">
        <f t="shared" si="125"/>
        <v>P000299</v>
      </c>
      <c r="AF1118" t="str">
        <f>_xlfn.XLOOKUP(AE1118, Hoja2!A:A, Hoja2!A:A)</f>
        <v>P000299</v>
      </c>
      <c r="AG1118" t="str">
        <f t="shared" si="126"/>
        <v>PP00028-0097</v>
      </c>
      <c r="AH1118">
        <v>5739</v>
      </c>
      <c r="AI1118" t="str">
        <f>_xlfn.XLOOKUP(AH1118, Hoja4!A:A, Hoja4!B:B)</f>
        <v>E56919700</v>
      </c>
      <c r="AJ1118" t="b">
        <f t="shared" si="128"/>
        <v>1</v>
      </c>
    </row>
    <row r="1119" spans="1:36" ht="15.5" customHeight="1" x14ac:dyDescent="0.35">
      <c r="A1119">
        <f t="shared" ca="1" si="124"/>
        <v>7</v>
      </c>
      <c r="B1119" s="26" t="s">
        <v>3415</v>
      </c>
      <c r="C1119" s="50">
        <v>46002</v>
      </c>
      <c r="D1119" s="26" t="s">
        <v>3409</v>
      </c>
      <c r="E1119" s="26" t="s">
        <v>83</v>
      </c>
      <c r="F1119" s="26" t="s">
        <v>84</v>
      </c>
      <c r="G1119" s="26" t="s">
        <v>156</v>
      </c>
      <c r="H1119" s="26" t="s">
        <v>3416</v>
      </c>
      <c r="I1119" s="26" t="s">
        <v>158</v>
      </c>
      <c r="J1119" s="26" t="str">
        <f>IF(E1119="KTG","KTG",(VLOOKUP(I1119,'[1]list of outsource'!B:H,2,0)))</f>
        <v>UPM</v>
      </c>
      <c r="K1119" s="26" t="s">
        <v>159</v>
      </c>
      <c r="L1119" s="51"/>
      <c r="M1119" s="26" t="s">
        <v>1587</v>
      </c>
      <c r="N1119" s="26" t="s">
        <v>1588</v>
      </c>
      <c r="O1119" s="26"/>
      <c r="P1119" s="26"/>
      <c r="Q1119" s="52"/>
      <c r="R1119" s="26"/>
      <c r="S1119" s="53"/>
      <c r="T1119" s="26"/>
      <c r="U1119" s="26">
        <v>3</v>
      </c>
      <c r="V1119" s="26" t="s">
        <v>665</v>
      </c>
      <c r="W1119" s="26" t="s">
        <v>37</v>
      </c>
      <c r="X1119" s="50"/>
      <c r="Y1119" s="50"/>
      <c r="Z1119" s="32"/>
      <c r="AA1119" s="32"/>
      <c r="AB1119" s="32"/>
      <c r="AE1119" t="str">
        <f t="shared" si="125"/>
        <v>P000300</v>
      </c>
      <c r="AF1119" t="str">
        <f>_xlfn.XLOOKUP(AE1119, Hoja2!A:A, Hoja2!A:A)</f>
        <v>P000300</v>
      </c>
      <c r="AG1119" t="str">
        <f t="shared" si="126"/>
        <v>PP00028-0098</v>
      </c>
      <c r="AH1119">
        <v>5740</v>
      </c>
      <c r="AI1119" t="str">
        <f>_xlfn.XLOOKUP(AH1119, Hoja4!A:A, Hoja4!B:B)</f>
        <v>E55347600</v>
      </c>
      <c r="AJ1119" t="b">
        <f t="shared" si="128"/>
        <v>1</v>
      </c>
    </row>
    <row r="1120" spans="1:36" ht="15.5" customHeight="1" x14ac:dyDescent="0.35">
      <c r="A1120">
        <f t="shared" ca="1" si="124"/>
        <v>6</v>
      </c>
      <c r="B1120" s="26" t="s">
        <v>661</v>
      </c>
      <c r="C1120" s="50">
        <v>46003</v>
      </c>
      <c r="D1120" s="26" t="s">
        <v>3399</v>
      </c>
      <c r="E1120" s="26" t="s">
        <v>139</v>
      </c>
      <c r="F1120" s="26" t="s">
        <v>658</v>
      </c>
      <c r="G1120" s="26" t="s">
        <v>32</v>
      </c>
      <c r="H1120" s="26">
        <v>35738193</v>
      </c>
      <c r="I1120" s="26" t="s">
        <v>208</v>
      </c>
      <c r="J1120" s="26" t="str">
        <f>IF(E1120="KTG","KTG",(VLOOKUP(I1120,'[1]list of outsource'!B:H,2,0)))</f>
        <v>ETC</v>
      </c>
      <c r="K1120" s="26" t="s">
        <v>209</v>
      </c>
      <c r="L1120" s="51"/>
      <c r="M1120" s="26" t="s">
        <v>3122</v>
      </c>
      <c r="N1120" s="26" t="s">
        <v>3417</v>
      </c>
      <c r="O1120" s="26"/>
      <c r="P1120" s="26"/>
      <c r="Q1120" s="52"/>
      <c r="R1120" s="26"/>
      <c r="S1120" s="53"/>
      <c r="T1120" s="26"/>
      <c r="U1120" s="26">
        <v>3</v>
      </c>
      <c r="V1120" s="26" t="s">
        <v>665</v>
      </c>
      <c r="W1120" s="26" t="s">
        <v>37</v>
      </c>
      <c r="X1120" s="50"/>
      <c r="Y1120" s="50"/>
      <c r="Z1120" s="32"/>
      <c r="AA1120" s="32"/>
      <c r="AB1120" s="32"/>
      <c r="AE1120" t="str">
        <f t="shared" si="125"/>
        <v>P000362</v>
      </c>
      <c r="AF1120" t="str">
        <f>_xlfn.XLOOKUP(AE1120, Hoja2!A:A, Hoja2!A:A)</f>
        <v>P000362</v>
      </c>
      <c r="AG1120" t="str">
        <f t="shared" si="126"/>
        <v>PP00034-0049</v>
      </c>
      <c r="AH1120">
        <v>4783</v>
      </c>
      <c r="AI1120" s="36">
        <v>35738193</v>
      </c>
      <c r="AJ1120" t="b">
        <f t="shared" si="128"/>
        <v>1</v>
      </c>
    </row>
    <row r="1121" spans="1:36" ht="15.5" customHeight="1" x14ac:dyDescent="0.35">
      <c r="A1121">
        <f t="shared" ca="1" si="124"/>
        <v>6</v>
      </c>
      <c r="B1121" s="26" t="s">
        <v>3418</v>
      </c>
      <c r="C1121" s="50">
        <v>46003</v>
      </c>
      <c r="D1121" s="26" t="s">
        <v>3399</v>
      </c>
      <c r="E1121" s="26" t="s">
        <v>139</v>
      </c>
      <c r="F1121" s="26" t="s">
        <v>658</v>
      </c>
      <c r="G1121" s="26" t="s">
        <v>32</v>
      </c>
      <c r="H1121" s="26">
        <v>35738194</v>
      </c>
      <c r="I1121" s="26" t="s">
        <v>208</v>
      </c>
      <c r="J1121" s="26" t="str">
        <f>IF(E1121="KTG","KTG",(VLOOKUP(I1121,'[1]list of outsource'!B:H,2,0)))</f>
        <v>ETC</v>
      </c>
      <c r="K1121" s="26" t="s">
        <v>209</v>
      </c>
      <c r="L1121" s="51"/>
      <c r="M1121" s="26" t="s">
        <v>336</v>
      </c>
      <c r="N1121" s="26" t="s">
        <v>3419</v>
      </c>
      <c r="O1121" s="26"/>
      <c r="P1121" s="26"/>
      <c r="Q1121" s="52"/>
      <c r="R1121" s="26"/>
      <c r="S1121" s="53"/>
      <c r="T1121" s="26"/>
      <c r="U1121" s="26">
        <v>3</v>
      </c>
      <c r="V1121" s="26" t="s">
        <v>665</v>
      </c>
      <c r="W1121" s="26" t="s">
        <v>37</v>
      </c>
      <c r="X1121" s="50"/>
      <c r="Y1121" s="50"/>
      <c r="Z1121" s="32"/>
      <c r="AA1121" s="32"/>
      <c r="AB1121" s="32"/>
      <c r="AE1121" t="str">
        <f t="shared" si="125"/>
        <v>P000164</v>
      </c>
      <c r="AF1121" t="str">
        <f>_xlfn.XLOOKUP(AE1121, Hoja2!A:A, Hoja2!A:A)</f>
        <v>P000164</v>
      </c>
      <c r="AG1121" t="str">
        <f t="shared" si="126"/>
        <v>PP00034-0050</v>
      </c>
      <c r="AH1121">
        <v>4769</v>
      </c>
      <c r="AI1121">
        <f>_xlfn.XLOOKUP(AH1121, Hoja4!A:A, Hoja4!B:B)</f>
        <v>35738194</v>
      </c>
      <c r="AJ1121" t="b">
        <f t="shared" si="128"/>
        <v>1</v>
      </c>
    </row>
    <row r="1122" spans="1:36" ht="15.5" customHeight="1" x14ac:dyDescent="0.35">
      <c r="A1122">
        <f t="shared" ca="1" si="124"/>
        <v>6</v>
      </c>
      <c r="B1122" s="26" t="s">
        <v>3420</v>
      </c>
      <c r="C1122" s="50">
        <v>46003</v>
      </c>
      <c r="D1122" s="26" t="s">
        <v>3399</v>
      </c>
      <c r="E1122" s="26" t="s">
        <v>139</v>
      </c>
      <c r="F1122" s="26" t="s">
        <v>658</v>
      </c>
      <c r="G1122" s="26" t="s">
        <v>32</v>
      </c>
      <c r="H1122" s="26">
        <v>35758207</v>
      </c>
      <c r="I1122" s="26" t="s">
        <v>402</v>
      </c>
      <c r="J1122" s="26" t="str">
        <f>IF(E1122="KTG","KTG",(VLOOKUP(I1122,'[1]list of outsource'!B:H,2,0)))</f>
        <v>ETC</v>
      </c>
      <c r="K1122" s="26" t="s">
        <v>403</v>
      </c>
      <c r="L1122" s="51"/>
      <c r="M1122" s="26" t="s">
        <v>3145</v>
      </c>
      <c r="N1122" s="26" t="s">
        <v>3146</v>
      </c>
      <c r="O1122" s="26"/>
      <c r="P1122" s="26"/>
      <c r="Q1122" s="52"/>
      <c r="R1122" s="26"/>
      <c r="S1122" s="53"/>
      <c r="T1122" s="26"/>
      <c r="U1122" s="26">
        <v>3</v>
      </c>
      <c r="V1122" s="26" t="s">
        <v>665</v>
      </c>
      <c r="W1122" s="26" t="s">
        <v>37</v>
      </c>
      <c r="X1122" s="50"/>
      <c r="Y1122" s="50"/>
      <c r="Z1122" s="32"/>
      <c r="AA1122" s="32"/>
      <c r="AB1122" s="32"/>
      <c r="AE1122" t="str">
        <f t="shared" si="125"/>
        <v>P000413</v>
      </c>
      <c r="AF1122" t="str">
        <f>_xlfn.XLOOKUP(AE1122, Hoja2!A:A, Hoja2!A:A)</f>
        <v>P000413</v>
      </c>
      <c r="AG1122" t="str">
        <f t="shared" si="126"/>
        <v>PP00034-0051</v>
      </c>
      <c r="AH1122">
        <v>4788</v>
      </c>
      <c r="AI1122">
        <f>_xlfn.XLOOKUP(AH1122, Hoja4!A:A, Hoja4!B:B)</f>
        <v>35758207</v>
      </c>
      <c r="AJ1122" t="b">
        <f t="shared" si="128"/>
        <v>1</v>
      </c>
    </row>
    <row r="1123" spans="1:36" ht="15.5" customHeight="1" x14ac:dyDescent="0.35">
      <c r="A1123">
        <f t="shared" ca="1" si="124"/>
        <v>6</v>
      </c>
      <c r="B1123" s="26" t="s">
        <v>3421</v>
      </c>
      <c r="C1123" s="50">
        <v>46003</v>
      </c>
      <c r="D1123" s="26" t="s">
        <v>3399</v>
      </c>
      <c r="E1123" s="26" t="s">
        <v>139</v>
      </c>
      <c r="F1123" s="26" t="s">
        <v>658</v>
      </c>
      <c r="G1123" s="26" t="s">
        <v>32</v>
      </c>
      <c r="H1123" s="26">
        <v>35758214</v>
      </c>
      <c r="I1123" s="26" t="s">
        <v>402</v>
      </c>
      <c r="J1123" s="26" t="str">
        <f>IF(E1123="KTG","KTG",(VLOOKUP(I1123,'[1]list of outsource'!B:H,2,0)))</f>
        <v>ETC</v>
      </c>
      <c r="K1123" s="26" t="s">
        <v>403</v>
      </c>
      <c r="L1123" s="51"/>
      <c r="M1123" s="26" t="s">
        <v>2706</v>
      </c>
      <c r="N1123" s="26" t="s">
        <v>3149</v>
      </c>
      <c r="O1123" s="26"/>
      <c r="P1123" s="26"/>
      <c r="Q1123" s="52"/>
      <c r="R1123" s="26"/>
      <c r="S1123" s="53"/>
      <c r="T1123" s="26"/>
      <c r="U1123" s="26">
        <v>3</v>
      </c>
      <c r="V1123" s="26" t="s">
        <v>665</v>
      </c>
      <c r="W1123" s="26" t="s">
        <v>37</v>
      </c>
      <c r="X1123" s="50"/>
      <c r="Y1123" s="50"/>
      <c r="Z1123" s="32"/>
      <c r="AA1123" s="32"/>
      <c r="AB1123" s="32"/>
      <c r="AE1123" t="str">
        <f t="shared" si="125"/>
        <v>P000417</v>
      </c>
      <c r="AF1123" t="str">
        <f>_xlfn.XLOOKUP(AE1123, Hoja2!A:A, Hoja2!A:A)</f>
        <v>P000417</v>
      </c>
      <c r="AG1123" t="str">
        <f t="shared" si="126"/>
        <v>PP00034-0052</v>
      </c>
      <c r="AH1123">
        <v>4789</v>
      </c>
      <c r="AI1123">
        <f>_xlfn.XLOOKUP(AH1123, Hoja4!A:A, Hoja4!B:B)</f>
        <v>35758214</v>
      </c>
      <c r="AJ1123" t="b">
        <f t="shared" si="128"/>
        <v>1</v>
      </c>
    </row>
    <row r="1124" spans="1:36" ht="15.5" customHeight="1" x14ac:dyDescent="0.35">
      <c r="A1124">
        <f t="shared" ca="1" si="124"/>
        <v>6</v>
      </c>
      <c r="B1124" s="26" t="s">
        <v>3422</v>
      </c>
      <c r="C1124" s="50">
        <v>46003</v>
      </c>
      <c r="D1124" s="26" t="s">
        <v>3399</v>
      </c>
      <c r="E1124" s="26" t="s">
        <v>139</v>
      </c>
      <c r="F1124" s="26" t="s">
        <v>658</v>
      </c>
      <c r="G1124" s="26" t="s">
        <v>32</v>
      </c>
      <c r="H1124" s="26">
        <v>35758221</v>
      </c>
      <c r="I1124" s="26" t="s">
        <v>402</v>
      </c>
      <c r="J1124" s="26" t="str">
        <f>IF(E1124="KTG","KTG",(VLOOKUP(I1124,'[1]list of outsource'!B:H,2,0)))</f>
        <v>ETC</v>
      </c>
      <c r="K1124" s="26" t="s">
        <v>403</v>
      </c>
      <c r="L1124" s="51"/>
      <c r="M1124" s="26" t="s">
        <v>1506</v>
      </c>
      <c r="N1124" s="26" t="s">
        <v>3423</v>
      </c>
      <c r="O1124" s="26"/>
      <c r="P1124" s="26"/>
      <c r="Q1124" s="52"/>
      <c r="R1124" s="26"/>
      <c r="S1124" s="53"/>
      <c r="T1124" s="26"/>
      <c r="U1124" s="26">
        <v>3</v>
      </c>
      <c r="V1124" s="26" t="s">
        <v>665</v>
      </c>
      <c r="W1124" s="26" t="s">
        <v>37</v>
      </c>
      <c r="X1124" s="50"/>
      <c r="Y1124" s="50"/>
      <c r="Z1124" s="32"/>
      <c r="AA1124" s="32"/>
      <c r="AB1124" s="32"/>
      <c r="AE1124" t="str">
        <f t="shared" si="125"/>
        <v>P000420</v>
      </c>
      <c r="AF1124" t="str">
        <f>_xlfn.XLOOKUP(AE1124, Hoja2!A:A, Hoja2!A:A)</f>
        <v>P000420</v>
      </c>
      <c r="AG1124" t="str">
        <f t="shared" si="126"/>
        <v>PP00034-0053</v>
      </c>
      <c r="AH1124">
        <v>4790</v>
      </c>
      <c r="AI1124">
        <f>_xlfn.XLOOKUP(AH1124, Hoja4!A:A, Hoja4!B:B)</f>
        <v>35758221</v>
      </c>
      <c r="AJ1124" t="b">
        <f t="shared" si="128"/>
        <v>1</v>
      </c>
    </row>
    <row r="1125" spans="1:36" ht="15.5" customHeight="1" x14ac:dyDescent="0.35">
      <c r="A1125">
        <f t="shared" ca="1" si="124"/>
        <v>6</v>
      </c>
      <c r="B1125" s="26" t="s">
        <v>3424</v>
      </c>
      <c r="C1125" s="50">
        <v>46003</v>
      </c>
      <c r="D1125" s="26" t="s">
        <v>3399</v>
      </c>
      <c r="E1125" s="26" t="s">
        <v>139</v>
      </c>
      <c r="F1125" s="26" t="s">
        <v>658</v>
      </c>
      <c r="G1125" s="26" t="s">
        <v>32</v>
      </c>
      <c r="H1125" s="26">
        <v>35758225</v>
      </c>
      <c r="I1125" s="26" t="s">
        <v>402</v>
      </c>
      <c r="J1125" s="26" t="str">
        <f>IF(E1125="KTG","KTG",(VLOOKUP(I1125,'[1]list of outsource'!B:H,2,0)))</f>
        <v>ETC</v>
      </c>
      <c r="K1125" s="26" t="s">
        <v>403</v>
      </c>
      <c r="L1125" s="51"/>
      <c r="M1125" s="26" t="s">
        <v>3152</v>
      </c>
      <c r="N1125" s="26" t="s">
        <v>3153</v>
      </c>
      <c r="O1125" s="26"/>
      <c r="P1125" s="26"/>
      <c r="Q1125" s="52"/>
      <c r="R1125" s="26"/>
      <c r="S1125" s="53"/>
      <c r="T1125" s="26"/>
      <c r="U1125" s="26">
        <v>3</v>
      </c>
      <c r="V1125" s="26" t="s">
        <v>665</v>
      </c>
      <c r="W1125" s="26" t="s">
        <v>37</v>
      </c>
      <c r="X1125" s="50"/>
      <c r="Y1125" s="50"/>
      <c r="Z1125" s="32"/>
      <c r="AA1125" s="32"/>
      <c r="AB1125" s="32"/>
      <c r="AE1125" t="str">
        <f t="shared" si="125"/>
        <v>P000423</v>
      </c>
      <c r="AF1125" t="str">
        <f>_xlfn.XLOOKUP(AE1125, Hoja2!A:A, Hoja2!A:A)</f>
        <v>P000423</v>
      </c>
      <c r="AG1125" t="str">
        <f t="shared" si="126"/>
        <v>PP00034-0054</v>
      </c>
      <c r="AH1125">
        <v>4791</v>
      </c>
      <c r="AI1125">
        <f>_xlfn.XLOOKUP(AH1125, Hoja4!A:A, Hoja4!B:B)</f>
        <v>35758225</v>
      </c>
      <c r="AJ1125" t="b">
        <f t="shared" si="128"/>
        <v>1</v>
      </c>
    </row>
    <row r="1126" spans="1:36" ht="15.5" customHeight="1" x14ac:dyDescent="0.35">
      <c r="A1126">
        <f t="shared" ca="1" si="124"/>
        <v>2</v>
      </c>
      <c r="B1126" s="26" t="s">
        <v>3425</v>
      </c>
      <c r="C1126" s="50">
        <v>46007</v>
      </c>
      <c r="D1126" s="26" t="s">
        <v>3426</v>
      </c>
      <c r="E1126" s="26" t="s">
        <v>30</v>
      </c>
      <c r="F1126" s="26" t="s">
        <v>140</v>
      </c>
      <c r="G1126" s="26" t="s">
        <v>299</v>
      </c>
      <c r="H1126" s="26">
        <v>3010816</v>
      </c>
      <c r="I1126" s="26"/>
      <c r="J1126" s="26" t="str">
        <f>IF(E1126="KTG","KTG",(VLOOKUP(I1126,'[1]list of outsource'!B:H,2,0)))</f>
        <v>KTG</v>
      </c>
      <c r="K1126" s="26"/>
      <c r="L1126" s="51"/>
      <c r="M1126" s="26" t="s">
        <v>3427</v>
      </c>
      <c r="N1126" s="26" t="s">
        <v>3428</v>
      </c>
      <c r="O1126" s="26"/>
      <c r="P1126" s="26"/>
      <c r="Q1126" s="52"/>
      <c r="R1126" s="26"/>
      <c r="S1126" s="53"/>
      <c r="T1126" s="26"/>
      <c r="U1126" s="26">
        <v>3</v>
      </c>
      <c r="V1126" s="26" t="s">
        <v>665</v>
      </c>
      <c r="W1126" s="26" t="s">
        <v>37</v>
      </c>
      <c r="X1126" s="50"/>
      <c r="Y1126" s="50"/>
      <c r="Z1126" s="32"/>
      <c r="AA1126" s="32"/>
      <c r="AB1126" s="32"/>
      <c r="AE1126" t="str">
        <f t="shared" si="125"/>
        <v>E20038</v>
      </c>
      <c r="AF1126" t="str">
        <f>_xlfn.XLOOKUP(AE1126, Hoja2!A:A, Hoja2!A:A)</f>
        <v>E20038</v>
      </c>
      <c r="AG1126" t="str">
        <f t="shared" si="126"/>
        <v>PP00074-0020</v>
      </c>
      <c r="AH1126">
        <v>4536</v>
      </c>
      <c r="AI1126">
        <f>_xlfn.XLOOKUP(AH1126, Hoja4!A:A, Hoja4!B:B)</f>
        <v>3010816</v>
      </c>
      <c r="AJ1126" t="b">
        <f t="shared" si="128"/>
        <v>1</v>
      </c>
    </row>
    <row r="1127" spans="1:36" ht="15.5" customHeight="1" x14ac:dyDescent="0.35">
      <c r="A1127">
        <f t="shared" ca="1" si="124"/>
        <v>2</v>
      </c>
      <c r="B1127" s="26" t="s">
        <v>3429</v>
      </c>
      <c r="C1127" s="50">
        <v>46007</v>
      </c>
      <c r="D1127" s="26" t="s">
        <v>3426</v>
      </c>
      <c r="E1127" s="26" t="s">
        <v>30</v>
      </c>
      <c r="F1127" s="26" t="s">
        <v>140</v>
      </c>
      <c r="G1127" s="26" t="s">
        <v>299</v>
      </c>
      <c r="H1127" s="26">
        <v>3013984</v>
      </c>
      <c r="I1127" s="26"/>
      <c r="J1127" s="26" t="str">
        <f>IF(E1127="KTG","KTG",(VLOOKUP(I1127,'[1]list of outsource'!B:H,2,0)))</f>
        <v>KTG</v>
      </c>
      <c r="K1127" s="26"/>
      <c r="L1127" s="51"/>
      <c r="M1127" s="26" t="s">
        <v>3430</v>
      </c>
      <c r="N1127" s="26" t="s">
        <v>3431</v>
      </c>
      <c r="O1127" s="26"/>
      <c r="P1127" s="26"/>
      <c r="Q1127" s="52"/>
      <c r="R1127" s="26"/>
      <c r="S1127" s="53"/>
      <c r="T1127" s="26"/>
      <c r="U1127" s="26">
        <v>3</v>
      </c>
      <c r="V1127" s="26" t="s">
        <v>665</v>
      </c>
      <c r="W1127" s="26" t="s">
        <v>37</v>
      </c>
      <c r="X1127" s="50"/>
      <c r="Y1127" s="50"/>
      <c r="Z1127" s="32"/>
      <c r="AA1127" s="32"/>
      <c r="AB1127" s="32"/>
      <c r="AE1127" t="str">
        <f t="shared" si="125"/>
        <v>E20006</v>
      </c>
      <c r="AF1127" t="str">
        <f>_xlfn.XLOOKUP(AE1127, Hoja2!A:A, Hoja2!A:A)</f>
        <v>E20006</v>
      </c>
      <c r="AG1127" t="str">
        <f t="shared" si="126"/>
        <v>PP00074-0021</v>
      </c>
      <c r="AH1127">
        <v>4527</v>
      </c>
      <c r="AI1127">
        <f>_xlfn.XLOOKUP(AH1127, Hoja4!A:A, Hoja4!B:B)</f>
        <v>3013984</v>
      </c>
      <c r="AJ1127" t="b">
        <f t="shared" si="128"/>
        <v>1</v>
      </c>
    </row>
    <row r="1128" spans="1:36" ht="15.5" customHeight="1" x14ac:dyDescent="0.35">
      <c r="A1128">
        <f t="shared" ca="1" si="124"/>
        <v>2</v>
      </c>
      <c r="B1128" s="26" t="s">
        <v>3432</v>
      </c>
      <c r="C1128" s="50">
        <v>46007</v>
      </c>
      <c r="D1128" s="26" t="s">
        <v>3426</v>
      </c>
      <c r="E1128" s="26" t="s">
        <v>30</v>
      </c>
      <c r="F1128" s="26" t="s">
        <v>140</v>
      </c>
      <c r="G1128" s="26" t="s">
        <v>299</v>
      </c>
      <c r="H1128" s="26">
        <v>3013804</v>
      </c>
      <c r="I1128" s="26"/>
      <c r="J1128" s="26" t="str">
        <f>IF(E1128="KTG","KTG",(VLOOKUP(I1128,'[1]list of outsource'!B:H,2,0)))</f>
        <v>KTG</v>
      </c>
      <c r="K1128" s="26"/>
      <c r="L1128" s="51"/>
      <c r="M1128" s="26" t="s">
        <v>3433</v>
      </c>
      <c r="N1128" s="26" t="s">
        <v>3434</v>
      </c>
      <c r="O1128" s="26"/>
      <c r="P1128" s="26"/>
      <c r="Q1128" s="52"/>
      <c r="R1128" s="26"/>
      <c r="S1128" s="53"/>
      <c r="T1128" s="26"/>
      <c r="U1128" s="26">
        <v>3</v>
      </c>
      <c r="V1128" s="26" t="s">
        <v>665</v>
      </c>
      <c r="W1128" s="26" t="s">
        <v>37</v>
      </c>
      <c r="X1128" s="50"/>
      <c r="Y1128" s="50"/>
      <c r="Z1128" s="32"/>
      <c r="AA1128" s="32"/>
      <c r="AB1128" s="32"/>
      <c r="AE1128" t="str">
        <f t="shared" si="125"/>
        <v>E20041</v>
      </c>
      <c r="AF1128" t="str">
        <f>_xlfn.XLOOKUP(AE1128, Hoja2!A:A, Hoja2!A:A)</f>
        <v>E20041</v>
      </c>
      <c r="AG1128" t="str">
        <f t="shared" si="126"/>
        <v>PP00074-0022</v>
      </c>
      <c r="AH1128">
        <v>4537</v>
      </c>
      <c r="AI1128">
        <f>_xlfn.XLOOKUP(AH1128, Hoja4!A:A, Hoja4!B:B)</f>
        <v>3013804</v>
      </c>
      <c r="AJ1128" t="b">
        <f t="shared" si="128"/>
        <v>1</v>
      </c>
    </row>
  </sheetData>
  <protectedRanges>
    <protectedRange sqref="H857" name="Range1_2"/>
  </protectedRanges>
  <autoFilter ref="A1:AJ1128" xr:uid="{C2FB8797-9A60-4260-952D-2BD734CCFAD6}">
    <filterColumn colId="33">
      <filters>
        <filter val="103"/>
        <filter val="104"/>
        <filter val="105"/>
        <filter val="107"/>
        <filter val="108"/>
        <filter val="109"/>
        <filter val="110"/>
        <filter val="111"/>
        <filter val="114"/>
        <filter val="115"/>
        <filter val="134"/>
        <filter val="137"/>
        <filter val="36"/>
        <filter val="37"/>
        <filter val="3782"/>
        <filter val="3783"/>
        <filter val="3784"/>
        <filter val="3788"/>
        <filter val="3789"/>
        <filter val="3790"/>
        <filter val="3791"/>
        <filter val="3792"/>
        <filter val="3793"/>
        <filter val="3794"/>
        <filter val="3795"/>
        <filter val="3796"/>
        <filter val="3798"/>
        <filter val="3799"/>
        <filter val="38"/>
        <filter val="3800"/>
        <filter val="3801"/>
        <filter val="3802"/>
        <filter val="3803"/>
        <filter val="3804"/>
        <filter val="3805"/>
        <filter val="39"/>
        <filter val="3958"/>
        <filter val="3960"/>
        <filter val="3961"/>
        <filter val="3962"/>
        <filter val="3963"/>
        <filter val="3965"/>
        <filter val="3966"/>
        <filter val="3967"/>
        <filter val="3968"/>
        <filter val="3969"/>
        <filter val="3971"/>
        <filter val="3972"/>
        <filter val="3987"/>
        <filter val="3988"/>
        <filter val="40"/>
        <filter val="4012"/>
        <filter val="4015"/>
        <filter val="4016"/>
        <filter val="4017"/>
        <filter val="4018"/>
        <filter val="4045"/>
        <filter val="4046"/>
        <filter val="4047"/>
        <filter val="4048"/>
        <filter val="41"/>
        <filter val="42"/>
        <filter val="4215"/>
        <filter val="4216"/>
        <filter val="4217"/>
        <filter val="4218"/>
        <filter val="4275"/>
        <filter val="4277"/>
        <filter val="4278"/>
        <filter val="4280"/>
        <filter val="4281"/>
        <filter val="4284"/>
        <filter val="4285"/>
        <filter val="4286"/>
        <filter val="4287"/>
        <filter val="4288"/>
        <filter val="4295"/>
        <filter val="4296"/>
        <filter val="4297"/>
        <filter val="4298"/>
        <filter val="4299"/>
        <filter val="43"/>
        <filter val="4300"/>
        <filter val="4301"/>
        <filter val="4302"/>
        <filter val="4303"/>
        <filter val="4304"/>
        <filter val="4305"/>
        <filter val="4306"/>
        <filter val="4313"/>
        <filter val="4325"/>
        <filter val="4326"/>
        <filter val="4327"/>
        <filter val="4348"/>
        <filter val="4369"/>
        <filter val="4370"/>
        <filter val="4378"/>
        <filter val="4379"/>
        <filter val="4380"/>
        <filter val="4381"/>
        <filter val="4382"/>
        <filter val="44"/>
        <filter val="4425"/>
        <filter val="4426"/>
        <filter val="4427"/>
        <filter val="4428"/>
        <filter val="4429"/>
        <filter val="4430"/>
        <filter val="4431"/>
        <filter val="4432"/>
        <filter val="4433"/>
        <filter val="4434"/>
        <filter val="4435"/>
        <filter val="4436"/>
        <filter val="4437"/>
        <filter val="4438"/>
        <filter val="4439"/>
        <filter val="4440"/>
        <filter val="4441"/>
        <filter val="4442"/>
        <filter val="4443"/>
        <filter val="4444"/>
        <filter val="4445"/>
        <filter val="4446"/>
        <filter val="4447"/>
        <filter val="4448"/>
        <filter val="4462"/>
        <filter val="4463"/>
        <filter val="4464"/>
        <filter val="4465"/>
        <filter val="4466"/>
        <filter val="4467"/>
        <filter val="4468"/>
        <filter val="4469"/>
        <filter val="4470"/>
        <filter val="4471"/>
        <filter val="4472"/>
        <filter val="4473"/>
        <filter val="4474"/>
        <filter val="4475"/>
        <filter val="4476"/>
        <filter val="4487"/>
        <filter val="4489"/>
        <filter val="4490"/>
        <filter val="4491"/>
        <filter val="4492"/>
        <filter val="4496"/>
        <filter val="4497"/>
        <filter val="4498"/>
        <filter val="45"/>
        <filter val="4527"/>
        <filter val="4529"/>
        <filter val="4533"/>
        <filter val="4536"/>
        <filter val="4537"/>
        <filter val="4538"/>
        <filter val="4539"/>
        <filter val="4540"/>
        <filter val="4541"/>
        <filter val="4546"/>
        <filter val="4550"/>
        <filter val="4551"/>
        <filter val="4552"/>
        <filter val="4553"/>
        <filter val="4554"/>
        <filter val="4556"/>
        <filter val="4557"/>
        <filter val="4559"/>
        <filter val="4561"/>
        <filter val="4562"/>
        <filter val="4563"/>
        <filter val="4564"/>
        <filter val="4565"/>
        <filter val="4566"/>
        <filter val="4567"/>
        <filter val="4569"/>
        <filter val="4570"/>
        <filter val="4571"/>
        <filter val="4572"/>
        <filter val="4573"/>
        <filter val="4574"/>
        <filter val="4575"/>
        <filter val="4577"/>
        <filter val="4578"/>
        <filter val="4580"/>
        <filter val="4581"/>
        <filter val="4582"/>
        <filter val="4583"/>
        <filter val="4584"/>
        <filter val="4585"/>
        <filter val="4586"/>
        <filter val="4587"/>
        <filter val="4588"/>
        <filter val="46"/>
        <filter val="4615"/>
        <filter val="4640"/>
        <filter val="4644"/>
        <filter val="4648"/>
        <filter val="4650"/>
        <filter val="4652"/>
        <filter val="4655"/>
        <filter val="4656"/>
        <filter val="4657"/>
        <filter val="4659"/>
        <filter val="4660"/>
        <filter val="4664"/>
        <filter val="4665"/>
        <filter val="4670"/>
        <filter val="4671"/>
        <filter val="4673"/>
        <filter val="47"/>
        <filter val="4722"/>
        <filter val="4726"/>
        <filter val="4728"/>
        <filter val="4729"/>
        <filter val="4739"/>
        <filter val="4742"/>
        <filter val="4747"/>
        <filter val="4748"/>
        <filter val="4751"/>
        <filter val="4754"/>
        <filter val="4755"/>
        <filter val="4759"/>
        <filter val="4761"/>
        <filter val="4764"/>
        <filter val="4765"/>
        <filter val="4766"/>
        <filter val="4767"/>
        <filter val="4769"/>
        <filter val="4770"/>
        <filter val="4771"/>
        <filter val="4772"/>
        <filter val="4774"/>
        <filter val="4775"/>
        <filter val="4776"/>
        <filter val="4778"/>
        <filter val="4779"/>
        <filter val="4780"/>
        <filter val="4781"/>
        <filter val="4782"/>
        <filter val="4783"/>
        <filter val="4784"/>
        <filter val="4785"/>
        <filter val="4786"/>
        <filter val="4787"/>
        <filter val="4788"/>
        <filter val="4789"/>
        <filter val="4790"/>
        <filter val="4791"/>
        <filter val="4792"/>
        <filter val="4793"/>
        <filter val="4794"/>
        <filter val="4796"/>
        <filter val="4797"/>
        <filter val="4798"/>
        <filter val="4799"/>
        <filter val="48"/>
        <filter val="4800"/>
        <filter val="4801"/>
        <filter val="4802"/>
        <filter val="4803"/>
        <filter val="4804"/>
        <filter val="4805"/>
        <filter val="4806"/>
        <filter val="4807"/>
        <filter val="4829"/>
        <filter val="4830"/>
        <filter val="4831"/>
        <filter val="49"/>
        <filter val="50"/>
        <filter val="51"/>
        <filter val="5107"/>
        <filter val="5108"/>
        <filter val="5109"/>
        <filter val="5110"/>
        <filter val="5111"/>
        <filter val="5112"/>
        <filter val="5113"/>
        <filter val="5114"/>
        <filter val="5115"/>
        <filter val="5116"/>
        <filter val="5117"/>
        <filter val="5118"/>
        <filter val="5119"/>
        <filter val="5120"/>
        <filter val="5121"/>
        <filter val="5122"/>
        <filter val="5123"/>
        <filter val="5124"/>
        <filter val="5125"/>
        <filter val="5126"/>
        <filter val="5127"/>
        <filter val="5128"/>
        <filter val="5129"/>
        <filter val="5130"/>
        <filter val="5131"/>
        <filter val="5132"/>
        <filter val="5133"/>
        <filter val="5134"/>
        <filter val="5135"/>
        <filter val="5136"/>
        <filter val="5137"/>
        <filter val="5138"/>
        <filter val="5139"/>
        <filter val="5140"/>
        <filter val="5141"/>
        <filter val="5142"/>
        <filter val="5143"/>
        <filter val="5144"/>
        <filter val="5145"/>
        <filter val="5146"/>
        <filter val="5147"/>
        <filter val="5148"/>
        <filter val="5149"/>
        <filter val="5150"/>
        <filter val="5151"/>
        <filter val="5152"/>
        <filter val="5153"/>
        <filter val="5154"/>
        <filter val="5155"/>
        <filter val="5156"/>
        <filter val="5157"/>
        <filter val="5158"/>
        <filter val="5159"/>
        <filter val="5160"/>
        <filter val="5161"/>
        <filter val="5162"/>
        <filter val="5163"/>
        <filter val="5164"/>
        <filter val="5165"/>
        <filter val="5166"/>
        <filter val="5167"/>
        <filter val="5168"/>
        <filter val="5169"/>
        <filter val="5170"/>
        <filter val="5171"/>
        <filter val="5172"/>
        <filter val="5173"/>
        <filter val="5174"/>
        <filter val="5175"/>
        <filter val="5176"/>
        <filter val="5177"/>
        <filter val="5178"/>
        <filter val="5179"/>
        <filter val="5180"/>
        <filter val="5181"/>
        <filter val="5182"/>
        <filter val="5183"/>
        <filter val="5184"/>
        <filter val="5185"/>
        <filter val="5186"/>
        <filter val="5187"/>
        <filter val="5188"/>
        <filter val="5189"/>
        <filter val="5190"/>
        <filter val="5191"/>
        <filter val="5192"/>
        <filter val="5193"/>
        <filter val="5194"/>
        <filter val="5195"/>
        <filter val="5196"/>
        <filter val="5197"/>
        <filter val="5198"/>
        <filter val="5199"/>
        <filter val="52"/>
        <filter val="5200"/>
        <filter val="5203"/>
        <filter val="5204"/>
        <filter val="5205"/>
        <filter val="5206"/>
        <filter val="5210"/>
        <filter val="5211"/>
        <filter val="5212"/>
        <filter val="5213"/>
        <filter val="5214"/>
        <filter val="5215"/>
        <filter val="5219"/>
        <filter val="5220"/>
        <filter val="5221"/>
        <filter val="5222"/>
        <filter val="5223"/>
        <filter val="5224"/>
        <filter val="5225"/>
        <filter val="5226"/>
        <filter val="5227"/>
        <filter val="5228"/>
        <filter val="5230"/>
        <filter val="5231"/>
        <filter val="5232"/>
        <filter val="5234"/>
        <filter val="5236"/>
        <filter val="5238"/>
        <filter val="5239"/>
        <filter val="5241"/>
        <filter val="5243"/>
        <filter val="5244"/>
        <filter val="5245"/>
        <filter val="5246"/>
        <filter val="5247"/>
        <filter val="5248"/>
        <filter val="5249"/>
        <filter val="5250"/>
        <filter val="5251"/>
        <filter val="5252"/>
        <filter val="5253"/>
        <filter val="5254"/>
        <filter val="5255"/>
        <filter val="5256"/>
        <filter val="5257"/>
        <filter val="5258"/>
        <filter val="5259"/>
        <filter val="5260"/>
        <filter val="5261"/>
        <filter val="5262"/>
        <filter val="5263"/>
        <filter val="5264"/>
        <filter val="5265"/>
        <filter val="5266"/>
        <filter val="5267"/>
        <filter val="5268"/>
        <filter val="5269"/>
        <filter val="5270"/>
        <filter val="5271"/>
        <filter val="5272"/>
        <filter val="5273"/>
        <filter val="5275"/>
        <filter val="5276"/>
        <filter val="5277"/>
        <filter val="5278"/>
        <filter val="5279"/>
        <filter val="5280"/>
        <filter val="5281"/>
        <filter val="5282"/>
        <filter val="5283"/>
        <filter val="5284"/>
        <filter val="5285"/>
        <filter val="5286"/>
        <filter val="5287"/>
        <filter val="5288"/>
        <filter val="5289"/>
        <filter val="5290"/>
        <filter val="5291"/>
        <filter val="5292"/>
        <filter val="5293"/>
        <filter val="5294"/>
        <filter val="5295"/>
        <filter val="5296"/>
        <filter val="5297"/>
        <filter val="5298"/>
        <filter val="5299"/>
        <filter val="53"/>
        <filter val="5300"/>
        <filter val="5301"/>
        <filter val="5302"/>
        <filter val="5303"/>
        <filter val="5306"/>
        <filter val="5309"/>
        <filter val="5312"/>
        <filter val="5315"/>
        <filter val="5317"/>
        <filter val="5318"/>
        <filter val="5321"/>
        <filter val="5324"/>
        <filter val="5327"/>
        <filter val="5329"/>
        <filter val="5332"/>
        <filter val="5335"/>
        <filter val="5337"/>
        <filter val="5339"/>
        <filter val="5340"/>
        <filter val="5342"/>
        <filter val="5345"/>
        <filter val="5348"/>
        <filter val="5350"/>
        <filter val="5351"/>
        <filter val="5353"/>
        <filter val="5354"/>
        <filter val="5357"/>
        <filter val="5360"/>
        <filter val="5363"/>
        <filter val="5366"/>
        <filter val="5368"/>
        <filter val="5369"/>
        <filter val="5372"/>
        <filter val="5373"/>
        <filter val="5375"/>
        <filter val="5376"/>
        <filter val="5377"/>
        <filter val="5378"/>
        <filter val="5380"/>
        <filter val="5381"/>
        <filter val="5383"/>
        <filter val="5385"/>
        <filter val="5387"/>
        <filter val="5388"/>
        <filter val="5389"/>
        <filter val="5390"/>
        <filter val="5391"/>
        <filter val="5393"/>
        <filter val="5395"/>
        <filter val="5397"/>
        <filter val="5398"/>
        <filter val="54"/>
        <filter val="5400"/>
        <filter val="5403"/>
        <filter val="5405"/>
        <filter val="5407"/>
        <filter val="5409"/>
        <filter val="5411"/>
        <filter val="5413"/>
        <filter val="5414"/>
        <filter val="5416"/>
        <filter val="5417"/>
        <filter val="5418"/>
        <filter val="5419"/>
        <filter val="5420"/>
        <filter val="5422"/>
        <filter val="5423"/>
        <filter val="5424"/>
        <filter val="5425"/>
        <filter val="5427"/>
        <filter val="5428"/>
        <filter val="5429"/>
        <filter val="5431"/>
        <filter val="5433"/>
        <filter val="5434"/>
        <filter val="5436"/>
        <filter val="5438"/>
        <filter val="5439"/>
        <filter val="5440"/>
        <filter val="5441"/>
        <filter val="5442"/>
        <filter val="5443"/>
        <filter val="5444"/>
        <filter val="5445"/>
        <filter val="5446"/>
        <filter val="5448"/>
        <filter val="5450"/>
        <filter val="5452"/>
        <filter val="5454"/>
        <filter val="5456"/>
        <filter val="5457"/>
        <filter val="5458"/>
        <filter val="5459"/>
        <filter val="5460"/>
        <filter val="5461"/>
        <filter val="5462"/>
        <filter val="5463"/>
        <filter val="5464"/>
        <filter val="5465"/>
        <filter val="5466"/>
        <filter val="5467"/>
        <filter val="5468"/>
        <filter val="5469"/>
        <filter val="5472"/>
        <filter val="5474"/>
        <filter val="5475"/>
        <filter val="5476"/>
        <filter val="5477"/>
        <filter val="5478"/>
        <filter val="5479"/>
        <filter val="5481"/>
        <filter val="5483"/>
        <filter val="5485"/>
        <filter val="5487"/>
        <filter val="5489"/>
        <filter val="5491"/>
        <filter val="5493"/>
        <filter val="5494"/>
        <filter val="5495"/>
        <filter val="5496"/>
        <filter val="5497"/>
        <filter val="5498"/>
        <filter val="5499"/>
        <filter val="55"/>
        <filter val="5500"/>
        <filter val="5501"/>
        <filter val="5502"/>
        <filter val="5503"/>
        <filter val="5504"/>
        <filter val="5505"/>
        <filter val="5506"/>
        <filter val="5507"/>
        <filter val="5508"/>
        <filter val="5509"/>
        <filter val="5510"/>
        <filter val="5511"/>
        <filter val="5512"/>
        <filter val="5513"/>
        <filter val="5514"/>
        <filter val="5515"/>
        <filter val="5516"/>
        <filter val="5517"/>
        <filter val="5519"/>
        <filter val="5520"/>
        <filter val="5521"/>
        <filter val="5522"/>
        <filter val="5523"/>
        <filter val="5524"/>
        <filter val="5525"/>
        <filter val="5526"/>
        <filter val="5527"/>
        <filter val="5528"/>
        <filter val="5529"/>
        <filter val="5530"/>
        <filter val="5531"/>
        <filter val="5532"/>
        <filter val="5534"/>
        <filter val="5535"/>
        <filter val="5536"/>
        <filter val="5537"/>
        <filter val="5538"/>
        <filter val="5539"/>
        <filter val="5540"/>
        <filter val="5541"/>
        <filter val="5542"/>
        <filter val="5543"/>
        <filter val="5544"/>
        <filter val="5545"/>
        <filter val="5546"/>
        <filter val="5547"/>
        <filter val="5548"/>
        <filter val="5549"/>
        <filter val="5550"/>
        <filter val="5552"/>
        <filter val="5554"/>
        <filter val="5556"/>
        <filter val="5558"/>
        <filter val="5559"/>
        <filter val="5560"/>
        <filter val="5561"/>
        <filter val="5565"/>
        <filter val="5566"/>
        <filter val="5567"/>
        <filter val="5568"/>
        <filter val="5569"/>
        <filter val="5570"/>
        <filter val="5572"/>
        <filter val="5574"/>
        <filter val="5575"/>
        <filter val="5576"/>
        <filter val="5577"/>
        <filter val="5578"/>
        <filter val="5579"/>
        <filter val="5580"/>
        <filter val="5581"/>
        <filter val="5582"/>
        <filter val="5583"/>
        <filter val="5584"/>
        <filter val="5585"/>
        <filter val="5586"/>
        <filter val="5587"/>
        <filter val="5588"/>
        <filter val="5589"/>
        <filter val="5590"/>
        <filter val="5591"/>
        <filter val="5594"/>
        <filter val="5597"/>
        <filter val="56"/>
        <filter val="5600"/>
        <filter val="5603"/>
        <filter val="5605"/>
        <filter val="5607"/>
        <filter val="5609"/>
        <filter val="5611"/>
        <filter val="5613"/>
        <filter val="5615"/>
        <filter val="5616"/>
        <filter val="5617"/>
        <filter val="5618"/>
        <filter val="5620"/>
        <filter val="5621"/>
        <filter val="5622"/>
        <filter val="5623"/>
        <filter val="5624"/>
        <filter val="5625"/>
        <filter val="5626"/>
        <filter val="5627"/>
        <filter val="5628"/>
        <filter val="5629"/>
        <filter val="5630"/>
        <filter val="5631"/>
        <filter val="5632"/>
        <filter val="5633"/>
        <filter val="5634"/>
        <filter val="5635"/>
        <filter val="5636"/>
        <filter val="5637"/>
        <filter val="5638"/>
        <filter val="5639"/>
        <filter val="5640"/>
        <filter val="5642"/>
        <filter val="5644"/>
        <filter val="5646"/>
        <filter val="5648"/>
        <filter val="5649"/>
        <filter val="5650"/>
        <filter val="5651"/>
        <filter val="5652"/>
        <filter val="5653"/>
        <filter val="5654"/>
        <filter val="5655"/>
        <filter val="5656"/>
        <filter val="5657"/>
        <filter val="5658"/>
        <filter val="5659"/>
        <filter val="5660"/>
        <filter val="5661"/>
        <filter val="5662"/>
        <filter val="5663"/>
        <filter val="5664"/>
        <filter val="5665"/>
        <filter val="5666"/>
        <filter val="5667"/>
        <filter val="5668"/>
        <filter val="5669"/>
        <filter val="5670"/>
        <filter val="5671"/>
        <filter val="5672"/>
        <filter val="5673"/>
        <filter val="5674"/>
        <filter val="5675"/>
        <filter val="5676"/>
        <filter val="5677"/>
        <filter val="5678"/>
        <filter val="5679"/>
        <filter val="5680"/>
        <filter val="5681"/>
        <filter val="5682"/>
        <filter val="5683"/>
        <filter val="5684"/>
        <filter val="5685"/>
        <filter val="5686"/>
        <filter val="5687"/>
        <filter val="5688"/>
        <filter val="5689"/>
        <filter val="5690"/>
        <filter val="5691"/>
        <filter val="5692"/>
        <filter val="5693"/>
        <filter val="5694"/>
        <filter val="5695"/>
        <filter val="5696"/>
        <filter val="5697"/>
        <filter val="5698"/>
        <filter val="5699"/>
        <filter val="57"/>
        <filter val="5700"/>
        <filter val="5701"/>
        <filter val="5702"/>
        <filter val="5703"/>
        <filter val="5704"/>
        <filter val="5705"/>
        <filter val="5706"/>
        <filter val="5707"/>
        <filter val="5708"/>
        <filter val="5709"/>
        <filter val="5710"/>
        <filter val="5711"/>
        <filter val="5712"/>
        <filter val="5713"/>
        <filter val="5714"/>
        <filter val="5715"/>
        <filter val="5716"/>
        <filter val="5717"/>
        <filter val="5718"/>
        <filter val="5719"/>
        <filter val="5720"/>
        <filter val="5721"/>
        <filter val="5722"/>
        <filter val="5723"/>
        <filter val="5724"/>
        <filter val="5725"/>
        <filter val="5726"/>
        <filter val="5727"/>
        <filter val="5728"/>
        <filter val="5729"/>
        <filter val="5730"/>
        <filter val="5731"/>
        <filter val="5732"/>
        <filter val="5733"/>
        <filter val="5734"/>
        <filter val="5735"/>
        <filter val="5736"/>
        <filter val="5737"/>
        <filter val="5738"/>
        <filter val="5739"/>
        <filter val="5740"/>
        <filter val="58"/>
        <filter val="71"/>
        <filter val="72"/>
        <filter val="73"/>
        <filter val="74"/>
        <filter val="75"/>
        <filter val="76"/>
        <filter val="80"/>
        <filter val="81"/>
        <filter val="82"/>
      </filters>
    </filterColumn>
  </autoFilter>
  <conditionalFormatting sqref="A1:A1128">
    <cfRule type="expression" dxfId="65" priority="102">
      <formula>"g:g="""""</formula>
    </cfRule>
  </conditionalFormatting>
  <conditionalFormatting sqref="A2:A1128">
    <cfRule type="cellIs" dxfId="64" priority="99" operator="lessThanOrEqual">
      <formula>18</formula>
    </cfRule>
    <cfRule type="cellIs" dxfId="63" priority="99" operator="greaterThanOrEqual">
      <formula>31</formula>
    </cfRule>
    <cfRule type="cellIs" dxfId="62" priority="99" operator="between">
      <formula>18</formula>
      <formula>30</formula>
    </cfRule>
  </conditionalFormatting>
  <conditionalFormatting sqref="V28 V742:V744">
    <cfRule type="cellIs" dxfId="61" priority="98" operator="equal">
      <formula>"rejected"</formula>
    </cfRule>
  </conditionalFormatting>
  <conditionalFormatting sqref="V114 V727 V729 V733">
    <cfRule type="cellIs" dxfId="60" priority="97" operator="equal">
      <formula>"rejected"</formula>
    </cfRule>
  </conditionalFormatting>
  <conditionalFormatting sqref="V223:V224 V572:V573 V709:V712">
    <cfRule type="cellIs" dxfId="59" priority="96" operator="equal">
      <formula>"rejected"</formula>
    </cfRule>
  </conditionalFormatting>
  <conditionalFormatting sqref="V228:V237 V692:V695">
    <cfRule type="cellIs" dxfId="58" priority="95" operator="equal">
      <formula>"rejected"</formula>
    </cfRule>
  </conditionalFormatting>
  <conditionalFormatting sqref="V239:V241 V690">
    <cfRule type="cellIs" dxfId="57" priority="94" operator="equal">
      <formula>"rejected"</formula>
    </cfRule>
  </conditionalFormatting>
  <conditionalFormatting sqref="V243 V685:V686">
    <cfRule type="cellIs" dxfId="56" priority="93" operator="equal">
      <formula>"rejected"</formula>
    </cfRule>
  </conditionalFormatting>
  <conditionalFormatting sqref="V245:V248 V678:V680">
    <cfRule type="cellIs" dxfId="55" priority="92" operator="equal">
      <formula>"rejected"</formula>
    </cfRule>
  </conditionalFormatting>
  <conditionalFormatting sqref="V251:V254 V676">
    <cfRule type="cellIs" dxfId="54" priority="91" operator="equal">
      <formula>"rejected"</formula>
    </cfRule>
  </conditionalFormatting>
  <conditionalFormatting sqref="V261:V264 V671:V673">
    <cfRule type="cellIs" dxfId="53" priority="90" operator="equal">
      <formula>"rejected"</formula>
    </cfRule>
  </conditionalFormatting>
  <conditionalFormatting sqref="V267:V286 V667">
    <cfRule type="cellIs" dxfId="52" priority="89" operator="equal">
      <formula>"rejected"</formula>
    </cfRule>
  </conditionalFormatting>
  <conditionalFormatting sqref="V289:V292 V664:V665">
    <cfRule type="cellIs" dxfId="51" priority="88" operator="equal">
      <formula>"rejected"</formula>
    </cfRule>
  </conditionalFormatting>
  <conditionalFormatting sqref="V294 V646:V660">
    <cfRule type="cellIs" dxfId="50" priority="87" operator="equal">
      <formula>"rejected"</formula>
    </cfRule>
  </conditionalFormatting>
  <conditionalFormatting sqref="V297:V300 V643">
    <cfRule type="cellIs" dxfId="49" priority="86" operator="equal">
      <formula>"rejected"</formula>
    </cfRule>
  </conditionalFormatting>
  <conditionalFormatting sqref="V303:V304 V640:V641">
    <cfRule type="cellIs" dxfId="48" priority="85" operator="equal">
      <formula>"rejected"</formula>
    </cfRule>
  </conditionalFormatting>
  <conditionalFormatting sqref="V306 V637">
    <cfRule type="cellIs" dxfId="47" priority="84" operator="equal">
      <formula>"rejected"</formula>
    </cfRule>
  </conditionalFormatting>
  <conditionalFormatting sqref="V308:V311 V633:V635">
    <cfRule type="cellIs" dxfId="46" priority="83" operator="equal">
      <formula>"rejected"</formula>
    </cfRule>
  </conditionalFormatting>
  <conditionalFormatting sqref="V313:V329 V626">
    <cfRule type="cellIs" dxfId="45" priority="82" operator="equal">
      <formula>"rejected"</formula>
    </cfRule>
  </conditionalFormatting>
  <conditionalFormatting sqref="V332:V333 V620:V624">
    <cfRule type="cellIs" dxfId="44" priority="81" operator="equal">
      <formula>"rejected"</formula>
    </cfRule>
  </conditionalFormatting>
  <conditionalFormatting sqref="V341 V618">
    <cfRule type="cellIs" dxfId="43" priority="80" operator="equal">
      <formula>"rejected"</formula>
    </cfRule>
  </conditionalFormatting>
  <conditionalFormatting sqref="V344 V600:V603">
    <cfRule type="cellIs" dxfId="42" priority="79" operator="equal">
      <formula>"rejected"</formula>
    </cfRule>
  </conditionalFormatting>
  <conditionalFormatting sqref="V355 V593:V595">
    <cfRule type="cellIs" dxfId="41" priority="78" operator="equal">
      <formula>"rejected"</formula>
    </cfRule>
  </conditionalFormatting>
  <conditionalFormatting sqref="V357 V585">
    <cfRule type="cellIs" dxfId="40" priority="77" operator="equal">
      <formula>"rejected"</formula>
    </cfRule>
  </conditionalFormatting>
  <conditionalFormatting sqref="V363:V367 V582:V583">
    <cfRule type="cellIs" dxfId="39" priority="76" operator="equal">
      <formula>"rejected"</formula>
    </cfRule>
  </conditionalFormatting>
  <conditionalFormatting sqref="V371 V527:V570">
    <cfRule type="cellIs" dxfId="38" priority="75" operator="equal">
      <formula>"rejected"</formula>
    </cfRule>
  </conditionalFormatting>
  <conditionalFormatting sqref="V373:V376 V470">
    <cfRule type="cellIs" dxfId="37" priority="74" operator="equal">
      <formula>"rejected"</formula>
    </cfRule>
  </conditionalFormatting>
  <conditionalFormatting sqref="V381:V399 V461:V468">
    <cfRule type="cellIs" dxfId="36" priority="73" operator="equal">
      <formula>"rejected"</formula>
    </cfRule>
  </conditionalFormatting>
  <conditionalFormatting sqref="V402:V405 V456:V458">
    <cfRule type="cellIs" dxfId="35" priority="72" operator="equal">
      <formula>"rejected"</formula>
    </cfRule>
  </conditionalFormatting>
  <conditionalFormatting sqref="V409 V454">
    <cfRule type="cellIs" dxfId="34" priority="71" operator="equal">
      <formula>"rejected"</formula>
    </cfRule>
  </conditionalFormatting>
  <conditionalFormatting sqref="V413:V416 V451:V452">
    <cfRule type="cellIs" dxfId="33" priority="70" operator="equal">
      <formula>"rejected"</formula>
    </cfRule>
  </conditionalFormatting>
  <conditionalFormatting sqref="V424 V448:V449">
    <cfRule type="cellIs" dxfId="32" priority="69" operator="equal">
      <formula>"rejected"</formula>
    </cfRule>
  </conditionalFormatting>
  <conditionalFormatting sqref="V429 V443:V445">
    <cfRule type="cellIs" dxfId="31" priority="68" operator="equal">
      <formula>"rejected"</formula>
    </cfRule>
  </conditionalFormatting>
  <conditionalFormatting sqref="V431">
    <cfRule type="cellIs" dxfId="30" priority="67" operator="equal">
      <formula>"rejected"</formula>
    </cfRule>
  </conditionalFormatting>
  <conditionalFormatting sqref="V486:V509">
    <cfRule type="cellIs" dxfId="29" priority="59" operator="equal">
      <formula>"rejected"</formula>
    </cfRule>
  </conditionalFormatting>
  <conditionalFormatting sqref="V512:V514">
    <cfRule type="cellIs" dxfId="28" priority="58" operator="equal">
      <formula>"rejected"</formula>
    </cfRule>
  </conditionalFormatting>
  <conditionalFormatting sqref="V519:V522">
    <cfRule type="cellIs" dxfId="27" priority="57" operator="equal">
      <formula>"rejected"</formula>
    </cfRule>
  </conditionalFormatting>
  <conditionalFormatting sqref="V697">
    <cfRule type="cellIs" dxfId="26" priority="35" operator="equal">
      <formula>"rejected"</formula>
    </cfRule>
  </conditionalFormatting>
  <conditionalFormatting sqref="V740">
    <cfRule type="cellIs" dxfId="25" priority="32" operator="equal">
      <formula>"rejected"</formula>
    </cfRule>
  </conditionalFormatting>
  <conditionalFormatting sqref="V746">
    <cfRule type="cellIs" dxfId="24" priority="103" operator="equal">
      <formula>"rejected"</formula>
    </cfRule>
  </conditionalFormatting>
  <conditionalFormatting sqref="V748:V785">
    <cfRule type="cellIs" dxfId="23" priority="29" operator="equal">
      <formula>"rejected"</formula>
    </cfRule>
  </conditionalFormatting>
  <conditionalFormatting sqref="V789">
    <cfRule type="cellIs" dxfId="22" priority="41" operator="equal">
      <formula>"rejected"</formula>
    </cfRule>
  </conditionalFormatting>
  <conditionalFormatting sqref="V803">
    <cfRule type="cellIs" dxfId="21" priority="25" operator="equal">
      <formula>"rejected"</formula>
    </cfRule>
  </conditionalFormatting>
  <conditionalFormatting sqref="V835:V836">
    <cfRule type="cellIs" dxfId="20" priority="24" operator="equal">
      <formula>"rejected"</formula>
    </cfRule>
  </conditionalFormatting>
  <conditionalFormatting sqref="V1069:V1071">
    <cfRule type="cellIs" dxfId="19" priority="23" operator="equal">
      <formula>"rejected"</formula>
    </cfRule>
  </conditionalFormatting>
  <conditionalFormatting sqref="V1073">
    <cfRule type="cellIs" dxfId="18" priority="22" operator="equal">
      <formula>"rejected"</formula>
    </cfRule>
  </conditionalFormatting>
  <conditionalFormatting sqref="V5:W27 V29:W113 V115:W222 V225:W227 V238:W238 V242:W242 V244:W244 V249:W250 V255:W260 V265:W266 V287:W288 V293:W293 V295:W296 V301:W302 V305:W305 V307:W307 V312:W312 V330:W331 V334:W340 V342:W343 V345:W354 V356:W356 V358:W362 V368:W370 V372:W372 V377:W380 V400:W401 V406:W408 V410:W412 V417:W423 V425:W428 V430:W430 V432:W442 V450:W450 V453:W453 V455:W455 V459:W460 V469:W469 V471:W485 V510:W511 V515:W518 V523:W526 V571:W571 V584:W584 V586:W592 V596:W599 V619:W619 V625:W625 V627:W632 V636:W636 V638:W639 V642:W642 V644:W645 V661:W663 V666:W666 V668:W670 V674:W675 V677:W677 V687:W689 V691:W691 V713:W726 V745:W745 V747:W747">
    <cfRule type="cellIs" dxfId="17" priority="100" operator="equal">
      <formula>"rejected"</formula>
    </cfRule>
  </conditionalFormatting>
  <conditionalFormatting sqref="V446:W447 V604:W617">
    <cfRule type="cellIs" dxfId="16" priority="19" operator="equal">
      <formula>"rejected"</formula>
    </cfRule>
  </conditionalFormatting>
  <conditionalFormatting sqref="V574:W581">
    <cfRule type="cellIs" dxfId="15" priority="28" operator="equal">
      <formula>"rejected"</formula>
    </cfRule>
  </conditionalFormatting>
  <conditionalFormatting sqref="V681:W684">
    <cfRule type="cellIs" dxfId="14" priority="16" operator="equal">
      <formula>"rejected"</formula>
    </cfRule>
  </conditionalFormatting>
  <conditionalFormatting sqref="V696:W696 V698:W708">
    <cfRule type="cellIs" dxfId="13" priority="43" operator="equal">
      <formula>"rejected"</formula>
    </cfRule>
  </conditionalFormatting>
  <conditionalFormatting sqref="V728:W728">
    <cfRule type="cellIs" dxfId="12" priority="46" operator="equal">
      <formula>"rejected"</formula>
    </cfRule>
  </conditionalFormatting>
  <conditionalFormatting sqref="V730:W732">
    <cfRule type="cellIs" dxfId="11" priority="45" operator="equal">
      <formula>"rejected"</formula>
    </cfRule>
  </conditionalFormatting>
  <conditionalFormatting sqref="V734:W739 V741:W741">
    <cfRule type="cellIs" dxfId="10" priority="44" operator="equal">
      <formula>"rejected"</formula>
    </cfRule>
  </conditionalFormatting>
  <conditionalFormatting sqref="V786:W788">
    <cfRule type="cellIs" dxfId="9" priority="42" operator="equal">
      <formula>"rejected"</formula>
    </cfRule>
  </conditionalFormatting>
  <conditionalFormatting sqref="V790:W790 V791">
    <cfRule type="cellIs" dxfId="8" priority="27" operator="equal">
      <formula>"rejected"</formula>
    </cfRule>
  </conditionalFormatting>
  <conditionalFormatting sqref="V792:W794 V1075:V1079">
    <cfRule type="cellIs" dxfId="7" priority="21" operator="equal">
      <formula>"rejected"</formula>
    </cfRule>
  </conditionalFormatting>
  <conditionalFormatting sqref="V797:W802">
    <cfRule type="cellIs" dxfId="6" priority="20" operator="equal">
      <formula>"rejected"</formula>
    </cfRule>
  </conditionalFormatting>
  <conditionalFormatting sqref="V804:W834">
    <cfRule type="cellIs" dxfId="5" priority="17" operator="equal">
      <formula>"rejected"</formula>
    </cfRule>
  </conditionalFormatting>
  <conditionalFormatting sqref="V837:W1068 V1072:W1072 V1074:W1074">
    <cfRule type="cellIs" dxfId="4" priority="6" operator="equal">
      <formula>"rejected"</formula>
    </cfRule>
  </conditionalFormatting>
  <conditionalFormatting sqref="V1080:W1128">
    <cfRule type="cellIs" dxfId="3" priority="4" operator="equal">
      <formula>"rejected"</formula>
    </cfRule>
  </conditionalFormatting>
  <conditionalFormatting sqref="W749:W750">
    <cfRule type="cellIs" dxfId="2" priority="101" operator="equal">
      <formula>"rejected"</formula>
    </cfRule>
  </conditionalFormatting>
  <conditionalFormatting sqref="W761:W762">
    <cfRule type="cellIs" dxfId="1" priority="104" operator="equal">
      <formula>"rejected"</formula>
    </cfRule>
  </conditionalFormatting>
  <conditionalFormatting sqref="W768:W778 W780:W781 V795:V796">
    <cfRule type="cellIs" dxfId="0" priority="26" operator="equal">
      <formula>"rejected"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42AC-2E3F-4E4D-B6AE-227D6A062198}">
  <dimension ref="A1:A1289"/>
  <sheetViews>
    <sheetView workbookViewId="0"/>
  </sheetViews>
  <sheetFormatPr baseColWidth="10" defaultRowHeight="14.5" x14ac:dyDescent="0.35"/>
  <cols>
    <col min="1" max="1" width="18.36328125" customWidth="1"/>
  </cols>
  <sheetData>
    <row r="1" spans="1:1" x14ac:dyDescent="0.35">
      <c r="A1" t="s">
        <v>3435</v>
      </c>
    </row>
    <row r="2" spans="1:1" x14ac:dyDescent="0.35">
      <c r="A2" t="s">
        <v>3436</v>
      </c>
    </row>
    <row r="3" spans="1:1" x14ac:dyDescent="0.35">
      <c r="A3" t="s">
        <v>3437</v>
      </c>
    </row>
    <row r="4" spans="1:1" x14ac:dyDescent="0.35">
      <c r="A4" t="s">
        <v>3438</v>
      </c>
    </row>
    <row r="5" spans="1:1" x14ac:dyDescent="0.35">
      <c r="A5" t="s">
        <v>3439</v>
      </c>
    </row>
    <row r="6" spans="1:1" x14ac:dyDescent="0.35">
      <c r="A6" t="s">
        <v>3440</v>
      </c>
    </row>
    <row r="7" spans="1:1" x14ac:dyDescent="0.35">
      <c r="A7" t="s">
        <v>3441</v>
      </c>
    </row>
    <row r="8" spans="1:1" x14ac:dyDescent="0.35">
      <c r="A8" t="s">
        <v>3442</v>
      </c>
    </row>
    <row r="9" spans="1:1" x14ac:dyDescent="0.35">
      <c r="A9" t="s">
        <v>3443</v>
      </c>
    </row>
    <row r="10" spans="1:1" x14ac:dyDescent="0.35">
      <c r="A10" t="s">
        <v>3444</v>
      </c>
    </row>
    <row r="11" spans="1:1" x14ac:dyDescent="0.35">
      <c r="A11" t="s">
        <v>3445</v>
      </c>
    </row>
    <row r="12" spans="1:1" x14ac:dyDescent="0.35">
      <c r="A12" t="s">
        <v>3446</v>
      </c>
    </row>
    <row r="13" spans="1:1" x14ac:dyDescent="0.35">
      <c r="A13" t="s">
        <v>3447</v>
      </c>
    </row>
    <row r="14" spans="1:1" x14ac:dyDescent="0.35">
      <c r="A14" t="s">
        <v>3448</v>
      </c>
    </row>
    <row r="15" spans="1:1" x14ac:dyDescent="0.35">
      <c r="A15" t="s">
        <v>3449</v>
      </c>
    </row>
    <row r="16" spans="1:1" x14ac:dyDescent="0.35">
      <c r="A16" t="s">
        <v>3450</v>
      </c>
    </row>
    <row r="17" spans="1:1" x14ac:dyDescent="0.35">
      <c r="A17" t="s">
        <v>3451</v>
      </c>
    </row>
    <row r="18" spans="1:1" x14ac:dyDescent="0.35">
      <c r="A18" t="s">
        <v>3452</v>
      </c>
    </row>
    <row r="19" spans="1:1" x14ac:dyDescent="0.35">
      <c r="A19" t="s">
        <v>3453</v>
      </c>
    </row>
    <row r="20" spans="1:1" x14ac:dyDescent="0.35">
      <c r="A20" t="s">
        <v>3454</v>
      </c>
    </row>
    <row r="21" spans="1:1" x14ac:dyDescent="0.35">
      <c r="A21" t="s">
        <v>3455</v>
      </c>
    </row>
    <row r="22" spans="1:1" x14ac:dyDescent="0.35">
      <c r="A22" t="s">
        <v>3456</v>
      </c>
    </row>
    <row r="23" spans="1:1" x14ac:dyDescent="0.35">
      <c r="A23" t="s">
        <v>3457</v>
      </c>
    </row>
    <row r="24" spans="1:1" x14ac:dyDescent="0.35">
      <c r="A24" t="s">
        <v>3458</v>
      </c>
    </row>
    <row r="25" spans="1:1" x14ac:dyDescent="0.35">
      <c r="A25" t="s">
        <v>3459</v>
      </c>
    </row>
    <row r="26" spans="1:1" x14ac:dyDescent="0.35">
      <c r="A26" t="s">
        <v>3460</v>
      </c>
    </row>
    <row r="27" spans="1:1" x14ac:dyDescent="0.35">
      <c r="A27" t="s">
        <v>3461</v>
      </c>
    </row>
    <row r="28" spans="1:1" x14ac:dyDescent="0.35">
      <c r="A28" t="s">
        <v>3462</v>
      </c>
    </row>
    <row r="29" spans="1:1" x14ac:dyDescent="0.35">
      <c r="A29" t="s">
        <v>3463</v>
      </c>
    </row>
    <row r="30" spans="1:1" x14ac:dyDescent="0.35">
      <c r="A30" t="s">
        <v>3464</v>
      </c>
    </row>
    <row r="31" spans="1:1" x14ac:dyDescent="0.35">
      <c r="A31" t="s">
        <v>3465</v>
      </c>
    </row>
    <row r="32" spans="1:1" x14ac:dyDescent="0.35">
      <c r="A32" t="s">
        <v>3466</v>
      </c>
    </row>
    <row r="33" spans="1:1" x14ac:dyDescent="0.35">
      <c r="A33" t="s">
        <v>3467</v>
      </c>
    </row>
    <row r="34" spans="1:1" x14ac:dyDescent="0.35">
      <c r="A34" t="s">
        <v>3468</v>
      </c>
    </row>
    <row r="35" spans="1:1" x14ac:dyDescent="0.35">
      <c r="A35" t="s">
        <v>3469</v>
      </c>
    </row>
    <row r="36" spans="1:1" x14ac:dyDescent="0.35">
      <c r="A36" t="s">
        <v>3470</v>
      </c>
    </row>
    <row r="37" spans="1:1" x14ac:dyDescent="0.35">
      <c r="A37" t="s">
        <v>3471</v>
      </c>
    </row>
    <row r="38" spans="1:1" x14ac:dyDescent="0.35">
      <c r="A38" t="s">
        <v>3472</v>
      </c>
    </row>
    <row r="39" spans="1:1" x14ac:dyDescent="0.35">
      <c r="A39" t="s">
        <v>3473</v>
      </c>
    </row>
    <row r="40" spans="1:1" x14ac:dyDescent="0.35">
      <c r="A40" t="s">
        <v>3474</v>
      </c>
    </row>
    <row r="41" spans="1:1" x14ac:dyDescent="0.35">
      <c r="A41" t="s">
        <v>3475</v>
      </c>
    </row>
    <row r="42" spans="1:1" x14ac:dyDescent="0.35">
      <c r="A42" t="s">
        <v>3476</v>
      </c>
    </row>
    <row r="43" spans="1:1" x14ac:dyDescent="0.35">
      <c r="A43" t="s">
        <v>3477</v>
      </c>
    </row>
    <row r="44" spans="1:1" x14ac:dyDescent="0.35">
      <c r="A44" t="s">
        <v>3478</v>
      </c>
    </row>
    <row r="45" spans="1:1" x14ac:dyDescent="0.35">
      <c r="A45" t="s">
        <v>3479</v>
      </c>
    </row>
    <row r="46" spans="1:1" x14ac:dyDescent="0.35">
      <c r="A46" t="s">
        <v>3480</v>
      </c>
    </row>
    <row r="47" spans="1:1" x14ac:dyDescent="0.35">
      <c r="A47" t="s">
        <v>3481</v>
      </c>
    </row>
    <row r="48" spans="1:1" x14ac:dyDescent="0.35">
      <c r="A48" t="s">
        <v>3482</v>
      </c>
    </row>
    <row r="49" spans="1:1" x14ac:dyDescent="0.35">
      <c r="A49" t="s">
        <v>3483</v>
      </c>
    </row>
    <row r="50" spans="1:1" x14ac:dyDescent="0.35">
      <c r="A50" t="s">
        <v>3484</v>
      </c>
    </row>
    <row r="51" spans="1:1" x14ac:dyDescent="0.35">
      <c r="A51" t="s">
        <v>3485</v>
      </c>
    </row>
    <row r="52" spans="1:1" x14ac:dyDescent="0.35">
      <c r="A52" t="s">
        <v>3486</v>
      </c>
    </row>
    <row r="53" spans="1:1" x14ac:dyDescent="0.35">
      <c r="A53" t="s">
        <v>3487</v>
      </c>
    </row>
    <row r="54" spans="1:1" x14ac:dyDescent="0.35">
      <c r="A54" t="s">
        <v>3488</v>
      </c>
    </row>
    <row r="55" spans="1:1" x14ac:dyDescent="0.35">
      <c r="A55" t="s">
        <v>3489</v>
      </c>
    </row>
    <row r="56" spans="1:1" x14ac:dyDescent="0.35">
      <c r="A56" t="s">
        <v>3490</v>
      </c>
    </row>
    <row r="57" spans="1:1" x14ac:dyDescent="0.35">
      <c r="A57" t="s">
        <v>3491</v>
      </c>
    </row>
    <row r="58" spans="1:1" x14ac:dyDescent="0.35">
      <c r="A58" t="s">
        <v>3492</v>
      </c>
    </row>
    <row r="59" spans="1:1" x14ac:dyDescent="0.35">
      <c r="A59" t="s">
        <v>3493</v>
      </c>
    </row>
    <row r="60" spans="1:1" x14ac:dyDescent="0.35">
      <c r="A60" t="s">
        <v>3494</v>
      </c>
    </row>
    <row r="61" spans="1:1" x14ac:dyDescent="0.35">
      <c r="A61" t="s">
        <v>3495</v>
      </c>
    </row>
    <row r="62" spans="1:1" x14ac:dyDescent="0.35">
      <c r="A62" t="s">
        <v>3496</v>
      </c>
    </row>
    <row r="63" spans="1:1" x14ac:dyDescent="0.35">
      <c r="A63" t="s">
        <v>3497</v>
      </c>
    </row>
    <row r="64" spans="1:1" x14ac:dyDescent="0.35">
      <c r="A64" t="s">
        <v>3498</v>
      </c>
    </row>
    <row r="65" spans="1:1" x14ac:dyDescent="0.35">
      <c r="A65" t="s">
        <v>3499</v>
      </c>
    </row>
    <row r="66" spans="1:1" x14ac:dyDescent="0.35">
      <c r="A66" t="s">
        <v>3500</v>
      </c>
    </row>
    <row r="67" spans="1:1" x14ac:dyDescent="0.35">
      <c r="A67" t="s">
        <v>3501</v>
      </c>
    </row>
    <row r="68" spans="1:1" x14ac:dyDescent="0.35">
      <c r="A68" t="s">
        <v>3502</v>
      </c>
    </row>
    <row r="69" spans="1:1" x14ac:dyDescent="0.35">
      <c r="A69" t="s">
        <v>3503</v>
      </c>
    </row>
    <row r="70" spans="1:1" x14ac:dyDescent="0.35">
      <c r="A70" t="s">
        <v>3504</v>
      </c>
    </row>
    <row r="71" spans="1:1" x14ac:dyDescent="0.35">
      <c r="A71" t="s">
        <v>3505</v>
      </c>
    </row>
    <row r="72" spans="1:1" x14ac:dyDescent="0.35">
      <c r="A72" t="s">
        <v>3506</v>
      </c>
    </row>
    <row r="73" spans="1:1" x14ac:dyDescent="0.35">
      <c r="A73" t="s">
        <v>3507</v>
      </c>
    </row>
    <row r="74" spans="1:1" x14ac:dyDescent="0.35">
      <c r="A74" t="s">
        <v>3508</v>
      </c>
    </row>
    <row r="75" spans="1:1" x14ac:dyDescent="0.35">
      <c r="A75" t="s">
        <v>3509</v>
      </c>
    </row>
    <row r="76" spans="1:1" x14ac:dyDescent="0.35">
      <c r="A76" t="s">
        <v>3510</v>
      </c>
    </row>
    <row r="77" spans="1:1" x14ac:dyDescent="0.35">
      <c r="A77" t="s">
        <v>3511</v>
      </c>
    </row>
    <row r="78" spans="1:1" x14ac:dyDescent="0.35">
      <c r="A78" t="s">
        <v>3512</v>
      </c>
    </row>
    <row r="79" spans="1:1" x14ac:dyDescent="0.35">
      <c r="A79" t="s">
        <v>3513</v>
      </c>
    </row>
    <row r="80" spans="1:1" x14ac:dyDescent="0.35">
      <c r="A80" t="s">
        <v>3514</v>
      </c>
    </row>
    <row r="81" spans="1:1" x14ac:dyDescent="0.35">
      <c r="A81" t="s">
        <v>3515</v>
      </c>
    </row>
    <row r="82" spans="1:1" x14ac:dyDescent="0.35">
      <c r="A82" t="s">
        <v>3516</v>
      </c>
    </row>
    <row r="83" spans="1:1" x14ac:dyDescent="0.35">
      <c r="A83" t="s">
        <v>3517</v>
      </c>
    </row>
    <row r="84" spans="1:1" x14ac:dyDescent="0.35">
      <c r="A84" t="s">
        <v>3518</v>
      </c>
    </row>
    <row r="85" spans="1:1" x14ac:dyDescent="0.35">
      <c r="A85" t="s">
        <v>3519</v>
      </c>
    </row>
    <row r="86" spans="1:1" x14ac:dyDescent="0.35">
      <c r="A86" t="s">
        <v>3520</v>
      </c>
    </row>
    <row r="87" spans="1:1" x14ac:dyDescent="0.35">
      <c r="A87" t="s">
        <v>3521</v>
      </c>
    </row>
    <row r="88" spans="1:1" x14ac:dyDescent="0.35">
      <c r="A88" t="s">
        <v>3522</v>
      </c>
    </row>
    <row r="89" spans="1:1" x14ac:dyDescent="0.35">
      <c r="A89" t="s">
        <v>3523</v>
      </c>
    </row>
    <row r="90" spans="1:1" x14ac:dyDescent="0.35">
      <c r="A90" t="s">
        <v>3524</v>
      </c>
    </row>
    <row r="91" spans="1:1" x14ac:dyDescent="0.35">
      <c r="A91" t="s">
        <v>3525</v>
      </c>
    </row>
    <row r="92" spans="1:1" x14ac:dyDescent="0.35">
      <c r="A92" t="s">
        <v>3526</v>
      </c>
    </row>
    <row r="93" spans="1:1" x14ac:dyDescent="0.35">
      <c r="A93" t="s">
        <v>3527</v>
      </c>
    </row>
    <row r="94" spans="1:1" x14ac:dyDescent="0.35">
      <c r="A94" t="s">
        <v>3528</v>
      </c>
    </row>
    <row r="95" spans="1:1" x14ac:dyDescent="0.35">
      <c r="A95" t="s">
        <v>3529</v>
      </c>
    </row>
    <row r="96" spans="1:1" x14ac:dyDescent="0.35">
      <c r="A96" t="s">
        <v>3530</v>
      </c>
    </row>
    <row r="97" spans="1:1" x14ac:dyDescent="0.35">
      <c r="A97" t="s">
        <v>3531</v>
      </c>
    </row>
    <row r="98" spans="1:1" x14ac:dyDescent="0.35">
      <c r="A98" t="s">
        <v>3532</v>
      </c>
    </row>
    <row r="99" spans="1:1" x14ac:dyDescent="0.35">
      <c r="A99" t="s">
        <v>3533</v>
      </c>
    </row>
    <row r="100" spans="1:1" x14ac:dyDescent="0.35">
      <c r="A100" t="s">
        <v>3534</v>
      </c>
    </row>
    <row r="101" spans="1:1" x14ac:dyDescent="0.35">
      <c r="A101" t="s">
        <v>3535</v>
      </c>
    </row>
    <row r="102" spans="1:1" x14ac:dyDescent="0.35">
      <c r="A102" t="s">
        <v>3536</v>
      </c>
    </row>
    <row r="103" spans="1:1" x14ac:dyDescent="0.35">
      <c r="A103" t="s">
        <v>3537</v>
      </c>
    </row>
    <row r="104" spans="1:1" x14ac:dyDescent="0.35">
      <c r="A104" t="s">
        <v>3538</v>
      </c>
    </row>
    <row r="105" spans="1:1" x14ac:dyDescent="0.35">
      <c r="A105" t="s">
        <v>3539</v>
      </c>
    </row>
    <row r="106" spans="1:1" x14ac:dyDescent="0.35">
      <c r="A106" t="s">
        <v>3540</v>
      </c>
    </row>
    <row r="107" spans="1:1" x14ac:dyDescent="0.35">
      <c r="A107" t="s">
        <v>3541</v>
      </c>
    </row>
    <row r="108" spans="1:1" x14ac:dyDescent="0.35">
      <c r="A108" t="s">
        <v>3542</v>
      </c>
    </row>
    <row r="109" spans="1:1" x14ac:dyDescent="0.35">
      <c r="A109" t="s">
        <v>3543</v>
      </c>
    </row>
    <row r="110" spans="1:1" x14ac:dyDescent="0.35">
      <c r="A110" t="s">
        <v>3544</v>
      </c>
    </row>
    <row r="111" spans="1:1" x14ac:dyDescent="0.35">
      <c r="A111" t="s">
        <v>3545</v>
      </c>
    </row>
    <row r="112" spans="1:1" x14ac:dyDescent="0.35">
      <c r="A112" t="s">
        <v>3546</v>
      </c>
    </row>
    <row r="113" spans="1:1" x14ac:dyDescent="0.35">
      <c r="A113" t="s">
        <v>3547</v>
      </c>
    </row>
    <row r="114" spans="1:1" x14ac:dyDescent="0.35">
      <c r="A114" t="s">
        <v>3548</v>
      </c>
    </row>
    <row r="115" spans="1:1" x14ac:dyDescent="0.35">
      <c r="A115" t="s">
        <v>3549</v>
      </c>
    </row>
    <row r="116" spans="1:1" x14ac:dyDescent="0.35">
      <c r="A116" t="s">
        <v>3550</v>
      </c>
    </row>
    <row r="117" spans="1:1" x14ac:dyDescent="0.35">
      <c r="A117" t="s">
        <v>3551</v>
      </c>
    </row>
    <row r="118" spans="1:1" x14ac:dyDescent="0.35">
      <c r="A118" t="s">
        <v>3552</v>
      </c>
    </row>
    <row r="119" spans="1:1" x14ac:dyDescent="0.35">
      <c r="A119" t="s">
        <v>3553</v>
      </c>
    </row>
    <row r="120" spans="1:1" x14ac:dyDescent="0.35">
      <c r="A120" t="s">
        <v>3554</v>
      </c>
    </row>
    <row r="121" spans="1:1" x14ac:dyDescent="0.35">
      <c r="A121" t="s">
        <v>3555</v>
      </c>
    </row>
    <row r="122" spans="1:1" x14ac:dyDescent="0.35">
      <c r="A122" t="s">
        <v>3556</v>
      </c>
    </row>
    <row r="123" spans="1:1" x14ac:dyDescent="0.35">
      <c r="A123" t="s">
        <v>3557</v>
      </c>
    </row>
    <row r="124" spans="1:1" x14ac:dyDescent="0.35">
      <c r="A124" t="s">
        <v>3558</v>
      </c>
    </row>
    <row r="125" spans="1:1" x14ac:dyDescent="0.35">
      <c r="A125" t="s">
        <v>3559</v>
      </c>
    </row>
    <row r="126" spans="1:1" x14ac:dyDescent="0.35">
      <c r="A126" t="s">
        <v>3560</v>
      </c>
    </row>
    <row r="127" spans="1:1" x14ac:dyDescent="0.35">
      <c r="A127" t="s">
        <v>3561</v>
      </c>
    </row>
    <row r="128" spans="1:1" x14ac:dyDescent="0.35">
      <c r="A128" t="s">
        <v>3562</v>
      </c>
    </row>
    <row r="129" spans="1:1" x14ac:dyDescent="0.35">
      <c r="A129" t="s">
        <v>3563</v>
      </c>
    </row>
    <row r="130" spans="1:1" x14ac:dyDescent="0.35">
      <c r="A130" t="s">
        <v>3564</v>
      </c>
    </row>
    <row r="131" spans="1:1" x14ac:dyDescent="0.35">
      <c r="A131" t="s">
        <v>3565</v>
      </c>
    </row>
    <row r="132" spans="1:1" x14ac:dyDescent="0.35">
      <c r="A132" t="s">
        <v>3566</v>
      </c>
    </row>
    <row r="133" spans="1:1" x14ac:dyDescent="0.35">
      <c r="A133" t="s">
        <v>3567</v>
      </c>
    </row>
    <row r="134" spans="1:1" x14ac:dyDescent="0.35">
      <c r="A134" t="s">
        <v>3568</v>
      </c>
    </row>
    <row r="135" spans="1:1" x14ac:dyDescent="0.35">
      <c r="A135" t="s">
        <v>3569</v>
      </c>
    </row>
    <row r="136" spans="1:1" x14ac:dyDescent="0.35">
      <c r="A136" t="s">
        <v>3570</v>
      </c>
    </row>
    <row r="137" spans="1:1" x14ac:dyDescent="0.35">
      <c r="A137" t="s">
        <v>3571</v>
      </c>
    </row>
    <row r="138" spans="1:1" x14ac:dyDescent="0.35">
      <c r="A138" t="s">
        <v>3572</v>
      </c>
    </row>
    <row r="139" spans="1:1" x14ac:dyDescent="0.35">
      <c r="A139" t="s">
        <v>3573</v>
      </c>
    </row>
    <row r="140" spans="1:1" x14ac:dyDescent="0.35">
      <c r="A140" t="s">
        <v>3574</v>
      </c>
    </row>
    <row r="141" spans="1:1" x14ac:dyDescent="0.35">
      <c r="A141" t="s">
        <v>3575</v>
      </c>
    </row>
    <row r="142" spans="1:1" x14ac:dyDescent="0.35">
      <c r="A142" t="s">
        <v>3576</v>
      </c>
    </row>
    <row r="143" spans="1:1" x14ac:dyDescent="0.35">
      <c r="A143" t="s">
        <v>3577</v>
      </c>
    </row>
    <row r="144" spans="1:1" x14ac:dyDescent="0.35">
      <c r="A144" t="s">
        <v>3578</v>
      </c>
    </row>
    <row r="145" spans="1:1" x14ac:dyDescent="0.35">
      <c r="A145" t="s">
        <v>3579</v>
      </c>
    </row>
    <row r="146" spans="1:1" x14ac:dyDescent="0.35">
      <c r="A146" t="s">
        <v>3580</v>
      </c>
    </row>
    <row r="147" spans="1:1" x14ac:dyDescent="0.35">
      <c r="A147" t="s">
        <v>3581</v>
      </c>
    </row>
    <row r="148" spans="1:1" x14ac:dyDescent="0.35">
      <c r="A148" t="s">
        <v>3582</v>
      </c>
    </row>
    <row r="149" spans="1:1" x14ac:dyDescent="0.35">
      <c r="A149" t="s">
        <v>3583</v>
      </c>
    </row>
    <row r="150" spans="1:1" x14ac:dyDescent="0.35">
      <c r="A150" t="s">
        <v>3584</v>
      </c>
    </row>
    <row r="151" spans="1:1" x14ac:dyDescent="0.35">
      <c r="A151" t="s">
        <v>3585</v>
      </c>
    </row>
    <row r="152" spans="1:1" x14ac:dyDescent="0.35">
      <c r="A152" t="s">
        <v>3586</v>
      </c>
    </row>
    <row r="153" spans="1:1" x14ac:dyDescent="0.35">
      <c r="A153" t="s">
        <v>3587</v>
      </c>
    </row>
    <row r="154" spans="1:1" x14ac:dyDescent="0.35">
      <c r="A154" t="s">
        <v>3588</v>
      </c>
    </row>
    <row r="155" spans="1:1" x14ac:dyDescent="0.35">
      <c r="A155" t="s">
        <v>3589</v>
      </c>
    </row>
    <row r="156" spans="1:1" x14ac:dyDescent="0.35">
      <c r="A156" t="s">
        <v>3590</v>
      </c>
    </row>
    <row r="157" spans="1:1" x14ac:dyDescent="0.35">
      <c r="A157" t="s">
        <v>3591</v>
      </c>
    </row>
    <row r="158" spans="1:1" x14ac:dyDescent="0.35">
      <c r="A158" t="s">
        <v>3592</v>
      </c>
    </row>
    <row r="159" spans="1:1" x14ac:dyDescent="0.35">
      <c r="A159" t="s">
        <v>3593</v>
      </c>
    </row>
    <row r="160" spans="1:1" x14ac:dyDescent="0.35">
      <c r="A160" t="s">
        <v>3594</v>
      </c>
    </row>
    <row r="161" spans="1:1" x14ac:dyDescent="0.35">
      <c r="A161" t="s">
        <v>3595</v>
      </c>
    </row>
    <row r="162" spans="1:1" x14ac:dyDescent="0.35">
      <c r="A162" t="s">
        <v>3596</v>
      </c>
    </row>
    <row r="163" spans="1:1" x14ac:dyDescent="0.35">
      <c r="A163" t="s">
        <v>3597</v>
      </c>
    </row>
    <row r="164" spans="1:1" x14ac:dyDescent="0.35">
      <c r="A164" t="s">
        <v>3598</v>
      </c>
    </row>
    <row r="165" spans="1:1" x14ac:dyDescent="0.35">
      <c r="A165" t="s">
        <v>3599</v>
      </c>
    </row>
    <row r="166" spans="1:1" x14ac:dyDescent="0.35">
      <c r="A166" t="s">
        <v>3600</v>
      </c>
    </row>
    <row r="167" spans="1:1" x14ac:dyDescent="0.35">
      <c r="A167" t="s">
        <v>3601</v>
      </c>
    </row>
    <row r="168" spans="1:1" x14ac:dyDescent="0.35">
      <c r="A168" t="s">
        <v>3602</v>
      </c>
    </row>
    <row r="169" spans="1:1" x14ac:dyDescent="0.35">
      <c r="A169" t="s">
        <v>3603</v>
      </c>
    </row>
    <row r="170" spans="1:1" x14ac:dyDescent="0.35">
      <c r="A170" t="s">
        <v>3604</v>
      </c>
    </row>
    <row r="171" spans="1:1" x14ac:dyDescent="0.35">
      <c r="A171" t="s">
        <v>3605</v>
      </c>
    </row>
    <row r="172" spans="1:1" x14ac:dyDescent="0.35">
      <c r="A172" t="s">
        <v>3606</v>
      </c>
    </row>
    <row r="173" spans="1:1" x14ac:dyDescent="0.35">
      <c r="A173" t="s">
        <v>3607</v>
      </c>
    </row>
    <row r="174" spans="1:1" x14ac:dyDescent="0.35">
      <c r="A174" t="s">
        <v>3608</v>
      </c>
    </row>
    <row r="175" spans="1:1" x14ac:dyDescent="0.35">
      <c r="A175" t="s">
        <v>3609</v>
      </c>
    </row>
    <row r="176" spans="1:1" x14ac:dyDescent="0.35">
      <c r="A176" t="s">
        <v>3610</v>
      </c>
    </row>
    <row r="177" spans="1:1" x14ac:dyDescent="0.35">
      <c r="A177" t="s">
        <v>3611</v>
      </c>
    </row>
    <row r="178" spans="1:1" x14ac:dyDescent="0.35">
      <c r="A178" t="s">
        <v>3612</v>
      </c>
    </row>
    <row r="179" spans="1:1" x14ac:dyDescent="0.35">
      <c r="A179" t="s">
        <v>3613</v>
      </c>
    </row>
    <row r="180" spans="1:1" x14ac:dyDescent="0.35">
      <c r="A180" t="s">
        <v>3614</v>
      </c>
    </row>
    <row r="181" spans="1:1" x14ac:dyDescent="0.35">
      <c r="A181" t="s">
        <v>3615</v>
      </c>
    </row>
    <row r="182" spans="1:1" x14ac:dyDescent="0.35">
      <c r="A182" t="s">
        <v>3616</v>
      </c>
    </row>
    <row r="183" spans="1:1" x14ac:dyDescent="0.35">
      <c r="A183" t="s">
        <v>3617</v>
      </c>
    </row>
    <row r="184" spans="1:1" x14ac:dyDescent="0.35">
      <c r="A184" t="s">
        <v>3618</v>
      </c>
    </row>
    <row r="185" spans="1:1" x14ac:dyDescent="0.35">
      <c r="A185" t="s">
        <v>3619</v>
      </c>
    </row>
    <row r="186" spans="1:1" x14ac:dyDescent="0.35">
      <c r="A186" t="s">
        <v>3620</v>
      </c>
    </row>
    <row r="187" spans="1:1" x14ac:dyDescent="0.35">
      <c r="A187" t="s">
        <v>3621</v>
      </c>
    </row>
    <row r="188" spans="1:1" x14ac:dyDescent="0.35">
      <c r="A188" t="s">
        <v>3622</v>
      </c>
    </row>
    <row r="189" spans="1:1" x14ac:dyDescent="0.35">
      <c r="A189" t="s">
        <v>3623</v>
      </c>
    </row>
    <row r="190" spans="1:1" x14ac:dyDescent="0.35">
      <c r="A190" t="s">
        <v>3624</v>
      </c>
    </row>
    <row r="191" spans="1:1" x14ac:dyDescent="0.35">
      <c r="A191" t="s">
        <v>3625</v>
      </c>
    </row>
    <row r="192" spans="1:1" x14ac:dyDescent="0.35">
      <c r="A192" t="s">
        <v>3626</v>
      </c>
    </row>
    <row r="193" spans="1:1" x14ac:dyDescent="0.35">
      <c r="A193" t="s">
        <v>3627</v>
      </c>
    </row>
    <row r="194" spans="1:1" x14ac:dyDescent="0.35">
      <c r="A194" t="s">
        <v>3628</v>
      </c>
    </row>
    <row r="195" spans="1:1" x14ac:dyDescent="0.35">
      <c r="A195" t="s">
        <v>3629</v>
      </c>
    </row>
    <row r="196" spans="1:1" x14ac:dyDescent="0.35">
      <c r="A196" t="s">
        <v>3630</v>
      </c>
    </row>
    <row r="197" spans="1:1" x14ac:dyDescent="0.35">
      <c r="A197" t="s">
        <v>3631</v>
      </c>
    </row>
    <row r="198" spans="1:1" x14ac:dyDescent="0.35">
      <c r="A198" t="s">
        <v>3632</v>
      </c>
    </row>
    <row r="199" spans="1:1" x14ac:dyDescent="0.35">
      <c r="A199" t="s">
        <v>3633</v>
      </c>
    </row>
    <row r="200" spans="1:1" x14ac:dyDescent="0.35">
      <c r="A200" t="s">
        <v>3634</v>
      </c>
    </row>
    <row r="201" spans="1:1" x14ac:dyDescent="0.35">
      <c r="A201" t="s">
        <v>3635</v>
      </c>
    </row>
    <row r="202" spans="1:1" x14ac:dyDescent="0.35">
      <c r="A202" t="s">
        <v>3636</v>
      </c>
    </row>
    <row r="203" spans="1:1" x14ac:dyDescent="0.35">
      <c r="A203" t="s">
        <v>3637</v>
      </c>
    </row>
    <row r="204" spans="1:1" x14ac:dyDescent="0.35">
      <c r="A204" t="s">
        <v>3638</v>
      </c>
    </row>
    <row r="205" spans="1:1" x14ac:dyDescent="0.35">
      <c r="A205" t="s">
        <v>3639</v>
      </c>
    </row>
    <row r="206" spans="1:1" x14ac:dyDescent="0.35">
      <c r="A206" t="s">
        <v>3640</v>
      </c>
    </row>
    <row r="207" spans="1:1" x14ac:dyDescent="0.35">
      <c r="A207" t="s">
        <v>3641</v>
      </c>
    </row>
    <row r="208" spans="1:1" x14ac:dyDescent="0.35">
      <c r="A208" t="s">
        <v>3642</v>
      </c>
    </row>
    <row r="209" spans="1:1" x14ac:dyDescent="0.35">
      <c r="A209" t="s">
        <v>3643</v>
      </c>
    </row>
    <row r="210" spans="1:1" x14ac:dyDescent="0.35">
      <c r="A210" t="s">
        <v>3644</v>
      </c>
    </row>
    <row r="211" spans="1:1" x14ac:dyDescent="0.35">
      <c r="A211" t="s">
        <v>3645</v>
      </c>
    </row>
    <row r="212" spans="1:1" x14ac:dyDescent="0.35">
      <c r="A212" t="s">
        <v>3646</v>
      </c>
    </row>
    <row r="213" spans="1:1" x14ac:dyDescent="0.35">
      <c r="A213" t="s">
        <v>3647</v>
      </c>
    </row>
    <row r="214" spans="1:1" x14ac:dyDescent="0.35">
      <c r="A214" t="s">
        <v>3648</v>
      </c>
    </row>
    <row r="215" spans="1:1" x14ac:dyDescent="0.35">
      <c r="A215" t="s">
        <v>3649</v>
      </c>
    </row>
    <row r="216" spans="1:1" x14ac:dyDescent="0.35">
      <c r="A216" t="s">
        <v>3650</v>
      </c>
    </row>
    <row r="217" spans="1:1" x14ac:dyDescent="0.35">
      <c r="A217" t="s">
        <v>3651</v>
      </c>
    </row>
    <row r="218" spans="1:1" x14ac:dyDescent="0.35">
      <c r="A218" t="s">
        <v>3652</v>
      </c>
    </row>
    <row r="219" spans="1:1" x14ac:dyDescent="0.35">
      <c r="A219" t="s">
        <v>3653</v>
      </c>
    </row>
    <row r="220" spans="1:1" x14ac:dyDescent="0.35">
      <c r="A220" t="s">
        <v>3654</v>
      </c>
    </row>
    <row r="221" spans="1:1" x14ac:dyDescent="0.35">
      <c r="A221" t="s">
        <v>3655</v>
      </c>
    </row>
    <row r="222" spans="1:1" x14ac:dyDescent="0.35">
      <c r="A222" t="s">
        <v>3656</v>
      </c>
    </row>
    <row r="223" spans="1:1" x14ac:dyDescent="0.35">
      <c r="A223" t="s">
        <v>3657</v>
      </c>
    </row>
    <row r="224" spans="1:1" x14ac:dyDescent="0.35">
      <c r="A224" t="s">
        <v>3658</v>
      </c>
    </row>
    <row r="225" spans="1:1" x14ac:dyDescent="0.35">
      <c r="A225" t="s">
        <v>3659</v>
      </c>
    </row>
    <row r="226" spans="1:1" x14ac:dyDescent="0.35">
      <c r="A226" t="s">
        <v>3660</v>
      </c>
    </row>
    <row r="227" spans="1:1" x14ac:dyDescent="0.35">
      <c r="A227" t="s">
        <v>3661</v>
      </c>
    </row>
    <row r="228" spans="1:1" x14ac:dyDescent="0.35">
      <c r="A228" t="s">
        <v>3662</v>
      </c>
    </row>
    <row r="229" spans="1:1" x14ac:dyDescent="0.35">
      <c r="A229" t="s">
        <v>3663</v>
      </c>
    </row>
    <row r="230" spans="1:1" x14ac:dyDescent="0.35">
      <c r="A230" t="s">
        <v>3664</v>
      </c>
    </row>
    <row r="231" spans="1:1" x14ac:dyDescent="0.35">
      <c r="A231" t="s">
        <v>3665</v>
      </c>
    </row>
    <row r="232" spans="1:1" x14ac:dyDescent="0.35">
      <c r="A232" t="s">
        <v>3666</v>
      </c>
    </row>
    <row r="233" spans="1:1" x14ac:dyDescent="0.35">
      <c r="A233" t="s">
        <v>3667</v>
      </c>
    </row>
    <row r="234" spans="1:1" x14ac:dyDescent="0.35">
      <c r="A234" t="s">
        <v>3668</v>
      </c>
    </row>
    <row r="235" spans="1:1" x14ac:dyDescent="0.35">
      <c r="A235" t="s">
        <v>3669</v>
      </c>
    </row>
    <row r="236" spans="1:1" x14ac:dyDescent="0.35">
      <c r="A236" t="s">
        <v>3670</v>
      </c>
    </row>
    <row r="237" spans="1:1" x14ac:dyDescent="0.35">
      <c r="A237" t="s">
        <v>3671</v>
      </c>
    </row>
    <row r="238" spans="1:1" x14ac:dyDescent="0.35">
      <c r="A238" t="s">
        <v>3672</v>
      </c>
    </row>
    <row r="239" spans="1:1" x14ac:dyDescent="0.35">
      <c r="A239" t="s">
        <v>3673</v>
      </c>
    </row>
    <row r="240" spans="1:1" x14ac:dyDescent="0.35">
      <c r="A240" t="s">
        <v>3674</v>
      </c>
    </row>
    <row r="241" spans="1:1" x14ac:dyDescent="0.35">
      <c r="A241" t="s">
        <v>3675</v>
      </c>
    </row>
    <row r="242" spans="1:1" x14ac:dyDescent="0.35">
      <c r="A242" t="s">
        <v>3676</v>
      </c>
    </row>
    <row r="243" spans="1:1" x14ac:dyDescent="0.35">
      <c r="A243" t="s">
        <v>3677</v>
      </c>
    </row>
    <row r="244" spans="1:1" x14ac:dyDescent="0.35">
      <c r="A244" t="s">
        <v>3678</v>
      </c>
    </row>
    <row r="245" spans="1:1" x14ac:dyDescent="0.35">
      <c r="A245" t="s">
        <v>3679</v>
      </c>
    </row>
    <row r="246" spans="1:1" x14ac:dyDescent="0.35">
      <c r="A246" t="s">
        <v>3680</v>
      </c>
    </row>
    <row r="247" spans="1:1" x14ac:dyDescent="0.35">
      <c r="A247" t="s">
        <v>3681</v>
      </c>
    </row>
    <row r="248" spans="1:1" x14ac:dyDescent="0.35">
      <c r="A248" t="s">
        <v>3682</v>
      </c>
    </row>
    <row r="249" spans="1:1" x14ac:dyDescent="0.35">
      <c r="A249" t="s">
        <v>3683</v>
      </c>
    </row>
    <row r="250" spans="1:1" x14ac:dyDescent="0.35">
      <c r="A250" t="s">
        <v>3684</v>
      </c>
    </row>
    <row r="251" spans="1:1" x14ac:dyDescent="0.35">
      <c r="A251" t="s">
        <v>3685</v>
      </c>
    </row>
    <row r="252" spans="1:1" x14ac:dyDescent="0.35">
      <c r="A252" t="s">
        <v>3686</v>
      </c>
    </row>
    <row r="253" spans="1:1" x14ac:dyDescent="0.35">
      <c r="A253" t="s">
        <v>3687</v>
      </c>
    </row>
    <row r="254" spans="1:1" x14ac:dyDescent="0.35">
      <c r="A254" t="s">
        <v>3688</v>
      </c>
    </row>
    <row r="255" spans="1:1" x14ac:dyDescent="0.35">
      <c r="A255" t="s">
        <v>3689</v>
      </c>
    </row>
    <row r="256" spans="1:1" x14ac:dyDescent="0.35">
      <c r="A256" t="s">
        <v>3690</v>
      </c>
    </row>
    <row r="257" spans="1:1" x14ac:dyDescent="0.35">
      <c r="A257" t="s">
        <v>3691</v>
      </c>
    </row>
    <row r="258" spans="1:1" x14ac:dyDescent="0.35">
      <c r="A258" t="s">
        <v>3692</v>
      </c>
    </row>
    <row r="259" spans="1:1" x14ac:dyDescent="0.35">
      <c r="A259" t="s">
        <v>3693</v>
      </c>
    </row>
    <row r="260" spans="1:1" x14ac:dyDescent="0.35">
      <c r="A260" t="s">
        <v>3694</v>
      </c>
    </row>
    <row r="261" spans="1:1" x14ac:dyDescent="0.35">
      <c r="A261" t="s">
        <v>3695</v>
      </c>
    </row>
    <row r="262" spans="1:1" x14ac:dyDescent="0.35">
      <c r="A262" t="s">
        <v>3696</v>
      </c>
    </row>
    <row r="263" spans="1:1" x14ac:dyDescent="0.35">
      <c r="A263" t="s">
        <v>3697</v>
      </c>
    </row>
    <row r="264" spans="1:1" x14ac:dyDescent="0.35">
      <c r="A264" t="s">
        <v>3698</v>
      </c>
    </row>
    <row r="265" spans="1:1" x14ac:dyDescent="0.35">
      <c r="A265" t="s">
        <v>3699</v>
      </c>
    </row>
    <row r="266" spans="1:1" x14ac:dyDescent="0.35">
      <c r="A266" t="s">
        <v>3700</v>
      </c>
    </row>
    <row r="267" spans="1:1" x14ac:dyDescent="0.35">
      <c r="A267" t="s">
        <v>3701</v>
      </c>
    </row>
    <row r="268" spans="1:1" x14ac:dyDescent="0.35">
      <c r="A268" t="s">
        <v>3702</v>
      </c>
    </row>
    <row r="269" spans="1:1" x14ac:dyDescent="0.35">
      <c r="A269" t="s">
        <v>3703</v>
      </c>
    </row>
    <row r="270" spans="1:1" x14ac:dyDescent="0.35">
      <c r="A270" t="s">
        <v>3704</v>
      </c>
    </row>
    <row r="271" spans="1:1" x14ac:dyDescent="0.35">
      <c r="A271" t="s">
        <v>3705</v>
      </c>
    </row>
    <row r="272" spans="1:1" x14ac:dyDescent="0.35">
      <c r="A272" t="s">
        <v>3706</v>
      </c>
    </row>
    <row r="273" spans="1:1" x14ac:dyDescent="0.35">
      <c r="A273" t="s">
        <v>3707</v>
      </c>
    </row>
    <row r="274" spans="1:1" x14ac:dyDescent="0.35">
      <c r="A274" t="s">
        <v>3708</v>
      </c>
    </row>
    <row r="275" spans="1:1" x14ac:dyDescent="0.35">
      <c r="A275" t="s">
        <v>3709</v>
      </c>
    </row>
    <row r="276" spans="1:1" x14ac:dyDescent="0.35">
      <c r="A276" t="s">
        <v>3710</v>
      </c>
    </row>
    <row r="277" spans="1:1" x14ac:dyDescent="0.35">
      <c r="A277" t="s">
        <v>3711</v>
      </c>
    </row>
    <row r="278" spans="1:1" x14ac:dyDescent="0.35">
      <c r="A278" t="s">
        <v>3712</v>
      </c>
    </row>
    <row r="279" spans="1:1" x14ac:dyDescent="0.35">
      <c r="A279" t="s">
        <v>3713</v>
      </c>
    </row>
    <row r="280" spans="1:1" x14ac:dyDescent="0.35">
      <c r="A280" t="s">
        <v>3714</v>
      </c>
    </row>
    <row r="281" spans="1:1" x14ac:dyDescent="0.35">
      <c r="A281" t="s">
        <v>3715</v>
      </c>
    </row>
    <row r="282" spans="1:1" x14ac:dyDescent="0.35">
      <c r="A282" t="s">
        <v>3716</v>
      </c>
    </row>
    <row r="283" spans="1:1" x14ac:dyDescent="0.35">
      <c r="A283" t="s">
        <v>3717</v>
      </c>
    </row>
    <row r="284" spans="1:1" x14ac:dyDescent="0.35">
      <c r="A284" t="s">
        <v>3718</v>
      </c>
    </row>
    <row r="285" spans="1:1" x14ac:dyDescent="0.35">
      <c r="A285" t="s">
        <v>3719</v>
      </c>
    </row>
    <row r="286" spans="1:1" x14ac:dyDescent="0.35">
      <c r="A286" t="s">
        <v>3720</v>
      </c>
    </row>
    <row r="287" spans="1:1" x14ac:dyDescent="0.35">
      <c r="A287" t="s">
        <v>3721</v>
      </c>
    </row>
    <row r="288" spans="1:1" x14ac:dyDescent="0.35">
      <c r="A288" t="s">
        <v>3722</v>
      </c>
    </row>
    <row r="289" spans="1:1" x14ac:dyDescent="0.35">
      <c r="A289" t="s">
        <v>3723</v>
      </c>
    </row>
    <row r="290" spans="1:1" x14ac:dyDescent="0.35">
      <c r="A290" t="s">
        <v>3724</v>
      </c>
    </row>
    <row r="291" spans="1:1" x14ac:dyDescent="0.35">
      <c r="A291" t="s">
        <v>3725</v>
      </c>
    </row>
    <row r="292" spans="1:1" x14ac:dyDescent="0.35">
      <c r="A292" t="s">
        <v>3726</v>
      </c>
    </row>
    <row r="293" spans="1:1" x14ac:dyDescent="0.35">
      <c r="A293" t="s">
        <v>3727</v>
      </c>
    </row>
    <row r="294" spans="1:1" x14ac:dyDescent="0.35">
      <c r="A294" t="s">
        <v>3728</v>
      </c>
    </row>
    <row r="295" spans="1:1" x14ac:dyDescent="0.35">
      <c r="A295" t="s">
        <v>3729</v>
      </c>
    </row>
    <row r="296" spans="1:1" x14ac:dyDescent="0.35">
      <c r="A296" t="s">
        <v>3730</v>
      </c>
    </row>
    <row r="297" spans="1:1" x14ac:dyDescent="0.35">
      <c r="A297" t="s">
        <v>3731</v>
      </c>
    </row>
    <row r="298" spans="1:1" x14ac:dyDescent="0.35">
      <c r="A298" t="s">
        <v>3732</v>
      </c>
    </row>
    <row r="299" spans="1:1" x14ac:dyDescent="0.35">
      <c r="A299" t="s">
        <v>3733</v>
      </c>
    </row>
    <row r="300" spans="1:1" x14ac:dyDescent="0.35">
      <c r="A300" t="s">
        <v>3734</v>
      </c>
    </row>
    <row r="301" spans="1:1" x14ac:dyDescent="0.35">
      <c r="A301" t="s">
        <v>3735</v>
      </c>
    </row>
    <row r="302" spans="1:1" x14ac:dyDescent="0.35">
      <c r="A302" t="s">
        <v>3736</v>
      </c>
    </row>
    <row r="303" spans="1:1" x14ac:dyDescent="0.35">
      <c r="A303" t="s">
        <v>3737</v>
      </c>
    </row>
    <row r="304" spans="1:1" x14ac:dyDescent="0.35">
      <c r="A304" t="s">
        <v>3738</v>
      </c>
    </row>
    <row r="305" spans="1:1" x14ac:dyDescent="0.35">
      <c r="A305" t="s">
        <v>3739</v>
      </c>
    </row>
    <row r="306" spans="1:1" x14ac:dyDescent="0.35">
      <c r="A306" t="s">
        <v>3740</v>
      </c>
    </row>
    <row r="307" spans="1:1" x14ac:dyDescent="0.35">
      <c r="A307" t="s">
        <v>3741</v>
      </c>
    </row>
    <row r="308" spans="1:1" x14ac:dyDescent="0.35">
      <c r="A308" t="s">
        <v>3742</v>
      </c>
    </row>
    <row r="309" spans="1:1" x14ac:dyDescent="0.35">
      <c r="A309" t="s">
        <v>3743</v>
      </c>
    </row>
    <row r="310" spans="1:1" x14ac:dyDescent="0.35">
      <c r="A310" t="s">
        <v>3744</v>
      </c>
    </row>
    <row r="311" spans="1:1" x14ac:dyDescent="0.35">
      <c r="A311" t="s">
        <v>3745</v>
      </c>
    </row>
    <row r="312" spans="1:1" x14ac:dyDescent="0.35">
      <c r="A312" t="s">
        <v>3746</v>
      </c>
    </row>
    <row r="313" spans="1:1" x14ac:dyDescent="0.35">
      <c r="A313" t="s">
        <v>3747</v>
      </c>
    </row>
    <row r="314" spans="1:1" x14ac:dyDescent="0.35">
      <c r="A314" t="s">
        <v>3748</v>
      </c>
    </row>
    <row r="315" spans="1:1" x14ac:dyDescent="0.35">
      <c r="A315" t="s">
        <v>3749</v>
      </c>
    </row>
    <row r="316" spans="1:1" x14ac:dyDescent="0.35">
      <c r="A316" t="s">
        <v>3750</v>
      </c>
    </row>
    <row r="317" spans="1:1" x14ac:dyDescent="0.35">
      <c r="A317" t="s">
        <v>3751</v>
      </c>
    </row>
    <row r="318" spans="1:1" x14ac:dyDescent="0.35">
      <c r="A318" t="s">
        <v>3752</v>
      </c>
    </row>
    <row r="319" spans="1:1" x14ac:dyDescent="0.35">
      <c r="A319" t="s">
        <v>3753</v>
      </c>
    </row>
    <row r="320" spans="1:1" x14ac:dyDescent="0.35">
      <c r="A320" t="s">
        <v>3754</v>
      </c>
    </row>
    <row r="321" spans="1:1" x14ac:dyDescent="0.35">
      <c r="A321" t="s">
        <v>3755</v>
      </c>
    </row>
    <row r="322" spans="1:1" x14ac:dyDescent="0.35">
      <c r="A322" t="s">
        <v>3756</v>
      </c>
    </row>
    <row r="323" spans="1:1" x14ac:dyDescent="0.35">
      <c r="A323" t="s">
        <v>3757</v>
      </c>
    </row>
    <row r="324" spans="1:1" x14ac:dyDescent="0.35">
      <c r="A324" t="s">
        <v>3758</v>
      </c>
    </row>
    <row r="325" spans="1:1" x14ac:dyDescent="0.35">
      <c r="A325" t="s">
        <v>3759</v>
      </c>
    </row>
    <row r="326" spans="1:1" x14ac:dyDescent="0.35">
      <c r="A326" t="s">
        <v>3760</v>
      </c>
    </row>
    <row r="327" spans="1:1" x14ac:dyDescent="0.35">
      <c r="A327" t="s">
        <v>3761</v>
      </c>
    </row>
    <row r="328" spans="1:1" x14ac:dyDescent="0.35">
      <c r="A328" t="s">
        <v>3762</v>
      </c>
    </row>
    <row r="329" spans="1:1" x14ac:dyDescent="0.35">
      <c r="A329" t="s">
        <v>3763</v>
      </c>
    </row>
    <row r="330" spans="1:1" x14ac:dyDescent="0.35">
      <c r="A330" t="s">
        <v>3764</v>
      </c>
    </row>
    <row r="331" spans="1:1" x14ac:dyDescent="0.35">
      <c r="A331" t="s">
        <v>3765</v>
      </c>
    </row>
    <row r="332" spans="1:1" x14ac:dyDescent="0.35">
      <c r="A332" t="s">
        <v>3766</v>
      </c>
    </row>
    <row r="333" spans="1:1" x14ac:dyDescent="0.35">
      <c r="A333" t="s">
        <v>3767</v>
      </c>
    </row>
    <row r="334" spans="1:1" x14ac:dyDescent="0.35">
      <c r="A334" t="s">
        <v>3768</v>
      </c>
    </row>
    <row r="335" spans="1:1" x14ac:dyDescent="0.35">
      <c r="A335" t="s">
        <v>3769</v>
      </c>
    </row>
    <row r="336" spans="1:1" x14ac:dyDescent="0.35">
      <c r="A336" t="s">
        <v>3770</v>
      </c>
    </row>
    <row r="337" spans="1:1" x14ac:dyDescent="0.35">
      <c r="A337" t="s">
        <v>3771</v>
      </c>
    </row>
    <row r="338" spans="1:1" x14ac:dyDescent="0.35">
      <c r="A338" t="s">
        <v>3772</v>
      </c>
    </row>
    <row r="339" spans="1:1" x14ac:dyDescent="0.35">
      <c r="A339" t="s">
        <v>3773</v>
      </c>
    </row>
    <row r="340" spans="1:1" x14ac:dyDescent="0.35">
      <c r="A340" t="s">
        <v>3774</v>
      </c>
    </row>
    <row r="341" spans="1:1" x14ac:dyDescent="0.35">
      <c r="A341" t="s">
        <v>3775</v>
      </c>
    </row>
    <row r="342" spans="1:1" x14ac:dyDescent="0.35">
      <c r="A342" t="s">
        <v>3776</v>
      </c>
    </row>
    <row r="343" spans="1:1" x14ac:dyDescent="0.35">
      <c r="A343" t="s">
        <v>3777</v>
      </c>
    </row>
    <row r="344" spans="1:1" x14ac:dyDescent="0.35">
      <c r="A344" t="s">
        <v>3778</v>
      </c>
    </row>
    <row r="345" spans="1:1" x14ac:dyDescent="0.35">
      <c r="A345" t="s">
        <v>3779</v>
      </c>
    </row>
    <row r="346" spans="1:1" x14ac:dyDescent="0.35">
      <c r="A346" t="s">
        <v>3780</v>
      </c>
    </row>
    <row r="347" spans="1:1" x14ac:dyDescent="0.35">
      <c r="A347" t="s">
        <v>3781</v>
      </c>
    </row>
    <row r="348" spans="1:1" x14ac:dyDescent="0.35">
      <c r="A348" t="s">
        <v>3782</v>
      </c>
    </row>
    <row r="349" spans="1:1" x14ac:dyDescent="0.35">
      <c r="A349" t="s">
        <v>3783</v>
      </c>
    </row>
    <row r="350" spans="1:1" x14ac:dyDescent="0.35">
      <c r="A350" t="s">
        <v>3784</v>
      </c>
    </row>
    <row r="351" spans="1:1" x14ac:dyDescent="0.35">
      <c r="A351" t="s">
        <v>3785</v>
      </c>
    </row>
    <row r="352" spans="1:1" x14ac:dyDescent="0.35">
      <c r="A352" t="s">
        <v>3786</v>
      </c>
    </row>
    <row r="353" spans="1:1" x14ac:dyDescent="0.35">
      <c r="A353" t="s">
        <v>3787</v>
      </c>
    </row>
    <row r="354" spans="1:1" x14ac:dyDescent="0.35">
      <c r="A354" t="s">
        <v>3788</v>
      </c>
    </row>
    <row r="355" spans="1:1" x14ac:dyDescent="0.35">
      <c r="A355" t="s">
        <v>3789</v>
      </c>
    </row>
    <row r="356" spans="1:1" x14ac:dyDescent="0.35">
      <c r="A356" t="s">
        <v>3790</v>
      </c>
    </row>
    <row r="357" spans="1:1" x14ac:dyDescent="0.35">
      <c r="A357" t="s">
        <v>3791</v>
      </c>
    </row>
    <row r="358" spans="1:1" x14ac:dyDescent="0.35">
      <c r="A358" t="s">
        <v>3792</v>
      </c>
    </row>
    <row r="359" spans="1:1" x14ac:dyDescent="0.35">
      <c r="A359" t="s">
        <v>3793</v>
      </c>
    </row>
    <row r="360" spans="1:1" x14ac:dyDescent="0.35">
      <c r="A360" t="s">
        <v>3794</v>
      </c>
    </row>
    <row r="361" spans="1:1" x14ac:dyDescent="0.35">
      <c r="A361" t="s">
        <v>3795</v>
      </c>
    </row>
    <row r="362" spans="1:1" x14ac:dyDescent="0.35">
      <c r="A362" t="s">
        <v>3796</v>
      </c>
    </row>
    <row r="363" spans="1:1" x14ac:dyDescent="0.35">
      <c r="A363" t="s">
        <v>3797</v>
      </c>
    </row>
    <row r="364" spans="1:1" x14ac:dyDescent="0.35">
      <c r="A364" t="s">
        <v>3798</v>
      </c>
    </row>
    <row r="365" spans="1:1" x14ac:dyDescent="0.35">
      <c r="A365" t="s">
        <v>3799</v>
      </c>
    </row>
    <row r="366" spans="1:1" x14ac:dyDescent="0.35">
      <c r="A366" t="s">
        <v>3800</v>
      </c>
    </row>
    <row r="367" spans="1:1" x14ac:dyDescent="0.35">
      <c r="A367" t="s">
        <v>3801</v>
      </c>
    </row>
    <row r="368" spans="1:1" x14ac:dyDescent="0.35">
      <c r="A368" t="s">
        <v>3802</v>
      </c>
    </row>
    <row r="369" spans="1:1" x14ac:dyDescent="0.35">
      <c r="A369" t="s">
        <v>3803</v>
      </c>
    </row>
    <row r="370" spans="1:1" x14ac:dyDescent="0.35">
      <c r="A370" t="s">
        <v>3804</v>
      </c>
    </row>
    <row r="371" spans="1:1" x14ac:dyDescent="0.35">
      <c r="A371" t="s">
        <v>3805</v>
      </c>
    </row>
    <row r="372" spans="1:1" x14ac:dyDescent="0.35">
      <c r="A372" t="s">
        <v>3806</v>
      </c>
    </row>
    <row r="373" spans="1:1" x14ac:dyDescent="0.35">
      <c r="A373" t="s">
        <v>3807</v>
      </c>
    </row>
    <row r="374" spans="1:1" x14ac:dyDescent="0.35">
      <c r="A374" t="s">
        <v>3808</v>
      </c>
    </row>
    <row r="375" spans="1:1" x14ac:dyDescent="0.35">
      <c r="A375" t="s">
        <v>3809</v>
      </c>
    </row>
    <row r="376" spans="1:1" x14ac:dyDescent="0.35">
      <c r="A376" t="s">
        <v>3810</v>
      </c>
    </row>
    <row r="377" spans="1:1" x14ac:dyDescent="0.35">
      <c r="A377" t="s">
        <v>3811</v>
      </c>
    </row>
    <row r="378" spans="1:1" x14ac:dyDescent="0.35">
      <c r="A378" t="s">
        <v>3812</v>
      </c>
    </row>
    <row r="379" spans="1:1" x14ac:dyDescent="0.35">
      <c r="A379" t="s">
        <v>3813</v>
      </c>
    </row>
    <row r="380" spans="1:1" x14ac:dyDescent="0.35">
      <c r="A380" t="s">
        <v>3814</v>
      </c>
    </row>
    <row r="381" spans="1:1" x14ac:dyDescent="0.35">
      <c r="A381" t="s">
        <v>3815</v>
      </c>
    </row>
    <row r="382" spans="1:1" x14ac:dyDescent="0.35">
      <c r="A382" t="s">
        <v>3816</v>
      </c>
    </row>
    <row r="383" spans="1:1" x14ac:dyDescent="0.35">
      <c r="A383" t="s">
        <v>3817</v>
      </c>
    </row>
    <row r="384" spans="1:1" x14ac:dyDescent="0.35">
      <c r="A384" t="s">
        <v>3818</v>
      </c>
    </row>
    <row r="385" spans="1:1" x14ac:dyDescent="0.35">
      <c r="A385" t="s">
        <v>3819</v>
      </c>
    </row>
    <row r="386" spans="1:1" x14ac:dyDescent="0.35">
      <c r="A386" t="s">
        <v>3820</v>
      </c>
    </row>
    <row r="387" spans="1:1" x14ac:dyDescent="0.35">
      <c r="A387" t="s">
        <v>3821</v>
      </c>
    </row>
    <row r="388" spans="1:1" x14ac:dyDescent="0.35">
      <c r="A388" t="s">
        <v>3822</v>
      </c>
    </row>
    <row r="389" spans="1:1" x14ac:dyDescent="0.35">
      <c r="A389" t="s">
        <v>3823</v>
      </c>
    </row>
    <row r="390" spans="1:1" x14ac:dyDescent="0.35">
      <c r="A390" t="s">
        <v>3824</v>
      </c>
    </row>
    <row r="391" spans="1:1" x14ac:dyDescent="0.35">
      <c r="A391" t="s">
        <v>3825</v>
      </c>
    </row>
    <row r="392" spans="1:1" x14ac:dyDescent="0.35">
      <c r="A392" t="s">
        <v>3826</v>
      </c>
    </row>
    <row r="393" spans="1:1" x14ac:dyDescent="0.35">
      <c r="A393" t="s">
        <v>3827</v>
      </c>
    </row>
    <row r="394" spans="1:1" x14ac:dyDescent="0.35">
      <c r="A394" t="s">
        <v>3828</v>
      </c>
    </row>
    <row r="395" spans="1:1" x14ac:dyDescent="0.35">
      <c r="A395" t="s">
        <v>3829</v>
      </c>
    </row>
    <row r="396" spans="1:1" x14ac:dyDescent="0.35">
      <c r="A396" t="s">
        <v>3830</v>
      </c>
    </row>
    <row r="397" spans="1:1" x14ac:dyDescent="0.35">
      <c r="A397" t="s">
        <v>3831</v>
      </c>
    </row>
    <row r="398" spans="1:1" x14ac:dyDescent="0.35">
      <c r="A398" t="s">
        <v>3832</v>
      </c>
    </row>
    <row r="399" spans="1:1" x14ac:dyDescent="0.35">
      <c r="A399" t="s">
        <v>3833</v>
      </c>
    </row>
    <row r="400" spans="1:1" x14ac:dyDescent="0.35">
      <c r="A400" t="s">
        <v>3834</v>
      </c>
    </row>
    <row r="401" spans="1:1" x14ac:dyDescent="0.35">
      <c r="A401" t="s">
        <v>3835</v>
      </c>
    </row>
    <row r="402" spans="1:1" x14ac:dyDescent="0.35">
      <c r="A402" t="s">
        <v>3836</v>
      </c>
    </row>
    <row r="403" spans="1:1" x14ac:dyDescent="0.35">
      <c r="A403" t="s">
        <v>3837</v>
      </c>
    </row>
    <row r="404" spans="1:1" x14ac:dyDescent="0.35">
      <c r="A404" t="s">
        <v>3838</v>
      </c>
    </row>
    <row r="405" spans="1:1" x14ac:dyDescent="0.35">
      <c r="A405" t="s">
        <v>3839</v>
      </c>
    </row>
    <row r="406" spans="1:1" x14ac:dyDescent="0.35">
      <c r="A406" t="s">
        <v>3840</v>
      </c>
    </row>
    <row r="407" spans="1:1" x14ac:dyDescent="0.35">
      <c r="A407" t="s">
        <v>3841</v>
      </c>
    </row>
    <row r="408" spans="1:1" x14ac:dyDescent="0.35">
      <c r="A408" t="s">
        <v>3842</v>
      </c>
    </row>
    <row r="409" spans="1:1" x14ac:dyDescent="0.35">
      <c r="A409" t="s">
        <v>3843</v>
      </c>
    </row>
    <row r="410" spans="1:1" x14ac:dyDescent="0.35">
      <c r="A410" t="s">
        <v>3844</v>
      </c>
    </row>
    <row r="411" spans="1:1" x14ac:dyDescent="0.35">
      <c r="A411" t="s">
        <v>3845</v>
      </c>
    </row>
    <row r="412" spans="1:1" x14ac:dyDescent="0.35">
      <c r="A412" t="s">
        <v>3846</v>
      </c>
    </row>
    <row r="413" spans="1:1" x14ac:dyDescent="0.35">
      <c r="A413" t="s">
        <v>3847</v>
      </c>
    </row>
    <row r="414" spans="1:1" x14ac:dyDescent="0.35">
      <c r="A414" t="s">
        <v>3848</v>
      </c>
    </row>
    <row r="415" spans="1:1" x14ac:dyDescent="0.35">
      <c r="A415" t="s">
        <v>3849</v>
      </c>
    </row>
    <row r="416" spans="1:1" x14ac:dyDescent="0.35">
      <c r="A416" t="s">
        <v>3850</v>
      </c>
    </row>
    <row r="417" spans="1:1" x14ac:dyDescent="0.35">
      <c r="A417" t="s">
        <v>3851</v>
      </c>
    </row>
    <row r="418" spans="1:1" x14ac:dyDescent="0.35">
      <c r="A418" t="s">
        <v>3852</v>
      </c>
    </row>
    <row r="419" spans="1:1" x14ac:dyDescent="0.35">
      <c r="A419" t="s">
        <v>3853</v>
      </c>
    </row>
    <row r="420" spans="1:1" x14ac:dyDescent="0.35">
      <c r="A420" t="s">
        <v>3854</v>
      </c>
    </row>
    <row r="421" spans="1:1" x14ac:dyDescent="0.35">
      <c r="A421" t="s">
        <v>3855</v>
      </c>
    </row>
    <row r="422" spans="1:1" x14ac:dyDescent="0.35">
      <c r="A422" t="s">
        <v>3856</v>
      </c>
    </row>
    <row r="423" spans="1:1" x14ac:dyDescent="0.35">
      <c r="A423" t="s">
        <v>3857</v>
      </c>
    </row>
    <row r="424" spans="1:1" x14ac:dyDescent="0.35">
      <c r="A424" t="s">
        <v>3858</v>
      </c>
    </row>
    <row r="425" spans="1:1" x14ac:dyDescent="0.35">
      <c r="A425" t="s">
        <v>3859</v>
      </c>
    </row>
    <row r="426" spans="1:1" x14ac:dyDescent="0.35">
      <c r="A426" t="s">
        <v>3860</v>
      </c>
    </row>
    <row r="427" spans="1:1" x14ac:dyDescent="0.35">
      <c r="A427" t="s">
        <v>3861</v>
      </c>
    </row>
    <row r="428" spans="1:1" x14ac:dyDescent="0.35">
      <c r="A428" t="s">
        <v>3862</v>
      </c>
    </row>
    <row r="429" spans="1:1" x14ac:dyDescent="0.35">
      <c r="A429" t="s">
        <v>3863</v>
      </c>
    </row>
    <row r="430" spans="1:1" x14ac:dyDescent="0.35">
      <c r="A430" t="s">
        <v>3864</v>
      </c>
    </row>
    <row r="431" spans="1:1" x14ac:dyDescent="0.35">
      <c r="A431" t="s">
        <v>3865</v>
      </c>
    </row>
    <row r="432" spans="1:1" x14ac:dyDescent="0.35">
      <c r="A432" t="s">
        <v>3866</v>
      </c>
    </row>
    <row r="433" spans="1:1" x14ac:dyDescent="0.35">
      <c r="A433" t="s">
        <v>48</v>
      </c>
    </row>
    <row r="434" spans="1:1" x14ac:dyDescent="0.35">
      <c r="A434" t="s">
        <v>35</v>
      </c>
    </row>
    <row r="435" spans="1:1" x14ac:dyDescent="0.35">
      <c r="A435" t="s">
        <v>45</v>
      </c>
    </row>
    <row r="436" spans="1:1" x14ac:dyDescent="0.35">
      <c r="A436" t="s">
        <v>39</v>
      </c>
    </row>
    <row r="437" spans="1:1" x14ac:dyDescent="0.35">
      <c r="A437" t="s">
        <v>42</v>
      </c>
    </row>
    <row r="438" spans="1:1" x14ac:dyDescent="0.35">
      <c r="A438" t="s">
        <v>2666</v>
      </c>
    </row>
    <row r="439" spans="1:1" x14ac:dyDescent="0.35">
      <c r="A439" t="s">
        <v>3867</v>
      </c>
    </row>
    <row r="440" spans="1:1" x14ac:dyDescent="0.35">
      <c r="A440" t="s">
        <v>3140</v>
      </c>
    </row>
    <row r="441" spans="1:1" x14ac:dyDescent="0.35">
      <c r="A441" t="s">
        <v>2663</v>
      </c>
    </row>
    <row r="442" spans="1:1" x14ac:dyDescent="0.35">
      <c r="A442" t="s">
        <v>3868</v>
      </c>
    </row>
    <row r="443" spans="1:1" x14ac:dyDescent="0.35">
      <c r="A443" t="s">
        <v>1557</v>
      </c>
    </row>
    <row r="444" spans="1:1" x14ac:dyDescent="0.35">
      <c r="A444" t="s">
        <v>3869</v>
      </c>
    </row>
    <row r="445" spans="1:1" x14ac:dyDescent="0.35">
      <c r="A445" t="s">
        <v>3870</v>
      </c>
    </row>
    <row r="446" spans="1:1" x14ac:dyDescent="0.35">
      <c r="A446" t="s">
        <v>3871</v>
      </c>
    </row>
    <row r="447" spans="1:1" x14ac:dyDescent="0.35">
      <c r="A447" t="s">
        <v>2989</v>
      </c>
    </row>
    <row r="448" spans="1:1" x14ac:dyDescent="0.35">
      <c r="A448" t="s">
        <v>3872</v>
      </c>
    </row>
    <row r="449" spans="1:1" x14ac:dyDescent="0.35">
      <c r="A449" t="s">
        <v>3873</v>
      </c>
    </row>
    <row r="450" spans="1:1" x14ac:dyDescent="0.35">
      <c r="A450" t="s">
        <v>3874</v>
      </c>
    </row>
    <row r="451" spans="1:1" x14ac:dyDescent="0.35">
      <c r="A451" t="s">
        <v>3430</v>
      </c>
    </row>
    <row r="452" spans="1:1" x14ac:dyDescent="0.35">
      <c r="A452" t="s">
        <v>3030</v>
      </c>
    </row>
    <row r="453" spans="1:1" x14ac:dyDescent="0.35">
      <c r="A453" t="s">
        <v>3875</v>
      </c>
    </row>
    <row r="454" spans="1:1" x14ac:dyDescent="0.35">
      <c r="A454" t="s">
        <v>3014</v>
      </c>
    </row>
    <row r="455" spans="1:1" x14ac:dyDescent="0.35">
      <c r="A455" t="s">
        <v>3044</v>
      </c>
    </row>
    <row r="456" spans="1:1" x14ac:dyDescent="0.35">
      <c r="A456" t="s">
        <v>3876</v>
      </c>
    </row>
    <row r="457" spans="1:1" x14ac:dyDescent="0.35">
      <c r="A457" t="s">
        <v>2997</v>
      </c>
    </row>
    <row r="458" spans="1:1" x14ac:dyDescent="0.35">
      <c r="A458" t="s">
        <v>3877</v>
      </c>
    </row>
    <row r="459" spans="1:1" x14ac:dyDescent="0.35">
      <c r="A459" t="s">
        <v>3054</v>
      </c>
    </row>
    <row r="460" spans="1:1" x14ac:dyDescent="0.35">
      <c r="A460" t="s">
        <v>3878</v>
      </c>
    </row>
    <row r="461" spans="1:1" x14ac:dyDescent="0.35">
      <c r="A461" t="s">
        <v>3879</v>
      </c>
    </row>
    <row r="462" spans="1:1" x14ac:dyDescent="0.35">
      <c r="A462" t="s">
        <v>3880</v>
      </c>
    </row>
    <row r="463" spans="1:1" x14ac:dyDescent="0.35">
      <c r="A463" t="s">
        <v>3041</v>
      </c>
    </row>
    <row r="464" spans="1:1" x14ac:dyDescent="0.35">
      <c r="A464" t="s">
        <v>3001</v>
      </c>
    </row>
    <row r="465" spans="1:1" x14ac:dyDescent="0.35">
      <c r="A465" t="s">
        <v>3881</v>
      </c>
    </row>
    <row r="466" spans="1:1" x14ac:dyDescent="0.35">
      <c r="A466" t="s">
        <v>3882</v>
      </c>
    </row>
    <row r="467" spans="1:1" x14ac:dyDescent="0.35">
      <c r="A467" t="s">
        <v>3883</v>
      </c>
    </row>
    <row r="468" spans="1:1" x14ac:dyDescent="0.35">
      <c r="A468" t="s">
        <v>3022</v>
      </c>
    </row>
    <row r="469" spans="1:1" x14ac:dyDescent="0.35">
      <c r="A469" t="s">
        <v>3884</v>
      </c>
    </row>
    <row r="470" spans="1:1" x14ac:dyDescent="0.35">
      <c r="A470" t="s">
        <v>3011</v>
      </c>
    </row>
    <row r="471" spans="1:1" x14ac:dyDescent="0.35">
      <c r="A471" t="s">
        <v>2993</v>
      </c>
    </row>
    <row r="472" spans="1:1" x14ac:dyDescent="0.35">
      <c r="A472" t="s">
        <v>2985</v>
      </c>
    </row>
    <row r="473" spans="1:1" x14ac:dyDescent="0.35">
      <c r="A473" t="s">
        <v>3034</v>
      </c>
    </row>
    <row r="474" spans="1:1" x14ac:dyDescent="0.35">
      <c r="A474" t="s">
        <v>3885</v>
      </c>
    </row>
    <row r="475" spans="1:1" x14ac:dyDescent="0.35">
      <c r="A475" t="s">
        <v>3026</v>
      </c>
    </row>
    <row r="476" spans="1:1" x14ac:dyDescent="0.35">
      <c r="A476" t="s">
        <v>2982</v>
      </c>
    </row>
    <row r="477" spans="1:1" x14ac:dyDescent="0.35">
      <c r="A477" t="s">
        <v>2903</v>
      </c>
    </row>
    <row r="478" spans="1:1" x14ac:dyDescent="0.35">
      <c r="A478" t="s">
        <v>3018</v>
      </c>
    </row>
    <row r="479" spans="1:1" x14ac:dyDescent="0.35">
      <c r="A479" t="s">
        <v>3008</v>
      </c>
    </row>
    <row r="480" spans="1:1" x14ac:dyDescent="0.35">
      <c r="A480" t="s">
        <v>3038</v>
      </c>
    </row>
    <row r="481" spans="1:1" x14ac:dyDescent="0.35">
      <c r="A481" t="s">
        <v>3886</v>
      </c>
    </row>
    <row r="482" spans="1:1" x14ac:dyDescent="0.35">
      <c r="A482" t="s">
        <v>3887</v>
      </c>
    </row>
    <row r="483" spans="1:1" x14ac:dyDescent="0.35">
      <c r="A483" t="s">
        <v>3427</v>
      </c>
    </row>
    <row r="484" spans="1:1" x14ac:dyDescent="0.35">
      <c r="A484" t="s">
        <v>3888</v>
      </c>
    </row>
    <row r="485" spans="1:1" x14ac:dyDescent="0.35">
      <c r="A485" t="s">
        <v>3889</v>
      </c>
    </row>
    <row r="486" spans="1:1" x14ac:dyDescent="0.35">
      <c r="A486" t="s">
        <v>3433</v>
      </c>
    </row>
    <row r="487" spans="1:1" x14ac:dyDescent="0.35">
      <c r="A487" t="s">
        <v>3890</v>
      </c>
    </row>
    <row r="488" spans="1:1" x14ac:dyDescent="0.35">
      <c r="A488" t="s">
        <v>2230</v>
      </c>
    </row>
    <row r="489" spans="1:1" x14ac:dyDescent="0.35">
      <c r="A489" t="s">
        <v>2229</v>
      </c>
    </row>
    <row r="490" spans="1:1" x14ac:dyDescent="0.35">
      <c r="A490" t="s">
        <v>3891</v>
      </c>
    </row>
    <row r="491" spans="1:1" x14ac:dyDescent="0.35">
      <c r="A491" t="s">
        <v>2473</v>
      </c>
    </row>
    <row r="492" spans="1:1" x14ac:dyDescent="0.35">
      <c r="A492" t="s">
        <v>3268</v>
      </c>
    </row>
    <row r="493" spans="1:1" x14ac:dyDescent="0.35">
      <c r="A493" t="s">
        <v>2631</v>
      </c>
    </row>
    <row r="494" spans="1:1" x14ac:dyDescent="0.35">
      <c r="A494" t="s">
        <v>3892</v>
      </c>
    </row>
    <row r="495" spans="1:1" x14ac:dyDescent="0.35">
      <c r="A495" t="s">
        <v>3893</v>
      </c>
    </row>
    <row r="496" spans="1:1" x14ac:dyDescent="0.35">
      <c r="A496" t="s">
        <v>659</v>
      </c>
    </row>
    <row r="497" spans="1:1" x14ac:dyDescent="0.35">
      <c r="A497" t="s">
        <v>3894</v>
      </c>
    </row>
    <row r="498" spans="1:1" x14ac:dyDescent="0.35">
      <c r="A498" t="s">
        <v>3895</v>
      </c>
    </row>
    <row r="499" spans="1:1" x14ac:dyDescent="0.35">
      <c r="A499" t="s">
        <v>1677</v>
      </c>
    </row>
    <row r="500" spans="1:1" x14ac:dyDescent="0.35">
      <c r="A500" t="s">
        <v>3896</v>
      </c>
    </row>
    <row r="501" spans="1:1" x14ac:dyDescent="0.35">
      <c r="A501" t="s">
        <v>3897</v>
      </c>
    </row>
    <row r="502" spans="1:1" x14ac:dyDescent="0.35">
      <c r="A502" t="s">
        <v>3898</v>
      </c>
    </row>
    <row r="503" spans="1:1" x14ac:dyDescent="0.35">
      <c r="A503" t="s">
        <v>3899</v>
      </c>
    </row>
    <row r="504" spans="1:1" x14ac:dyDescent="0.35">
      <c r="A504" t="s">
        <v>2179</v>
      </c>
    </row>
    <row r="505" spans="1:1" x14ac:dyDescent="0.35">
      <c r="A505" t="s">
        <v>3900</v>
      </c>
    </row>
    <row r="506" spans="1:1" x14ac:dyDescent="0.35">
      <c r="A506" t="s">
        <v>1485</v>
      </c>
    </row>
    <row r="507" spans="1:1" x14ac:dyDescent="0.35">
      <c r="A507" t="s">
        <v>3901</v>
      </c>
    </row>
    <row r="508" spans="1:1" x14ac:dyDescent="0.35">
      <c r="A508" t="s">
        <v>3902</v>
      </c>
    </row>
    <row r="509" spans="1:1" x14ac:dyDescent="0.35">
      <c r="A509" t="s">
        <v>1849</v>
      </c>
    </row>
    <row r="510" spans="1:1" x14ac:dyDescent="0.35">
      <c r="A510" t="s">
        <v>1998</v>
      </c>
    </row>
    <row r="511" spans="1:1" x14ac:dyDescent="0.35">
      <c r="A511" t="s">
        <v>3903</v>
      </c>
    </row>
    <row r="512" spans="1:1" x14ac:dyDescent="0.35">
      <c r="A512" t="s">
        <v>3904</v>
      </c>
    </row>
    <row r="513" spans="1:1" x14ac:dyDescent="0.35">
      <c r="A513" t="s">
        <v>3905</v>
      </c>
    </row>
    <row r="514" spans="1:1" x14ac:dyDescent="0.35">
      <c r="A514" t="s">
        <v>1482</v>
      </c>
    </row>
    <row r="515" spans="1:1" x14ac:dyDescent="0.35">
      <c r="A515" t="s">
        <v>2718</v>
      </c>
    </row>
    <row r="516" spans="1:1" x14ac:dyDescent="0.35">
      <c r="A516" t="s">
        <v>3906</v>
      </c>
    </row>
    <row r="517" spans="1:1" x14ac:dyDescent="0.35">
      <c r="A517" t="s">
        <v>2603</v>
      </c>
    </row>
    <row r="518" spans="1:1" x14ac:dyDescent="0.35">
      <c r="A518" t="s">
        <v>3907</v>
      </c>
    </row>
    <row r="519" spans="1:1" x14ac:dyDescent="0.35">
      <c r="A519" t="s">
        <v>3908</v>
      </c>
    </row>
    <row r="520" spans="1:1" x14ac:dyDescent="0.35">
      <c r="A520" t="s">
        <v>3909</v>
      </c>
    </row>
    <row r="521" spans="1:1" x14ac:dyDescent="0.35">
      <c r="A521" t="s">
        <v>2223</v>
      </c>
    </row>
    <row r="522" spans="1:1" x14ac:dyDescent="0.35">
      <c r="A522" t="s">
        <v>3910</v>
      </c>
    </row>
    <row r="523" spans="1:1" x14ac:dyDescent="0.35">
      <c r="A523" t="s">
        <v>3911</v>
      </c>
    </row>
    <row r="524" spans="1:1" x14ac:dyDescent="0.35">
      <c r="A524" t="s">
        <v>3912</v>
      </c>
    </row>
    <row r="525" spans="1:1" x14ac:dyDescent="0.35">
      <c r="A525" t="s">
        <v>2423</v>
      </c>
    </row>
    <row r="526" spans="1:1" x14ac:dyDescent="0.35">
      <c r="A526" t="s">
        <v>3913</v>
      </c>
    </row>
    <row r="527" spans="1:1" x14ac:dyDescent="0.35">
      <c r="A527" t="s">
        <v>2617</v>
      </c>
    </row>
    <row r="528" spans="1:1" x14ac:dyDescent="0.35">
      <c r="A528" t="s">
        <v>3914</v>
      </c>
    </row>
    <row r="529" spans="1:1" x14ac:dyDescent="0.35">
      <c r="A529" t="s">
        <v>2452</v>
      </c>
    </row>
    <row r="530" spans="1:1" x14ac:dyDescent="0.35">
      <c r="A530" t="s">
        <v>2427</v>
      </c>
    </row>
    <row r="531" spans="1:1" x14ac:dyDescent="0.35">
      <c r="A531" t="s">
        <v>3915</v>
      </c>
    </row>
    <row r="532" spans="1:1" x14ac:dyDescent="0.35">
      <c r="A532" t="s">
        <v>3916</v>
      </c>
    </row>
    <row r="533" spans="1:1" x14ac:dyDescent="0.35">
      <c r="A533" t="s">
        <v>2521</v>
      </c>
    </row>
    <row r="534" spans="1:1" x14ac:dyDescent="0.35">
      <c r="A534" t="s">
        <v>3917</v>
      </c>
    </row>
    <row r="535" spans="1:1" x14ac:dyDescent="0.35">
      <c r="A535" t="s">
        <v>3918</v>
      </c>
    </row>
    <row r="536" spans="1:1" x14ac:dyDescent="0.35">
      <c r="A536" t="s">
        <v>1465</v>
      </c>
    </row>
    <row r="537" spans="1:1" x14ac:dyDescent="0.35">
      <c r="A537" t="s">
        <v>3919</v>
      </c>
    </row>
    <row r="538" spans="1:1" x14ac:dyDescent="0.35">
      <c r="A538" t="s">
        <v>3920</v>
      </c>
    </row>
    <row r="539" spans="1:1" x14ac:dyDescent="0.35">
      <c r="A539" t="s">
        <v>2582</v>
      </c>
    </row>
    <row r="540" spans="1:1" x14ac:dyDescent="0.35">
      <c r="A540" t="s">
        <v>2884</v>
      </c>
    </row>
    <row r="541" spans="1:1" x14ac:dyDescent="0.35">
      <c r="A541" t="s">
        <v>3921</v>
      </c>
    </row>
    <row r="542" spans="1:1" x14ac:dyDescent="0.35">
      <c r="A542" t="s">
        <v>3922</v>
      </c>
    </row>
    <row r="543" spans="1:1" x14ac:dyDescent="0.35">
      <c r="A543" t="s">
        <v>3923</v>
      </c>
    </row>
    <row r="544" spans="1:1" x14ac:dyDescent="0.35">
      <c r="A544" t="s">
        <v>3924</v>
      </c>
    </row>
    <row r="545" spans="1:1" x14ac:dyDescent="0.35">
      <c r="A545" t="s">
        <v>2635</v>
      </c>
    </row>
    <row r="546" spans="1:1" x14ac:dyDescent="0.35">
      <c r="A546" t="s">
        <v>2532</v>
      </c>
    </row>
    <row r="547" spans="1:1" x14ac:dyDescent="0.35">
      <c r="A547" t="s">
        <v>2586</v>
      </c>
    </row>
    <row r="548" spans="1:1" x14ac:dyDescent="0.35">
      <c r="A548" t="s">
        <v>3925</v>
      </c>
    </row>
    <row r="549" spans="1:1" x14ac:dyDescent="0.35">
      <c r="A549" t="s">
        <v>3926</v>
      </c>
    </row>
    <row r="550" spans="1:1" x14ac:dyDescent="0.35">
      <c r="A550" t="s">
        <v>3927</v>
      </c>
    </row>
    <row r="551" spans="1:1" x14ac:dyDescent="0.35">
      <c r="A551" t="s">
        <v>3928</v>
      </c>
    </row>
    <row r="552" spans="1:1" x14ac:dyDescent="0.35">
      <c r="A552" t="s">
        <v>3929</v>
      </c>
    </row>
    <row r="553" spans="1:1" x14ac:dyDescent="0.35">
      <c r="A553" t="s">
        <v>2548</v>
      </c>
    </row>
    <row r="554" spans="1:1" x14ac:dyDescent="0.35">
      <c r="A554" t="s">
        <v>1949</v>
      </c>
    </row>
    <row r="555" spans="1:1" x14ac:dyDescent="0.35">
      <c r="A555" t="s">
        <v>2436</v>
      </c>
    </row>
    <row r="556" spans="1:1" x14ac:dyDescent="0.35">
      <c r="A556" t="s">
        <v>2465</v>
      </c>
    </row>
    <row r="557" spans="1:1" x14ac:dyDescent="0.35">
      <c r="A557" t="s">
        <v>3930</v>
      </c>
    </row>
    <row r="558" spans="1:1" x14ac:dyDescent="0.35">
      <c r="A558" t="s">
        <v>2625</v>
      </c>
    </row>
    <row r="559" spans="1:1" x14ac:dyDescent="0.35">
      <c r="A559" t="s">
        <v>3931</v>
      </c>
    </row>
    <row r="560" spans="1:1" x14ac:dyDescent="0.35">
      <c r="A560" t="s">
        <v>3932</v>
      </c>
    </row>
    <row r="561" spans="1:1" x14ac:dyDescent="0.35">
      <c r="A561" t="s">
        <v>3933</v>
      </c>
    </row>
    <row r="562" spans="1:1" x14ac:dyDescent="0.35">
      <c r="A562" t="s">
        <v>2470</v>
      </c>
    </row>
    <row r="563" spans="1:1" x14ac:dyDescent="0.35">
      <c r="A563" t="s">
        <v>3934</v>
      </c>
    </row>
    <row r="564" spans="1:1" x14ac:dyDescent="0.35">
      <c r="A564" t="s">
        <v>2446</v>
      </c>
    </row>
    <row r="565" spans="1:1" x14ac:dyDescent="0.35">
      <c r="A565" t="s">
        <v>3935</v>
      </c>
    </row>
    <row r="566" spans="1:1" x14ac:dyDescent="0.35">
      <c r="A566" t="s">
        <v>1695</v>
      </c>
    </row>
    <row r="567" spans="1:1" x14ac:dyDescent="0.35">
      <c r="A567" t="s">
        <v>2577</v>
      </c>
    </row>
    <row r="568" spans="1:1" x14ac:dyDescent="0.35">
      <c r="A568" t="s">
        <v>2543</v>
      </c>
    </row>
    <row r="569" spans="1:1" x14ac:dyDescent="0.35">
      <c r="A569" t="s">
        <v>1377</v>
      </c>
    </row>
    <row r="570" spans="1:1" x14ac:dyDescent="0.35">
      <c r="A570" t="s">
        <v>3936</v>
      </c>
    </row>
    <row r="571" spans="1:1" x14ac:dyDescent="0.35">
      <c r="A571" t="s">
        <v>3937</v>
      </c>
    </row>
    <row r="572" spans="1:1" x14ac:dyDescent="0.35">
      <c r="A572" t="s">
        <v>1381</v>
      </c>
    </row>
    <row r="573" spans="1:1" x14ac:dyDescent="0.35">
      <c r="A573" t="s">
        <v>2572</v>
      </c>
    </row>
    <row r="574" spans="1:1" x14ac:dyDescent="0.35">
      <c r="A574" t="s">
        <v>3938</v>
      </c>
    </row>
    <row r="575" spans="1:1" x14ac:dyDescent="0.35">
      <c r="A575" t="s">
        <v>2552</v>
      </c>
    </row>
    <row r="576" spans="1:1" x14ac:dyDescent="0.35">
      <c r="A576" t="s">
        <v>3939</v>
      </c>
    </row>
    <row r="577" spans="1:1" x14ac:dyDescent="0.35">
      <c r="A577" t="s">
        <v>3940</v>
      </c>
    </row>
    <row r="578" spans="1:1" x14ac:dyDescent="0.35">
      <c r="A578" t="s">
        <v>2670</v>
      </c>
    </row>
    <row r="579" spans="1:1" x14ac:dyDescent="0.35">
      <c r="A579" t="s">
        <v>2651</v>
      </c>
    </row>
    <row r="580" spans="1:1" x14ac:dyDescent="0.35">
      <c r="A580" t="s">
        <v>3941</v>
      </c>
    </row>
    <row r="581" spans="1:1" x14ac:dyDescent="0.35">
      <c r="A581" t="s">
        <v>2621</v>
      </c>
    </row>
    <row r="582" spans="1:1" x14ac:dyDescent="0.35">
      <c r="A582" t="s">
        <v>3942</v>
      </c>
    </row>
    <row r="583" spans="1:1" x14ac:dyDescent="0.35">
      <c r="A583" t="s">
        <v>1138</v>
      </c>
    </row>
    <row r="584" spans="1:1" x14ac:dyDescent="0.35">
      <c r="A584" t="s">
        <v>1927</v>
      </c>
    </row>
    <row r="585" spans="1:1" x14ac:dyDescent="0.35">
      <c r="A585" t="s">
        <v>1930</v>
      </c>
    </row>
    <row r="586" spans="1:1" x14ac:dyDescent="0.35">
      <c r="A586" t="s">
        <v>1141</v>
      </c>
    </row>
    <row r="587" spans="1:1" x14ac:dyDescent="0.35">
      <c r="A587" t="s">
        <v>1150</v>
      </c>
    </row>
    <row r="588" spans="1:1" x14ac:dyDescent="0.35">
      <c r="A588" t="s">
        <v>1144</v>
      </c>
    </row>
    <row r="589" spans="1:1" x14ac:dyDescent="0.35">
      <c r="A589" t="s">
        <v>1147</v>
      </c>
    </row>
    <row r="590" spans="1:1" x14ac:dyDescent="0.35">
      <c r="A590" t="s">
        <v>1159</v>
      </c>
    </row>
    <row r="591" spans="1:1" x14ac:dyDescent="0.35">
      <c r="A591" t="s">
        <v>1165</v>
      </c>
    </row>
    <row r="592" spans="1:1" x14ac:dyDescent="0.35">
      <c r="A592" t="s">
        <v>1153</v>
      </c>
    </row>
    <row r="593" spans="1:1" x14ac:dyDescent="0.35">
      <c r="A593" t="s">
        <v>1156</v>
      </c>
    </row>
    <row r="594" spans="1:1" x14ac:dyDescent="0.35">
      <c r="A594" t="s">
        <v>1162</v>
      </c>
    </row>
    <row r="595" spans="1:1" x14ac:dyDescent="0.35">
      <c r="A595" t="s">
        <v>1168</v>
      </c>
    </row>
    <row r="596" spans="1:1" x14ac:dyDescent="0.35">
      <c r="A596" t="s">
        <v>1171</v>
      </c>
    </row>
    <row r="597" spans="1:1" x14ac:dyDescent="0.35">
      <c r="A597" t="s">
        <v>1174</v>
      </c>
    </row>
    <row r="598" spans="1:1" x14ac:dyDescent="0.35">
      <c r="A598" t="s">
        <v>1177</v>
      </c>
    </row>
    <row r="599" spans="1:1" x14ac:dyDescent="0.35">
      <c r="A599" t="s">
        <v>3943</v>
      </c>
    </row>
    <row r="600" spans="1:1" x14ac:dyDescent="0.35">
      <c r="A600" t="s">
        <v>3944</v>
      </c>
    </row>
    <row r="601" spans="1:1" x14ac:dyDescent="0.35">
      <c r="A601" t="s">
        <v>3945</v>
      </c>
    </row>
    <row r="602" spans="1:1" x14ac:dyDescent="0.35">
      <c r="A602" t="s">
        <v>3946</v>
      </c>
    </row>
    <row r="603" spans="1:1" x14ac:dyDescent="0.35">
      <c r="A603" t="s">
        <v>3947</v>
      </c>
    </row>
    <row r="604" spans="1:1" x14ac:dyDescent="0.35">
      <c r="A604" t="s">
        <v>3948</v>
      </c>
    </row>
    <row r="605" spans="1:1" x14ac:dyDescent="0.35">
      <c r="A605" t="s">
        <v>3949</v>
      </c>
    </row>
    <row r="606" spans="1:1" x14ac:dyDescent="0.35">
      <c r="A606" t="s">
        <v>3950</v>
      </c>
    </row>
    <row r="607" spans="1:1" x14ac:dyDescent="0.35">
      <c r="A607" t="s">
        <v>1594</v>
      </c>
    </row>
    <row r="608" spans="1:1" x14ac:dyDescent="0.35">
      <c r="A608" t="s">
        <v>1624</v>
      </c>
    </row>
    <row r="609" spans="1:1" x14ac:dyDescent="0.35">
      <c r="A609" t="s">
        <v>1590</v>
      </c>
    </row>
    <row r="610" spans="1:1" x14ac:dyDescent="0.35">
      <c r="A610" t="s">
        <v>1627</v>
      </c>
    </row>
    <row r="611" spans="1:1" x14ac:dyDescent="0.35">
      <c r="A611" t="s">
        <v>2243</v>
      </c>
    </row>
    <row r="612" spans="1:1" x14ac:dyDescent="0.35">
      <c r="A612" t="s">
        <v>2237</v>
      </c>
    </row>
    <row r="613" spans="1:1" x14ac:dyDescent="0.35">
      <c r="A613" t="s">
        <v>2240</v>
      </c>
    </row>
    <row r="614" spans="1:1" x14ac:dyDescent="0.35">
      <c r="A614" t="s">
        <v>2246</v>
      </c>
    </row>
    <row r="615" spans="1:1" x14ac:dyDescent="0.35">
      <c r="A615" t="s">
        <v>2880</v>
      </c>
    </row>
    <row r="616" spans="1:1" x14ac:dyDescent="0.35">
      <c r="A616" t="s">
        <v>3951</v>
      </c>
    </row>
    <row r="617" spans="1:1" x14ac:dyDescent="0.35">
      <c r="A617" t="s">
        <v>3952</v>
      </c>
    </row>
    <row r="618" spans="1:1" x14ac:dyDescent="0.35">
      <c r="A618" t="s">
        <v>3953</v>
      </c>
    </row>
    <row r="619" spans="1:1" x14ac:dyDescent="0.35">
      <c r="A619" t="s">
        <v>3954</v>
      </c>
    </row>
    <row r="620" spans="1:1" x14ac:dyDescent="0.35">
      <c r="A620" t="s">
        <v>3955</v>
      </c>
    </row>
    <row r="621" spans="1:1" x14ac:dyDescent="0.35">
      <c r="A621" t="s">
        <v>3956</v>
      </c>
    </row>
    <row r="622" spans="1:1" x14ac:dyDescent="0.35">
      <c r="A622" t="s">
        <v>3957</v>
      </c>
    </row>
    <row r="623" spans="1:1" x14ac:dyDescent="0.35">
      <c r="A623" t="s">
        <v>3958</v>
      </c>
    </row>
    <row r="624" spans="1:1" x14ac:dyDescent="0.35">
      <c r="A624" t="s">
        <v>3959</v>
      </c>
    </row>
    <row r="625" spans="1:1" x14ac:dyDescent="0.35">
      <c r="A625" t="s">
        <v>2477</v>
      </c>
    </row>
    <row r="626" spans="1:1" x14ac:dyDescent="0.35">
      <c r="A626" t="s">
        <v>3960</v>
      </c>
    </row>
    <row r="627" spans="1:1" x14ac:dyDescent="0.35">
      <c r="A627" t="s">
        <v>3253</v>
      </c>
    </row>
    <row r="628" spans="1:1" x14ac:dyDescent="0.35">
      <c r="A628" t="s">
        <v>2979</v>
      </c>
    </row>
    <row r="629" spans="1:1" x14ac:dyDescent="0.35">
      <c r="A629" t="s">
        <v>3961</v>
      </c>
    </row>
    <row r="630" spans="1:1" x14ac:dyDescent="0.35">
      <c r="A630" t="s">
        <v>2406</v>
      </c>
    </row>
    <row r="631" spans="1:1" x14ac:dyDescent="0.35">
      <c r="A631" t="s">
        <v>3282</v>
      </c>
    </row>
    <row r="632" spans="1:1" x14ac:dyDescent="0.35">
      <c r="A632" t="s">
        <v>2410</v>
      </c>
    </row>
    <row r="633" spans="1:1" x14ac:dyDescent="0.35">
      <c r="A633" t="s">
        <v>3962</v>
      </c>
    </row>
    <row r="634" spans="1:1" x14ac:dyDescent="0.35">
      <c r="A634" t="s">
        <v>3963</v>
      </c>
    </row>
    <row r="635" spans="1:1" x14ac:dyDescent="0.35">
      <c r="A635" t="s">
        <v>3365</v>
      </c>
    </row>
    <row r="636" spans="1:1" x14ac:dyDescent="0.35">
      <c r="A636" t="s">
        <v>2958</v>
      </c>
    </row>
    <row r="637" spans="1:1" x14ac:dyDescent="0.35">
      <c r="A637" t="s">
        <v>1373</v>
      </c>
    </row>
    <row r="638" spans="1:1" x14ac:dyDescent="0.35">
      <c r="A638" t="s">
        <v>3964</v>
      </c>
    </row>
    <row r="639" spans="1:1" x14ac:dyDescent="0.35">
      <c r="A639" t="s">
        <v>3369</v>
      </c>
    </row>
    <row r="640" spans="1:1" x14ac:dyDescent="0.35">
      <c r="A640" t="s">
        <v>2496</v>
      </c>
    </row>
    <row r="641" spans="1:1" x14ac:dyDescent="0.35">
      <c r="A641" t="s">
        <v>872</v>
      </c>
    </row>
    <row r="642" spans="1:1" x14ac:dyDescent="0.35">
      <c r="A642" t="s">
        <v>2487</v>
      </c>
    </row>
    <row r="643" spans="1:1" x14ac:dyDescent="0.35">
      <c r="A643" t="s">
        <v>3965</v>
      </c>
    </row>
    <row r="644" spans="1:1" x14ac:dyDescent="0.35">
      <c r="A644" t="s">
        <v>3966</v>
      </c>
    </row>
    <row r="645" spans="1:1" x14ac:dyDescent="0.35">
      <c r="A645" t="s">
        <v>3967</v>
      </c>
    </row>
    <row r="646" spans="1:1" x14ac:dyDescent="0.35">
      <c r="A646" t="s">
        <v>3968</v>
      </c>
    </row>
    <row r="647" spans="1:1" x14ac:dyDescent="0.35">
      <c r="A647" t="s">
        <v>3969</v>
      </c>
    </row>
    <row r="648" spans="1:1" x14ac:dyDescent="0.35">
      <c r="A648" t="s">
        <v>2527</v>
      </c>
    </row>
    <row r="649" spans="1:1" x14ac:dyDescent="0.35">
      <c r="A649" t="s">
        <v>3970</v>
      </c>
    </row>
    <row r="650" spans="1:1" x14ac:dyDescent="0.35">
      <c r="A650" t="s">
        <v>3971</v>
      </c>
    </row>
    <row r="651" spans="1:1" x14ac:dyDescent="0.35">
      <c r="A651" t="s">
        <v>3972</v>
      </c>
    </row>
    <row r="652" spans="1:1" x14ac:dyDescent="0.35">
      <c r="A652" t="s">
        <v>3973</v>
      </c>
    </row>
    <row r="653" spans="1:1" x14ac:dyDescent="0.35">
      <c r="A653" t="s">
        <v>3974</v>
      </c>
    </row>
    <row r="654" spans="1:1" x14ac:dyDescent="0.35">
      <c r="A654" t="s">
        <v>3975</v>
      </c>
    </row>
    <row r="655" spans="1:1" x14ac:dyDescent="0.35">
      <c r="A655" t="s">
        <v>3976</v>
      </c>
    </row>
    <row r="656" spans="1:1" x14ac:dyDescent="0.35">
      <c r="A656" t="s">
        <v>3977</v>
      </c>
    </row>
    <row r="657" spans="1:1" x14ac:dyDescent="0.35">
      <c r="A657" t="s">
        <v>3978</v>
      </c>
    </row>
    <row r="658" spans="1:1" x14ac:dyDescent="0.35">
      <c r="A658" t="s">
        <v>3979</v>
      </c>
    </row>
    <row r="659" spans="1:1" x14ac:dyDescent="0.35">
      <c r="A659" t="s">
        <v>3980</v>
      </c>
    </row>
    <row r="660" spans="1:1" x14ac:dyDescent="0.35">
      <c r="A660" t="s">
        <v>3981</v>
      </c>
    </row>
    <row r="661" spans="1:1" x14ac:dyDescent="0.35">
      <c r="A661" t="s">
        <v>3982</v>
      </c>
    </row>
    <row r="662" spans="1:1" x14ac:dyDescent="0.35">
      <c r="A662" t="s">
        <v>3983</v>
      </c>
    </row>
    <row r="663" spans="1:1" x14ac:dyDescent="0.35">
      <c r="A663" t="s">
        <v>2613</v>
      </c>
    </row>
    <row r="664" spans="1:1" x14ac:dyDescent="0.35">
      <c r="A664" t="s">
        <v>3984</v>
      </c>
    </row>
    <row r="665" spans="1:1" x14ac:dyDescent="0.35">
      <c r="A665" t="s">
        <v>3985</v>
      </c>
    </row>
    <row r="666" spans="1:1" x14ac:dyDescent="0.35">
      <c r="A666" t="s">
        <v>3986</v>
      </c>
    </row>
    <row r="667" spans="1:1" x14ac:dyDescent="0.35">
      <c r="A667" t="s">
        <v>3987</v>
      </c>
    </row>
    <row r="668" spans="1:1" x14ac:dyDescent="0.35">
      <c r="A668" t="s">
        <v>3988</v>
      </c>
    </row>
    <row r="669" spans="1:1" x14ac:dyDescent="0.35">
      <c r="A669" t="s">
        <v>3989</v>
      </c>
    </row>
    <row r="670" spans="1:1" x14ac:dyDescent="0.35">
      <c r="A670" t="s">
        <v>3990</v>
      </c>
    </row>
    <row r="671" spans="1:1" x14ac:dyDescent="0.35">
      <c r="A671" t="s">
        <v>3991</v>
      </c>
    </row>
    <row r="672" spans="1:1" x14ac:dyDescent="0.35">
      <c r="A672" t="s">
        <v>3992</v>
      </c>
    </row>
    <row r="673" spans="1:1" x14ac:dyDescent="0.35">
      <c r="A673" t="s">
        <v>3993</v>
      </c>
    </row>
    <row r="674" spans="1:1" x14ac:dyDescent="0.35">
      <c r="A674" t="s">
        <v>3994</v>
      </c>
    </row>
    <row r="675" spans="1:1" x14ac:dyDescent="0.35">
      <c r="A675" t="s">
        <v>3995</v>
      </c>
    </row>
    <row r="676" spans="1:1" x14ac:dyDescent="0.35">
      <c r="A676" t="s">
        <v>3130</v>
      </c>
    </row>
    <row r="677" spans="1:1" x14ac:dyDescent="0.35">
      <c r="A677" t="s">
        <v>3996</v>
      </c>
    </row>
    <row r="678" spans="1:1" x14ac:dyDescent="0.35">
      <c r="A678" t="s">
        <v>3997</v>
      </c>
    </row>
    <row r="679" spans="1:1" x14ac:dyDescent="0.35">
      <c r="A679" t="s">
        <v>3998</v>
      </c>
    </row>
    <row r="680" spans="1:1" x14ac:dyDescent="0.35">
      <c r="A680" t="s">
        <v>149</v>
      </c>
    </row>
    <row r="681" spans="1:1" x14ac:dyDescent="0.35">
      <c r="A681" t="s">
        <v>459</v>
      </c>
    </row>
    <row r="682" spans="1:1" x14ac:dyDescent="0.35">
      <c r="A682" t="s">
        <v>3999</v>
      </c>
    </row>
    <row r="683" spans="1:1" x14ac:dyDescent="0.35">
      <c r="A683" t="s">
        <v>4000</v>
      </c>
    </row>
    <row r="684" spans="1:1" x14ac:dyDescent="0.35">
      <c r="A684" t="s">
        <v>4001</v>
      </c>
    </row>
    <row r="685" spans="1:1" x14ac:dyDescent="0.35">
      <c r="A685" t="s">
        <v>4002</v>
      </c>
    </row>
    <row r="686" spans="1:1" x14ac:dyDescent="0.35">
      <c r="A686" t="s">
        <v>4003</v>
      </c>
    </row>
    <row r="687" spans="1:1" x14ac:dyDescent="0.35">
      <c r="A687" t="s">
        <v>917</v>
      </c>
    </row>
    <row r="688" spans="1:1" x14ac:dyDescent="0.35">
      <c r="A688" t="s">
        <v>4004</v>
      </c>
    </row>
    <row r="689" spans="1:1" x14ac:dyDescent="0.35">
      <c r="A689" t="s">
        <v>4005</v>
      </c>
    </row>
    <row r="690" spans="1:1" x14ac:dyDescent="0.35">
      <c r="A690" t="s">
        <v>4006</v>
      </c>
    </row>
    <row r="691" spans="1:1" x14ac:dyDescent="0.35">
      <c r="A691" t="s">
        <v>4007</v>
      </c>
    </row>
    <row r="692" spans="1:1" x14ac:dyDescent="0.35">
      <c r="A692" t="s">
        <v>4008</v>
      </c>
    </row>
    <row r="693" spans="1:1" x14ac:dyDescent="0.35">
      <c r="A693" t="s">
        <v>4009</v>
      </c>
    </row>
    <row r="694" spans="1:1" x14ac:dyDescent="0.35">
      <c r="A694" t="s">
        <v>4010</v>
      </c>
    </row>
    <row r="695" spans="1:1" x14ac:dyDescent="0.35">
      <c r="A695" t="s">
        <v>4011</v>
      </c>
    </row>
    <row r="696" spans="1:1" x14ac:dyDescent="0.35">
      <c r="A696" t="s">
        <v>802</v>
      </c>
    </row>
    <row r="697" spans="1:1" x14ac:dyDescent="0.35">
      <c r="A697" t="s">
        <v>302</v>
      </c>
    </row>
    <row r="698" spans="1:1" x14ac:dyDescent="0.35">
      <c r="A698" t="s">
        <v>757</v>
      </c>
    </row>
    <row r="699" spans="1:1" x14ac:dyDescent="0.35">
      <c r="A699" t="s">
        <v>135</v>
      </c>
    </row>
    <row r="700" spans="1:1" x14ac:dyDescent="0.35">
      <c r="A700" t="s">
        <v>1104</v>
      </c>
    </row>
    <row r="701" spans="1:1" x14ac:dyDescent="0.35">
      <c r="A701" t="s">
        <v>128</v>
      </c>
    </row>
    <row r="702" spans="1:1" x14ac:dyDescent="0.35">
      <c r="A702" t="s">
        <v>4012</v>
      </c>
    </row>
    <row r="703" spans="1:1" x14ac:dyDescent="0.35">
      <c r="A703" t="s">
        <v>306</v>
      </c>
    </row>
    <row r="704" spans="1:1" x14ac:dyDescent="0.35">
      <c r="A704" t="s">
        <v>310</v>
      </c>
    </row>
    <row r="705" spans="1:1" x14ac:dyDescent="0.35">
      <c r="A705" t="s">
        <v>4013</v>
      </c>
    </row>
    <row r="706" spans="1:1" x14ac:dyDescent="0.35">
      <c r="A706" t="s">
        <v>89</v>
      </c>
    </row>
    <row r="707" spans="1:1" x14ac:dyDescent="0.35">
      <c r="A707" t="s">
        <v>118</v>
      </c>
    </row>
    <row r="708" spans="1:1" x14ac:dyDescent="0.35">
      <c r="A708" t="s">
        <v>4014</v>
      </c>
    </row>
    <row r="709" spans="1:1" x14ac:dyDescent="0.35">
      <c r="A709" t="s">
        <v>4015</v>
      </c>
    </row>
    <row r="710" spans="1:1" x14ac:dyDescent="0.35">
      <c r="A710" t="s">
        <v>4016</v>
      </c>
    </row>
    <row r="711" spans="1:1" x14ac:dyDescent="0.35">
      <c r="A711" t="s">
        <v>4017</v>
      </c>
    </row>
    <row r="712" spans="1:1" x14ac:dyDescent="0.35">
      <c r="A712" t="s">
        <v>178</v>
      </c>
    </row>
    <row r="713" spans="1:1" x14ac:dyDescent="0.35">
      <c r="A713" t="s">
        <v>4018</v>
      </c>
    </row>
    <row r="714" spans="1:1" x14ac:dyDescent="0.35">
      <c r="A714" t="s">
        <v>4019</v>
      </c>
    </row>
    <row r="715" spans="1:1" x14ac:dyDescent="0.35">
      <c r="A715" t="s">
        <v>438</v>
      </c>
    </row>
    <row r="716" spans="1:1" x14ac:dyDescent="0.35">
      <c r="A716" t="s">
        <v>160</v>
      </c>
    </row>
    <row r="717" spans="1:1" x14ac:dyDescent="0.35">
      <c r="A717" t="s">
        <v>4020</v>
      </c>
    </row>
    <row r="718" spans="1:1" x14ac:dyDescent="0.35">
      <c r="A718" t="s">
        <v>4021</v>
      </c>
    </row>
    <row r="719" spans="1:1" x14ac:dyDescent="0.35">
      <c r="A719" t="s">
        <v>4022</v>
      </c>
    </row>
    <row r="720" spans="1:1" x14ac:dyDescent="0.35">
      <c r="A720" t="s">
        <v>4023</v>
      </c>
    </row>
    <row r="721" spans="1:1" x14ac:dyDescent="0.35">
      <c r="A721" t="s">
        <v>4024</v>
      </c>
    </row>
    <row r="722" spans="1:1" x14ac:dyDescent="0.35">
      <c r="A722" t="s">
        <v>4025</v>
      </c>
    </row>
    <row r="723" spans="1:1" x14ac:dyDescent="0.35">
      <c r="A723" t="s">
        <v>4026</v>
      </c>
    </row>
    <row r="724" spans="1:1" x14ac:dyDescent="0.35">
      <c r="A724" t="s">
        <v>1255</v>
      </c>
    </row>
    <row r="725" spans="1:1" x14ac:dyDescent="0.35">
      <c r="A725" t="s">
        <v>345</v>
      </c>
    </row>
    <row r="726" spans="1:1" x14ac:dyDescent="0.35">
      <c r="A726" t="s">
        <v>4027</v>
      </c>
    </row>
    <row r="727" spans="1:1" x14ac:dyDescent="0.35">
      <c r="A727" t="s">
        <v>4028</v>
      </c>
    </row>
    <row r="728" spans="1:1" x14ac:dyDescent="0.35">
      <c r="A728" t="s">
        <v>350</v>
      </c>
    </row>
    <row r="729" spans="1:1" x14ac:dyDescent="0.35">
      <c r="A729" t="s">
        <v>353</v>
      </c>
    </row>
    <row r="730" spans="1:1" x14ac:dyDescent="0.35">
      <c r="A730" t="s">
        <v>449</v>
      </c>
    </row>
    <row r="731" spans="1:1" x14ac:dyDescent="0.35">
      <c r="A731" t="s">
        <v>164</v>
      </c>
    </row>
    <row r="732" spans="1:1" x14ac:dyDescent="0.35">
      <c r="A732" t="s">
        <v>248</v>
      </c>
    </row>
    <row r="733" spans="1:1" x14ac:dyDescent="0.35">
      <c r="A733" t="s">
        <v>1944</v>
      </c>
    </row>
    <row r="734" spans="1:1" x14ac:dyDescent="0.35">
      <c r="A734" t="s">
        <v>358</v>
      </c>
    </row>
    <row r="735" spans="1:1" x14ac:dyDescent="0.35">
      <c r="A735" t="s">
        <v>443</v>
      </c>
    </row>
    <row r="736" spans="1:1" x14ac:dyDescent="0.35">
      <c r="A736" t="s">
        <v>144</v>
      </c>
    </row>
    <row r="737" spans="1:1" x14ac:dyDescent="0.35">
      <c r="A737" t="s">
        <v>366</v>
      </c>
    </row>
    <row r="738" spans="1:1" x14ac:dyDescent="0.35">
      <c r="A738" t="s">
        <v>168</v>
      </c>
    </row>
    <row r="739" spans="1:1" x14ac:dyDescent="0.35">
      <c r="A739" t="s">
        <v>390</v>
      </c>
    </row>
    <row r="740" spans="1:1" x14ac:dyDescent="0.35">
      <c r="A740" t="s">
        <v>172</v>
      </c>
    </row>
    <row r="741" spans="1:1" x14ac:dyDescent="0.35">
      <c r="A741" t="s">
        <v>276</v>
      </c>
    </row>
    <row r="742" spans="1:1" x14ac:dyDescent="0.35">
      <c r="A742" t="s">
        <v>186</v>
      </c>
    </row>
    <row r="743" spans="1:1" x14ac:dyDescent="0.35">
      <c r="A743" t="s">
        <v>224</v>
      </c>
    </row>
    <row r="744" spans="1:1" x14ac:dyDescent="0.35">
      <c r="A744" t="s">
        <v>378</v>
      </c>
    </row>
    <row r="745" spans="1:1" x14ac:dyDescent="0.35">
      <c r="A745" t="s">
        <v>220</v>
      </c>
    </row>
    <row r="746" spans="1:1" x14ac:dyDescent="0.35">
      <c r="A746" t="s">
        <v>228</v>
      </c>
    </row>
    <row r="747" spans="1:1" x14ac:dyDescent="0.35">
      <c r="A747" t="s">
        <v>382</v>
      </c>
    </row>
    <row r="748" spans="1:1" x14ac:dyDescent="0.35">
      <c r="A748" t="s">
        <v>566</v>
      </c>
    </row>
    <row r="749" spans="1:1" x14ac:dyDescent="0.35">
      <c r="A749" t="s">
        <v>386</v>
      </c>
    </row>
    <row r="750" spans="1:1" x14ac:dyDescent="0.35">
      <c r="A750" t="s">
        <v>2558</v>
      </c>
    </row>
    <row r="751" spans="1:1" x14ac:dyDescent="0.35">
      <c r="A751" t="s">
        <v>394</v>
      </c>
    </row>
    <row r="752" spans="1:1" x14ac:dyDescent="0.35">
      <c r="A752" t="s">
        <v>2199</v>
      </c>
    </row>
    <row r="753" spans="1:1" x14ac:dyDescent="0.35">
      <c r="A753" t="s">
        <v>244</v>
      </c>
    </row>
    <row r="754" spans="1:1" x14ac:dyDescent="0.35">
      <c r="A754" t="s">
        <v>1552</v>
      </c>
    </row>
    <row r="755" spans="1:1" x14ac:dyDescent="0.35">
      <c r="A755" t="s">
        <v>240</v>
      </c>
    </row>
    <row r="756" spans="1:1" x14ac:dyDescent="0.35">
      <c r="A756" t="s">
        <v>260</v>
      </c>
    </row>
    <row r="757" spans="1:1" x14ac:dyDescent="0.35">
      <c r="A757" t="s">
        <v>252</v>
      </c>
    </row>
    <row r="758" spans="1:1" x14ac:dyDescent="0.35">
      <c r="A758" t="s">
        <v>200</v>
      </c>
    </row>
    <row r="759" spans="1:1" x14ac:dyDescent="0.35">
      <c r="A759" t="s">
        <v>256</v>
      </c>
    </row>
    <row r="760" spans="1:1" x14ac:dyDescent="0.35">
      <c r="A760" t="s">
        <v>398</v>
      </c>
    </row>
    <row r="761" spans="1:1" x14ac:dyDescent="0.35">
      <c r="A761" t="s">
        <v>204</v>
      </c>
    </row>
    <row r="762" spans="1:1" x14ac:dyDescent="0.35">
      <c r="A762" t="s">
        <v>268</v>
      </c>
    </row>
    <row r="763" spans="1:1" x14ac:dyDescent="0.35">
      <c r="A763" t="s">
        <v>342</v>
      </c>
    </row>
    <row r="764" spans="1:1" x14ac:dyDescent="0.35">
      <c r="A764" t="s">
        <v>370</v>
      </c>
    </row>
    <row r="765" spans="1:1" x14ac:dyDescent="0.35">
      <c r="A765" t="s">
        <v>182</v>
      </c>
    </row>
    <row r="766" spans="1:1" x14ac:dyDescent="0.35">
      <c r="A766" t="s">
        <v>264</v>
      </c>
    </row>
    <row r="767" spans="1:1" x14ac:dyDescent="0.35">
      <c r="A767" t="s">
        <v>1108</v>
      </c>
    </row>
    <row r="768" spans="1:1" x14ac:dyDescent="0.35">
      <c r="A768" t="s">
        <v>4029</v>
      </c>
    </row>
    <row r="769" spans="1:1" x14ac:dyDescent="0.35">
      <c r="A769" t="s">
        <v>272</v>
      </c>
    </row>
    <row r="770" spans="1:1" x14ac:dyDescent="0.35">
      <c r="A770" t="s">
        <v>602</v>
      </c>
    </row>
    <row r="771" spans="1:1" x14ac:dyDescent="0.35">
      <c r="A771" t="s">
        <v>292</v>
      </c>
    </row>
    <row r="772" spans="1:1" x14ac:dyDescent="0.35">
      <c r="A772" t="s">
        <v>296</v>
      </c>
    </row>
    <row r="773" spans="1:1" x14ac:dyDescent="0.35">
      <c r="A773" t="s">
        <v>210</v>
      </c>
    </row>
    <row r="774" spans="1:1" x14ac:dyDescent="0.35">
      <c r="A774" t="s">
        <v>232</v>
      </c>
    </row>
    <row r="775" spans="1:1" x14ac:dyDescent="0.35">
      <c r="A775" t="s">
        <v>288</v>
      </c>
    </row>
    <row r="776" spans="1:1" x14ac:dyDescent="0.35">
      <c r="A776" t="s">
        <v>416</v>
      </c>
    </row>
    <row r="777" spans="1:1" x14ac:dyDescent="0.35">
      <c r="A777" t="s">
        <v>336</v>
      </c>
    </row>
    <row r="778" spans="1:1" x14ac:dyDescent="0.35">
      <c r="A778" t="s">
        <v>420</v>
      </c>
    </row>
    <row r="779" spans="1:1" x14ac:dyDescent="0.35">
      <c r="A779" t="s">
        <v>424</v>
      </c>
    </row>
    <row r="780" spans="1:1" x14ac:dyDescent="0.35">
      <c r="A780" t="s">
        <v>214</v>
      </c>
    </row>
    <row r="781" spans="1:1" x14ac:dyDescent="0.35">
      <c r="A781" t="s">
        <v>4030</v>
      </c>
    </row>
    <row r="782" spans="1:1" x14ac:dyDescent="0.35">
      <c r="A782" t="s">
        <v>4031</v>
      </c>
    </row>
    <row r="783" spans="1:1" x14ac:dyDescent="0.35">
      <c r="A783" t="s">
        <v>284</v>
      </c>
    </row>
    <row r="784" spans="1:1" x14ac:dyDescent="0.35">
      <c r="A784" t="s">
        <v>4032</v>
      </c>
    </row>
    <row r="785" spans="1:1" x14ac:dyDescent="0.35">
      <c r="A785" t="s">
        <v>4033</v>
      </c>
    </row>
    <row r="786" spans="1:1" x14ac:dyDescent="0.35">
      <c r="A786" t="s">
        <v>4034</v>
      </c>
    </row>
    <row r="787" spans="1:1" x14ac:dyDescent="0.35">
      <c r="A787" t="s">
        <v>4035</v>
      </c>
    </row>
    <row r="788" spans="1:1" x14ac:dyDescent="0.35">
      <c r="A788" t="s">
        <v>4036</v>
      </c>
    </row>
    <row r="789" spans="1:1" x14ac:dyDescent="0.35">
      <c r="A789" t="s">
        <v>4037</v>
      </c>
    </row>
    <row r="790" spans="1:1" x14ac:dyDescent="0.35">
      <c r="A790" t="s">
        <v>408</v>
      </c>
    </row>
    <row r="791" spans="1:1" x14ac:dyDescent="0.35">
      <c r="A791" t="s">
        <v>4038</v>
      </c>
    </row>
    <row r="792" spans="1:1" x14ac:dyDescent="0.35">
      <c r="A792" t="s">
        <v>374</v>
      </c>
    </row>
    <row r="793" spans="1:1" x14ac:dyDescent="0.35">
      <c r="A793" t="s">
        <v>412</v>
      </c>
    </row>
    <row r="794" spans="1:1" x14ac:dyDescent="0.35">
      <c r="A794" t="s">
        <v>614</v>
      </c>
    </row>
    <row r="795" spans="1:1" x14ac:dyDescent="0.35">
      <c r="A795" t="s">
        <v>4039</v>
      </c>
    </row>
    <row r="796" spans="1:1" x14ac:dyDescent="0.35">
      <c r="A796" t="s">
        <v>586</v>
      </c>
    </row>
    <row r="797" spans="1:1" x14ac:dyDescent="0.35">
      <c r="A797" t="s">
        <v>2080</v>
      </c>
    </row>
    <row r="798" spans="1:1" x14ac:dyDescent="0.35">
      <c r="A798" t="s">
        <v>1599</v>
      </c>
    </row>
    <row r="799" spans="1:1" x14ac:dyDescent="0.35">
      <c r="A799" t="s">
        <v>3230</v>
      </c>
    </row>
    <row r="800" spans="1:1" x14ac:dyDescent="0.35">
      <c r="A800" t="s">
        <v>331</v>
      </c>
    </row>
    <row r="801" spans="1:1" x14ac:dyDescent="0.35">
      <c r="A801" t="s">
        <v>749</v>
      </c>
    </row>
    <row r="802" spans="1:1" x14ac:dyDescent="0.35">
      <c r="A802" t="s">
        <v>4040</v>
      </c>
    </row>
    <row r="803" spans="1:1" x14ac:dyDescent="0.35">
      <c r="A803" t="s">
        <v>498</v>
      </c>
    </row>
    <row r="804" spans="1:1" x14ac:dyDescent="0.35">
      <c r="A804" t="s">
        <v>1511</v>
      </c>
    </row>
    <row r="805" spans="1:1" x14ac:dyDescent="0.35">
      <c r="A805" t="s">
        <v>4041</v>
      </c>
    </row>
    <row r="806" spans="1:1" x14ac:dyDescent="0.35">
      <c r="A806" t="s">
        <v>690</v>
      </c>
    </row>
    <row r="807" spans="1:1" x14ac:dyDescent="0.35">
      <c r="A807" t="s">
        <v>860</v>
      </c>
    </row>
    <row r="808" spans="1:1" x14ac:dyDescent="0.35">
      <c r="A808" t="s">
        <v>827</v>
      </c>
    </row>
    <row r="809" spans="1:1" x14ac:dyDescent="0.35">
      <c r="A809" t="s">
        <v>1077</v>
      </c>
    </row>
    <row r="810" spans="1:1" x14ac:dyDescent="0.35">
      <c r="A810" t="s">
        <v>509</v>
      </c>
    </row>
    <row r="811" spans="1:1" x14ac:dyDescent="0.35">
      <c r="A811" t="s">
        <v>1477</v>
      </c>
    </row>
    <row r="812" spans="1:1" x14ac:dyDescent="0.35">
      <c r="A812" t="s">
        <v>890</v>
      </c>
    </row>
    <row r="813" spans="1:1" x14ac:dyDescent="0.35">
      <c r="A813" t="s">
        <v>2590</v>
      </c>
    </row>
    <row r="814" spans="1:1" x14ac:dyDescent="0.35">
      <c r="A814" t="s">
        <v>2689</v>
      </c>
    </row>
    <row r="815" spans="1:1" x14ac:dyDescent="0.35">
      <c r="A815" t="s">
        <v>467</v>
      </c>
    </row>
    <row r="816" spans="1:1" x14ac:dyDescent="0.35">
      <c r="A816" t="s">
        <v>4042</v>
      </c>
    </row>
    <row r="817" spans="1:1" x14ac:dyDescent="0.35">
      <c r="A817" t="s">
        <v>190</v>
      </c>
    </row>
    <row r="818" spans="1:1" x14ac:dyDescent="0.35">
      <c r="A818" t="s">
        <v>194</v>
      </c>
    </row>
    <row r="819" spans="1:1" x14ac:dyDescent="0.35">
      <c r="A819" t="s">
        <v>496</v>
      </c>
    </row>
    <row r="820" spans="1:1" x14ac:dyDescent="0.35">
      <c r="A820" t="s">
        <v>894</v>
      </c>
    </row>
    <row r="821" spans="1:1" x14ac:dyDescent="0.35">
      <c r="A821" t="s">
        <v>730</v>
      </c>
    </row>
    <row r="822" spans="1:1" x14ac:dyDescent="0.35">
      <c r="A822" t="s">
        <v>1617</v>
      </c>
    </row>
    <row r="823" spans="1:1" x14ac:dyDescent="0.35">
      <c r="A823" t="s">
        <v>1398</v>
      </c>
    </row>
    <row r="824" spans="1:1" x14ac:dyDescent="0.35">
      <c r="A824" t="s">
        <v>236</v>
      </c>
    </row>
    <row r="825" spans="1:1" x14ac:dyDescent="0.35">
      <c r="A825" t="s">
        <v>610</v>
      </c>
    </row>
    <row r="826" spans="1:1" x14ac:dyDescent="0.35">
      <c r="A826" t="s">
        <v>855</v>
      </c>
    </row>
    <row r="827" spans="1:1" x14ac:dyDescent="0.35">
      <c r="A827" t="s">
        <v>471</v>
      </c>
    </row>
    <row r="828" spans="1:1" x14ac:dyDescent="0.35">
      <c r="A828" t="s">
        <v>482</v>
      </c>
    </row>
    <row r="829" spans="1:1" x14ac:dyDescent="0.35">
      <c r="A829" t="s">
        <v>479</v>
      </c>
    </row>
    <row r="830" spans="1:1" x14ac:dyDescent="0.35">
      <c r="A830" t="s">
        <v>2517</v>
      </c>
    </row>
    <row r="831" spans="1:1" x14ac:dyDescent="0.35">
      <c r="A831" t="s">
        <v>1407</v>
      </c>
    </row>
    <row r="832" spans="1:1" x14ac:dyDescent="0.35">
      <c r="A832" t="s">
        <v>655</v>
      </c>
    </row>
    <row r="833" spans="1:1" x14ac:dyDescent="0.35">
      <c r="A833" t="s">
        <v>531</v>
      </c>
    </row>
    <row r="834" spans="1:1" x14ac:dyDescent="0.35">
      <c r="A834" t="s">
        <v>1474</v>
      </c>
    </row>
    <row r="835" spans="1:1" x14ac:dyDescent="0.35">
      <c r="A835" t="s">
        <v>1112</v>
      </c>
    </row>
    <row r="836" spans="1:1" x14ac:dyDescent="0.35">
      <c r="A836" t="s">
        <v>2026</v>
      </c>
    </row>
    <row r="837" spans="1:1" x14ac:dyDescent="0.35">
      <c r="A837" t="s">
        <v>595</v>
      </c>
    </row>
    <row r="838" spans="1:1" x14ac:dyDescent="0.35">
      <c r="A838" t="s">
        <v>513</v>
      </c>
    </row>
    <row r="839" spans="1:1" x14ac:dyDescent="0.35">
      <c r="A839" t="s">
        <v>2645</v>
      </c>
    </row>
    <row r="840" spans="1:1" x14ac:dyDescent="0.35">
      <c r="A840" t="s">
        <v>516</v>
      </c>
    </row>
    <row r="841" spans="1:1" x14ac:dyDescent="0.35">
      <c r="A841" t="s">
        <v>520</v>
      </c>
    </row>
    <row r="842" spans="1:1" x14ac:dyDescent="0.35">
      <c r="A842" t="s">
        <v>488</v>
      </c>
    </row>
    <row r="843" spans="1:1" x14ac:dyDescent="0.35">
      <c r="A843" t="s">
        <v>4043</v>
      </c>
    </row>
    <row r="844" spans="1:1" x14ac:dyDescent="0.35">
      <c r="A844" t="s">
        <v>4044</v>
      </c>
    </row>
    <row r="845" spans="1:1" x14ac:dyDescent="0.35">
      <c r="A845" t="s">
        <v>708</v>
      </c>
    </row>
    <row r="846" spans="1:1" x14ac:dyDescent="0.35">
      <c r="A846" t="s">
        <v>704</v>
      </c>
    </row>
    <row r="847" spans="1:1" x14ac:dyDescent="0.35">
      <c r="A847" t="s">
        <v>1068</v>
      </c>
    </row>
    <row r="848" spans="1:1" x14ac:dyDescent="0.35">
      <c r="A848" t="s">
        <v>900</v>
      </c>
    </row>
    <row r="849" spans="1:1" x14ac:dyDescent="0.35">
      <c r="A849" t="s">
        <v>491</v>
      </c>
    </row>
    <row r="850" spans="1:1" x14ac:dyDescent="0.35">
      <c r="A850" t="s">
        <v>851</v>
      </c>
    </row>
    <row r="851" spans="1:1" x14ac:dyDescent="0.35">
      <c r="A851" t="s">
        <v>404</v>
      </c>
    </row>
    <row r="852" spans="1:1" x14ac:dyDescent="0.35">
      <c r="A852" t="s">
        <v>1571</v>
      </c>
    </row>
    <row r="853" spans="1:1" x14ac:dyDescent="0.35">
      <c r="A853" t="s">
        <v>1574</v>
      </c>
    </row>
    <row r="854" spans="1:1" x14ac:dyDescent="0.35">
      <c r="A854" t="s">
        <v>1587</v>
      </c>
    </row>
    <row r="855" spans="1:1" x14ac:dyDescent="0.35">
      <c r="A855" t="s">
        <v>1577</v>
      </c>
    </row>
    <row r="856" spans="1:1" x14ac:dyDescent="0.35">
      <c r="A856" t="s">
        <v>1580</v>
      </c>
    </row>
    <row r="857" spans="1:1" x14ac:dyDescent="0.35">
      <c r="A857" t="s">
        <v>1583</v>
      </c>
    </row>
    <row r="858" spans="1:1" x14ac:dyDescent="0.35">
      <c r="A858" t="s">
        <v>761</v>
      </c>
    </row>
    <row r="859" spans="1:1" x14ac:dyDescent="0.35">
      <c r="A859" t="s">
        <v>4045</v>
      </c>
    </row>
    <row r="860" spans="1:1" x14ac:dyDescent="0.35">
      <c r="A860" t="s">
        <v>606</v>
      </c>
    </row>
    <row r="861" spans="1:1" x14ac:dyDescent="0.35">
      <c r="A861" t="s">
        <v>1449</v>
      </c>
    </row>
    <row r="862" spans="1:1" x14ac:dyDescent="0.35">
      <c r="A862" t="s">
        <v>523</v>
      </c>
    </row>
    <row r="863" spans="1:1" x14ac:dyDescent="0.35">
      <c r="A863" t="s">
        <v>526</v>
      </c>
    </row>
    <row r="864" spans="1:1" x14ac:dyDescent="0.35">
      <c r="A864" t="s">
        <v>618</v>
      </c>
    </row>
    <row r="865" spans="1:1" x14ac:dyDescent="0.35">
      <c r="A865" t="s">
        <v>1124</v>
      </c>
    </row>
    <row r="866" spans="1:1" x14ac:dyDescent="0.35">
      <c r="A866" t="s">
        <v>622</v>
      </c>
    </row>
    <row r="867" spans="1:1" x14ac:dyDescent="0.35">
      <c r="A867" t="s">
        <v>1182</v>
      </c>
    </row>
    <row r="868" spans="1:1" x14ac:dyDescent="0.35">
      <c r="A868" t="s">
        <v>4046</v>
      </c>
    </row>
    <row r="869" spans="1:1" x14ac:dyDescent="0.35">
      <c r="A869" t="s">
        <v>716</v>
      </c>
    </row>
    <row r="870" spans="1:1" x14ac:dyDescent="0.35">
      <c r="A870" t="s">
        <v>719</v>
      </c>
    </row>
    <row r="871" spans="1:1" x14ac:dyDescent="0.35">
      <c r="A871" t="s">
        <v>722</v>
      </c>
    </row>
    <row r="872" spans="1:1" x14ac:dyDescent="0.35">
      <c r="A872" t="s">
        <v>648</v>
      </c>
    </row>
    <row r="873" spans="1:1" x14ac:dyDescent="0.35">
      <c r="A873" t="s">
        <v>1975</v>
      </c>
    </row>
    <row r="874" spans="1:1" x14ac:dyDescent="0.35">
      <c r="A874" t="s">
        <v>1709</v>
      </c>
    </row>
    <row r="875" spans="1:1" x14ac:dyDescent="0.35">
      <c r="A875" t="s">
        <v>1498</v>
      </c>
    </row>
    <row r="876" spans="1:1" x14ac:dyDescent="0.35">
      <c r="A876" t="s">
        <v>1244</v>
      </c>
    </row>
    <row r="877" spans="1:1" x14ac:dyDescent="0.35">
      <c r="A877" t="s">
        <v>1740</v>
      </c>
    </row>
    <row r="878" spans="1:1" x14ac:dyDescent="0.35">
      <c r="A878" t="s">
        <v>1613</v>
      </c>
    </row>
    <row r="879" spans="1:1" x14ac:dyDescent="0.35">
      <c r="A879" t="s">
        <v>1719</v>
      </c>
    </row>
    <row r="880" spans="1:1" x14ac:dyDescent="0.35">
      <c r="A880" t="s">
        <v>643</v>
      </c>
    </row>
    <row r="881" spans="1:1" x14ac:dyDescent="0.35">
      <c r="A881" t="s">
        <v>2182</v>
      </c>
    </row>
    <row r="882" spans="1:1" x14ac:dyDescent="0.35">
      <c r="A882" t="s">
        <v>2872</v>
      </c>
    </row>
    <row r="883" spans="1:1" x14ac:dyDescent="0.35">
      <c r="A883" t="s">
        <v>2175</v>
      </c>
    </row>
    <row r="884" spans="1:1" x14ac:dyDescent="0.35">
      <c r="A884" t="s">
        <v>4047</v>
      </c>
    </row>
    <row r="885" spans="1:1" x14ac:dyDescent="0.35">
      <c r="A885" t="s">
        <v>1444</v>
      </c>
    </row>
    <row r="886" spans="1:1" x14ac:dyDescent="0.35">
      <c r="A886" t="s">
        <v>1318</v>
      </c>
    </row>
    <row r="887" spans="1:1" x14ac:dyDescent="0.35">
      <c r="A887" t="s">
        <v>1495</v>
      </c>
    </row>
    <row r="888" spans="1:1" x14ac:dyDescent="0.35">
      <c r="A888" t="s">
        <v>1732</v>
      </c>
    </row>
    <row r="889" spans="1:1" x14ac:dyDescent="0.35">
      <c r="A889" t="s">
        <v>1760</v>
      </c>
    </row>
    <row r="890" spans="1:1" x14ac:dyDescent="0.35">
      <c r="A890" t="s">
        <v>2822</v>
      </c>
    </row>
    <row r="891" spans="1:1" x14ac:dyDescent="0.35">
      <c r="A891" t="s">
        <v>1982</v>
      </c>
    </row>
    <row r="892" spans="1:1" x14ac:dyDescent="0.35">
      <c r="A892" t="s">
        <v>3406</v>
      </c>
    </row>
    <row r="893" spans="1:1" x14ac:dyDescent="0.35">
      <c r="A893" t="s">
        <v>1979</v>
      </c>
    </row>
    <row r="894" spans="1:1" x14ac:dyDescent="0.35">
      <c r="A894" t="s">
        <v>2067</v>
      </c>
    </row>
    <row r="895" spans="1:1" x14ac:dyDescent="0.35">
      <c r="A895" t="s">
        <v>3122</v>
      </c>
    </row>
    <row r="896" spans="1:1" x14ac:dyDescent="0.35">
      <c r="A896" t="s">
        <v>662</v>
      </c>
    </row>
    <row r="897" spans="1:1" x14ac:dyDescent="0.35">
      <c r="A897" t="s">
        <v>2031</v>
      </c>
    </row>
    <row r="898" spans="1:1" x14ac:dyDescent="0.35">
      <c r="A898" t="s">
        <v>1200</v>
      </c>
    </row>
    <row r="899" spans="1:1" x14ac:dyDescent="0.35">
      <c r="A899" t="s">
        <v>1310</v>
      </c>
    </row>
    <row r="900" spans="1:1" x14ac:dyDescent="0.35">
      <c r="A900" t="s">
        <v>4048</v>
      </c>
    </row>
    <row r="901" spans="1:1" x14ac:dyDescent="0.35">
      <c r="A901" t="s">
        <v>1796</v>
      </c>
    </row>
    <row r="902" spans="1:1" x14ac:dyDescent="0.35">
      <c r="A902" t="s">
        <v>1642</v>
      </c>
    </row>
    <row r="903" spans="1:1" x14ac:dyDescent="0.35">
      <c r="A903" t="s">
        <v>1452</v>
      </c>
    </row>
    <row r="904" spans="1:1" x14ac:dyDescent="0.35">
      <c r="A904" t="s">
        <v>1456</v>
      </c>
    </row>
    <row r="905" spans="1:1" x14ac:dyDescent="0.35">
      <c r="A905" t="s">
        <v>1826</v>
      </c>
    </row>
    <row r="906" spans="1:1" x14ac:dyDescent="0.35">
      <c r="A906" t="s">
        <v>1460</v>
      </c>
    </row>
    <row r="907" spans="1:1" x14ac:dyDescent="0.35">
      <c r="A907" t="s">
        <v>1835</v>
      </c>
    </row>
    <row r="908" spans="1:1" x14ac:dyDescent="0.35">
      <c r="A908" t="s">
        <v>1840</v>
      </c>
    </row>
    <row r="909" spans="1:1" x14ac:dyDescent="0.35">
      <c r="A909" t="s">
        <v>1470</v>
      </c>
    </row>
    <row r="910" spans="1:1" x14ac:dyDescent="0.35">
      <c r="A910" t="s">
        <v>1518</v>
      </c>
    </row>
    <row r="911" spans="1:1" x14ac:dyDescent="0.35">
      <c r="A911" t="s">
        <v>502</v>
      </c>
    </row>
    <row r="912" spans="1:1" x14ac:dyDescent="0.35">
      <c r="A912" t="s">
        <v>1529</v>
      </c>
    </row>
    <row r="913" spans="1:1" x14ac:dyDescent="0.35">
      <c r="A913" t="s">
        <v>816</v>
      </c>
    </row>
    <row r="914" spans="1:1" x14ac:dyDescent="0.35">
      <c r="A914" t="s">
        <v>712</v>
      </c>
    </row>
    <row r="915" spans="1:1" x14ac:dyDescent="0.35">
      <c r="A915" t="s">
        <v>4049</v>
      </c>
    </row>
    <row r="916" spans="1:1" x14ac:dyDescent="0.35">
      <c r="A916" t="s">
        <v>2063</v>
      </c>
    </row>
    <row r="917" spans="1:1" x14ac:dyDescent="0.35">
      <c r="A917" t="s">
        <v>4050</v>
      </c>
    </row>
    <row r="918" spans="1:1" x14ac:dyDescent="0.35">
      <c r="A918" t="s">
        <v>4051</v>
      </c>
    </row>
    <row r="919" spans="1:1" x14ac:dyDescent="0.35">
      <c r="A919" t="s">
        <v>4052</v>
      </c>
    </row>
    <row r="920" spans="1:1" x14ac:dyDescent="0.35">
      <c r="A920" t="s">
        <v>4053</v>
      </c>
    </row>
    <row r="921" spans="1:1" x14ac:dyDescent="0.35">
      <c r="A921" t="s">
        <v>4054</v>
      </c>
    </row>
    <row r="922" spans="1:1" x14ac:dyDescent="0.35">
      <c r="A922" t="s">
        <v>4055</v>
      </c>
    </row>
    <row r="923" spans="1:1" x14ac:dyDescent="0.35">
      <c r="A923" t="s">
        <v>4056</v>
      </c>
    </row>
    <row r="924" spans="1:1" x14ac:dyDescent="0.35">
      <c r="A924" t="s">
        <v>4057</v>
      </c>
    </row>
    <row r="925" spans="1:1" x14ac:dyDescent="0.35">
      <c r="A925" t="s">
        <v>4058</v>
      </c>
    </row>
    <row r="926" spans="1:1" x14ac:dyDescent="0.35">
      <c r="A926" t="s">
        <v>4059</v>
      </c>
    </row>
    <row r="927" spans="1:1" x14ac:dyDescent="0.35">
      <c r="A927" t="s">
        <v>4060</v>
      </c>
    </row>
    <row r="928" spans="1:1" x14ac:dyDescent="0.35">
      <c r="A928" t="s">
        <v>2826</v>
      </c>
    </row>
    <row r="929" spans="1:1" x14ac:dyDescent="0.35">
      <c r="A929" t="s">
        <v>1501</v>
      </c>
    </row>
    <row r="930" spans="1:1" x14ac:dyDescent="0.35">
      <c r="A930" t="s">
        <v>3145</v>
      </c>
    </row>
    <row r="931" spans="1:1" x14ac:dyDescent="0.35">
      <c r="A931" t="s">
        <v>1755</v>
      </c>
    </row>
    <row r="932" spans="1:1" x14ac:dyDescent="0.35">
      <c r="A932" t="s">
        <v>2706</v>
      </c>
    </row>
    <row r="933" spans="1:1" x14ac:dyDescent="0.35">
      <c r="A933" t="s">
        <v>1506</v>
      </c>
    </row>
    <row r="934" spans="1:1" x14ac:dyDescent="0.35">
      <c r="A934" t="s">
        <v>3152</v>
      </c>
    </row>
    <row r="935" spans="1:1" x14ac:dyDescent="0.35">
      <c r="A935" t="s">
        <v>1727</v>
      </c>
    </row>
    <row r="936" spans="1:1" x14ac:dyDescent="0.35">
      <c r="A936" t="s">
        <v>3108</v>
      </c>
    </row>
    <row r="937" spans="1:1" x14ac:dyDescent="0.35">
      <c r="A937" t="s">
        <v>3004</v>
      </c>
    </row>
    <row r="938" spans="1:1" x14ac:dyDescent="0.35">
      <c r="A938" t="s">
        <v>4061</v>
      </c>
    </row>
    <row r="939" spans="1:1" x14ac:dyDescent="0.35">
      <c r="A939" t="s">
        <v>1852</v>
      </c>
    </row>
    <row r="940" spans="1:1" x14ac:dyDescent="0.35">
      <c r="A940" t="s">
        <v>4062</v>
      </c>
    </row>
    <row r="941" spans="1:1" x14ac:dyDescent="0.35">
      <c r="A941" t="s">
        <v>1313</v>
      </c>
    </row>
    <row r="942" spans="1:1" x14ac:dyDescent="0.35">
      <c r="A942" t="s">
        <v>1387</v>
      </c>
    </row>
    <row r="943" spans="1:1" x14ac:dyDescent="0.35">
      <c r="A943" t="s">
        <v>1259</v>
      </c>
    </row>
    <row r="944" spans="1:1" x14ac:dyDescent="0.35">
      <c r="A944" t="s">
        <v>4063</v>
      </c>
    </row>
    <row r="945" spans="1:1" x14ac:dyDescent="0.35">
      <c r="A945" t="s">
        <v>1786</v>
      </c>
    </row>
    <row r="946" spans="1:1" x14ac:dyDescent="0.35">
      <c r="A946" t="s">
        <v>2441</v>
      </c>
    </row>
    <row r="947" spans="1:1" x14ac:dyDescent="0.35">
      <c r="A947" t="s">
        <v>1439</v>
      </c>
    </row>
    <row r="948" spans="1:1" x14ac:dyDescent="0.35">
      <c r="A948" t="s">
        <v>1491</v>
      </c>
    </row>
    <row r="949" spans="1:1" x14ac:dyDescent="0.35">
      <c r="A949" t="s">
        <v>4064</v>
      </c>
    </row>
    <row r="950" spans="1:1" x14ac:dyDescent="0.35">
      <c r="A950" t="s">
        <v>4065</v>
      </c>
    </row>
    <row r="951" spans="1:1" x14ac:dyDescent="0.35">
      <c r="A951" t="s">
        <v>4066</v>
      </c>
    </row>
    <row r="952" spans="1:1" x14ac:dyDescent="0.35">
      <c r="A952" t="s">
        <v>1366</v>
      </c>
    </row>
    <row r="953" spans="1:1" x14ac:dyDescent="0.35">
      <c r="A953" t="s">
        <v>4067</v>
      </c>
    </row>
    <row r="954" spans="1:1" x14ac:dyDescent="0.35">
      <c r="A954" t="s">
        <v>2948</v>
      </c>
    </row>
    <row r="955" spans="1:1" x14ac:dyDescent="0.35">
      <c r="A955" t="s">
        <v>4068</v>
      </c>
    </row>
    <row r="956" spans="1:1" x14ac:dyDescent="0.35">
      <c r="A956" t="s">
        <v>3088</v>
      </c>
    </row>
    <row r="957" spans="1:1" x14ac:dyDescent="0.35">
      <c r="A957" t="s">
        <v>4069</v>
      </c>
    </row>
    <row r="958" spans="1:1" x14ac:dyDescent="0.35">
      <c r="A958" t="s">
        <v>1192</v>
      </c>
    </row>
    <row r="959" spans="1:1" x14ac:dyDescent="0.35">
      <c r="A959" t="s">
        <v>1196</v>
      </c>
    </row>
    <row r="960" spans="1:1" x14ac:dyDescent="0.35">
      <c r="A960" t="s">
        <v>727</v>
      </c>
    </row>
    <row r="961" spans="1:1" x14ac:dyDescent="0.35">
      <c r="A961" t="s">
        <v>769</v>
      </c>
    </row>
    <row r="962" spans="1:1" x14ac:dyDescent="0.35">
      <c r="A962" t="s">
        <v>773</v>
      </c>
    </row>
    <row r="963" spans="1:1" x14ac:dyDescent="0.35">
      <c r="A963" t="s">
        <v>777</v>
      </c>
    </row>
    <row r="964" spans="1:1" x14ac:dyDescent="0.35">
      <c r="A964" t="s">
        <v>938</v>
      </c>
    </row>
    <row r="965" spans="1:1" x14ac:dyDescent="0.35">
      <c r="A965" t="s">
        <v>785</v>
      </c>
    </row>
    <row r="966" spans="1:1" x14ac:dyDescent="0.35">
      <c r="A966" t="s">
        <v>781</v>
      </c>
    </row>
    <row r="967" spans="1:1" x14ac:dyDescent="0.35">
      <c r="A967" t="s">
        <v>4070</v>
      </c>
    </row>
    <row r="968" spans="1:1" x14ac:dyDescent="0.35">
      <c r="A968" t="s">
        <v>4071</v>
      </c>
    </row>
    <row r="969" spans="1:1" x14ac:dyDescent="0.35">
      <c r="A969" t="s">
        <v>4072</v>
      </c>
    </row>
    <row r="970" spans="1:1" x14ac:dyDescent="0.35">
      <c r="A970" t="s">
        <v>4073</v>
      </c>
    </row>
    <row r="971" spans="1:1" x14ac:dyDescent="0.35">
      <c r="A971" t="s">
        <v>4074</v>
      </c>
    </row>
    <row r="972" spans="1:1" x14ac:dyDescent="0.35">
      <c r="A972" t="s">
        <v>668</v>
      </c>
    </row>
    <row r="973" spans="1:1" x14ac:dyDescent="0.35">
      <c r="A973" t="s">
        <v>2052</v>
      </c>
    </row>
    <row r="974" spans="1:1" x14ac:dyDescent="0.35">
      <c r="A974" t="s">
        <v>2346</v>
      </c>
    </row>
    <row r="975" spans="1:1" x14ac:dyDescent="0.35">
      <c r="A975" t="s">
        <v>4075</v>
      </c>
    </row>
    <row r="976" spans="1:1" x14ac:dyDescent="0.35">
      <c r="A976" t="s">
        <v>4076</v>
      </c>
    </row>
    <row r="977" spans="1:1" x14ac:dyDescent="0.35">
      <c r="A977" t="s">
        <v>3239</v>
      </c>
    </row>
    <row r="978" spans="1:1" x14ac:dyDescent="0.35">
      <c r="A978" t="s">
        <v>3242</v>
      </c>
    </row>
    <row r="979" spans="1:1" x14ac:dyDescent="0.35">
      <c r="A979" t="s">
        <v>3245</v>
      </c>
    </row>
    <row r="980" spans="1:1" x14ac:dyDescent="0.35">
      <c r="A980" t="s">
        <v>1189</v>
      </c>
    </row>
    <row r="981" spans="1:1" x14ac:dyDescent="0.35">
      <c r="A981" t="s">
        <v>1670</v>
      </c>
    </row>
    <row r="982" spans="1:1" x14ac:dyDescent="0.35">
      <c r="A982" t="s">
        <v>3093</v>
      </c>
    </row>
    <row r="983" spans="1:1" x14ac:dyDescent="0.35">
      <c r="A983" t="s">
        <v>934</v>
      </c>
    </row>
    <row r="984" spans="1:1" x14ac:dyDescent="0.35">
      <c r="A984" t="s">
        <v>3402</v>
      </c>
    </row>
    <row r="985" spans="1:1" x14ac:dyDescent="0.35">
      <c r="A985" t="s">
        <v>765</v>
      </c>
    </row>
    <row r="986" spans="1:1" x14ac:dyDescent="0.35">
      <c r="A986" t="s">
        <v>1988</v>
      </c>
    </row>
    <row r="987" spans="1:1" x14ac:dyDescent="0.35">
      <c r="A987" t="s">
        <v>1097</v>
      </c>
    </row>
    <row r="988" spans="1:1" x14ac:dyDescent="0.35">
      <c r="A988" t="s">
        <v>1804</v>
      </c>
    </row>
    <row r="989" spans="1:1" x14ac:dyDescent="0.35">
      <c r="A989" t="s">
        <v>1211</v>
      </c>
    </row>
    <row r="990" spans="1:1" x14ac:dyDescent="0.35">
      <c r="A990" t="s">
        <v>1022</v>
      </c>
    </row>
    <row r="991" spans="1:1" x14ac:dyDescent="0.35">
      <c r="A991" t="s">
        <v>1031</v>
      </c>
    </row>
    <row r="992" spans="1:1" x14ac:dyDescent="0.35">
      <c r="A992" t="s">
        <v>949</v>
      </c>
    </row>
    <row r="993" spans="1:1" x14ac:dyDescent="0.35">
      <c r="A993" t="s">
        <v>1051</v>
      </c>
    </row>
    <row r="994" spans="1:1" x14ac:dyDescent="0.35">
      <c r="A994" t="s">
        <v>3276</v>
      </c>
    </row>
    <row r="995" spans="1:1" x14ac:dyDescent="0.35">
      <c r="A995" t="s">
        <v>1700</v>
      </c>
    </row>
    <row r="996" spans="1:1" x14ac:dyDescent="0.35">
      <c r="A996" t="s">
        <v>1120</v>
      </c>
    </row>
    <row r="997" spans="1:1" x14ac:dyDescent="0.35">
      <c r="A997" t="s">
        <v>4077</v>
      </c>
    </row>
    <row r="998" spans="1:1" x14ac:dyDescent="0.35">
      <c r="A998" t="s">
        <v>2217</v>
      </c>
    </row>
    <row r="999" spans="1:1" x14ac:dyDescent="0.35">
      <c r="A999" t="s">
        <v>2209</v>
      </c>
    </row>
    <row r="1000" spans="1:1" x14ac:dyDescent="0.35">
      <c r="A1000" t="s">
        <v>1630</v>
      </c>
    </row>
    <row r="1001" spans="1:1" x14ac:dyDescent="0.35">
      <c r="A1001" t="s">
        <v>4078</v>
      </c>
    </row>
    <row r="1002" spans="1:1" x14ac:dyDescent="0.35">
      <c r="A1002" t="s">
        <v>2566</v>
      </c>
    </row>
    <row r="1003" spans="1:1" x14ac:dyDescent="0.35">
      <c r="A1003" t="s">
        <v>4079</v>
      </c>
    </row>
    <row r="1004" spans="1:1" x14ac:dyDescent="0.35">
      <c r="A1004" t="s">
        <v>1070</v>
      </c>
    </row>
    <row r="1005" spans="1:1" x14ac:dyDescent="0.35">
      <c r="A1005" t="s">
        <v>4080</v>
      </c>
    </row>
    <row r="1006" spans="1:1" x14ac:dyDescent="0.35">
      <c r="A1006" t="s">
        <v>4081</v>
      </c>
    </row>
    <row r="1007" spans="1:1" x14ac:dyDescent="0.35">
      <c r="A1007" t="s">
        <v>1773</v>
      </c>
    </row>
    <row r="1008" spans="1:1" x14ac:dyDescent="0.35">
      <c r="A1008" t="s">
        <v>4082</v>
      </c>
    </row>
    <row r="1009" spans="1:1" x14ac:dyDescent="0.35">
      <c r="A1009" t="s">
        <v>1411</v>
      </c>
    </row>
    <row r="1010" spans="1:1" x14ac:dyDescent="0.35">
      <c r="A1010" t="s">
        <v>4083</v>
      </c>
    </row>
    <row r="1011" spans="1:1" x14ac:dyDescent="0.35">
      <c r="A1011" t="s">
        <v>2057</v>
      </c>
    </row>
    <row r="1012" spans="1:1" x14ac:dyDescent="0.35">
      <c r="A1012" t="s">
        <v>4084</v>
      </c>
    </row>
    <row r="1013" spans="1:1" x14ac:dyDescent="0.35">
      <c r="A1013" t="s">
        <v>4085</v>
      </c>
    </row>
    <row r="1014" spans="1:1" x14ac:dyDescent="0.35">
      <c r="A1014" t="s">
        <v>1814</v>
      </c>
    </row>
    <row r="1015" spans="1:1" x14ac:dyDescent="0.35">
      <c r="A1015" t="s">
        <v>2790</v>
      </c>
    </row>
    <row r="1016" spans="1:1" x14ac:dyDescent="0.35">
      <c r="A1016" t="s">
        <v>1666</v>
      </c>
    </row>
    <row r="1017" spans="1:1" x14ac:dyDescent="0.35">
      <c r="A1017" t="s">
        <v>4086</v>
      </c>
    </row>
    <row r="1018" spans="1:1" x14ac:dyDescent="0.35">
      <c r="A1018" t="s">
        <v>4087</v>
      </c>
    </row>
    <row r="1019" spans="1:1" x14ac:dyDescent="0.35">
      <c r="A1019" t="s">
        <v>2563</v>
      </c>
    </row>
    <row r="1020" spans="1:1" x14ac:dyDescent="0.35">
      <c r="A1020" t="s">
        <v>3222</v>
      </c>
    </row>
    <row r="1021" spans="1:1" x14ac:dyDescent="0.35">
      <c r="A1021" t="s">
        <v>4088</v>
      </c>
    </row>
    <row r="1022" spans="1:1" x14ac:dyDescent="0.35">
      <c r="A1022" t="s">
        <v>4089</v>
      </c>
    </row>
    <row r="1023" spans="1:1" x14ac:dyDescent="0.35">
      <c r="A1023" t="s">
        <v>885</v>
      </c>
    </row>
    <row r="1024" spans="1:1" x14ac:dyDescent="0.35">
      <c r="A1024" t="s">
        <v>4090</v>
      </c>
    </row>
    <row r="1025" spans="1:1" x14ac:dyDescent="0.35">
      <c r="A1025" t="s">
        <v>2020</v>
      </c>
    </row>
    <row r="1026" spans="1:1" x14ac:dyDescent="0.35">
      <c r="A1026" t="s">
        <v>4091</v>
      </c>
    </row>
    <row r="1027" spans="1:1" x14ac:dyDescent="0.35">
      <c r="A1027" t="s">
        <v>1362</v>
      </c>
    </row>
    <row r="1028" spans="1:1" x14ac:dyDescent="0.35">
      <c r="A1028" t="s">
        <v>1342</v>
      </c>
    </row>
    <row r="1029" spans="1:1" x14ac:dyDescent="0.35">
      <c r="A1029" t="s">
        <v>1326</v>
      </c>
    </row>
    <row r="1030" spans="1:1" x14ac:dyDescent="0.35">
      <c r="A1030" t="s">
        <v>1346</v>
      </c>
    </row>
    <row r="1031" spans="1:1" x14ac:dyDescent="0.35">
      <c r="A1031" t="s">
        <v>1330</v>
      </c>
    </row>
    <row r="1032" spans="1:1" x14ac:dyDescent="0.35">
      <c r="A1032" t="s">
        <v>1338</v>
      </c>
    </row>
    <row r="1033" spans="1:1" x14ac:dyDescent="0.35">
      <c r="A1033" t="s">
        <v>1350</v>
      </c>
    </row>
    <row r="1034" spans="1:1" x14ac:dyDescent="0.35">
      <c r="A1034" t="s">
        <v>1322</v>
      </c>
    </row>
    <row r="1035" spans="1:1" x14ac:dyDescent="0.35">
      <c r="A1035" t="s">
        <v>1334</v>
      </c>
    </row>
    <row r="1036" spans="1:1" x14ac:dyDescent="0.35">
      <c r="A1036" t="s">
        <v>1354</v>
      </c>
    </row>
    <row r="1037" spans="1:1" x14ac:dyDescent="0.35">
      <c r="A1037" t="s">
        <v>1358</v>
      </c>
    </row>
    <row r="1038" spans="1:1" x14ac:dyDescent="0.35">
      <c r="A1038" t="s">
        <v>1286</v>
      </c>
    </row>
    <row r="1039" spans="1:1" x14ac:dyDescent="0.35">
      <c r="A1039" t="s">
        <v>1291</v>
      </c>
    </row>
    <row r="1040" spans="1:1" x14ac:dyDescent="0.35">
      <c r="A1040" t="s">
        <v>1295</v>
      </c>
    </row>
    <row r="1041" spans="1:1" x14ac:dyDescent="0.35">
      <c r="A1041" t="s">
        <v>1299</v>
      </c>
    </row>
    <row r="1042" spans="1:1" x14ac:dyDescent="0.35">
      <c r="A1042" t="s">
        <v>1425</v>
      </c>
    </row>
    <row r="1043" spans="1:1" x14ac:dyDescent="0.35">
      <c r="A1043" t="s">
        <v>1430</v>
      </c>
    </row>
    <row r="1044" spans="1:1" x14ac:dyDescent="0.35">
      <c r="A1044" t="s">
        <v>1420</v>
      </c>
    </row>
    <row r="1045" spans="1:1" x14ac:dyDescent="0.35">
      <c r="A1045" t="s">
        <v>1435</v>
      </c>
    </row>
    <row r="1046" spans="1:1" x14ac:dyDescent="0.35">
      <c r="A1046" t="s">
        <v>1306</v>
      </c>
    </row>
    <row r="1047" spans="1:1" x14ac:dyDescent="0.35">
      <c r="A1047" t="s">
        <v>1682</v>
      </c>
    </row>
    <row r="1048" spans="1:1" x14ac:dyDescent="0.35">
      <c r="A1048" t="s">
        <v>1685</v>
      </c>
    </row>
    <row r="1049" spans="1:1" x14ac:dyDescent="0.35">
      <c r="A1049" t="s">
        <v>4092</v>
      </c>
    </row>
    <row r="1050" spans="1:1" x14ac:dyDescent="0.35">
      <c r="A1050" t="s">
        <v>4093</v>
      </c>
    </row>
    <row r="1051" spans="1:1" x14ac:dyDescent="0.35">
      <c r="A1051" t="s">
        <v>1688</v>
      </c>
    </row>
    <row r="1052" spans="1:1" x14ac:dyDescent="0.35">
      <c r="A1052" t="s">
        <v>2129</v>
      </c>
    </row>
    <row r="1053" spans="1:1" x14ac:dyDescent="0.35">
      <c r="A1053" t="s">
        <v>1691</v>
      </c>
    </row>
    <row r="1054" spans="1:1" x14ac:dyDescent="0.35">
      <c r="A1054" t="s">
        <v>2509</v>
      </c>
    </row>
    <row r="1055" spans="1:1" x14ac:dyDescent="0.35">
      <c r="A1055" t="s">
        <v>1415</v>
      </c>
    </row>
    <row r="1056" spans="1:1" x14ac:dyDescent="0.35">
      <c r="A1056" t="s">
        <v>1620</v>
      </c>
    </row>
    <row r="1057" spans="1:1" x14ac:dyDescent="0.35">
      <c r="A1057" t="s">
        <v>1855</v>
      </c>
    </row>
    <row r="1058" spans="1:1" x14ac:dyDescent="0.35">
      <c r="A1058" t="s">
        <v>4094</v>
      </c>
    </row>
    <row r="1059" spans="1:1" x14ac:dyDescent="0.35">
      <c r="A1059" t="s">
        <v>4095</v>
      </c>
    </row>
    <row r="1060" spans="1:1" x14ac:dyDescent="0.35">
      <c r="A1060" t="s">
        <v>4096</v>
      </c>
    </row>
    <row r="1061" spans="1:1" x14ac:dyDescent="0.35">
      <c r="A1061" t="s">
        <v>4097</v>
      </c>
    </row>
    <row r="1062" spans="1:1" x14ac:dyDescent="0.35">
      <c r="A1062" t="s">
        <v>4098</v>
      </c>
    </row>
    <row r="1063" spans="1:1" x14ac:dyDescent="0.35">
      <c r="A1063" t="s">
        <v>4099</v>
      </c>
    </row>
    <row r="1064" spans="1:1" x14ac:dyDescent="0.35">
      <c r="A1064" t="s">
        <v>4100</v>
      </c>
    </row>
    <row r="1065" spans="1:1" x14ac:dyDescent="0.35">
      <c r="A1065" t="s">
        <v>2430</v>
      </c>
    </row>
    <row r="1066" spans="1:1" x14ac:dyDescent="0.35">
      <c r="A1066" t="s">
        <v>4101</v>
      </c>
    </row>
    <row r="1067" spans="1:1" x14ac:dyDescent="0.35">
      <c r="A1067" t="s">
        <v>4102</v>
      </c>
    </row>
    <row r="1068" spans="1:1" x14ac:dyDescent="0.35">
      <c r="A1068" t="s">
        <v>4103</v>
      </c>
    </row>
    <row r="1069" spans="1:1" x14ac:dyDescent="0.35">
      <c r="A1069" t="s">
        <v>1809</v>
      </c>
    </row>
    <row r="1070" spans="1:1" x14ac:dyDescent="0.35">
      <c r="A1070" t="s">
        <v>2834</v>
      </c>
    </row>
    <row r="1071" spans="1:1" x14ac:dyDescent="0.35">
      <c r="A1071" t="s">
        <v>4104</v>
      </c>
    </row>
    <row r="1072" spans="1:1" x14ac:dyDescent="0.35">
      <c r="A1072" t="s">
        <v>1647</v>
      </c>
    </row>
    <row r="1073" spans="1:1" x14ac:dyDescent="0.35">
      <c r="A1073" t="s">
        <v>4105</v>
      </c>
    </row>
    <row r="1074" spans="1:1" x14ac:dyDescent="0.35">
      <c r="A1074" t="s">
        <v>2750</v>
      </c>
    </row>
    <row r="1075" spans="1:1" x14ac:dyDescent="0.35">
      <c r="A1075" t="s">
        <v>1992</v>
      </c>
    </row>
    <row r="1076" spans="1:1" x14ac:dyDescent="0.35">
      <c r="A1076" t="s">
        <v>3217</v>
      </c>
    </row>
    <row r="1077" spans="1:1" x14ac:dyDescent="0.35">
      <c r="A1077" t="s">
        <v>4106</v>
      </c>
    </row>
    <row r="1078" spans="1:1" x14ac:dyDescent="0.35">
      <c r="A1078" t="s">
        <v>4107</v>
      </c>
    </row>
    <row r="1079" spans="1:1" x14ac:dyDescent="0.35">
      <c r="A1079" t="s">
        <v>4108</v>
      </c>
    </row>
    <row r="1080" spans="1:1" x14ac:dyDescent="0.35">
      <c r="A1080" t="s">
        <v>4109</v>
      </c>
    </row>
    <row r="1081" spans="1:1" x14ac:dyDescent="0.35">
      <c r="A1081" t="s">
        <v>2213</v>
      </c>
    </row>
    <row r="1082" spans="1:1" x14ac:dyDescent="0.35">
      <c r="A1082" t="s">
        <v>4110</v>
      </c>
    </row>
    <row r="1083" spans="1:1" x14ac:dyDescent="0.35">
      <c r="A1083" t="s">
        <v>4111</v>
      </c>
    </row>
    <row r="1084" spans="1:1" x14ac:dyDescent="0.35">
      <c r="A1084" t="s">
        <v>4112</v>
      </c>
    </row>
    <row r="1085" spans="1:1" x14ac:dyDescent="0.35">
      <c r="A1085" t="s">
        <v>4113</v>
      </c>
    </row>
    <row r="1086" spans="1:1" x14ac:dyDescent="0.35">
      <c r="A1086" t="s">
        <v>4114</v>
      </c>
    </row>
    <row r="1087" spans="1:1" x14ac:dyDescent="0.35">
      <c r="A1087" t="s">
        <v>1899</v>
      </c>
    </row>
    <row r="1088" spans="1:1" x14ac:dyDescent="0.35">
      <c r="A1088" t="s">
        <v>1894</v>
      </c>
    </row>
    <row r="1089" spans="1:1" x14ac:dyDescent="0.35">
      <c r="A1089" t="s">
        <v>2153</v>
      </c>
    </row>
    <row r="1090" spans="1:1" x14ac:dyDescent="0.35">
      <c r="A1090" t="s">
        <v>2157</v>
      </c>
    </row>
    <row r="1091" spans="1:1" x14ac:dyDescent="0.35">
      <c r="A1091" t="s">
        <v>3305</v>
      </c>
    </row>
    <row r="1092" spans="1:1" x14ac:dyDescent="0.35">
      <c r="A1092" t="s">
        <v>1872</v>
      </c>
    </row>
    <row r="1093" spans="1:1" x14ac:dyDescent="0.35">
      <c r="A1093" t="s">
        <v>1876</v>
      </c>
    </row>
    <row r="1094" spans="1:1" x14ac:dyDescent="0.35">
      <c r="A1094" t="s">
        <v>1868</v>
      </c>
    </row>
    <row r="1095" spans="1:1" x14ac:dyDescent="0.35">
      <c r="A1095" t="s">
        <v>1860</v>
      </c>
    </row>
    <row r="1096" spans="1:1" x14ac:dyDescent="0.35">
      <c r="A1096" t="s">
        <v>1864</v>
      </c>
    </row>
    <row r="1097" spans="1:1" x14ac:dyDescent="0.35">
      <c r="A1097" t="s">
        <v>1880</v>
      </c>
    </row>
    <row r="1098" spans="1:1" x14ac:dyDescent="0.35">
      <c r="A1098" t="s">
        <v>4115</v>
      </c>
    </row>
    <row r="1099" spans="1:1" x14ac:dyDescent="0.35">
      <c r="A1099" t="s">
        <v>1940</v>
      </c>
    </row>
    <row r="1100" spans="1:1" x14ac:dyDescent="0.35">
      <c r="A1100" t="s">
        <v>1962</v>
      </c>
    </row>
    <row r="1101" spans="1:1" x14ac:dyDescent="0.35">
      <c r="A1101" t="s">
        <v>2004</v>
      </c>
    </row>
    <row r="1102" spans="1:1" x14ac:dyDescent="0.35">
      <c r="A1102" t="s">
        <v>3114</v>
      </c>
    </row>
    <row r="1103" spans="1:1" x14ac:dyDescent="0.35">
      <c r="A1103" t="s">
        <v>2134</v>
      </c>
    </row>
    <row r="1104" spans="1:1" x14ac:dyDescent="0.35">
      <c r="A1104" t="s">
        <v>2040</v>
      </c>
    </row>
    <row r="1105" spans="1:1" x14ac:dyDescent="0.35">
      <c r="A1105" t="s">
        <v>2045</v>
      </c>
    </row>
    <row r="1106" spans="1:1" x14ac:dyDescent="0.35">
      <c r="A1106" t="s">
        <v>2104</v>
      </c>
    </row>
    <row r="1107" spans="1:1" x14ac:dyDescent="0.35">
      <c r="A1107" t="s">
        <v>2099</v>
      </c>
    </row>
    <row r="1108" spans="1:1" x14ac:dyDescent="0.35">
      <c r="A1108" t="s">
        <v>2109</v>
      </c>
    </row>
    <row r="1109" spans="1:1" x14ac:dyDescent="0.35">
      <c r="A1109" t="s">
        <v>2114</v>
      </c>
    </row>
    <row r="1110" spans="1:1" x14ac:dyDescent="0.35">
      <c r="A1110" t="s">
        <v>2119</v>
      </c>
    </row>
    <row r="1111" spans="1:1" x14ac:dyDescent="0.35">
      <c r="A1111" t="s">
        <v>2124</v>
      </c>
    </row>
    <row r="1112" spans="1:1" x14ac:dyDescent="0.35">
      <c r="A1112" t="s">
        <v>2072</v>
      </c>
    </row>
    <row r="1113" spans="1:1" x14ac:dyDescent="0.35">
      <c r="A1113" t="s">
        <v>2418</v>
      </c>
    </row>
    <row r="1114" spans="1:1" x14ac:dyDescent="0.35">
      <c r="A1114" t="s">
        <v>3225</v>
      </c>
    </row>
    <row r="1115" spans="1:1" x14ac:dyDescent="0.35">
      <c r="A1115" t="s">
        <v>2148</v>
      </c>
    </row>
    <row r="1116" spans="1:1" x14ac:dyDescent="0.35">
      <c r="A1116" t="s">
        <v>2830</v>
      </c>
    </row>
    <row r="1117" spans="1:1" x14ac:dyDescent="0.35">
      <c r="A1117" t="s">
        <v>2723</v>
      </c>
    </row>
    <row r="1118" spans="1:1" x14ac:dyDescent="0.35">
      <c r="A1118" t="s">
        <v>2794</v>
      </c>
    </row>
    <row r="1119" spans="1:1" x14ac:dyDescent="0.35">
      <c r="A1119" t="s">
        <v>2786</v>
      </c>
    </row>
    <row r="1120" spans="1:1" x14ac:dyDescent="0.35">
      <c r="A1120" t="s">
        <v>2760</v>
      </c>
    </row>
    <row r="1121" spans="1:1" x14ac:dyDescent="0.35">
      <c r="A1121" t="s">
        <v>2738</v>
      </c>
    </row>
    <row r="1122" spans="1:1" x14ac:dyDescent="0.35">
      <c r="A1122" t="s">
        <v>2798</v>
      </c>
    </row>
    <row r="1123" spans="1:1" x14ac:dyDescent="0.35">
      <c r="A1123" t="s">
        <v>2742</v>
      </c>
    </row>
    <row r="1124" spans="1:1" x14ac:dyDescent="0.35">
      <c r="A1124" t="s">
        <v>2775</v>
      </c>
    </row>
    <row r="1125" spans="1:1" x14ac:dyDescent="0.35">
      <c r="A1125" t="s">
        <v>2861</v>
      </c>
    </row>
    <row r="1126" spans="1:1" x14ac:dyDescent="0.35">
      <c r="A1126" t="s">
        <v>2857</v>
      </c>
    </row>
    <row r="1127" spans="1:1" x14ac:dyDescent="0.35">
      <c r="A1127" t="s">
        <v>2734</v>
      </c>
    </row>
    <row r="1128" spans="1:1" x14ac:dyDescent="0.35">
      <c r="A1128" t="s">
        <v>2746</v>
      </c>
    </row>
    <row r="1129" spans="1:1" x14ac:dyDescent="0.35">
      <c r="A1129" t="s">
        <v>2802</v>
      </c>
    </row>
    <row r="1130" spans="1:1" x14ac:dyDescent="0.35">
      <c r="A1130" t="s">
        <v>2866</v>
      </c>
    </row>
    <row r="1131" spans="1:1" x14ac:dyDescent="0.35">
      <c r="A1131" t="s">
        <v>2767</v>
      </c>
    </row>
    <row r="1132" spans="1:1" x14ac:dyDescent="0.35">
      <c r="A1132" t="s">
        <v>2841</v>
      </c>
    </row>
    <row r="1133" spans="1:1" x14ac:dyDescent="0.35">
      <c r="A1133" t="s">
        <v>2458</v>
      </c>
    </row>
    <row r="1134" spans="1:1" x14ac:dyDescent="0.35">
      <c r="A1134" t="s">
        <v>3394</v>
      </c>
    </row>
    <row r="1135" spans="1:1" x14ac:dyDescent="0.35">
      <c r="A1135" t="s">
        <v>2257</v>
      </c>
    </row>
    <row r="1136" spans="1:1" x14ac:dyDescent="0.35">
      <c r="A1136" t="s">
        <v>2261</v>
      </c>
    </row>
    <row r="1137" spans="1:1" x14ac:dyDescent="0.35">
      <c r="A1137" t="s">
        <v>2307</v>
      </c>
    </row>
    <row r="1138" spans="1:1" x14ac:dyDescent="0.35">
      <c r="A1138" t="s">
        <v>2319</v>
      </c>
    </row>
    <row r="1139" spans="1:1" x14ac:dyDescent="0.35">
      <c r="A1139" t="s">
        <v>2323</v>
      </c>
    </row>
    <row r="1140" spans="1:1" x14ac:dyDescent="0.35">
      <c r="A1140" t="s">
        <v>2327</v>
      </c>
    </row>
    <row r="1141" spans="1:1" x14ac:dyDescent="0.35">
      <c r="A1141" t="s">
        <v>2331</v>
      </c>
    </row>
    <row r="1142" spans="1:1" x14ac:dyDescent="0.35">
      <c r="A1142" t="s">
        <v>2335</v>
      </c>
    </row>
    <row r="1143" spans="1:1" x14ac:dyDescent="0.35">
      <c r="A1143" t="s">
        <v>2339</v>
      </c>
    </row>
    <row r="1144" spans="1:1" x14ac:dyDescent="0.35">
      <c r="A1144" t="s">
        <v>2311</v>
      </c>
    </row>
    <row r="1145" spans="1:1" x14ac:dyDescent="0.35">
      <c r="A1145" t="s">
        <v>2281</v>
      </c>
    </row>
    <row r="1146" spans="1:1" x14ac:dyDescent="0.35">
      <c r="A1146" t="s">
        <v>2293</v>
      </c>
    </row>
    <row r="1147" spans="1:1" x14ac:dyDescent="0.35">
      <c r="A1147" t="s">
        <v>2315</v>
      </c>
    </row>
    <row r="1148" spans="1:1" x14ac:dyDescent="0.35">
      <c r="A1148" t="s">
        <v>2285</v>
      </c>
    </row>
    <row r="1149" spans="1:1" x14ac:dyDescent="0.35">
      <c r="A1149" t="s">
        <v>2297</v>
      </c>
    </row>
    <row r="1150" spans="1:1" x14ac:dyDescent="0.35">
      <c r="A1150" t="s">
        <v>2289</v>
      </c>
    </row>
    <row r="1151" spans="1:1" x14ac:dyDescent="0.35">
      <c r="A1151" t="s">
        <v>2301</v>
      </c>
    </row>
    <row r="1152" spans="1:1" x14ac:dyDescent="0.35">
      <c r="A1152" t="s">
        <v>2272</v>
      </c>
    </row>
    <row r="1153" spans="1:1" x14ac:dyDescent="0.35">
      <c r="A1153" t="s">
        <v>2276</v>
      </c>
    </row>
    <row r="1154" spans="1:1" x14ac:dyDescent="0.35">
      <c r="A1154" t="s">
        <v>2268</v>
      </c>
    </row>
    <row r="1155" spans="1:1" x14ac:dyDescent="0.35">
      <c r="A1155" t="s">
        <v>4116</v>
      </c>
    </row>
    <row r="1156" spans="1:1" x14ac:dyDescent="0.35">
      <c r="A1156" t="s">
        <v>2962</v>
      </c>
    </row>
    <row r="1157" spans="1:1" x14ac:dyDescent="0.35">
      <c r="A1157" t="s">
        <v>2974</v>
      </c>
    </row>
    <row r="1158" spans="1:1" x14ac:dyDescent="0.35">
      <c r="A1158" t="s">
        <v>3293</v>
      </c>
    </row>
    <row r="1159" spans="1:1" x14ac:dyDescent="0.35">
      <c r="A1159" t="s">
        <v>3297</v>
      </c>
    </row>
    <row r="1160" spans="1:1" x14ac:dyDescent="0.35">
      <c r="A1160" t="s">
        <v>3301</v>
      </c>
    </row>
    <row r="1161" spans="1:1" x14ac:dyDescent="0.35">
      <c r="A1161" t="s">
        <v>3309</v>
      </c>
    </row>
    <row r="1162" spans="1:1" x14ac:dyDescent="0.35">
      <c r="A1162" t="s">
        <v>2676</v>
      </c>
    </row>
    <row r="1163" spans="1:1" x14ac:dyDescent="0.35">
      <c r="A1163" t="s">
        <v>2969</v>
      </c>
    </row>
    <row r="1164" spans="1:1" x14ac:dyDescent="0.35">
      <c r="A1164" t="s">
        <v>3098</v>
      </c>
    </row>
    <row r="1165" spans="1:1" x14ac:dyDescent="0.35">
      <c r="A1165" t="s">
        <v>4117</v>
      </c>
    </row>
    <row r="1166" spans="1:1" x14ac:dyDescent="0.35">
      <c r="A1166" t="s">
        <v>4118</v>
      </c>
    </row>
    <row r="1167" spans="1:1" x14ac:dyDescent="0.35">
      <c r="A1167" t="s">
        <v>4119</v>
      </c>
    </row>
    <row r="1168" spans="1:1" x14ac:dyDescent="0.35">
      <c r="A1168" t="s">
        <v>4120</v>
      </c>
    </row>
    <row r="1169" spans="1:1" x14ac:dyDescent="0.35">
      <c r="A1169" t="s">
        <v>3104</v>
      </c>
    </row>
    <row r="1170" spans="1:1" x14ac:dyDescent="0.35">
      <c r="A1170" t="s">
        <v>4121</v>
      </c>
    </row>
    <row r="1171" spans="1:1" x14ac:dyDescent="0.35">
      <c r="A1171" t="s">
        <v>4122</v>
      </c>
    </row>
    <row r="1172" spans="1:1" x14ac:dyDescent="0.35">
      <c r="A1172" t="s">
        <v>4123</v>
      </c>
    </row>
    <row r="1173" spans="1:1" x14ac:dyDescent="0.35">
      <c r="A1173" t="s">
        <v>4124</v>
      </c>
    </row>
    <row r="1174" spans="1:1" x14ac:dyDescent="0.35">
      <c r="A1174" t="s">
        <v>4125</v>
      </c>
    </row>
    <row r="1175" spans="1:1" x14ac:dyDescent="0.35">
      <c r="A1175" t="s">
        <v>4126</v>
      </c>
    </row>
    <row r="1176" spans="1:1" x14ac:dyDescent="0.35">
      <c r="A1176" t="s">
        <v>4127</v>
      </c>
    </row>
    <row r="1177" spans="1:1" x14ac:dyDescent="0.35">
      <c r="A1177" t="s">
        <v>4128</v>
      </c>
    </row>
    <row r="1178" spans="1:1" x14ac:dyDescent="0.35">
      <c r="A1178" t="s">
        <v>4129</v>
      </c>
    </row>
    <row r="1179" spans="1:1" x14ac:dyDescent="0.35">
      <c r="A1179" t="s">
        <v>4130</v>
      </c>
    </row>
    <row r="1180" spans="1:1" x14ac:dyDescent="0.35">
      <c r="A1180" t="s">
        <v>4131</v>
      </c>
    </row>
    <row r="1181" spans="1:1" x14ac:dyDescent="0.35">
      <c r="A1181" t="s">
        <v>4132</v>
      </c>
    </row>
    <row r="1182" spans="1:1" x14ac:dyDescent="0.35">
      <c r="A1182" t="s">
        <v>4133</v>
      </c>
    </row>
    <row r="1183" spans="1:1" x14ac:dyDescent="0.35">
      <c r="A1183" t="s">
        <v>4134</v>
      </c>
    </row>
    <row r="1184" spans="1:1" x14ac:dyDescent="0.35">
      <c r="A1184" t="s">
        <v>4135</v>
      </c>
    </row>
    <row r="1185" spans="1:1" x14ac:dyDescent="0.35">
      <c r="A1185" t="s">
        <v>4136</v>
      </c>
    </row>
    <row r="1186" spans="1:1" x14ac:dyDescent="0.35">
      <c r="A1186" t="s">
        <v>4137</v>
      </c>
    </row>
    <row r="1187" spans="1:1" x14ac:dyDescent="0.35">
      <c r="A1187" t="s">
        <v>3286</v>
      </c>
    </row>
    <row r="1188" spans="1:1" x14ac:dyDescent="0.35">
      <c r="A1188" t="s">
        <v>3289</v>
      </c>
    </row>
    <row r="1189" spans="1:1" x14ac:dyDescent="0.35">
      <c r="A1189" t="s">
        <v>3411</v>
      </c>
    </row>
    <row r="1190" spans="1:1" x14ac:dyDescent="0.35">
      <c r="A1190" t="s">
        <v>3316</v>
      </c>
    </row>
    <row r="1191" spans="1:1" x14ac:dyDescent="0.35">
      <c r="A1191" t="s">
        <v>3320</v>
      </c>
    </row>
    <row r="1192" spans="1:1" x14ac:dyDescent="0.35">
      <c r="A1192" t="s">
        <v>3324</v>
      </c>
    </row>
    <row r="1193" spans="1:1" x14ac:dyDescent="0.35">
      <c r="A1193" t="s">
        <v>3328</v>
      </c>
    </row>
    <row r="1194" spans="1:1" x14ac:dyDescent="0.35">
      <c r="A1194" t="s">
        <v>3332</v>
      </c>
    </row>
    <row r="1195" spans="1:1" x14ac:dyDescent="0.35">
      <c r="A1195" t="s">
        <v>3336</v>
      </c>
    </row>
    <row r="1196" spans="1:1" x14ac:dyDescent="0.35">
      <c r="A1196" t="s">
        <v>3340</v>
      </c>
    </row>
    <row r="1197" spans="1:1" x14ac:dyDescent="0.35">
      <c r="A1197" t="s">
        <v>3344</v>
      </c>
    </row>
    <row r="1198" spans="1:1" x14ac:dyDescent="0.35">
      <c r="A1198" t="s">
        <v>3348</v>
      </c>
    </row>
    <row r="1199" spans="1:1" x14ac:dyDescent="0.35">
      <c r="A1199" t="s">
        <v>4138</v>
      </c>
    </row>
    <row r="1200" spans="1:1" x14ac:dyDescent="0.35">
      <c r="A1200" t="s">
        <v>97</v>
      </c>
    </row>
    <row r="1201" spans="1:1" x14ac:dyDescent="0.35">
      <c r="A1201" t="s">
        <v>4139</v>
      </c>
    </row>
    <row r="1202" spans="1:1" x14ac:dyDescent="0.35">
      <c r="A1202" t="s">
        <v>104</v>
      </c>
    </row>
    <row r="1203" spans="1:1" x14ac:dyDescent="0.35">
      <c r="A1203" t="s">
        <v>4140</v>
      </c>
    </row>
    <row r="1204" spans="1:1" x14ac:dyDescent="0.35">
      <c r="A1204" t="s">
        <v>110</v>
      </c>
    </row>
    <row r="1205" spans="1:1" x14ac:dyDescent="0.35">
      <c r="A1205" t="s">
        <v>114</v>
      </c>
    </row>
    <row r="1206" spans="1:1" x14ac:dyDescent="0.35">
      <c r="A1206" t="s">
        <v>4141</v>
      </c>
    </row>
    <row r="1207" spans="1:1" x14ac:dyDescent="0.35">
      <c r="A1207" t="s">
        <v>4142</v>
      </c>
    </row>
    <row r="1208" spans="1:1" x14ac:dyDescent="0.35">
      <c r="A1208" t="s">
        <v>542</v>
      </c>
    </row>
    <row r="1209" spans="1:1" x14ac:dyDescent="0.35">
      <c r="A1209" t="s">
        <v>807</v>
      </c>
    </row>
    <row r="1210" spans="1:1" x14ac:dyDescent="0.35">
      <c r="A1210" t="s">
        <v>546</v>
      </c>
    </row>
    <row r="1211" spans="1:1" x14ac:dyDescent="0.35">
      <c r="A1211" t="s">
        <v>550</v>
      </c>
    </row>
    <row r="1212" spans="1:1" x14ac:dyDescent="0.35">
      <c r="A1212" t="s">
        <v>736</v>
      </c>
    </row>
    <row r="1213" spans="1:1" x14ac:dyDescent="0.35">
      <c r="A1213" t="s">
        <v>821</v>
      </c>
    </row>
    <row r="1214" spans="1:1" x14ac:dyDescent="0.35">
      <c r="A1214" t="s">
        <v>430</v>
      </c>
    </row>
    <row r="1215" spans="1:1" x14ac:dyDescent="0.35">
      <c r="A1215" t="s">
        <v>3075</v>
      </c>
    </row>
    <row r="1216" spans="1:1" x14ac:dyDescent="0.35">
      <c r="A1216" t="s">
        <v>2845</v>
      </c>
    </row>
    <row r="1217" spans="1:1" x14ac:dyDescent="0.35">
      <c r="A1217" t="s">
        <v>4143</v>
      </c>
    </row>
    <row r="1218" spans="1:1" x14ac:dyDescent="0.35">
      <c r="A1218" t="s">
        <v>3049</v>
      </c>
    </row>
    <row r="1219" spans="1:1" x14ac:dyDescent="0.35">
      <c r="A1219" t="s">
        <v>4144</v>
      </c>
    </row>
    <row r="1220" spans="1:1" x14ac:dyDescent="0.35">
      <c r="A1220" t="s">
        <v>1745</v>
      </c>
    </row>
    <row r="1221" spans="1:1" x14ac:dyDescent="0.35">
      <c r="A1221" t="s">
        <v>1750</v>
      </c>
    </row>
    <row r="1222" spans="1:1" x14ac:dyDescent="0.35">
      <c r="A1222" t="s">
        <v>2161</v>
      </c>
    </row>
    <row r="1223" spans="1:1" x14ac:dyDescent="0.35">
      <c r="A1223" t="s">
        <v>2655</v>
      </c>
    </row>
    <row r="1224" spans="1:1" x14ac:dyDescent="0.35">
      <c r="A1224" t="s">
        <v>2782</v>
      </c>
    </row>
    <row r="1225" spans="1:1" x14ac:dyDescent="0.35">
      <c r="A1225" t="s">
        <v>3079</v>
      </c>
    </row>
    <row r="1226" spans="1:1" x14ac:dyDescent="0.35">
      <c r="A1226" t="s">
        <v>4145</v>
      </c>
    </row>
    <row r="1227" spans="1:1" x14ac:dyDescent="0.35">
      <c r="A1227" t="s">
        <v>4146</v>
      </c>
    </row>
    <row r="1228" spans="1:1" x14ac:dyDescent="0.35">
      <c r="A1228" t="s">
        <v>4147</v>
      </c>
    </row>
    <row r="1229" spans="1:1" x14ac:dyDescent="0.35">
      <c r="A1229" t="s">
        <v>4148</v>
      </c>
    </row>
    <row r="1230" spans="1:1" x14ac:dyDescent="0.35">
      <c r="A1230" t="s">
        <v>4149</v>
      </c>
    </row>
    <row r="1231" spans="1:1" x14ac:dyDescent="0.35">
      <c r="A1231" t="s">
        <v>4150</v>
      </c>
    </row>
    <row r="1232" spans="1:1" x14ac:dyDescent="0.35">
      <c r="A1232" t="s">
        <v>4151</v>
      </c>
    </row>
    <row r="1233" spans="1:1" x14ac:dyDescent="0.35">
      <c r="A1233" t="s">
        <v>4152</v>
      </c>
    </row>
    <row r="1234" spans="1:1" x14ac:dyDescent="0.35">
      <c r="A1234" t="s">
        <v>4153</v>
      </c>
    </row>
    <row r="1235" spans="1:1" x14ac:dyDescent="0.35">
      <c r="A1235" t="s">
        <v>4154</v>
      </c>
    </row>
    <row r="1236" spans="1:1" x14ac:dyDescent="0.35">
      <c r="A1236" t="s">
        <v>4155</v>
      </c>
    </row>
    <row r="1237" spans="1:1" x14ac:dyDescent="0.35">
      <c r="A1237" t="s">
        <v>4156</v>
      </c>
    </row>
    <row r="1238" spans="1:1" x14ac:dyDescent="0.35">
      <c r="A1238" t="s">
        <v>4157</v>
      </c>
    </row>
    <row r="1239" spans="1:1" x14ac:dyDescent="0.35">
      <c r="A1239" t="s">
        <v>4158</v>
      </c>
    </row>
    <row r="1240" spans="1:1" x14ac:dyDescent="0.35">
      <c r="A1240" t="s">
        <v>4159</v>
      </c>
    </row>
    <row r="1241" spans="1:1" x14ac:dyDescent="0.35">
      <c r="A1241" t="s">
        <v>4160</v>
      </c>
    </row>
    <row r="1242" spans="1:1" x14ac:dyDescent="0.35">
      <c r="A1242" t="s">
        <v>4161</v>
      </c>
    </row>
    <row r="1243" spans="1:1" x14ac:dyDescent="0.35">
      <c r="A1243" t="s">
        <v>4162</v>
      </c>
    </row>
    <row r="1244" spans="1:1" x14ac:dyDescent="0.35">
      <c r="A1244" t="s">
        <v>4163</v>
      </c>
    </row>
    <row r="1245" spans="1:1" x14ac:dyDescent="0.35">
      <c r="A1245" t="s">
        <v>4164</v>
      </c>
    </row>
    <row r="1246" spans="1:1" x14ac:dyDescent="0.35">
      <c r="A1246" t="s">
        <v>4165</v>
      </c>
    </row>
    <row r="1247" spans="1:1" x14ac:dyDescent="0.35">
      <c r="A1247" t="s">
        <v>4166</v>
      </c>
    </row>
    <row r="1248" spans="1:1" x14ac:dyDescent="0.35">
      <c r="A1248" t="s">
        <v>4167</v>
      </c>
    </row>
    <row r="1249" spans="1:1" x14ac:dyDescent="0.35">
      <c r="A1249" t="s">
        <v>4168</v>
      </c>
    </row>
    <row r="1250" spans="1:1" x14ac:dyDescent="0.35">
      <c r="A1250" t="s">
        <v>4169</v>
      </c>
    </row>
    <row r="1251" spans="1:1" x14ac:dyDescent="0.35">
      <c r="A1251" t="s">
        <v>4170</v>
      </c>
    </row>
    <row r="1252" spans="1:1" x14ac:dyDescent="0.35">
      <c r="A1252" t="s">
        <v>4171</v>
      </c>
    </row>
    <row r="1253" spans="1:1" x14ac:dyDescent="0.35">
      <c r="A1253" t="s">
        <v>4172</v>
      </c>
    </row>
    <row r="1254" spans="1:1" x14ac:dyDescent="0.35">
      <c r="A1254" t="s">
        <v>4173</v>
      </c>
    </row>
    <row r="1255" spans="1:1" x14ac:dyDescent="0.35">
      <c r="A1255" t="s">
        <v>4174</v>
      </c>
    </row>
    <row r="1256" spans="1:1" x14ac:dyDescent="0.35">
      <c r="A1256" t="s">
        <v>4175</v>
      </c>
    </row>
    <row r="1257" spans="1:1" x14ac:dyDescent="0.35">
      <c r="A1257" t="s">
        <v>4176</v>
      </c>
    </row>
    <row r="1258" spans="1:1" x14ac:dyDescent="0.35">
      <c r="A1258" t="s">
        <v>4177</v>
      </c>
    </row>
    <row r="1259" spans="1:1" x14ac:dyDescent="0.35">
      <c r="A1259" t="s">
        <v>4178</v>
      </c>
    </row>
    <row r="1260" spans="1:1" x14ac:dyDescent="0.35">
      <c r="A1260" t="s">
        <v>4179</v>
      </c>
    </row>
    <row r="1261" spans="1:1" x14ac:dyDescent="0.35">
      <c r="A1261" t="s">
        <v>4180</v>
      </c>
    </row>
    <row r="1262" spans="1:1" x14ac:dyDescent="0.35">
      <c r="A1262" t="s">
        <v>4181</v>
      </c>
    </row>
    <row r="1263" spans="1:1" x14ac:dyDescent="0.35">
      <c r="A1263" t="s">
        <v>4182</v>
      </c>
    </row>
    <row r="1264" spans="1:1" x14ac:dyDescent="0.35">
      <c r="A1264" t="s">
        <v>4183</v>
      </c>
    </row>
    <row r="1265" spans="1:1" x14ac:dyDescent="0.35">
      <c r="A1265" t="s">
        <v>4184</v>
      </c>
    </row>
    <row r="1266" spans="1:1" x14ac:dyDescent="0.35">
      <c r="A1266" t="s">
        <v>4185</v>
      </c>
    </row>
    <row r="1267" spans="1:1" x14ac:dyDescent="0.35">
      <c r="A1267" t="s">
        <v>4186</v>
      </c>
    </row>
    <row r="1268" spans="1:1" x14ac:dyDescent="0.35">
      <c r="A1268" t="s">
        <v>4187</v>
      </c>
    </row>
    <row r="1269" spans="1:1" x14ac:dyDescent="0.35">
      <c r="A1269" t="s">
        <v>4188</v>
      </c>
    </row>
    <row r="1270" spans="1:1" x14ac:dyDescent="0.35">
      <c r="A1270" t="s">
        <v>4189</v>
      </c>
    </row>
    <row r="1271" spans="1:1" x14ac:dyDescent="0.35">
      <c r="A1271" t="s">
        <v>4190</v>
      </c>
    </row>
    <row r="1272" spans="1:1" x14ac:dyDescent="0.35">
      <c r="A1272" t="s">
        <v>4191</v>
      </c>
    </row>
    <row r="1273" spans="1:1" x14ac:dyDescent="0.35">
      <c r="A1273" t="s">
        <v>4192</v>
      </c>
    </row>
    <row r="1274" spans="1:1" x14ac:dyDescent="0.35">
      <c r="A1274" t="s">
        <v>4193</v>
      </c>
    </row>
    <row r="1275" spans="1:1" x14ac:dyDescent="0.35">
      <c r="A1275" t="s">
        <v>4194</v>
      </c>
    </row>
    <row r="1276" spans="1:1" x14ac:dyDescent="0.35">
      <c r="A1276" t="s">
        <v>4195</v>
      </c>
    </row>
    <row r="1277" spans="1:1" x14ac:dyDescent="0.35">
      <c r="A1277" t="s">
        <v>4196</v>
      </c>
    </row>
    <row r="1278" spans="1:1" x14ac:dyDescent="0.35">
      <c r="A1278" t="s">
        <v>4197</v>
      </c>
    </row>
    <row r="1279" spans="1:1" x14ac:dyDescent="0.35">
      <c r="A1279" t="s">
        <v>4198</v>
      </c>
    </row>
    <row r="1280" spans="1:1" x14ac:dyDescent="0.35">
      <c r="A1280" t="s">
        <v>4199</v>
      </c>
    </row>
    <row r="1281" spans="1:1" x14ac:dyDescent="0.35">
      <c r="A1281" t="s">
        <v>4200</v>
      </c>
    </row>
    <row r="1282" spans="1:1" x14ac:dyDescent="0.35">
      <c r="A1282" t="s">
        <v>4201</v>
      </c>
    </row>
    <row r="1283" spans="1:1" x14ac:dyDescent="0.35">
      <c r="A1283" t="s">
        <v>4202</v>
      </c>
    </row>
    <row r="1284" spans="1:1" x14ac:dyDescent="0.35">
      <c r="A1284" t="s">
        <v>4203</v>
      </c>
    </row>
    <row r="1285" spans="1:1" x14ac:dyDescent="0.35">
      <c r="A1285" t="s">
        <v>4204</v>
      </c>
    </row>
    <row r="1286" spans="1:1" x14ac:dyDescent="0.35">
      <c r="A1286" t="s">
        <v>4205</v>
      </c>
    </row>
    <row r="1287" spans="1:1" x14ac:dyDescent="0.35">
      <c r="A1287" t="s">
        <v>4206</v>
      </c>
    </row>
    <row r="1288" spans="1:1" x14ac:dyDescent="0.35">
      <c r="A1288" t="s">
        <v>4207</v>
      </c>
    </row>
    <row r="1289" spans="1:1" x14ac:dyDescent="0.35">
      <c r="A1289" t="s">
        <v>4208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63D0-C019-4B45-BE7D-408546B38895}">
  <dimension ref="A1:B1002"/>
  <sheetViews>
    <sheetView workbookViewId="0">
      <selection activeCell="G8" sqref="G8"/>
    </sheetView>
  </sheetViews>
  <sheetFormatPr baseColWidth="10" defaultRowHeight="14.5" x14ac:dyDescent="0.35"/>
  <sheetData>
    <row r="1" spans="1:2" x14ac:dyDescent="0.35">
      <c r="A1" t="s">
        <v>28</v>
      </c>
      <c r="B1">
        <v>104</v>
      </c>
    </row>
    <row r="2" spans="1:2" x14ac:dyDescent="0.35">
      <c r="A2" t="s">
        <v>38</v>
      </c>
      <c r="B2">
        <v>107</v>
      </c>
    </row>
    <row r="3" spans="1:2" x14ac:dyDescent="0.35">
      <c r="A3" t="s">
        <v>41</v>
      </c>
      <c r="B3">
        <v>108</v>
      </c>
    </row>
    <row r="4" spans="1:2" x14ac:dyDescent="0.35">
      <c r="A4" t="s">
        <v>44</v>
      </c>
      <c r="B4">
        <v>105</v>
      </c>
    </row>
    <row r="5" spans="1:2" x14ac:dyDescent="0.35">
      <c r="A5" t="s">
        <v>47</v>
      </c>
      <c r="B5">
        <v>103</v>
      </c>
    </row>
    <row r="6" spans="1:2" x14ac:dyDescent="0.35">
      <c r="A6" t="s">
        <v>99</v>
      </c>
      <c r="B6">
        <v>5552</v>
      </c>
    </row>
    <row r="7" spans="1:2" x14ac:dyDescent="0.35">
      <c r="A7" t="s">
        <v>349</v>
      </c>
      <c r="B7">
        <v>5554</v>
      </c>
    </row>
    <row r="8" spans="1:2" x14ac:dyDescent="0.35">
      <c r="A8" t="s">
        <v>349</v>
      </c>
      <c r="B8">
        <v>5554</v>
      </c>
    </row>
    <row r="9" spans="1:2" x14ac:dyDescent="0.35">
      <c r="A9" t="s">
        <v>352</v>
      </c>
      <c r="B9">
        <v>5556</v>
      </c>
    </row>
    <row r="10" spans="1:2" x14ac:dyDescent="0.35">
      <c r="A10" t="s">
        <v>352</v>
      </c>
      <c r="B10">
        <v>5556</v>
      </c>
    </row>
    <row r="11" spans="1:2" x14ac:dyDescent="0.35">
      <c r="A11" t="s">
        <v>106</v>
      </c>
      <c r="B11">
        <v>5236</v>
      </c>
    </row>
    <row r="12" spans="1:2" x14ac:dyDescent="0.35">
      <c r="A12" t="s">
        <v>112</v>
      </c>
      <c r="B12">
        <v>5238</v>
      </c>
    </row>
    <row r="13" spans="1:2" x14ac:dyDescent="0.35">
      <c r="A13" t="s">
        <v>166</v>
      </c>
      <c r="B13">
        <v>5246</v>
      </c>
    </row>
    <row r="14" spans="1:2" x14ac:dyDescent="0.35">
      <c r="A14" t="s">
        <v>162</v>
      </c>
      <c r="B14">
        <v>5245</v>
      </c>
    </row>
    <row r="15" spans="1:2" x14ac:dyDescent="0.35">
      <c r="A15" t="s">
        <v>170</v>
      </c>
      <c r="B15">
        <v>5249</v>
      </c>
    </row>
    <row r="16" spans="1:2" x14ac:dyDescent="0.35">
      <c r="A16" t="s">
        <v>222</v>
      </c>
      <c r="B16">
        <v>5260</v>
      </c>
    </row>
    <row r="17" spans="1:2" x14ac:dyDescent="0.35">
      <c r="A17" t="s">
        <v>155</v>
      </c>
      <c r="B17">
        <v>5244</v>
      </c>
    </row>
    <row r="18" spans="1:2" x14ac:dyDescent="0.35">
      <c r="A18" t="s">
        <v>436</v>
      </c>
      <c r="B18">
        <v>5295</v>
      </c>
    </row>
    <row r="19" spans="1:2" x14ac:dyDescent="0.35">
      <c r="A19" t="s">
        <v>435</v>
      </c>
      <c r="B19">
        <v>4045</v>
      </c>
    </row>
    <row r="20" spans="1:2" x14ac:dyDescent="0.35">
      <c r="A20" t="s">
        <v>184</v>
      </c>
      <c r="B20">
        <v>5252</v>
      </c>
    </row>
    <row r="21" spans="1:2" x14ac:dyDescent="0.35">
      <c r="A21" t="s">
        <v>426</v>
      </c>
      <c r="B21">
        <v>5565</v>
      </c>
    </row>
    <row r="22" spans="1:2" x14ac:dyDescent="0.35">
      <c r="A22" t="s">
        <v>432</v>
      </c>
      <c r="B22">
        <v>5566</v>
      </c>
    </row>
    <row r="23" spans="1:2" x14ac:dyDescent="0.35">
      <c r="A23" t="s">
        <v>202</v>
      </c>
      <c r="B23">
        <v>5256</v>
      </c>
    </row>
    <row r="24" spans="1:2" x14ac:dyDescent="0.35">
      <c r="A24" t="s">
        <v>242</v>
      </c>
      <c r="B24">
        <v>5265</v>
      </c>
    </row>
    <row r="25" spans="1:2" x14ac:dyDescent="0.35">
      <c r="A25" t="s">
        <v>270</v>
      </c>
      <c r="B25">
        <v>5272</v>
      </c>
    </row>
    <row r="26" spans="1:2" x14ac:dyDescent="0.35">
      <c r="A26" t="s">
        <v>388</v>
      </c>
      <c r="B26">
        <v>5286</v>
      </c>
    </row>
    <row r="27" spans="1:2" x14ac:dyDescent="0.35">
      <c r="A27" t="s">
        <v>392</v>
      </c>
      <c r="B27">
        <v>5287</v>
      </c>
    </row>
    <row r="28" spans="1:2" x14ac:dyDescent="0.35">
      <c r="A28" t="s">
        <v>396</v>
      </c>
      <c r="B28">
        <v>5288</v>
      </c>
    </row>
    <row r="29" spans="1:2" x14ac:dyDescent="0.35">
      <c r="A29" t="s">
        <v>406</v>
      </c>
      <c r="B29">
        <v>5290</v>
      </c>
    </row>
    <row r="30" spans="1:2" x14ac:dyDescent="0.35">
      <c r="A30" t="s">
        <v>82</v>
      </c>
      <c r="B30">
        <v>5241</v>
      </c>
    </row>
    <row r="31" spans="1:2" x14ac:dyDescent="0.35">
      <c r="A31" t="s">
        <v>116</v>
      </c>
      <c r="B31">
        <v>5243</v>
      </c>
    </row>
    <row r="32" spans="1:2" x14ac:dyDescent="0.35">
      <c r="A32" t="s">
        <v>130</v>
      </c>
      <c r="B32">
        <v>5658</v>
      </c>
    </row>
    <row r="33" spans="1:2" x14ac:dyDescent="0.35">
      <c r="A33" t="s">
        <v>355</v>
      </c>
      <c r="B33">
        <v>4045</v>
      </c>
    </row>
    <row r="34" spans="1:2" x14ac:dyDescent="0.35">
      <c r="A34" t="s">
        <v>355</v>
      </c>
      <c r="B34">
        <v>4045</v>
      </c>
    </row>
    <row r="35" spans="1:2" x14ac:dyDescent="0.35">
      <c r="A35" t="s">
        <v>364</v>
      </c>
      <c r="B35">
        <v>4046</v>
      </c>
    </row>
    <row r="36" spans="1:2" x14ac:dyDescent="0.35">
      <c r="A36" t="s">
        <v>364</v>
      </c>
      <c r="B36">
        <v>4046</v>
      </c>
    </row>
    <row r="37" spans="1:2" x14ac:dyDescent="0.35">
      <c r="A37" t="s">
        <v>120</v>
      </c>
      <c r="B37">
        <v>105</v>
      </c>
    </row>
    <row r="38" spans="1:2" x14ac:dyDescent="0.35">
      <c r="A38" t="s">
        <v>123</v>
      </c>
      <c r="B38">
        <v>103</v>
      </c>
    </row>
    <row r="39" spans="1:2" x14ac:dyDescent="0.35">
      <c r="A39" t="s">
        <v>91</v>
      </c>
      <c r="B39">
        <v>5234</v>
      </c>
    </row>
    <row r="40" spans="1:2" x14ac:dyDescent="0.35">
      <c r="A40" t="s">
        <v>28</v>
      </c>
      <c r="B40">
        <v>104</v>
      </c>
    </row>
    <row r="41" spans="1:2" x14ac:dyDescent="0.35">
      <c r="A41" t="s">
        <v>38</v>
      </c>
      <c r="B41">
        <v>107</v>
      </c>
    </row>
    <row r="42" spans="1:2" x14ac:dyDescent="0.35">
      <c r="A42" t="s">
        <v>41</v>
      </c>
      <c r="B42">
        <v>108</v>
      </c>
    </row>
    <row r="43" spans="1:2" x14ac:dyDescent="0.35">
      <c r="A43" t="s">
        <v>44</v>
      </c>
      <c r="B43">
        <v>105</v>
      </c>
    </row>
    <row r="44" spans="1:2" x14ac:dyDescent="0.35">
      <c r="A44" t="s">
        <v>47</v>
      </c>
      <c r="B44">
        <v>103</v>
      </c>
    </row>
    <row r="45" spans="1:2" x14ac:dyDescent="0.35">
      <c r="A45" t="s">
        <v>99</v>
      </c>
      <c r="B45">
        <v>5552</v>
      </c>
    </row>
    <row r="46" spans="1:2" x14ac:dyDescent="0.35">
      <c r="A46" t="s">
        <v>106</v>
      </c>
      <c r="B46">
        <v>5236</v>
      </c>
    </row>
    <row r="47" spans="1:2" x14ac:dyDescent="0.35">
      <c r="A47" t="s">
        <v>112</v>
      </c>
      <c r="B47">
        <v>5238</v>
      </c>
    </row>
    <row r="48" spans="1:2" x14ac:dyDescent="0.35">
      <c r="A48" t="s">
        <v>266</v>
      </c>
      <c r="B48">
        <v>5271</v>
      </c>
    </row>
    <row r="49" spans="1:2" x14ac:dyDescent="0.35">
      <c r="A49" t="s">
        <v>372</v>
      </c>
      <c r="B49">
        <v>5282</v>
      </c>
    </row>
    <row r="50" spans="1:2" x14ac:dyDescent="0.35">
      <c r="A50" t="s">
        <v>410</v>
      </c>
      <c r="B50">
        <v>5291</v>
      </c>
    </row>
    <row r="51" spans="1:2" x14ac:dyDescent="0.35">
      <c r="A51" t="s">
        <v>414</v>
      </c>
      <c r="B51">
        <v>5292</v>
      </c>
    </row>
    <row r="52" spans="1:2" x14ac:dyDescent="0.35">
      <c r="A52" t="s">
        <v>418</v>
      </c>
      <c r="B52">
        <v>5293</v>
      </c>
    </row>
    <row r="53" spans="1:2" x14ac:dyDescent="0.35">
      <c r="A53" t="s">
        <v>422</v>
      </c>
      <c r="B53">
        <v>5294</v>
      </c>
    </row>
    <row r="54" spans="1:2" x14ac:dyDescent="0.35">
      <c r="A54" t="s">
        <v>152</v>
      </c>
      <c r="B54">
        <v>5248</v>
      </c>
    </row>
    <row r="55" spans="1:2" x14ac:dyDescent="0.35">
      <c r="A55" t="s">
        <v>137</v>
      </c>
      <c r="B55">
        <v>5173</v>
      </c>
    </row>
    <row r="56" spans="1:2" x14ac:dyDescent="0.35">
      <c r="A56" t="s">
        <v>304</v>
      </c>
      <c r="B56">
        <v>5660</v>
      </c>
    </row>
    <row r="57" spans="1:2" x14ac:dyDescent="0.35">
      <c r="A57" t="s">
        <v>308</v>
      </c>
      <c r="B57">
        <v>5561</v>
      </c>
    </row>
    <row r="58" spans="1:2" x14ac:dyDescent="0.35">
      <c r="A58" t="s">
        <v>298</v>
      </c>
      <c r="B58">
        <v>5659</v>
      </c>
    </row>
    <row r="59" spans="1:2" x14ac:dyDescent="0.35">
      <c r="A59" t="s">
        <v>206</v>
      </c>
      <c r="B59">
        <v>5257</v>
      </c>
    </row>
    <row r="60" spans="1:2" x14ac:dyDescent="0.35">
      <c r="A60" t="s">
        <v>212</v>
      </c>
      <c r="B60">
        <v>5258</v>
      </c>
    </row>
    <row r="61" spans="1:2" x14ac:dyDescent="0.35">
      <c r="A61" t="s">
        <v>216</v>
      </c>
      <c r="B61">
        <v>5259</v>
      </c>
    </row>
    <row r="62" spans="1:2" x14ac:dyDescent="0.35">
      <c r="A62" t="s">
        <v>174</v>
      </c>
      <c r="B62">
        <v>5250</v>
      </c>
    </row>
    <row r="63" spans="1:2" x14ac:dyDescent="0.35">
      <c r="A63" t="s">
        <v>226</v>
      </c>
      <c r="B63">
        <v>5261</v>
      </c>
    </row>
    <row r="64" spans="1:2" x14ac:dyDescent="0.35">
      <c r="A64" t="s">
        <v>196</v>
      </c>
      <c r="B64">
        <v>5255</v>
      </c>
    </row>
    <row r="65" spans="1:2" x14ac:dyDescent="0.35">
      <c r="A65" t="s">
        <v>230</v>
      </c>
      <c r="B65">
        <v>5262</v>
      </c>
    </row>
    <row r="66" spans="1:2" x14ac:dyDescent="0.35">
      <c r="A66" t="s">
        <v>146</v>
      </c>
      <c r="B66">
        <v>71</v>
      </c>
    </row>
    <row r="67" spans="1:2" x14ac:dyDescent="0.35">
      <c r="A67" t="s">
        <v>180</v>
      </c>
      <c r="B67">
        <v>5251</v>
      </c>
    </row>
    <row r="68" spans="1:2" x14ac:dyDescent="0.35">
      <c r="A68" t="s">
        <v>188</v>
      </c>
      <c r="B68">
        <v>5253</v>
      </c>
    </row>
    <row r="69" spans="1:2" x14ac:dyDescent="0.35">
      <c r="A69" t="s">
        <v>192</v>
      </c>
      <c r="B69">
        <v>5254</v>
      </c>
    </row>
    <row r="70" spans="1:2" x14ac:dyDescent="0.35">
      <c r="A70" t="s">
        <v>234</v>
      </c>
      <c r="B70">
        <v>5263</v>
      </c>
    </row>
    <row r="71" spans="1:2" x14ac:dyDescent="0.35">
      <c r="A71" t="s">
        <v>246</v>
      </c>
      <c r="B71">
        <v>5266</v>
      </c>
    </row>
    <row r="72" spans="1:2" x14ac:dyDescent="0.35">
      <c r="A72" t="s">
        <v>250</v>
      </c>
      <c r="B72">
        <v>5267</v>
      </c>
    </row>
    <row r="73" spans="1:2" x14ac:dyDescent="0.35">
      <c r="A73" t="s">
        <v>254</v>
      </c>
      <c r="B73">
        <v>5268</v>
      </c>
    </row>
    <row r="74" spans="1:2" x14ac:dyDescent="0.35">
      <c r="A74" t="s">
        <v>238</v>
      </c>
      <c r="B74">
        <v>5264</v>
      </c>
    </row>
    <row r="75" spans="1:2" x14ac:dyDescent="0.35">
      <c r="A75" t="s">
        <v>258</v>
      </c>
      <c r="B75">
        <v>5269</v>
      </c>
    </row>
    <row r="76" spans="1:2" x14ac:dyDescent="0.35">
      <c r="A76" t="s">
        <v>262</v>
      </c>
      <c r="B76">
        <v>5270</v>
      </c>
    </row>
    <row r="77" spans="1:2" x14ac:dyDescent="0.35">
      <c r="A77" t="s">
        <v>274</v>
      </c>
      <c r="B77">
        <v>5273</v>
      </c>
    </row>
    <row r="78" spans="1:2" x14ac:dyDescent="0.35">
      <c r="A78" t="s">
        <v>286</v>
      </c>
      <c r="B78">
        <v>5276</v>
      </c>
    </row>
    <row r="79" spans="1:2" x14ac:dyDescent="0.35">
      <c r="A79" t="s">
        <v>282</v>
      </c>
      <c r="B79">
        <v>5275</v>
      </c>
    </row>
    <row r="80" spans="1:2" x14ac:dyDescent="0.35">
      <c r="A80" t="s">
        <v>290</v>
      </c>
      <c r="B80">
        <v>5277</v>
      </c>
    </row>
    <row r="81" spans="1:2" x14ac:dyDescent="0.35">
      <c r="A81" t="s">
        <v>294</v>
      </c>
      <c r="B81">
        <v>5278</v>
      </c>
    </row>
    <row r="82" spans="1:2" x14ac:dyDescent="0.35">
      <c r="A82" t="s">
        <v>334</v>
      </c>
      <c r="B82">
        <v>5279</v>
      </c>
    </row>
    <row r="83" spans="1:2" x14ac:dyDescent="0.35">
      <c r="A83" t="s">
        <v>376</v>
      </c>
      <c r="B83">
        <v>5283</v>
      </c>
    </row>
    <row r="84" spans="1:2" x14ac:dyDescent="0.35">
      <c r="A84" t="s">
        <v>380</v>
      </c>
      <c r="B84">
        <v>5284</v>
      </c>
    </row>
    <row r="85" spans="1:2" x14ac:dyDescent="0.35">
      <c r="A85" t="s">
        <v>384</v>
      </c>
      <c r="B85">
        <v>5285</v>
      </c>
    </row>
    <row r="86" spans="1:2" x14ac:dyDescent="0.35">
      <c r="A86" t="s">
        <v>328</v>
      </c>
      <c r="B86">
        <v>4498</v>
      </c>
    </row>
    <row r="87" spans="1:2" x14ac:dyDescent="0.35">
      <c r="A87" t="s">
        <v>400</v>
      </c>
      <c r="B87">
        <v>5289</v>
      </c>
    </row>
    <row r="88" spans="1:2" x14ac:dyDescent="0.35">
      <c r="A88" t="s">
        <v>326</v>
      </c>
      <c r="B88">
        <v>5296</v>
      </c>
    </row>
    <row r="89" spans="1:2" x14ac:dyDescent="0.35">
      <c r="A89" t="s">
        <v>82</v>
      </c>
      <c r="B89">
        <v>5241</v>
      </c>
    </row>
    <row r="90" spans="1:2" x14ac:dyDescent="0.35">
      <c r="A90" t="s">
        <v>116</v>
      </c>
      <c r="B90">
        <v>5243</v>
      </c>
    </row>
    <row r="91" spans="1:2" x14ac:dyDescent="0.35">
      <c r="A91" t="s">
        <v>130</v>
      </c>
      <c r="B91">
        <v>5658</v>
      </c>
    </row>
    <row r="92" spans="1:2" x14ac:dyDescent="0.35">
      <c r="A92" t="s">
        <v>120</v>
      </c>
      <c r="B92">
        <v>105</v>
      </c>
    </row>
    <row r="93" spans="1:2" x14ac:dyDescent="0.35">
      <c r="A93" t="s">
        <v>123</v>
      </c>
      <c r="B93">
        <v>103</v>
      </c>
    </row>
    <row r="94" spans="1:2" x14ac:dyDescent="0.35">
      <c r="A94" t="s">
        <v>333</v>
      </c>
      <c r="B94">
        <v>5247</v>
      </c>
    </row>
    <row r="95" spans="1:2" x14ac:dyDescent="0.35">
      <c r="A95" t="s">
        <v>344</v>
      </c>
      <c r="B95">
        <v>114</v>
      </c>
    </row>
    <row r="96" spans="1:2" x14ac:dyDescent="0.35">
      <c r="A96" t="s">
        <v>338</v>
      </c>
      <c r="B96">
        <v>5280</v>
      </c>
    </row>
    <row r="97" spans="1:2" x14ac:dyDescent="0.35">
      <c r="A97" t="s">
        <v>368</v>
      </c>
      <c r="B97">
        <v>5281</v>
      </c>
    </row>
    <row r="98" spans="1:2" x14ac:dyDescent="0.35">
      <c r="A98" t="s">
        <v>91</v>
      </c>
      <c r="B98">
        <v>5234</v>
      </c>
    </row>
    <row r="99" spans="1:2" x14ac:dyDescent="0.35">
      <c r="A99" t="s">
        <v>440</v>
      </c>
      <c r="B99">
        <v>75</v>
      </c>
    </row>
    <row r="100" spans="1:2" x14ac:dyDescent="0.35">
      <c r="A100" t="s">
        <v>445</v>
      </c>
      <c r="B100">
        <v>73</v>
      </c>
    </row>
    <row r="101" spans="1:2" x14ac:dyDescent="0.35">
      <c r="A101" t="s">
        <v>451</v>
      </c>
      <c r="B101">
        <v>4574</v>
      </c>
    </row>
    <row r="102" spans="1:2" x14ac:dyDescent="0.35">
      <c r="A102" t="s">
        <v>455</v>
      </c>
      <c r="B102">
        <v>4575</v>
      </c>
    </row>
    <row r="103" spans="1:2" x14ac:dyDescent="0.35">
      <c r="A103" t="s">
        <v>457</v>
      </c>
      <c r="B103">
        <v>4570</v>
      </c>
    </row>
    <row r="104" spans="1:2" x14ac:dyDescent="0.35">
      <c r="A104" t="s">
        <v>462</v>
      </c>
      <c r="B104">
        <v>5177</v>
      </c>
    </row>
    <row r="105" spans="1:2" x14ac:dyDescent="0.35">
      <c r="A105" t="s">
        <v>465</v>
      </c>
      <c r="B105">
        <v>5178</v>
      </c>
    </row>
    <row r="106" spans="1:2" x14ac:dyDescent="0.35">
      <c r="A106" t="s">
        <v>469</v>
      </c>
      <c r="B106">
        <v>5123</v>
      </c>
    </row>
    <row r="107" spans="1:2" x14ac:dyDescent="0.35">
      <c r="A107" t="s">
        <v>477</v>
      </c>
      <c r="B107">
        <v>5124</v>
      </c>
    </row>
    <row r="108" spans="1:2" x14ac:dyDescent="0.35">
      <c r="A108" t="s">
        <v>480</v>
      </c>
      <c r="B108">
        <v>5125</v>
      </c>
    </row>
    <row r="109" spans="1:2" x14ac:dyDescent="0.35">
      <c r="A109" t="s">
        <v>486</v>
      </c>
      <c r="B109">
        <v>5126</v>
      </c>
    </row>
    <row r="110" spans="1:2" x14ac:dyDescent="0.35">
      <c r="A110" t="s">
        <v>489</v>
      </c>
      <c r="B110">
        <v>5127</v>
      </c>
    </row>
    <row r="111" spans="1:2" x14ac:dyDescent="0.35">
      <c r="A111" t="s">
        <v>492</v>
      </c>
      <c r="B111">
        <v>5128</v>
      </c>
    </row>
    <row r="112" spans="1:2" x14ac:dyDescent="0.35">
      <c r="A112" t="s">
        <v>497</v>
      </c>
      <c r="B112">
        <v>5129</v>
      </c>
    </row>
    <row r="113" spans="1:2" x14ac:dyDescent="0.35">
      <c r="A113" t="s">
        <v>500</v>
      </c>
      <c r="B113">
        <v>5130</v>
      </c>
    </row>
    <row r="114" spans="1:2" x14ac:dyDescent="0.35">
      <c r="A114" t="s">
        <v>506</v>
      </c>
      <c r="B114">
        <v>5594</v>
      </c>
    </row>
    <row r="115" spans="1:2" x14ac:dyDescent="0.35">
      <c r="A115" t="s">
        <v>512</v>
      </c>
      <c r="B115">
        <v>5597</v>
      </c>
    </row>
    <row r="116" spans="1:2" x14ac:dyDescent="0.35">
      <c r="A116" t="s">
        <v>515</v>
      </c>
      <c r="B116">
        <v>5600</v>
      </c>
    </row>
    <row r="117" spans="1:2" x14ac:dyDescent="0.35">
      <c r="A117" t="s">
        <v>519</v>
      </c>
      <c r="B117">
        <v>5603</v>
      </c>
    </row>
    <row r="118" spans="1:2" x14ac:dyDescent="0.35">
      <c r="A118" t="s">
        <v>522</v>
      </c>
      <c r="B118">
        <v>5605</v>
      </c>
    </row>
    <row r="119" spans="1:2" x14ac:dyDescent="0.35">
      <c r="A119" t="s">
        <v>525</v>
      </c>
      <c r="B119">
        <v>5607</v>
      </c>
    </row>
    <row r="120" spans="1:2" x14ac:dyDescent="0.35">
      <c r="A120" t="s">
        <v>528</v>
      </c>
      <c r="B120">
        <v>5609</v>
      </c>
    </row>
    <row r="121" spans="1:2" x14ac:dyDescent="0.35">
      <c r="A121" t="s">
        <v>328</v>
      </c>
      <c r="B121">
        <v>4498</v>
      </c>
    </row>
    <row r="122" spans="1:2" x14ac:dyDescent="0.35">
      <c r="A122" t="s">
        <v>540</v>
      </c>
      <c r="B122">
        <v>4583</v>
      </c>
    </row>
    <row r="123" spans="1:2" x14ac:dyDescent="0.35">
      <c r="A123" t="s">
        <v>544</v>
      </c>
      <c r="B123">
        <v>4585</v>
      </c>
    </row>
    <row r="124" spans="1:2" x14ac:dyDescent="0.35">
      <c r="A124" t="s">
        <v>548</v>
      </c>
      <c r="B124">
        <v>4586</v>
      </c>
    </row>
    <row r="125" spans="1:2" x14ac:dyDescent="0.35">
      <c r="A125" t="s">
        <v>560</v>
      </c>
      <c r="B125">
        <v>5576</v>
      </c>
    </row>
    <row r="126" spans="1:2" x14ac:dyDescent="0.35">
      <c r="A126" t="s">
        <v>910</v>
      </c>
      <c r="B126">
        <v>53</v>
      </c>
    </row>
    <row r="127" spans="1:2" x14ac:dyDescent="0.35">
      <c r="A127" t="s">
        <v>914</v>
      </c>
      <c r="B127">
        <v>5306</v>
      </c>
    </row>
    <row r="128" spans="1:2" x14ac:dyDescent="0.35">
      <c r="A128" t="s">
        <v>580</v>
      </c>
      <c r="B128">
        <v>5423</v>
      </c>
    </row>
    <row r="129" spans="1:2" x14ac:dyDescent="0.35">
      <c r="A129" t="s">
        <v>577</v>
      </c>
      <c r="B129">
        <v>5422</v>
      </c>
    </row>
    <row r="130" spans="1:2" x14ac:dyDescent="0.35">
      <c r="A130" t="s">
        <v>582</v>
      </c>
      <c r="B130">
        <v>5424</v>
      </c>
    </row>
    <row r="131" spans="1:2" x14ac:dyDescent="0.35">
      <c r="A131" t="s">
        <v>584</v>
      </c>
      <c r="B131">
        <v>5425</v>
      </c>
    </row>
    <row r="132" spans="1:2" x14ac:dyDescent="0.35">
      <c r="A132" t="s">
        <v>588</v>
      </c>
      <c r="B132">
        <v>5427</v>
      </c>
    </row>
    <row r="133" spans="1:2" x14ac:dyDescent="0.35">
      <c r="A133" t="s">
        <v>590</v>
      </c>
      <c r="B133">
        <v>5428</v>
      </c>
    </row>
    <row r="134" spans="1:2" x14ac:dyDescent="0.35">
      <c r="A134" t="s">
        <v>597</v>
      </c>
      <c r="B134">
        <v>5431</v>
      </c>
    </row>
    <row r="135" spans="1:2" x14ac:dyDescent="0.35">
      <c r="A135" t="s">
        <v>600</v>
      </c>
      <c r="B135">
        <v>5433</v>
      </c>
    </row>
    <row r="136" spans="1:2" x14ac:dyDescent="0.35">
      <c r="A136" t="s">
        <v>604</v>
      </c>
      <c r="B136">
        <v>5434</v>
      </c>
    </row>
    <row r="137" spans="1:2" x14ac:dyDescent="0.35">
      <c r="A137" t="s">
        <v>608</v>
      </c>
      <c r="B137">
        <v>5436</v>
      </c>
    </row>
    <row r="138" spans="1:2" x14ac:dyDescent="0.35">
      <c r="A138" t="s">
        <v>612</v>
      </c>
      <c r="B138">
        <v>5438</v>
      </c>
    </row>
    <row r="139" spans="1:2" x14ac:dyDescent="0.35">
      <c r="A139" t="s">
        <v>616</v>
      </c>
      <c r="B139">
        <v>5439</v>
      </c>
    </row>
    <row r="140" spans="1:2" x14ac:dyDescent="0.35">
      <c r="A140" t="s">
        <v>620</v>
      </c>
      <c r="B140">
        <v>5440</v>
      </c>
    </row>
    <row r="141" spans="1:2" x14ac:dyDescent="0.35">
      <c r="A141" t="s">
        <v>624</v>
      </c>
      <c r="B141">
        <v>5441</v>
      </c>
    </row>
    <row r="142" spans="1:2" x14ac:dyDescent="0.35">
      <c r="A142" t="s">
        <v>592</v>
      </c>
      <c r="B142">
        <v>5429</v>
      </c>
    </row>
    <row r="143" spans="1:2" x14ac:dyDescent="0.35">
      <c r="A143" t="s">
        <v>627</v>
      </c>
      <c r="B143">
        <v>5442</v>
      </c>
    </row>
    <row r="144" spans="1:2" x14ac:dyDescent="0.35">
      <c r="A144" t="s">
        <v>629</v>
      </c>
      <c r="B144">
        <v>5443</v>
      </c>
    </row>
    <row r="145" spans="1:2" x14ac:dyDescent="0.35">
      <c r="A145" t="s">
        <v>631</v>
      </c>
      <c r="B145">
        <v>5444</v>
      </c>
    </row>
    <row r="146" spans="1:2" x14ac:dyDescent="0.35">
      <c r="A146" t="s">
        <v>636</v>
      </c>
      <c r="B146">
        <v>5445</v>
      </c>
    </row>
    <row r="147" spans="1:2" x14ac:dyDescent="0.35">
      <c r="A147" t="s">
        <v>640</v>
      </c>
      <c r="B147">
        <v>5164</v>
      </c>
    </row>
    <row r="148" spans="1:2" x14ac:dyDescent="0.35">
      <c r="A148" t="s">
        <v>645</v>
      </c>
      <c r="B148">
        <v>5226</v>
      </c>
    </row>
    <row r="149" spans="1:2" x14ac:dyDescent="0.35">
      <c r="A149" t="s">
        <v>654</v>
      </c>
      <c r="B149">
        <v>5611</v>
      </c>
    </row>
    <row r="150" spans="1:2" x14ac:dyDescent="0.35">
      <c r="A150" t="s">
        <v>650</v>
      </c>
      <c r="B150">
        <v>137</v>
      </c>
    </row>
    <row r="151" spans="1:2" x14ac:dyDescent="0.35">
      <c r="A151" t="s">
        <v>784</v>
      </c>
      <c r="B151">
        <v>4803</v>
      </c>
    </row>
    <row r="152" spans="1:2" x14ac:dyDescent="0.35">
      <c r="A152" t="s">
        <v>937</v>
      </c>
      <c r="B152">
        <v>4802</v>
      </c>
    </row>
    <row r="153" spans="1:2" x14ac:dyDescent="0.35">
      <c r="A153" t="s">
        <v>666</v>
      </c>
      <c r="B153">
        <v>5174</v>
      </c>
    </row>
    <row r="154" spans="1:2" x14ac:dyDescent="0.35">
      <c r="A154" t="s">
        <v>670</v>
      </c>
      <c r="B154">
        <v>4577</v>
      </c>
    </row>
    <row r="155" spans="1:2" x14ac:dyDescent="0.35">
      <c r="A155" t="s">
        <v>688</v>
      </c>
      <c r="B155">
        <v>5446</v>
      </c>
    </row>
    <row r="156" spans="1:2" x14ac:dyDescent="0.35">
      <c r="A156" t="s">
        <v>696</v>
      </c>
      <c r="B156">
        <v>5448</v>
      </c>
    </row>
    <row r="157" spans="1:2" x14ac:dyDescent="0.35">
      <c r="A157" t="s">
        <v>699</v>
      </c>
      <c r="B157">
        <v>5450</v>
      </c>
    </row>
    <row r="158" spans="1:2" x14ac:dyDescent="0.35">
      <c r="A158" t="s">
        <v>702</v>
      </c>
      <c r="B158">
        <v>5452</v>
      </c>
    </row>
    <row r="159" spans="1:2" x14ac:dyDescent="0.35">
      <c r="A159" t="s">
        <v>706</v>
      </c>
      <c r="B159">
        <v>5454</v>
      </c>
    </row>
    <row r="160" spans="1:2" x14ac:dyDescent="0.35">
      <c r="A160" t="s">
        <v>710</v>
      </c>
      <c r="B160">
        <v>5456</v>
      </c>
    </row>
    <row r="161" spans="1:2" x14ac:dyDescent="0.35">
      <c r="A161" t="s">
        <v>714</v>
      </c>
      <c r="B161">
        <v>5131</v>
      </c>
    </row>
    <row r="162" spans="1:2" x14ac:dyDescent="0.35">
      <c r="A162" t="s">
        <v>717</v>
      </c>
      <c r="B162">
        <v>5132</v>
      </c>
    </row>
    <row r="163" spans="1:2" x14ac:dyDescent="0.35">
      <c r="A163" t="s">
        <v>720</v>
      </c>
      <c r="B163">
        <v>5133</v>
      </c>
    </row>
    <row r="164" spans="1:2" x14ac:dyDescent="0.35">
      <c r="A164" t="s">
        <v>723</v>
      </c>
      <c r="B164">
        <v>4831</v>
      </c>
    </row>
    <row r="165" spans="1:2" x14ac:dyDescent="0.35">
      <c r="A165" t="s">
        <v>729</v>
      </c>
      <c r="B165">
        <v>4829</v>
      </c>
    </row>
    <row r="166" spans="1:2" x14ac:dyDescent="0.35">
      <c r="A166" t="s">
        <v>732</v>
      </c>
      <c r="B166">
        <v>4830</v>
      </c>
    </row>
    <row r="167" spans="1:2" x14ac:dyDescent="0.35">
      <c r="A167" t="s">
        <v>1106</v>
      </c>
      <c r="B167">
        <v>5309</v>
      </c>
    </row>
    <row r="168" spans="1:2" x14ac:dyDescent="0.35">
      <c r="A168" t="s">
        <v>734</v>
      </c>
      <c r="B168">
        <v>4587</v>
      </c>
    </row>
    <row r="169" spans="1:2" x14ac:dyDescent="0.35">
      <c r="A169" t="s">
        <v>742</v>
      </c>
      <c r="B169">
        <v>5227</v>
      </c>
    </row>
    <row r="170" spans="1:2" x14ac:dyDescent="0.35">
      <c r="A170" t="s">
        <v>747</v>
      </c>
      <c r="B170">
        <v>4578</v>
      </c>
    </row>
    <row r="171" spans="1:2" x14ac:dyDescent="0.35">
      <c r="A171" t="s">
        <v>1180</v>
      </c>
      <c r="B171">
        <v>5312</v>
      </c>
    </row>
    <row r="172" spans="1:2" x14ac:dyDescent="0.35">
      <c r="A172" t="s">
        <v>754</v>
      </c>
      <c r="B172">
        <v>4615</v>
      </c>
    </row>
    <row r="173" spans="1:2" x14ac:dyDescent="0.35">
      <c r="A173" t="s">
        <v>759</v>
      </c>
      <c r="B173">
        <v>5175</v>
      </c>
    </row>
    <row r="174" spans="1:2" x14ac:dyDescent="0.35">
      <c r="A174" t="s">
        <v>763</v>
      </c>
      <c r="B174">
        <v>5176</v>
      </c>
    </row>
    <row r="175" spans="1:2" x14ac:dyDescent="0.35">
      <c r="A175" t="s">
        <v>1066</v>
      </c>
      <c r="B175">
        <v>4774</v>
      </c>
    </row>
    <row r="176" spans="1:2" x14ac:dyDescent="0.35">
      <c r="A176" t="s">
        <v>767</v>
      </c>
      <c r="B176">
        <v>4215</v>
      </c>
    </row>
    <row r="177" spans="1:2" x14ac:dyDescent="0.35">
      <c r="A177" t="s">
        <v>772</v>
      </c>
      <c r="B177">
        <v>4216</v>
      </c>
    </row>
    <row r="178" spans="1:2" x14ac:dyDescent="0.35">
      <c r="A178" t="s">
        <v>776</v>
      </c>
      <c r="B178">
        <v>4217</v>
      </c>
    </row>
    <row r="179" spans="1:2" x14ac:dyDescent="0.35">
      <c r="A179" t="s">
        <v>780</v>
      </c>
      <c r="B179">
        <v>4218</v>
      </c>
    </row>
    <row r="180" spans="1:2" x14ac:dyDescent="0.35">
      <c r="A180" t="s">
        <v>798</v>
      </c>
      <c r="B180">
        <v>4572</v>
      </c>
    </row>
    <row r="181" spans="1:2" x14ac:dyDescent="0.35">
      <c r="A181" t="s">
        <v>800</v>
      </c>
      <c r="B181">
        <v>4569</v>
      </c>
    </row>
    <row r="182" spans="1:2" x14ac:dyDescent="0.35">
      <c r="A182" t="s">
        <v>805</v>
      </c>
      <c r="B182">
        <v>4584</v>
      </c>
    </row>
    <row r="183" spans="1:2" x14ac:dyDescent="0.35">
      <c r="A183" t="s">
        <v>796</v>
      </c>
      <c r="B183">
        <v>4571</v>
      </c>
    </row>
    <row r="184" spans="1:2" x14ac:dyDescent="0.35">
      <c r="A184" t="s">
        <v>1205</v>
      </c>
      <c r="B184">
        <v>43</v>
      </c>
    </row>
    <row r="185" spans="1:2" x14ac:dyDescent="0.35">
      <c r="A185" t="s">
        <v>364</v>
      </c>
      <c r="B185">
        <v>4046</v>
      </c>
    </row>
    <row r="186" spans="1:2" x14ac:dyDescent="0.35">
      <c r="A186" t="s">
        <v>1240</v>
      </c>
      <c r="B186">
        <v>5315</v>
      </c>
    </row>
    <row r="187" spans="1:2" x14ac:dyDescent="0.35">
      <c r="A187" t="s">
        <v>819</v>
      </c>
      <c r="B187">
        <v>4588</v>
      </c>
    </row>
    <row r="188" spans="1:2" x14ac:dyDescent="0.35">
      <c r="A188" t="s">
        <v>1261</v>
      </c>
      <c r="B188">
        <v>40</v>
      </c>
    </row>
    <row r="189" spans="1:2" x14ac:dyDescent="0.35">
      <c r="A189" t="s">
        <v>845</v>
      </c>
      <c r="B189">
        <v>5483</v>
      </c>
    </row>
    <row r="190" spans="1:2" x14ac:dyDescent="0.35">
      <c r="A190" t="s">
        <v>857</v>
      </c>
      <c r="B190">
        <v>5489</v>
      </c>
    </row>
    <row r="191" spans="1:2" x14ac:dyDescent="0.35">
      <c r="A191" t="s">
        <v>844</v>
      </c>
      <c r="B191">
        <v>5481</v>
      </c>
    </row>
    <row r="192" spans="1:2" x14ac:dyDescent="0.35">
      <c r="A192" t="s">
        <v>862</v>
      </c>
      <c r="B192">
        <v>5493</v>
      </c>
    </row>
    <row r="193" spans="1:2" x14ac:dyDescent="0.35">
      <c r="A193" t="s">
        <v>825</v>
      </c>
      <c r="B193">
        <v>5478</v>
      </c>
    </row>
    <row r="194" spans="1:2" x14ac:dyDescent="0.35">
      <c r="A194" t="s">
        <v>837</v>
      </c>
      <c r="B194">
        <v>5479</v>
      </c>
    </row>
    <row r="195" spans="1:2" x14ac:dyDescent="0.35">
      <c r="A195" t="s">
        <v>847</v>
      </c>
      <c r="B195">
        <v>5485</v>
      </c>
    </row>
    <row r="196" spans="1:2" x14ac:dyDescent="0.35">
      <c r="A196" t="s">
        <v>853</v>
      </c>
      <c r="B196">
        <v>5487</v>
      </c>
    </row>
    <row r="197" spans="1:2" x14ac:dyDescent="0.35">
      <c r="A197" t="s">
        <v>858</v>
      </c>
      <c r="B197">
        <v>5491</v>
      </c>
    </row>
    <row r="198" spans="1:2" x14ac:dyDescent="0.35">
      <c r="A198" t="s">
        <v>1265</v>
      </c>
      <c r="B198">
        <v>44</v>
      </c>
    </row>
    <row r="199" spans="1:2" x14ac:dyDescent="0.35">
      <c r="A199" t="s">
        <v>1368</v>
      </c>
      <c r="B199">
        <v>47</v>
      </c>
    </row>
    <row r="200" spans="1:2" x14ac:dyDescent="0.35">
      <c r="A200" t="s">
        <v>1384</v>
      </c>
      <c r="B200">
        <v>39</v>
      </c>
    </row>
    <row r="201" spans="1:2" x14ac:dyDescent="0.35">
      <c r="A201" t="s">
        <v>1392</v>
      </c>
      <c r="B201">
        <v>52</v>
      </c>
    </row>
    <row r="202" spans="1:2" x14ac:dyDescent="0.35">
      <c r="A202" t="s">
        <v>1394</v>
      </c>
      <c r="B202">
        <v>5317</v>
      </c>
    </row>
    <row r="203" spans="1:2" x14ac:dyDescent="0.35">
      <c r="A203" t="s">
        <v>1467</v>
      </c>
      <c r="B203">
        <v>5318</v>
      </c>
    </row>
    <row r="204" spans="1:2" x14ac:dyDescent="0.35">
      <c r="A204" t="s">
        <v>888</v>
      </c>
      <c r="B204">
        <v>5577</v>
      </c>
    </row>
    <row r="205" spans="1:2" x14ac:dyDescent="0.35">
      <c r="A205" t="s">
        <v>892</v>
      </c>
      <c r="B205">
        <v>5457</v>
      </c>
    </row>
    <row r="206" spans="1:2" x14ac:dyDescent="0.35">
      <c r="A206" t="s">
        <v>1513</v>
      </c>
      <c r="B206">
        <v>55</v>
      </c>
    </row>
    <row r="207" spans="1:2" x14ac:dyDescent="0.35">
      <c r="A207" t="s">
        <v>897</v>
      </c>
      <c r="B207">
        <v>5494</v>
      </c>
    </row>
    <row r="208" spans="1:2" x14ac:dyDescent="0.35">
      <c r="A208" t="s">
        <v>898</v>
      </c>
      <c r="B208">
        <v>5495</v>
      </c>
    </row>
    <row r="209" spans="1:2" x14ac:dyDescent="0.35">
      <c r="A209" t="s">
        <v>1535</v>
      </c>
      <c r="B209">
        <v>4016</v>
      </c>
    </row>
    <row r="210" spans="1:2" x14ac:dyDescent="0.35">
      <c r="A210" t="s">
        <v>1516</v>
      </c>
      <c r="B210">
        <v>5321</v>
      </c>
    </row>
    <row r="211" spans="1:2" x14ac:dyDescent="0.35">
      <c r="A211" t="s">
        <v>1527</v>
      </c>
      <c r="B211">
        <v>5327</v>
      </c>
    </row>
    <row r="212" spans="1:2" x14ac:dyDescent="0.35">
      <c r="A212" t="s">
        <v>1521</v>
      </c>
      <c r="B212">
        <v>5324</v>
      </c>
    </row>
    <row r="213" spans="1:2" x14ac:dyDescent="0.35">
      <c r="A213" t="s">
        <v>1533</v>
      </c>
      <c r="B213">
        <v>5329</v>
      </c>
    </row>
    <row r="214" spans="1:2" x14ac:dyDescent="0.35">
      <c r="A214" t="s">
        <v>1538</v>
      </c>
      <c r="B214">
        <v>5332</v>
      </c>
    </row>
    <row r="215" spans="1:2" x14ac:dyDescent="0.35">
      <c r="A215" t="s">
        <v>915</v>
      </c>
      <c r="B215">
        <v>5578</v>
      </c>
    </row>
    <row r="216" spans="1:2" x14ac:dyDescent="0.35">
      <c r="A216" t="s">
        <v>920</v>
      </c>
      <c r="B216">
        <v>4325</v>
      </c>
    </row>
    <row r="217" spans="1:2" x14ac:dyDescent="0.35">
      <c r="A217" t="s">
        <v>925</v>
      </c>
      <c r="B217">
        <v>4326</v>
      </c>
    </row>
    <row r="218" spans="1:2" x14ac:dyDescent="0.35">
      <c r="A218" t="s">
        <v>932</v>
      </c>
      <c r="B218">
        <v>5137</v>
      </c>
    </row>
    <row r="219" spans="1:2" x14ac:dyDescent="0.35">
      <c r="A219" t="s">
        <v>947</v>
      </c>
      <c r="B219">
        <v>5463</v>
      </c>
    </row>
    <row r="220" spans="1:2" x14ac:dyDescent="0.35">
      <c r="A220" t="s">
        <v>1020</v>
      </c>
      <c r="B220">
        <v>5464</v>
      </c>
    </row>
    <row r="221" spans="1:2" x14ac:dyDescent="0.35">
      <c r="A221" t="s">
        <v>1029</v>
      </c>
      <c r="B221">
        <v>5465</v>
      </c>
    </row>
    <row r="222" spans="1:2" x14ac:dyDescent="0.35">
      <c r="A222" t="s">
        <v>1049</v>
      </c>
      <c r="B222">
        <v>5466</v>
      </c>
    </row>
    <row r="223" spans="1:2" x14ac:dyDescent="0.35">
      <c r="A223" t="s">
        <v>1065</v>
      </c>
      <c r="B223">
        <v>5467</v>
      </c>
    </row>
    <row r="224" spans="1:2" x14ac:dyDescent="0.35">
      <c r="A224" t="s">
        <v>1069</v>
      </c>
      <c r="B224">
        <v>4806</v>
      </c>
    </row>
    <row r="225" spans="1:2" x14ac:dyDescent="0.35">
      <c r="A225" t="s">
        <v>1081</v>
      </c>
      <c r="B225">
        <v>4764</v>
      </c>
    </row>
    <row r="226" spans="1:2" x14ac:dyDescent="0.35">
      <c r="A226" t="s">
        <v>1186</v>
      </c>
      <c r="B226">
        <v>4761</v>
      </c>
    </row>
    <row r="227" spans="1:2" x14ac:dyDescent="0.35">
      <c r="A227" t="s">
        <v>1188</v>
      </c>
      <c r="B227">
        <v>4804</v>
      </c>
    </row>
    <row r="228" spans="1:2" x14ac:dyDescent="0.35">
      <c r="A228" t="s">
        <v>1072</v>
      </c>
      <c r="B228">
        <v>4497</v>
      </c>
    </row>
    <row r="229" spans="1:2" x14ac:dyDescent="0.35">
      <c r="A229" t="s">
        <v>1074</v>
      </c>
      <c r="B229">
        <v>5613</v>
      </c>
    </row>
    <row r="230" spans="1:2" x14ac:dyDescent="0.35">
      <c r="A230" t="s">
        <v>1076</v>
      </c>
      <c r="B230">
        <v>5615</v>
      </c>
    </row>
    <row r="231" spans="1:2" x14ac:dyDescent="0.35">
      <c r="A231" t="s">
        <v>1079</v>
      </c>
      <c r="B231">
        <v>4348</v>
      </c>
    </row>
    <row r="232" spans="1:2" x14ac:dyDescent="0.35">
      <c r="A232" t="s">
        <v>1543</v>
      </c>
      <c r="B232">
        <v>5335</v>
      </c>
    </row>
    <row r="233" spans="1:2" x14ac:dyDescent="0.35">
      <c r="A233" t="s">
        <v>1191</v>
      </c>
      <c r="B233">
        <v>4800</v>
      </c>
    </row>
    <row r="234" spans="1:2" x14ac:dyDescent="0.35">
      <c r="A234" t="s">
        <v>1083</v>
      </c>
      <c r="B234">
        <v>4284</v>
      </c>
    </row>
    <row r="235" spans="1:2" x14ac:dyDescent="0.35">
      <c r="A235" t="s">
        <v>1086</v>
      </c>
      <c r="B235">
        <v>4275</v>
      </c>
    </row>
    <row r="236" spans="1:2" x14ac:dyDescent="0.35">
      <c r="A236" t="s">
        <v>1088</v>
      </c>
      <c r="B236">
        <v>4278</v>
      </c>
    </row>
    <row r="237" spans="1:2" x14ac:dyDescent="0.35">
      <c r="A237" t="s">
        <v>1091</v>
      </c>
      <c r="B237">
        <v>4281</v>
      </c>
    </row>
    <row r="238" spans="1:2" x14ac:dyDescent="0.35">
      <c r="A238" t="s">
        <v>1093</v>
      </c>
      <c r="B238">
        <v>4277</v>
      </c>
    </row>
    <row r="239" spans="1:2" x14ac:dyDescent="0.35">
      <c r="A239" t="s">
        <v>1096</v>
      </c>
      <c r="B239">
        <v>3803</v>
      </c>
    </row>
    <row r="240" spans="1:2" x14ac:dyDescent="0.35">
      <c r="A240" t="s">
        <v>1099</v>
      </c>
      <c r="B240">
        <v>5617</v>
      </c>
    </row>
    <row r="241" spans="1:2" x14ac:dyDescent="0.35">
      <c r="A241" t="s">
        <v>1100</v>
      </c>
      <c r="B241">
        <v>5239</v>
      </c>
    </row>
    <row r="242" spans="1:2" x14ac:dyDescent="0.35">
      <c r="A242" t="s">
        <v>1102</v>
      </c>
      <c r="B242">
        <v>4573</v>
      </c>
    </row>
    <row r="243" spans="1:2" x14ac:dyDescent="0.35">
      <c r="A243" t="s">
        <v>1546</v>
      </c>
      <c r="B243">
        <v>5337</v>
      </c>
    </row>
    <row r="244" spans="1:2" x14ac:dyDescent="0.35">
      <c r="A244" t="s">
        <v>1111</v>
      </c>
      <c r="B244">
        <v>5616</v>
      </c>
    </row>
    <row r="245" spans="1:2" x14ac:dyDescent="0.35">
      <c r="A245" t="s">
        <v>1114</v>
      </c>
      <c r="B245">
        <v>5496</v>
      </c>
    </row>
    <row r="246" spans="1:2" x14ac:dyDescent="0.35">
      <c r="A246" t="s">
        <v>1116</v>
      </c>
      <c r="B246">
        <v>5167</v>
      </c>
    </row>
    <row r="247" spans="1:2" x14ac:dyDescent="0.35">
      <c r="A247" t="s">
        <v>1119</v>
      </c>
      <c r="B247">
        <v>5168</v>
      </c>
    </row>
    <row r="248" spans="1:2" x14ac:dyDescent="0.35">
      <c r="A248" t="s">
        <v>1122</v>
      </c>
      <c r="B248">
        <v>4580</v>
      </c>
    </row>
    <row r="249" spans="1:2" x14ac:dyDescent="0.35">
      <c r="A249" t="s">
        <v>1126</v>
      </c>
      <c r="B249">
        <v>4664</v>
      </c>
    </row>
    <row r="250" spans="1:2" x14ac:dyDescent="0.35">
      <c r="A250" t="s">
        <v>1130</v>
      </c>
      <c r="B250">
        <v>4665</v>
      </c>
    </row>
    <row r="251" spans="1:2" x14ac:dyDescent="0.35">
      <c r="A251" t="s">
        <v>1137</v>
      </c>
      <c r="B251">
        <v>5618</v>
      </c>
    </row>
    <row r="252" spans="1:2" x14ac:dyDescent="0.35">
      <c r="A252" t="s">
        <v>1140</v>
      </c>
      <c r="B252">
        <v>5620</v>
      </c>
    </row>
    <row r="253" spans="1:2" x14ac:dyDescent="0.35">
      <c r="A253" t="s">
        <v>1143</v>
      </c>
      <c r="B253">
        <v>5621</v>
      </c>
    </row>
    <row r="254" spans="1:2" x14ac:dyDescent="0.35">
      <c r="A254" t="s">
        <v>1146</v>
      </c>
      <c r="B254">
        <v>5622</v>
      </c>
    </row>
    <row r="255" spans="1:2" x14ac:dyDescent="0.35">
      <c r="A255" t="s">
        <v>1149</v>
      </c>
      <c r="B255">
        <v>5623</v>
      </c>
    </row>
    <row r="256" spans="1:2" x14ac:dyDescent="0.35">
      <c r="A256" t="s">
        <v>1152</v>
      </c>
      <c r="B256">
        <v>5624</v>
      </c>
    </row>
    <row r="257" spans="1:2" x14ac:dyDescent="0.35">
      <c r="A257" t="s">
        <v>1155</v>
      </c>
      <c r="B257">
        <v>5625</v>
      </c>
    </row>
    <row r="258" spans="1:2" x14ac:dyDescent="0.35">
      <c r="A258" t="s">
        <v>1158</v>
      </c>
      <c r="B258">
        <v>5626</v>
      </c>
    </row>
    <row r="259" spans="1:2" x14ac:dyDescent="0.35">
      <c r="A259" t="s">
        <v>1161</v>
      </c>
      <c r="B259">
        <v>5627</v>
      </c>
    </row>
    <row r="260" spans="1:2" x14ac:dyDescent="0.35">
      <c r="A260" t="s">
        <v>1164</v>
      </c>
      <c r="B260">
        <v>5628</v>
      </c>
    </row>
    <row r="261" spans="1:2" x14ac:dyDescent="0.35">
      <c r="A261" t="s">
        <v>1167</v>
      </c>
      <c r="B261">
        <v>5629</v>
      </c>
    </row>
    <row r="262" spans="1:2" x14ac:dyDescent="0.35">
      <c r="A262" t="s">
        <v>1170</v>
      </c>
      <c r="B262">
        <v>5630</v>
      </c>
    </row>
    <row r="263" spans="1:2" x14ac:dyDescent="0.35">
      <c r="A263" t="s">
        <v>1173</v>
      </c>
      <c r="B263">
        <v>5631</v>
      </c>
    </row>
    <row r="264" spans="1:2" x14ac:dyDescent="0.35">
      <c r="A264" t="s">
        <v>1176</v>
      </c>
      <c r="B264">
        <v>5632</v>
      </c>
    </row>
    <row r="265" spans="1:2" x14ac:dyDescent="0.35">
      <c r="A265" t="s">
        <v>1550</v>
      </c>
      <c r="B265">
        <v>5339</v>
      </c>
    </row>
    <row r="266" spans="1:2" x14ac:dyDescent="0.35">
      <c r="A266" t="s">
        <v>1597</v>
      </c>
      <c r="B266">
        <v>5340</v>
      </c>
    </row>
    <row r="267" spans="1:2" x14ac:dyDescent="0.35">
      <c r="A267" t="s">
        <v>1610</v>
      </c>
      <c r="B267">
        <v>5342</v>
      </c>
    </row>
    <row r="268" spans="1:2" x14ac:dyDescent="0.35">
      <c r="A268" t="s">
        <v>1195</v>
      </c>
      <c r="B268">
        <v>4801</v>
      </c>
    </row>
    <row r="269" spans="1:2" x14ac:dyDescent="0.35">
      <c r="A269" t="s">
        <v>1198</v>
      </c>
      <c r="B269">
        <v>4800</v>
      </c>
    </row>
    <row r="270" spans="1:2" x14ac:dyDescent="0.35">
      <c r="A270" t="s">
        <v>1199</v>
      </c>
      <c r="B270">
        <v>4786</v>
      </c>
    </row>
    <row r="271" spans="1:2" x14ac:dyDescent="0.35">
      <c r="A271" t="s">
        <v>1202</v>
      </c>
      <c r="B271">
        <v>4771</v>
      </c>
    </row>
    <row r="272" spans="1:2" x14ac:dyDescent="0.35">
      <c r="A272" t="s">
        <v>1258</v>
      </c>
      <c r="B272">
        <v>4797</v>
      </c>
    </row>
    <row r="273" spans="1:2" x14ac:dyDescent="0.35">
      <c r="A273" t="s">
        <v>1309</v>
      </c>
      <c r="B273">
        <v>4787</v>
      </c>
    </row>
    <row r="274" spans="1:2" x14ac:dyDescent="0.35">
      <c r="A274" t="s">
        <v>1312</v>
      </c>
      <c r="B274">
        <v>5171</v>
      </c>
    </row>
    <row r="275" spans="1:2" x14ac:dyDescent="0.35">
      <c r="A275" t="s">
        <v>1846</v>
      </c>
      <c r="B275">
        <v>5360</v>
      </c>
    </row>
    <row r="276" spans="1:2" x14ac:dyDescent="0.35">
      <c r="A276" t="s">
        <v>1916</v>
      </c>
      <c r="B276">
        <v>5363</v>
      </c>
    </row>
    <row r="277" spans="1:2" x14ac:dyDescent="0.35">
      <c r="A277" t="s">
        <v>1672</v>
      </c>
      <c r="B277">
        <v>4012</v>
      </c>
    </row>
    <row r="278" spans="1:2" x14ac:dyDescent="0.35">
      <c r="A278" t="s">
        <v>1634</v>
      </c>
      <c r="B278">
        <v>5345</v>
      </c>
    </row>
    <row r="279" spans="1:2" x14ac:dyDescent="0.35">
      <c r="A279" t="s">
        <v>1650</v>
      </c>
      <c r="B279">
        <v>5348</v>
      </c>
    </row>
    <row r="280" spans="1:2" x14ac:dyDescent="0.35">
      <c r="A280" t="s">
        <v>1210</v>
      </c>
      <c r="B280">
        <v>3804</v>
      </c>
    </row>
    <row r="281" spans="1:2" x14ac:dyDescent="0.35">
      <c r="A281" t="s">
        <v>1232</v>
      </c>
      <c r="B281">
        <v>5166</v>
      </c>
    </row>
    <row r="282" spans="1:2" x14ac:dyDescent="0.35">
      <c r="A282" t="s">
        <v>1213</v>
      </c>
      <c r="B282">
        <v>4563</v>
      </c>
    </row>
    <row r="283" spans="1:2" x14ac:dyDescent="0.35">
      <c r="A283" t="s">
        <v>1217</v>
      </c>
      <c r="B283">
        <v>4564</v>
      </c>
    </row>
    <row r="284" spans="1:2" x14ac:dyDescent="0.35">
      <c r="A284" t="s">
        <v>1221</v>
      </c>
      <c r="B284">
        <v>4565</v>
      </c>
    </row>
    <row r="285" spans="1:2" x14ac:dyDescent="0.35">
      <c r="A285" t="s">
        <v>1225</v>
      </c>
      <c r="B285">
        <v>5165</v>
      </c>
    </row>
    <row r="286" spans="1:2" x14ac:dyDescent="0.35">
      <c r="A286" t="s">
        <v>1228</v>
      </c>
      <c r="B286">
        <v>4567</v>
      </c>
    </row>
    <row r="287" spans="1:2" x14ac:dyDescent="0.35">
      <c r="A287" t="s">
        <v>1236</v>
      </c>
      <c r="B287">
        <v>4562</v>
      </c>
    </row>
    <row r="288" spans="1:2" x14ac:dyDescent="0.35">
      <c r="A288" t="s">
        <v>1652</v>
      </c>
      <c r="B288">
        <v>5350</v>
      </c>
    </row>
    <row r="289" spans="1:2" x14ac:dyDescent="0.35">
      <c r="A289" t="s">
        <v>1653</v>
      </c>
      <c r="B289">
        <v>45</v>
      </c>
    </row>
    <row r="290" spans="1:2" x14ac:dyDescent="0.35">
      <c r="A290" t="s">
        <v>355</v>
      </c>
      <c r="B290">
        <v>4045</v>
      </c>
    </row>
    <row r="291" spans="1:2" x14ac:dyDescent="0.35">
      <c r="A291" t="s">
        <v>1243</v>
      </c>
      <c r="B291">
        <v>5161</v>
      </c>
    </row>
    <row r="292" spans="1:2" x14ac:dyDescent="0.35">
      <c r="A292" t="s">
        <v>1655</v>
      </c>
      <c r="B292">
        <v>46</v>
      </c>
    </row>
    <row r="293" spans="1:2" x14ac:dyDescent="0.35">
      <c r="A293" t="s">
        <v>1247</v>
      </c>
      <c r="B293">
        <v>70</v>
      </c>
    </row>
    <row r="294" spans="1:2" x14ac:dyDescent="0.35">
      <c r="A294" t="s">
        <v>1248</v>
      </c>
      <c r="B294">
        <v>73</v>
      </c>
    </row>
    <row r="295" spans="1:2" x14ac:dyDescent="0.35">
      <c r="A295" t="s">
        <v>1253</v>
      </c>
      <c r="B295">
        <v>72</v>
      </c>
    </row>
    <row r="296" spans="1:2" x14ac:dyDescent="0.35">
      <c r="A296" t="s">
        <v>1249</v>
      </c>
      <c r="B296">
        <v>74</v>
      </c>
    </row>
    <row r="297" spans="1:2" x14ac:dyDescent="0.35">
      <c r="A297" t="s">
        <v>1315</v>
      </c>
      <c r="B297">
        <v>4766</v>
      </c>
    </row>
    <row r="298" spans="1:2" x14ac:dyDescent="0.35">
      <c r="A298" t="s">
        <v>1657</v>
      </c>
      <c r="B298">
        <v>37</v>
      </c>
    </row>
    <row r="299" spans="1:2" x14ac:dyDescent="0.35">
      <c r="A299" t="s">
        <v>1659</v>
      </c>
      <c r="B299">
        <v>5351</v>
      </c>
    </row>
    <row r="300" spans="1:2" x14ac:dyDescent="0.35">
      <c r="A300" t="s">
        <v>1661</v>
      </c>
      <c r="B300">
        <v>5353</v>
      </c>
    </row>
    <row r="301" spans="1:2" x14ac:dyDescent="0.35">
      <c r="A301" t="s">
        <v>1282</v>
      </c>
      <c r="B301">
        <v>5179</v>
      </c>
    </row>
    <row r="302" spans="1:2" x14ac:dyDescent="0.35">
      <c r="A302" t="s">
        <v>896</v>
      </c>
      <c r="B302">
        <v>48</v>
      </c>
    </row>
    <row r="303" spans="1:2" x14ac:dyDescent="0.35">
      <c r="A303" t="s">
        <v>1289</v>
      </c>
      <c r="B303">
        <v>5180</v>
      </c>
    </row>
    <row r="304" spans="1:2" x14ac:dyDescent="0.35">
      <c r="A304" t="s">
        <v>1293</v>
      </c>
      <c r="B304">
        <v>5181</v>
      </c>
    </row>
    <row r="305" spans="1:2" x14ac:dyDescent="0.35">
      <c r="A305" t="s">
        <v>1297</v>
      </c>
      <c r="B305">
        <v>5182</v>
      </c>
    </row>
    <row r="306" spans="1:2" x14ac:dyDescent="0.35">
      <c r="A306" t="s">
        <v>1301</v>
      </c>
      <c r="B306">
        <v>5501</v>
      </c>
    </row>
    <row r="307" spans="1:2" x14ac:dyDescent="0.35">
      <c r="A307" t="s">
        <v>1441</v>
      </c>
      <c r="B307">
        <v>4780</v>
      </c>
    </row>
    <row r="308" spans="1:2" x14ac:dyDescent="0.35">
      <c r="A308" t="s">
        <v>1438</v>
      </c>
      <c r="B308">
        <v>4798</v>
      </c>
    </row>
    <row r="309" spans="1:2" x14ac:dyDescent="0.35">
      <c r="A309" t="s">
        <v>1404</v>
      </c>
      <c r="B309">
        <v>4767</v>
      </c>
    </row>
    <row r="310" spans="1:2" x14ac:dyDescent="0.35">
      <c r="A310" t="s">
        <v>1317</v>
      </c>
      <c r="B310">
        <v>3793</v>
      </c>
    </row>
    <row r="311" spans="1:2" x14ac:dyDescent="0.35">
      <c r="A311" t="s">
        <v>1843</v>
      </c>
      <c r="B311">
        <v>5354</v>
      </c>
    </row>
    <row r="312" spans="1:2" x14ac:dyDescent="0.35">
      <c r="A312" t="s">
        <v>1844</v>
      </c>
      <c r="B312">
        <v>5357</v>
      </c>
    </row>
    <row r="313" spans="1:2" x14ac:dyDescent="0.35">
      <c r="A313" t="s">
        <v>1320</v>
      </c>
      <c r="B313">
        <v>5183</v>
      </c>
    </row>
    <row r="314" spans="1:2" x14ac:dyDescent="0.35">
      <c r="A314" t="s">
        <v>1324</v>
      </c>
      <c r="B314">
        <v>5184</v>
      </c>
    </row>
    <row r="315" spans="1:2" x14ac:dyDescent="0.35">
      <c r="A315" t="s">
        <v>1328</v>
      </c>
      <c r="B315">
        <v>5185</v>
      </c>
    </row>
    <row r="316" spans="1:2" x14ac:dyDescent="0.35">
      <c r="A316" t="s">
        <v>1332</v>
      </c>
      <c r="B316">
        <v>5186</v>
      </c>
    </row>
    <row r="317" spans="1:2" x14ac:dyDescent="0.35">
      <c r="A317" t="s">
        <v>1336</v>
      </c>
      <c r="B317">
        <v>5187</v>
      </c>
    </row>
    <row r="318" spans="1:2" x14ac:dyDescent="0.35">
      <c r="A318" t="s">
        <v>1340</v>
      </c>
      <c r="B318">
        <v>5188</v>
      </c>
    </row>
    <row r="319" spans="1:2" x14ac:dyDescent="0.35">
      <c r="A319" t="s">
        <v>1344</v>
      </c>
      <c r="B319">
        <v>5189</v>
      </c>
    </row>
    <row r="320" spans="1:2" x14ac:dyDescent="0.35">
      <c r="A320" t="s">
        <v>1348</v>
      </c>
      <c r="B320">
        <v>5190</v>
      </c>
    </row>
    <row r="321" spans="1:2" x14ac:dyDescent="0.35">
      <c r="A321" t="s">
        <v>1352</v>
      </c>
      <c r="B321">
        <v>5191</v>
      </c>
    </row>
    <row r="322" spans="1:2" x14ac:dyDescent="0.35">
      <c r="A322" t="s">
        <v>1356</v>
      </c>
      <c r="B322">
        <v>5192</v>
      </c>
    </row>
    <row r="323" spans="1:2" x14ac:dyDescent="0.35">
      <c r="A323" t="s">
        <v>1360</v>
      </c>
      <c r="B323">
        <v>5193</v>
      </c>
    </row>
    <row r="324" spans="1:2" x14ac:dyDescent="0.35">
      <c r="A324" t="s">
        <v>1364</v>
      </c>
      <c r="B324">
        <v>4327</v>
      </c>
    </row>
    <row r="325" spans="1:2" x14ac:dyDescent="0.35">
      <c r="A325" t="s">
        <v>1370</v>
      </c>
      <c r="B325">
        <v>5508</v>
      </c>
    </row>
    <row r="326" spans="1:2" x14ac:dyDescent="0.35">
      <c r="A326" t="s">
        <v>1375</v>
      </c>
      <c r="B326">
        <v>5509</v>
      </c>
    </row>
    <row r="327" spans="1:2" x14ac:dyDescent="0.35">
      <c r="A327" t="s">
        <v>1379</v>
      </c>
      <c r="B327">
        <v>5510</v>
      </c>
    </row>
    <row r="328" spans="1:2" x14ac:dyDescent="0.35">
      <c r="A328" t="s">
        <v>1389</v>
      </c>
      <c r="B328">
        <v>3796</v>
      </c>
    </row>
    <row r="329" spans="1:2" x14ac:dyDescent="0.35">
      <c r="A329" t="s">
        <v>1386</v>
      </c>
      <c r="B329">
        <v>3798</v>
      </c>
    </row>
    <row r="330" spans="1:2" x14ac:dyDescent="0.35">
      <c r="A330" t="s">
        <v>1919</v>
      </c>
      <c r="B330">
        <v>38</v>
      </c>
    </row>
    <row r="331" spans="1:2" x14ac:dyDescent="0.35">
      <c r="A331" t="s">
        <v>1995</v>
      </c>
      <c r="B331">
        <v>51</v>
      </c>
    </row>
    <row r="332" spans="1:2" x14ac:dyDescent="0.35">
      <c r="A332" t="s">
        <v>2024</v>
      </c>
      <c r="B332">
        <v>5366</v>
      </c>
    </row>
    <row r="333" spans="1:2" x14ac:dyDescent="0.35">
      <c r="A333" t="s">
        <v>2059</v>
      </c>
      <c r="B333">
        <v>5368</v>
      </c>
    </row>
    <row r="334" spans="1:2" x14ac:dyDescent="0.35">
      <c r="A334" t="s">
        <v>2142</v>
      </c>
      <c r="B334">
        <v>5369</v>
      </c>
    </row>
    <row r="335" spans="1:2" x14ac:dyDescent="0.35">
      <c r="A335" t="s">
        <v>2164</v>
      </c>
      <c r="B335">
        <v>5372</v>
      </c>
    </row>
    <row r="336" spans="1:2" x14ac:dyDescent="0.35">
      <c r="A336" t="s">
        <v>1396</v>
      </c>
      <c r="B336">
        <v>5579</v>
      </c>
    </row>
    <row r="337" spans="1:2" x14ac:dyDescent="0.35">
      <c r="A337" t="s">
        <v>1484</v>
      </c>
      <c r="B337">
        <v>4755</v>
      </c>
    </row>
    <row r="338" spans="1:2" x14ac:dyDescent="0.35">
      <c r="A338" t="s">
        <v>2166</v>
      </c>
      <c r="B338">
        <v>5373</v>
      </c>
    </row>
    <row r="339" spans="1:2" x14ac:dyDescent="0.35">
      <c r="A339" t="s">
        <v>1405</v>
      </c>
      <c r="B339">
        <v>5228</v>
      </c>
    </row>
    <row r="340" spans="1:2" x14ac:dyDescent="0.35">
      <c r="A340" t="s">
        <v>1409</v>
      </c>
      <c r="B340">
        <v>4581</v>
      </c>
    </row>
    <row r="341" spans="1:2" x14ac:dyDescent="0.35">
      <c r="A341" t="s">
        <v>1413</v>
      </c>
      <c r="B341">
        <v>4582</v>
      </c>
    </row>
    <row r="342" spans="1:2" x14ac:dyDescent="0.35">
      <c r="A342" t="s">
        <v>1428</v>
      </c>
      <c r="B342">
        <v>4490</v>
      </c>
    </row>
    <row r="343" spans="1:2" x14ac:dyDescent="0.35">
      <c r="A343" t="s">
        <v>1433</v>
      </c>
      <c r="B343">
        <v>4492</v>
      </c>
    </row>
    <row r="344" spans="1:2" x14ac:dyDescent="0.35">
      <c r="A344" t="s">
        <v>1609</v>
      </c>
      <c r="B344">
        <v>4799</v>
      </c>
    </row>
    <row r="345" spans="1:2" x14ac:dyDescent="0.35">
      <c r="A345" t="s">
        <v>1632</v>
      </c>
      <c r="B345">
        <v>4770</v>
      </c>
    </row>
    <row r="346" spans="1:2" x14ac:dyDescent="0.35">
      <c r="A346" t="s">
        <v>1417</v>
      </c>
      <c r="B346">
        <v>4491</v>
      </c>
    </row>
    <row r="347" spans="1:2" x14ac:dyDescent="0.35">
      <c r="A347" t="s">
        <v>1423</v>
      </c>
      <c r="B347">
        <v>4489</v>
      </c>
    </row>
    <row r="348" spans="1:2" x14ac:dyDescent="0.35">
      <c r="A348" t="s">
        <v>1446</v>
      </c>
      <c r="B348">
        <v>5633</v>
      </c>
    </row>
    <row r="349" spans="1:2" x14ac:dyDescent="0.35">
      <c r="A349" t="s">
        <v>1448</v>
      </c>
      <c r="B349">
        <v>5634</v>
      </c>
    </row>
    <row r="350" spans="1:2" x14ac:dyDescent="0.35">
      <c r="A350" t="s">
        <v>1451</v>
      </c>
      <c r="B350">
        <v>5635</v>
      </c>
    </row>
    <row r="351" spans="1:2" x14ac:dyDescent="0.35">
      <c r="A351" t="s">
        <v>1455</v>
      </c>
      <c r="B351">
        <v>5636</v>
      </c>
    </row>
    <row r="352" spans="1:2" x14ac:dyDescent="0.35">
      <c r="A352" t="s">
        <v>1459</v>
      </c>
      <c r="B352">
        <v>5637</v>
      </c>
    </row>
    <row r="353" spans="1:2" x14ac:dyDescent="0.35">
      <c r="A353" t="s">
        <v>1463</v>
      </c>
      <c r="B353">
        <v>5511</v>
      </c>
    </row>
    <row r="354" spans="1:2" x14ac:dyDescent="0.35">
      <c r="A354" t="s">
        <v>2197</v>
      </c>
      <c r="B354">
        <v>5375</v>
      </c>
    </row>
    <row r="355" spans="1:2" x14ac:dyDescent="0.35">
      <c r="A355" t="s">
        <v>1469</v>
      </c>
      <c r="B355">
        <v>5638</v>
      </c>
    </row>
    <row r="356" spans="1:2" x14ac:dyDescent="0.35">
      <c r="A356" t="s">
        <v>1476</v>
      </c>
      <c r="B356">
        <v>5639</v>
      </c>
    </row>
    <row r="357" spans="1:2" x14ac:dyDescent="0.35">
      <c r="A357" t="s">
        <v>1473</v>
      </c>
      <c r="B357">
        <v>5640</v>
      </c>
    </row>
    <row r="358" spans="1:2" x14ac:dyDescent="0.35">
      <c r="A358" t="s">
        <v>2206</v>
      </c>
      <c r="B358">
        <v>54</v>
      </c>
    </row>
    <row r="359" spans="1:2" x14ac:dyDescent="0.35">
      <c r="A359" t="s">
        <v>328</v>
      </c>
      <c r="B359">
        <v>4498</v>
      </c>
    </row>
    <row r="360" spans="1:2" x14ac:dyDescent="0.35">
      <c r="A360" t="s">
        <v>1480</v>
      </c>
      <c r="B360">
        <v>5230</v>
      </c>
    </row>
    <row r="361" spans="1:2" x14ac:dyDescent="0.35">
      <c r="A361" t="s">
        <v>1675</v>
      </c>
      <c r="B361">
        <v>4747</v>
      </c>
    </row>
    <row r="362" spans="1:2" x14ac:dyDescent="0.35">
      <c r="A362" t="s">
        <v>1510</v>
      </c>
      <c r="B362">
        <v>3788</v>
      </c>
    </row>
    <row r="363" spans="1:2" x14ac:dyDescent="0.35">
      <c r="A363" t="s">
        <v>1494</v>
      </c>
      <c r="B363">
        <v>3794</v>
      </c>
    </row>
    <row r="364" spans="1:2" x14ac:dyDescent="0.35">
      <c r="A364" t="s">
        <v>1505</v>
      </c>
      <c r="B364">
        <v>5144</v>
      </c>
    </row>
    <row r="365" spans="1:2" x14ac:dyDescent="0.35">
      <c r="A365" t="s">
        <v>1487</v>
      </c>
      <c r="B365">
        <v>5138</v>
      </c>
    </row>
    <row r="366" spans="1:2" x14ac:dyDescent="0.35">
      <c r="A366" t="s">
        <v>1497</v>
      </c>
      <c r="B366">
        <v>5139</v>
      </c>
    </row>
    <row r="367" spans="1:2" x14ac:dyDescent="0.35">
      <c r="A367" t="s">
        <v>1500</v>
      </c>
      <c r="B367">
        <v>5142</v>
      </c>
    </row>
    <row r="368" spans="1:2" x14ac:dyDescent="0.35">
      <c r="A368" t="s">
        <v>1503</v>
      </c>
      <c r="B368">
        <v>3791</v>
      </c>
    </row>
    <row r="369" spans="1:2" x14ac:dyDescent="0.35">
      <c r="A369" t="s">
        <v>1490</v>
      </c>
      <c r="B369">
        <v>3799</v>
      </c>
    </row>
    <row r="370" spans="1:2" x14ac:dyDescent="0.35">
      <c r="A370" t="s">
        <v>1493</v>
      </c>
      <c r="B370">
        <v>3800</v>
      </c>
    </row>
    <row r="371" spans="1:2" x14ac:dyDescent="0.35">
      <c r="A371" t="s">
        <v>1508</v>
      </c>
      <c r="B371">
        <v>3801</v>
      </c>
    </row>
    <row r="372" spans="1:2" x14ac:dyDescent="0.35">
      <c r="A372" t="s">
        <v>2367</v>
      </c>
      <c r="B372">
        <v>5378</v>
      </c>
    </row>
    <row r="373" spans="1:2" x14ac:dyDescent="0.35">
      <c r="A373" t="s">
        <v>910</v>
      </c>
      <c r="B373">
        <v>53</v>
      </c>
    </row>
    <row r="374" spans="1:2" x14ac:dyDescent="0.35">
      <c r="A374" t="s">
        <v>1524</v>
      </c>
      <c r="B374">
        <v>4496</v>
      </c>
    </row>
    <row r="375" spans="1:2" x14ac:dyDescent="0.35">
      <c r="A375" t="s">
        <v>2279</v>
      </c>
      <c r="B375">
        <v>50</v>
      </c>
    </row>
    <row r="376" spans="1:2" x14ac:dyDescent="0.35">
      <c r="A376" t="s">
        <v>2364</v>
      </c>
      <c r="B376">
        <v>5377</v>
      </c>
    </row>
    <row r="377" spans="1:2" x14ac:dyDescent="0.35">
      <c r="A377" t="s">
        <v>2368</v>
      </c>
      <c r="B377">
        <v>5380</v>
      </c>
    </row>
    <row r="378" spans="1:2" x14ac:dyDescent="0.35">
      <c r="A378" t="s">
        <v>2389</v>
      </c>
      <c r="B378">
        <v>5381</v>
      </c>
    </row>
    <row r="379" spans="1:2" x14ac:dyDescent="0.35">
      <c r="A379" t="s">
        <v>2390</v>
      </c>
      <c r="B379">
        <v>5383</v>
      </c>
    </row>
    <row r="380" spans="1:2" x14ac:dyDescent="0.35">
      <c r="A380" t="s">
        <v>1657</v>
      </c>
      <c r="B380">
        <v>37</v>
      </c>
    </row>
    <row r="381" spans="1:2" x14ac:dyDescent="0.35">
      <c r="A381" t="s">
        <v>2392</v>
      </c>
      <c r="B381">
        <v>5385</v>
      </c>
    </row>
    <row r="382" spans="1:2" x14ac:dyDescent="0.35">
      <c r="A382" t="s">
        <v>2484</v>
      </c>
      <c r="B382">
        <v>5391</v>
      </c>
    </row>
    <row r="383" spans="1:2" x14ac:dyDescent="0.35">
      <c r="A383" t="s">
        <v>2462</v>
      </c>
      <c r="B383">
        <v>41</v>
      </c>
    </row>
    <row r="384" spans="1:2" x14ac:dyDescent="0.35">
      <c r="A384" t="s">
        <v>2483</v>
      </c>
      <c r="B384">
        <v>5390</v>
      </c>
    </row>
    <row r="385" spans="1:2" x14ac:dyDescent="0.35">
      <c r="A385" t="s">
        <v>1995</v>
      </c>
      <c r="B385">
        <v>51</v>
      </c>
    </row>
    <row r="386" spans="1:2" x14ac:dyDescent="0.35">
      <c r="A386" t="s">
        <v>2059</v>
      </c>
      <c r="B386">
        <v>5368</v>
      </c>
    </row>
    <row r="387" spans="1:2" x14ac:dyDescent="0.35">
      <c r="A387" t="s">
        <v>2438</v>
      </c>
      <c r="B387">
        <v>5387</v>
      </c>
    </row>
    <row r="388" spans="1:2" x14ac:dyDescent="0.35">
      <c r="A388" t="s">
        <v>2479</v>
      </c>
      <c r="B388">
        <v>5388</v>
      </c>
    </row>
    <row r="389" spans="1:2" x14ac:dyDescent="0.35">
      <c r="A389" t="s">
        <v>2480</v>
      </c>
      <c r="B389">
        <v>4015</v>
      </c>
    </row>
    <row r="390" spans="1:2" x14ac:dyDescent="0.35">
      <c r="A390" t="s">
        <v>2482</v>
      </c>
      <c r="B390">
        <v>5389</v>
      </c>
    </row>
    <row r="391" spans="1:2" x14ac:dyDescent="0.35">
      <c r="A391" t="s">
        <v>2485</v>
      </c>
      <c r="B391">
        <v>5393</v>
      </c>
    </row>
    <row r="392" spans="1:2" x14ac:dyDescent="0.35">
      <c r="A392" t="s">
        <v>2494</v>
      </c>
      <c r="B392">
        <v>5395</v>
      </c>
    </row>
    <row r="393" spans="1:2" x14ac:dyDescent="0.35">
      <c r="A393" t="s">
        <v>2499</v>
      </c>
      <c r="B393">
        <v>5397</v>
      </c>
    </row>
    <row r="394" spans="1:2" x14ac:dyDescent="0.35">
      <c r="A394" t="s">
        <v>2501</v>
      </c>
      <c r="B394">
        <v>5398</v>
      </c>
    </row>
    <row r="395" spans="1:2" x14ac:dyDescent="0.35">
      <c r="A395" t="s">
        <v>914</v>
      </c>
      <c r="B395">
        <v>5306</v>
      </c>
    </row>
    <row r="396" spans="1:2" x14ac:dyDescent="0.35">
      <c r="A396" t="s">
        <v>2507</v>
      </c>
      <c r="B396">
        <v>5403</v>
      </c>
    </row>
    <row r="397" spans="1:2" x14ac:dyDescent="0.35">
      <c r="A397" t="s">
        <v>1554</v>
      </c>
      <c r="B397">
        <v>134</v>
      </c>
    </row>
    <row r="398" spans="1:2" x14ac:dyDescent="0.35">
      <c r="A398" t="s">
        <v>2502</v>
      </c>
      <c r="B398">
        <v>42</v>
      </c>
    </row>
    <row r="399" spans="1:2" x14ac:dyDescent="0.35">
      <c r="A399" t="s">
        <v>1565</v>
      </c>
      <c r="B399">
        <v>4287</v>
      </c>
    </row>
    <row r="400" spans="1:2" x14ac:dyDescent="0.35">
      <c r="A400" t="s">
        <v>1567</v>
      </c>
      <c r="B400">
        <v>4286</v>
      </c>
    </row>
    <row r="401" spans="1:2" x14ac:dyDescent="0.35">
      <c r="A401" t="s">
        <v>1560</v>
      </c>
      <c r="B401">
        <v>4285</v>
      </c>
    </row>
    <row r="402" spans="1:2" x14ac:dyDescent="0.35">
      <c r="A402" t="s">
        <v>1562</v>
      </c>
      <c r="B402">
        <v>5231</v>
      </c>
    </row>
    <row r="403" spans="1:2" x14ac:dyDescent="0.35">
      <c r="A403" t="s">
        <v>1569</v>
      </c>
      <c r="B403">
        <v>3789</v>
      </c>
    </row>
    <row r="404" spans="1:2" x14ac:dyDescent="0.35">
      <c r="A404" t="s">
        <v>1093</v>
      </c>
      <c r="B404">
        <v>4277</v>
      </c>
    </row>
    <row r="405" spans="1:2" x14ac:dyDescent="0.35">
      <c r="A405" t="s">
        <v>1586</v>
      </c>
      <c r="B405">
        <v>3961</v>
      </c>
    </row>
    <row r="406" spans="1:2" x14ac:dyDescent="0.35">
      <c r="A406" t="s">
        <v>1570</v>
      </c>
      <c r="B406">
        <v>3958</v>
      </c>
    </row>
    <row r="407" spans="1:2" x14ac:dyDescent="0.35">
      <c r="A407" t="s">
        <v>1579</v>
      </c>
      <c r="B407">
        <v>3963</v>
      </c>
    </row>
    <row r="408" spans="1:2" x14ac:dyDescent="0.35">
      <c r="A408" t="s">
        <v>1585</v>
      </c>
      <c r="B408">
        <v>3966</v>
      </c>
    </row>
    <row r="409" spans="1:2" x14ac:dyDescent="0.35">
      <c r="A409" t="s">
        <v>1573</v>
      </c>
      <c r="B409">
        <v>3960</v>
      </c>
    </row>
    <row r="410" spans="1:2" x14ac:dyDescent="0.35">
      <c r="A410" t="s">
        <v>1576</v>
      </c>
      <c r="B410">
        <v>3962</v>
      </c>
    </row>
    <row r="411" spans="1:2" x14ac:dyDescent="0.35">
      <c r="A411" t="s">
        <v>1582</v>
      </c>
      <c r="B411">
        <v>3965</v>
      </c>
    </row>
    <row r="412" spans="1:2" x14ac:dyDescent="0.35">
      <c r="A412" t="s">
        <v>1589</v>
      </c>
      <c r="B412">
        <v>5642</v>
      </c>
    </row>
    <row r="413" spans="1:2" x14ac:dyDescent="0.35">
      <c r="A413" t="s">
        <v>1593</v>
      </c>
      <c r="B413">
        <v>5644</v>
      </c>
    </row>
    <row r="414" spans="1:2" x14ac:dyDescent="0.35">
      <c r="A414" t="s">
        <v>2512</v>
      </c>
      <c r="B414">
        <v>56</v>
      </c>
    </row>
    <row r="415" spans="1:2" x14ac:dyDescent="0.35">
      <c r="A415" t="s">
        <v>1601</v>
      </c>
      <c r="B415">
        <v>4581</v>
      </c>
    </row>
    <row r="416" spans="1:2" x14ac:dyDescent="0.35">
      <c r="A416" t="s">
        <v>2515</v>
      </c>
      <c r="B416">
        <v>57</v>
      </c>
    </row>
    <row r="417" spans="1:2" x14ac:dyDescent="0.35">
      <c r="A417" t="s">
        <v>1603</v>
      </c>
      <c r="B417">
        <v>3790</v>
      </c>
    </row>
    <row r="418" spans="1:2" x14ac:dyDescent="0.35">
      <c r="A418" t="s">
        <v>1605</v>
      </c>
      <c r="B418">
        <v>4288</v>
      </c>
    </row>
    <row r="419" spans="1:2" x14ac:dyDescent="0.35">
      <c r="A419" t="s">
        <v>1679</v>
      </c>
      <c r="B419">
        <v>4765</v>
      </c>
    </row>
    <row r="420" spans="1:2" x14ac:dyDescent="0.35">
      <c r="A420" t="s">
        <v>1106</v>
      </c>
      <c r="B420">
        <v>5309</v>
      </c>
    </row>
    <row r="421" spans="1:2" x14ac:dyDescent="0.35">
      <c r="A421" t="s">
        <v>1611</v>
      </c>
      <c r="B421">
        <v>82</v>
      </c>
    </row>
    <row r="422" spans="1:2" x14ac:dyDescent="0.35">
      <c r="A422" t="s">
        <v>1623</v>
      </c>
      <c r="B422">
        <v>5646</v>
      </c>
    </row>
    <row r="423" spans="1:2" x14ac:dyDescent="0.35">
      <c r="A423" t="s">
        <v>1626</v>
      </c>
      <c r="B423">
        <v>5648</v>
      </c>
    </row>
    <row r="424" spans="1:2" x14ac:dyDescent="0.35">
      <c r="A424" t="s">
        <v>1616</v>
      </c>
      <c r="B424">
        <v>4726</v>
      </c>
    </row>
    <row r="425" spans="1:2" x14ac:dyDescent="0.35">
      <c r="A425" t="s">
        <v>1619</v>
      </c>
      <c r="B425">
        <v>4728</v>
      </c>
    </row>
    <row r="426" spans="1:2" x14ac:dyDescent="0.35">
      <c r="A426" t="s">
        <v>1629</v>
      </c>
      <c r="B426">
        <v>3805</v>
      </c>
    </row>
    <row r="427" spans="1:2" x14ac:dyDescent="0.35">
      <c r="A427" t="s">
        <v>1848</v>
      </c>
      <c r="B427">
        <v>4742</v>
      </c>
    </row>
    <row r="428" spans="1:2" x14ac:dyDescent="0.35">
      <c r="A428" t="s">
        <v>1180</v>
      </c>
      <c r="B428">
        <v>5312</v>
      </c>
    </row>
    <row r="429" spans="1:2" x14ac:dyDescent="0.35">
      <c r="A429" t="s">
        <v>2555</v>
      </c>
      <c r="B429">
        <v>4017</v>
      </c>
    </row>
    <row r="430" spans="1:2" x14ac:dyDescent="0.35">
      <c r="A430" t="s">
        <v>1368</v>
      </c>
      <c r="B430">
        <v>47</v>
      </c>
    </row>
    <row r="431" spans="1:2" x14ac:dyDescent="0.35">
      <c r="A431" t="s">
        <v>1641</v>
      </c>
      <c r="B431">
        <v>3967</v>
      </c>
    </row>
    <row r="432" spans="1:2" x14ac:dyDescent="0.35">
      <c r="A432" t="s">
        <v>1646</v>
      </c>
      <c r="B432">
        <v>3972</v>
      </c>
    </row>
    <row r="433" spans="1:2" x14ac:dyDescent="0.35">
      <c r="A433" t="s">
        <v>1205</v>
      </c>
      <c r="B433">
        <v>43</v>
      </c>
    </row>
    <row r="434" spans="1:2" x14ac:dyDescent="0.35">
      <c r="A434" t="s">
        <v>1652</v>
      </c>
      <c r="B434">
        <v>5350</v>
      </c>
    </row>
    <row r="435" spans="1:2" x14ac:dyDescent="0.35">
      <c r="A435" t="s">
        <v>1655</v>
      </c>
      <c r="B435">
        <v>46</v>
      </c>
    </row>
    <row r="436" spans="1:2" x14ac:dyDescent="0.35">
      <c r="A436" t="s">
        <v>1844</v>
      </c>
      <c r="B436">
        <v>5357</v>
      </c>
    </row>
    <row r="437" spans="1:2" x14ac:dyDescent="0.35">
      <c r="A437" t="s">
        <v>1919</v>
      </c>
      <c r="B437">
        <v>38</v>
      </c>
    </row>
    <row r="438" spans="1:2" x14ac:dyDescent="0.35">
      <c r="A438" t="s">
        <v>2024</v>
      </c>
      <c r="B438">
        <v>5366</v>
      </c>
    </row>
    <row r="439" spans="1:2" x14ac:dyDescent="0.35">
      <c r="A439" t="s">
        <v>2164</v>
      </c>
      <c r="B439">
        <v>5372</v>
      </c>
    </row>
    <row r="440" spans="1:2" x14ac:dyDescent="0.35">
      <c r="A440" t="s">
        <v>2264</v>
      </c>
      <c r="B440">
        <v>5376</v>
      </c>
    </row>
    <row r="441" spans="1:2" x14ac:dyDescent="0.35">
      <c r="A441" t="s">
        <v>2394</v>
      </c>
      <c r="B441">
        <v>49</v>
      </c>
    </row>
    <row r="442" spans="1:2" x14ac:dyDescent="0.35">
      <c r="A442" t="s">
        <v>2505</v>
      </c>
      <c r="B442">
        <v>5400</v>
      </c>
    </row>
    <row r="443" spans="1:2" x14ac:dyDescent="0.35">
      <c r="A443" t="s">
        <v>2507</v>
      </c>
      <c r="B443">
        <v>5403</v>
      </c>
    </row>
    <row r="444" spans="1:2" x14ac:dyDescent="0.35">
      <c r="A444" t="s">
        <v>2556</v>
      </c>
      <c r="B444">
        <v>5405</v>
      </c>
    </row>
    <row r="445" spans="1:2" x14ac:dyDescent="0.35">
      <c r="A445" t="s">
        <v>2561</v>
      </c>
      <c r="B445">
        <v>5407</v>
      </c>
    </row>
    <row r="446" spans="1:2" x14ac:dyDescent="0.35">
      <c r="A446" t="s">
        <v>2691</v>
      </c>
      <c r="B446">
        <v>5409</v>
      </c>
    </row>
    <row r="447" spans="1:2" x14ac:dyDescent="0.35">
      <c r="A447" t="s">
        <v>2870</v>
      </c>
      <c r="B447">
        <v>5411</v>
      </c>
    </row>
    <row r="448" spans="1:2" x14ac:dyDescent="0.35">
      <c r="A448" t="s">
        <v>2952</v>
      </c>
      <c r="B448">
        <v>5413</v>
      </c>
    </row>
    <row r="449" spans="1:2" x14ac:dyDescent="0.35">
      <c r="A449" t="s">
        <v>1664</v>
      </c>
      <c r="B449">
        <v>5580</v>
      </c>
    </row>
    <row r="450" spans="1:2" x14ac:dyDescent="0.35">
      <c r="A450" t="s">
        <v>1669</v>
      </c>
      <c r="B450">
        <v>5649</v>
      </c>
    </row>
    <row r="451" spans="1:2" x14ac:dyDescent="0.35">
      <c r="A451" t="s">
        <v>1240</v>
      </c>
      <c r="B451">
        <v>5315</v>
      </c>
    </row>
    <row r="452" spans="1:2" x14ac:dyDescent="0.35">
      <c r="A452" t="s">
        <v>1851</v>
      </c>
      <c r="B452">
        <v>4794</v>
      </c>
    </row>
    <row r="453" spans="1:2" x14ac:dyDescent="0.35">
      <c r="A453" t="s">
        <v>1914</v>
      </c>
      <c r="B453">
        <v>4772</v>
      </c>
    </row>
    <row r="454" spans="1:2" x14ac:dyDescent="0.35">
      <c r="A454" t="s">
        <v>1681</v>
      </c>
      <c r="B454">
        <v>5513</v>
      </c>
    </row>
    <row r="455" spans="1:2" x14ac:dyDescent="0.35">
      <c r="A455" t="s">
        <v>1684</v>
      </c>
      <c r="B455">
        <v>5514</v>
      </c>
    </row>
    <row r="456" spans="1:2" x14ac:dyDescent="0.35">
      <c r="A456" t="s">
        <v>1687</v>
      </c>
      <c r="B456">
        <v>5515</v>
      </c>
    </row>
    <row r="457" spans="1:2" x14ac:dyDescent="0.35">
      <c r="A457" t="s">
        <v>1690</v>
      </c>
      <c r="B457">
        <v>5516</v>
      </c>
    </row>
    <row r="458" spans="1:2" x14ac:dyDescent="0.35">
      <c r="A458" t="s">
        <v>1693</v>
      </c>
      <c r="B458">
        <v>5517</v>
      </c>
    </row>
    <row r="459" spans="1:2" x14ac:dyDescent="0.35">
      <c r="A459" t="s">
        <v>1680</v>
      </c>
      <c r="B459">
        <v>5512</v>
      </c>
    </row>
    <row r="460" spans="1:2" x14ac:dyDescent="0.35">
      <c r="A460" t="s">
        <v>1767</v>
      </c>
      <c r="B460">
        <v>5679</v>
      </c>
    </row>
    <row r="461" spans="1:2" x14ac:dyDescent="0.35">
      <c r="A461" t="s">
        <v>1780</v>
      </c>
      <c r="B461">
        <v>5682</v>
      </c>
    </row>
    <row r="462" spans="1:2" x14ac:dyDescent="0.35">
      <c r="A462" t="s">
        <v>1776</v>
      </c>
      <c r="B462">
        <v>5681</v>
      </c>
    </row>
    <row r="463" spans="1:2" x14ac:dyDescent="0.35">
      <c r="A463" t="s">
        <v>1713</v>
      </c>
      <c r="B463">
        <v>5667</v>
      </c>
    </row>
    <row r="464" spans="1:2" x14ac:dyDescent="0.35">
      <c r="A464" t="s">
        <v>1722</v>
      </c>
      <c r="B464">
        <v>5669</v>
      </c>
    </row>
    <row r="465" spans="1:2" x14ac:dyDescent="0.35">
      <c r="A465" t="s">
        <v>1696</v>
      </c>
      <c r="B465">
        <v>5664</v>
      </c>
    </row>
    <row r="466" spans="1:2" x14ac:dyDescent="0.35">
      <c r="A466" t="s">
        <v>1707</v>
      </c>
      <c r="B466">
        <v>5666</v>
      </c>
    </row>
    <row r="467" spans="1:2" x14ac:dyDescent="0.35">
      <c r="A467" t="s">
        <v>1717</v>
      </c>
      <c r="B467">
        <v>5668</v>
      </c>
    </row>
    <row r="468" spans="1:2" x14ac:dyDescent="0.35">
      <c r="A468" t="s">
        <v>1829</v>
      </c>
      <c r="B468">
        <v>5692</v>
      </c>
    </row>
    <row r="469" spans="1:2" x14ac:dyDescent="0.35">
      <c r="A469" t="s">
        <v>1838</v>
      </c>
      <c r="B469">
        <v>5694</v>
      </c>
    </row>
    <row r="470" spans="1:2" x14ac:dyDescent="0.35">
      <c r="A470" t="s">
        <v>1817</v>
      </c>
      <c r="B470">
        <v>5689</v>
      </c>
    </row>
    <row r="471" spans="1:2" x14ac:dyDescent="0.35">
      <c r="A471" t="s">
        <v>1824</v>
      </c>
      <c r="B471">
        <v>5691</v>
      </c>
    </row>
    <row r="472" spans="1:2" x14ac:dyDescent="0.35">
      <c r="A472" t="s">
        <v>1807</v>
      </c>
      <c r="B472">
        <v>5687</v>
      </c>
    </row>
    <row r="473" spans="1:2" x14ac:dyDescent="0.35">
      <c r="A473" t="s">
        <v>1812</v>
      </c>
      <c r="B473">
        <v>5688</v>
      </c>
    </row>
    <row r="474" spans="1:2" x14ac:dyDescent="0.35">
      <c r="A474" t="s">
        <v>1821</v>
      </c>
      <c r="B474">
        <v>5690</v>
      </c>
    </row>
    <row r="475" spans="1:2" x14ac:dyDescent="0.35">
      <c r="A475" t="s">
        <v>1738</v>
      </c>
      <c r="B475">
        <v>5673</v>
      </c>
    </row>
    <row r="476" spans="1:2" x14ac:dyDescent="0.35">
      <c r="A476" t="s">
        <v>1725</v>
      </c>
      <c r="B476">
        <v>5670</v>
      </c>
    </row>
    <row r="477" spans="1:2" x14ac:dyDescent="0.35">
      <c r="A477" t="s">
        <v>1730</v>
      </c>
      <c r="B477">
        <v>5671</v>
      </c>
    </row>
    <row r="478" spans="1:2" x14ac:dyDescent="0.35">
      <c r="A478" t="s">
        <v>1743</v>
      </c>
      <c r="B478">
        <v>5674</v>
      </c>
    </row>
    <row r="479" spans="1:2" x14ac:dyDescent="0.35">
      <c r="A479" t="s">
        <v>1748</v>
      </c>
      <c r="B479">
        <v>5675</v>
      </c>
    </row>
    <row r="480" spans="1:2" x14ac:dyDescent="0.35">
      <c r="A480" t="s">
        <v>1735</v>
      </c>
      <c r="B480">
        <v>5672</v>
      </c>
    </row>
    <row r="481" spans="1:2" x14ac:dyDescent="0.35">
      <c r="A481" t="s">
        <v>1771</v>
      </c>
      <c r="B481">
        <v>5680</v>
      </c>
    </row>
    <row r="482" spans="1:2" x14ac:dyDescent="0.35">
      <c r="A482" t="s">
        <v>1833</v>
      </c>
      <c r="B482">
        <v>5693</v>
      </c>
    </row>
    <row r="483" spans="1:2" x14ac:dyDescent="0.35">
      <c r="A483" t="s">
        <v>1703</v>
      </c>
      <c r="B483">
        <v>5665</v>
      </c>
    </row>
    <row r="484" spans="1:2" x14ac:dyDescent="0.35">
      <c r="A484" t="s">
        <v>1784</v>
      </c>
      <c r="B484">
        <v>5683</v>
      </c>
    </row>
    <row r="485" spans="1:2" x14ac:dyDescent="0.35">
      <c r="A485" t="s">
        <v>1794</v>
      </c>
      <c r="B485">
        <v>5684</v>
      </c>
    </row>
    <row r="486" spans="1:2" x14ac:dyDescent="0.35">
      <c r="A486" t="s">
        <v>1799</v>
      </c>
      <c r="B486">
        <v>5685</v>
      </c>
    </row>
    <row r="487" spans="1:2" x14ac:dyDescent="0.35">
      <c r="A487" t="s">
        <v>1802</v>
      </c>
      <c r="B487">
        <v>5686</v>
      </c>
    </row>
    <row r="488" spans="1:2" x14ac:dyDescent="0.35">
      <c r="A488" t="s">
        <v>1763</v>
      </c>
      <c r="B488">
        <v>5678</v>
      </c>
    </row>
    <row r="489" spans="1:2" x14ac:dyDescent="0.35">
      <c r="A489" t="s">
        <v>1753</v>
      </c>
      <c r="B489">
        <v>5676</v>
      </c>
    </row>
    <row r="490" spans="1:2" x14ac:dyDescent="0.35">
      <c r="A490" t="s">
        <v>1758</v>
      </c>
      <c r="B490">
        <v>5677</v>
      </c>
    </row>
    <row r="491" spans="1:2" x14ac:dyDescent="0.35">
      <c r="A491" t="s">
        <v>1392</v>
      </c>
      <c r="B491">
        <v>52</v>
      </c>
    </row>
    <row r="492" spans="1:2" x14ac:dyDescent="0.35">
      <c r="A492" t="s">
        <v>1467</v>
      </c>
      <c r="B492">
        <v>5470</v>
      </c>
    </row>
    <row r="493" spans="1:2" x14ac:dyDescent="0.35">
      <c r="A493" t="s">
        <v>2956</v>
      </c>
      <c r="B493">
        <v>5472</v>
      </c>
    </row>
    <row r="494" spans="1:2" x14ac:dyDescent="0.35">
      <c r="A494" t="s">
        <v>2977</v>
      </c>
      <c r="B494">
        <v>5474</v>
      </c>
    </row>
    <row r="495" spans="1:2" x14ac:dyDescent="0.35">
      <c r="A495" t="s">
        <v>3214</v>
      </c>
      <c r="B495">
        <v>5475</v>
      </c>
    </row>
    <row r="496" spans="1:2" x14ac:dyDescent="0.35">
      <c r="A496" t="s">
        <v>1986</v>
      </c>
      <c r="B496">
        <v>4805</v>
      </c>
    </row>
    <row r="497" spans="1:2" x14ac:dyDescent="0.35">
      <c r="A497" t="s">
        <v>1997</v>
      </c>
      <c r="B497">
        <v>4751</v>
      </c>
    </row>
    <row r="498" spans="1:2" x14ac:dyDescent="0.35">
      <c r="A498" t="s">
        <v>1854</v>
      </c>
      <c r="B498">
        <v>5650</v>
      </c>
    </row>
    <row r="499" spans="1:2" x14ac:dyDescent="0.35">
      <c r="A499" t="s">
        <v>1856</v>
      </c>
      <c r="B499">
        <v>4381</v>
      </c>
    </row>
    <row r="500" spans="1:2" x14ac:dyDescent="0.35">
      <c r="A500" t="s">
        <v>1863</v>
      </c>
      <c r="B500">
        <v>4382</v>
      </c>
    </row>
    <row r="501" spans="1:2" x14ac:dyDescent="0.35">
      <c r="A501" t="s">
        <v>1867</v>
      </c>
      <c r="B501">
        <v>5590</v>
      </c>
    </row>
    <row r="502" spans="1:2" x14ac:dyDescent="0.35">
      <c r="A502" t="s">
        <v>1871</v>
      </c>
      <c r="B502">
        <v>4379</v>
      </c>
    </row>
    <row r="503" spans="1:2" x14ac:dyDescent="0.35">
      <c r="A503" t="s">
        <v>1875</v>
      </c>
      <c r="B503">
        <v>4380</v>
      </c>
    </row>
    <row r="504" spans="1:2" x14ac:dyDescent="0.35">
      <c r="A504" t="s">
        <v>1879</v>
      </c>
      <c r="B504">
        <v>5591</v>
      </c>
    </row>
    <row r="505" spans="1:2" x14ac:dyDescent="0.35">
      <c r="A505" t="s">
        <v>3215</v>
      </c>
      <c r="B505">
        <v>5414</v>
      </c>
    </row>
    <row r="506" spans="1:2" x14ac:dyDescent="0.35">
      <c r="A506" t="s">
        <v>2049</v>
      </c>
      <c r="B506">
        <v>4748</v>
      </c>
    </row>
    <row r="507" spans="1:2" x14ac:dyDescent="0.35">
      <c r="A507" t="s">
        <v>1889</v>
      </c>
      <c r="B507">
        <v>4303</v>
      </c>
    </row>
    <row r="508" spans="1:2" x14ac:dyDescent="0.35">
      <c r="A508" t="s">
        <v>1897</v>
      </c>
      <c r="B508">
        <v>4301</v>
      </c>
    </row>
    <row r="509" spans="1:2" x14ac:dyDescent="0.35">
      <c r="A509" t="s">
        <v>1902</v>
      </c>
      <c r="B509">
        <v>4299</v>
      </c>
    </row>
    <row r="510" spans="1:2" x14ac:dyDescent="0.35">
      <c r="A510" t="s">
        <v>1905</v>
      </c>
      <c r="B510">
        <v>4297</v>
      </c>
    </row>
    <row r="511" spans="1:2" x14ac:dyDescent="0.35">
      <c r="A511" t="s">
        <v>1908</v>
      </c>
      <c r="B511">
        <v>4305</v>
      </c>
    </row>
    <row r="512" spans="1:2" x14ac:dyDescent="0.35">
      <c r="A512" t="s">
        <v>1911</v>
      </c>
      <c r="B512">
        <v>4295</v>
      </c>
    </row>
    <row r="513" spans="1:2" x14ac:dyDescent="0.35">
      <c r="A513" t="s">
        <v>3381</v>
      </c>
      <c r="B513">
        <v>46</v>
      </c>
    </row>
    <row r="514" spans="1:2" x14ac:dyDescent="0.35">
      <c r="A514" t="s">
        <v>3388</v>
      </c>
      <c r="B514">
        <v>53</v>
      </c>
    </row>
    <row r="515" spans="1:2" x14ac:dyDescent="0.35">
      <c r="A515" t="s">
        <v>3383</v>
      </c>
      <c r="B515">
        <v>50</v>
      </c>
    </row>
    <row r="516" spans="1:2" x14ac:dyDescent="0.35">
      <c r="A516" t="s">
        <v>1516</v>
      </c>
      <c r="B516">
        <v>5321</v>
      </c>
    </row>
    <row r="517" spans="1:2" x14ac:dyDescent="0.35">
      <c r="A517" t="s">
        <v>1394</v>
      </c>
      <c r="B517">
        <v>5317</v>
      </c>
    </row>
    <row r="518" spans="1:2" x14ac:dyDescent="0.35">
      <c r="A518" t="s">
        <v>506</v>
      </c>
      <c r="B518">
        <v>5594</v>
      </c>
    </row>
    <row r="519" spans="1:2" x14ac:dyDescent="0.35">
      <c r="A519" t="s">
        <v>512</v>
      </c>
      <c r="B519">
        <v>5597</v>
      </c>
    </row>
    <row r="520" spans="1:2" x14ac:dyDescent="0.35">
      <c r="A520" t="s">
        <v>515</v>
      </c>
      <c r="B520">
        <v>5600</v>
      </c>
    </row>
    <row r="521" spans="1:2" x14ac:dyDescent="0.35">
      <c r="A521" t="s">
        <v>519</v>
      </c>
      <c r="B521">
        <v>5603</v>
      </c>
    </row>
    <row r="522" spans="1:2" x14ac:dyDescent="0.35">
      <c r="A522" t="s">
        <v>522</v>
      </c>
      <c r="B522">
        <v>5605</v>
      </c>
    </row>
    <row r="523" spans="1:2" x14ac:dyDescent="0.35">
      <c r="A523" t="s">
        <v>525</v>
      </c>
      <c r="B523">
        <v>5607</v>
      </c>
    </row>
    <row r="524" spans="1:2" x14ac:dyDescent="0.35">
      <c r="A524" t="s">
        <v>528</v>
      </c>
      <c r="B524">
        <v>5609</v>
      </c>
    </row>
    <row r="525" spans="1:2" x14ac:dyDescent="0.35">
      <c r="A525" t="s">
        <v>1926</v>
      </c>
      <c r="B525">
        <v>5651</v>
      </c>
    </row>
    <row r="526" spans="1:2" x14ac:dyDescent="0.35">
      <c r="A526" t="s">
        <v>1929</v>
      </c>
      <c r="B526">
        <v>5652</v>
      </c>
    </row>
    <row r="527" spans="1:2" x14ac:dyDescent="0.35">
      <c r="A527" t="s">
        <v>1936</v>
      </c>
      <c r="B527">
        <v>5194</v>
      </c>
    </row>
    <row r="528" spans="1:2" x14ac:dyDescent="0.35">
      <c r="A528" t="s">
        <v>3220</v>
      </c>
      <c r="B528">
        <v>5416</v>
      </c>
    </row>
    <row r="529" spans="1:2" x14ac:dyDescent="0.35">
      <c r="A529" t="s">
        <v>1942</v>
      </c>
      <c r="B529">
        <v>4280</v>
      </c>
    </row>
    <row r="530" spans="1:2" x14ac:dyDescent="0.35">
      <c r="A530" t="s">
        <v>1946</v>
      </c>
      <c r="B530">
        <v>5519</v>
      </c>
    </row>
    <row r="531" spans="1:2" x14ac:dyDescent="0.35">
      <c r="A531" t="s">
        <v>1984</v>
      </c>
      <c r="B531">
        <v>5115</v>
      </c>
    </row>
    <row r="532" spans="1:2" x14ac:dyDescent="0.35">
      <c r="A532" t="s">
        <v>1972</v>
      </c>
      <c r="B532">
        <v>5109</v>
      </c>
    </row>
    <row r="533" spans="1:2" x14ac:dyDescent="0.35">
      <c r="A533" t="s">
        <v>1977</v>
      </c>
      <c r="B533">
        <v>5112</v>
      </c>
    </row>
    <row r="534" spans="1:2" x14ac:dyDescent="0.35">
      <c r="A534" t="s">
        <v>1969</v>
      </c>
      <c r="B534">
        <v>5107</v>
      </c>
    </row>
    <row r="535" spans="1:2" x14ac:dyDescent="0.35">
      <c r="A535" t="s">
        <v>1971</v>
      </c>
      <c r="B535">
        <v>5108</v>
      </c>
    </row>
    <row r="536" spans="1:2" x14ac:dyDescent="0.35">
      <c r="A536" t="s">
        <v>1973</v>
      </c>
      <c r="B536">
        <v>5110</v>
      </c>
    </row>
    <row r="537" spans="1:2" x14ac:dyDescent="0.35">
      <c r="A537" t="s">
        <v>1951</v>
      </c>
      <c r="B537">
        <v>4462</v>
      </c>
    </row>
    <row r="538" spans="1:2" x14ac:dyDescent="0.35">
      <c r="A538" t="s">
        <v>1974</v>
      </c>
      <c r="B538">
        <v>5111</v>
      </c>
    </row>
    <row r="539" spans="1:2" x14ac:dyDescent="0.35">
      <c r="A539" t="s">
        <v>1978</v>
      </c>
      <c r="B539">
        <v>5113</v>
      </c>
    </row>
    <row r="540" spans="1:2" x14ac:dyDescent="0.35">
      <c r="A540" t="s">
        <v>1981</v>
      </c>
      <c r="B540">
        <v>5114</v>
      </c>
    </row>
    <row r="541" spans="1:2" x14ac:dyDescent="0.35">
      <c r="A541" t="s">
        <v>1956</v>
      </c>
      <c r="B541">
        <v>4468</v>
      </c>
    </row>
    <row r="542" spans="1:2" x14ac:dyDescent="0.35">
      <c r="A542" t="s">
        <v>1960</v>
      </c>
      <c r="B542">
        <v>4471</v>
      </c>
    </row>
    <row r="543" spans="1:2" x14ac:dyDescent="0.35">
      <c r="A543" t="s">
        <v>1965</v>
      </c>
      <c r="B543">
        <v>4463</v>
      </c>
    </row>
    <row r="544" spans="1:2" x14ac:dyDescent="0.35">
      <c r="A544" t="s">
        <v>1535</v>
      </c>
      <c r="B544">
        <v>4016</v>
      </c>
    </row>
    <row r="545" spans="1:2" x14ac:dyDescent="0.35">
      <c r="A545" t="s">
        <v>2174</v>
      </c>
      <c r="B545">
        <v>4779</v>
      </c>
    </row>
    <row r="546" spans="1:2" x14ac:dyDescent="0.35">
      <c r="A546" t="s">
        <v>1990</v>
      </c>
      <c r="B546">
        <v>76</v>
      </c>
    </row>
    <row r="547" spans="1:2" x14ac:dyDescent="0.35">
      <c r="A547" t="s">
        <v>1538</v>
      </c>
      <c r="B547">
        <v>5332</v>
      </c>
    </row>
    <row r="548" spans="1:2" x14ac:dyDescent="0.35">
      <c r="A548" t="s">
        <v>1996</v>
      </c>
      <c r="B548">
        <v>5695</v>
      </c>
    </row>
    <row r="549" spans="1:2" x14ac:dyDescent="0.35">
      <c r="A549" t="s">
        <v>2178</v>
      </c>
      <c r="B549">
        <v>4759</v>
      </c>
    </row>
    <row r="550" spans="1:2" x14ac:dyDescent="0.35">
      <c r="A550" t="s">
        <v>2000</v>
      </c>
      <c r="B550">
        <v>3792</v>
      </c>
    </row>
    <row r="551" spans="1:2" x14ac:dyDescent="0.35">
      <c r="A551" t="s">
        <v>2016</v>
      </c>
      <c r="B551">
        <v>5707</v>
      </c>
    </row>
    <row r="552" spans="1:2" x14ac:dyDescent="0.35">
      <c r="A552" t="s">
        <v>2010</v>
      </c>
      <c r="B552">
        <v>5705</v>
      </c>
    </row>
    <row r="553" spans="1:2" x14ac:dyDescent="0.35">
      <c r="A553" t="s">
        <v>2013</v>
      </c>
      <c r="B553">
        <v>5706</v>
      </c>
    </row>
    <row r="554" spans="1:2" x14ac:dyDescent="0.35">
      <c r="A554" t="s">
        <v>2007</v>
      </c>
      <c r="B554">
        <v>5704</v>
      </c>
    </row>
    <row r="555" spans="1:2" x14ac:dyDescent="0.35">
      <c r="A555" t="s">
        <v>2002</v>
      </c>
      <c r="B555">
        <v>4472</v>
      </c>
    </row>
    <row r="556" spans="1:2" x14ac:dyDescent="0.35">
      <c r="A556" t="s">
        <v>2019</v>
      </c>
      <c r="B556">
        <v>3969</v>
      </c>
    </row>
    <row r="557" spans="1:2" x14ac:dyDescent="0.35">
      <c r="A557" t="s">
        <v>1527</v>
      </c>
      <c r="B557">
        <v>5327</v>
      </c>
    </row>
    <row r="558" spans="1:2" x14ac:dyDescent="0.35">
      <c r="A558" t="s">
        <v>1513</v>
      </c>
      <c r="B558">
        <v>55</v>
      </c>
    </row>
    <row r="559" spans="1:2" x14ac:dyDescent="0.35">
      <c r="A559" t="s">
        <v>1543</v>
      </c>
      <c r="B559">
        <v>5335</v>
      </c>
    </row>
    <row r="560" spans="1:2" x14ac:dyDescent="0.35">
      <c r="A560" t="s">
        <v>2025</v>
      </c>
      <c r="B560">
        <v>5653</v>
      </c>
    </row>
    <row r="561" spans="1:2" x14ac:dyDescent="0.35">
      <c r="A561" t="s">
        <v>2030</v>
      </c>
      <c r="B561">
        <v>3795</v>
      </c>
    </row>
    <row r="562" spans="1:2" x14ac:dyDescent="0.35">
      <c r="A562" t="s">
        <v>2034</v>
      </c>
      <c r="B562">
        <v>80</v>
      </c>
    </row>
    <row r="563" spans="1:2" x14ac:dyDescent="0.35">
      <c r="A563" t="s">
        <v>2036</v>
      </c>
      <c r="B563">
        <v>81</v>
      </c>
    </row>
    <row r="564" spans="1:2" x14ac:dyDescent="0.35">
      <c r="A564" t="s">
        <v>1072</v>
      </c>
      <c r="B564">
        <v>4497</v>
      </c>
    </row>
    <row r="565" spans="1:2" x14ac:dyDescent="0.35">
      <c r="A565" t="s">
        <v>2038</v>
      </c>
      <c r="B565">
        <v>4473</v>
      </c>
    </row>
    <row r="566" spans="1:2" x14ac:dyDescent="0.35">
      <c r="A566" t="s">
        <v>2043</v>
      </c>
      <c r="B566">
        <v>4474</v>
      </c>
    </row>
    <row r="567" spans="1:2" x14ac:dyDescent="0.35">
      <c r="A567" t="s">
        <v>1573</v>
      </c>
      <c r="B567">
        <v>3960</v>
      </c>
    </row>
    <row r="568" spans="1:2" x14ac:dyDescent="0.35">
      <c r="A568" t="s">
        <v>2181</v>
      </c>
      <c r="B568">
        <v>4778</v>
      </c>
    </row>
    <row r="569" spans="1:2" x14ac:dyDescent="0.35">
      <c r="A569" t="s">
        <v>1521</v>
      </c>
      <c r="B569">
        <v>5324</v>
      </c>
    </row>
    <row r="570" spans="1:2" x14ac:dyDescent="0.35">
      <c r="A570" t="s">
        <v>1550</v>
      </c>
      <c r="B570">
        <v>5339</v>
      </c>
    </row>
    <row r="571" spans="1:2" x14ac:dyDescent="0.35">
      <c r="A571" t="s">
        <v>2051</v>
      </c>
      <c r="B571">
        <v>4378</v>
      </c>
    </row>
    <row r="572" spans="1:2" x14ac:dyDescent="0.35">
      <c r="A572" t="s">
        <v>2055</v>
      </c>
      <c r="B572">
        <v>5134</v>
      </c>
    </row>
    <row r="573" spans="1:2" x14ac:dyDescent="0.35">
      <c r="A573" t="s">
        <v>355</v>
      </c>
      <c r="B573">
        <v>4045</v>
      </c>
    </row>
    <row r="574" spans="1:2" x14ac:dyDescent="0.35">
      <c r="A574" t="s">
        <v>1597</v>
      </c>
      <c r="B574">
        <v>5341</v>
      </c>
    </row>
    <row r="575" spans="1:2" x14ac:dyDescent="0.35">
      <c r="A575" t="s">
        <v>2060</v>
      </c>
      <c r="B575">
        <v>5162</v>
      </c>
    </row>
    <row r="576" spans="1:2" x14ac:dyDescent="0.35">
      <c r="A576" t="s">
        <v>2066</v>
      </c>
      <c r="B576">
        <v>5163</v>
      </c>
    </row>
    <row r="577" spans="1:2" x14ac:dyDescent="0.35">
      <c r="A577" t="s">
        <v>2087</v>
      </c>
      <c r="B577">
        <v>4466</v>
      </c>
    </row>
    <row r="578" spans="1:2" x14ac:dyDescent="0.35">
      <c r="A578" t="s">
        <v>2083</v>
      </c>
      <c r="B578">
        <v>4465</v>
      </c>
    </row>
    <row r="579" spans="1:2" x14ac:dyDescent="0.35">
      <c r="A579" t="s">
        <v>2091</v>
      </c>
      <c r="B579">
        <v>4467</v>
      </c>
    </row>
    <row r="580" spans="1:2" x14ac:dyDescent="0.35">
      <c r="A580" t="s">
        <v>2078</v>
      </c>
      <c r="B580">
        <v>4464</v>
      </c>
    </row>
    <row r="581" spans="1:2" x14ac:dyDescent="0.35">
      <c r="A581" t="s">
        <v>2075</v>
      </c>
      <c r="B581">
        <v>4469</v>
      </c>
    </row>
    <row r="582" spans="1:2" x14ac:dyDescent="0.35">
      <c r="A582" t="s">
        <v>2122</v>
      </c>
      <c r="B582">
        <v>4476</v>
      </c>
    </row>
    <row r="583" spans="1:2" x14ac:dyDescent="0.35">
      <c r="A583" t="s">
        <v>2127</v>
      </c>
      <c r="B583">
        <v>4470</v>
      </c>
    </row>
    <row r="584" spans="1:2" x14ac:dyDescent="0.35">
      <c r="A584" t="s">
        <v>2070</v>
      </c>
      <c r="B584">
        <v>5119</v>
      </c>
    </row>
    <row r="585" spans="1:2" x14ac:dyDescent="0.35">
      <c r="A585" t="s">
        <v>2132</v>
      </c>
      <c r="B585">
        <v>5120</v>
      </c>
    </row>
    <row r="586" spans="1:2" x14ac:dyDescent="0.35">
      <c r="A586" t="s">
        <v>2095</v>
      </c>
      <c r="B586">
        <v>5117</v>
      </c>
    </row>
    <row r="587" spans="1:2" x14ac:dyDescent="0.35">
      <c r="A587" t="s">
        <v>2107</v>
      </c>
      <c r="B587">
        <v>5121</v>
      </c>
    </row>
    <row r="588" spans="1:2" x14ac:dyDescent="0.35">
      <c r="A588" t="s">
        <v>2112</v>
      </c>
      <c r="B588">
        <v>5116</v>
      </c>
    </row>
    <row r="589" spans="1:2" x14ac:dyDescent="0.35">
      <c r="A589" t="s">
        <v>2117</v>
      </c>
      <c r="B589">
        <v>5118</v>
      </c>
    </row>
    <row r="590" spans="1:2" x14ac:dyDescent="0.35">
      <c r="A590" t="s">
        <v>2102</v>
      </c>
      <c r="B590">
        <v>4475</v>
      </c>
    </row>
    <row r="591" spans="1:2" x14ac:dyDescent="0.35">
      <c r="A591" t="s">
        <v>1533</v>
      </c>
      <c r="B591">
        <v>5329</v>
      </c>
    </row>
    <row r="592" spans="1:2" x14ac:dyDescent="0.35">
      <c r="A592" t="s">
        <v>1634</v>
      </c>
      <c r="B592">
        <v>5345</v>
      </c>
    </row>
    <row r="593" spans="1:2" x14ac:dyDescent="0.35">
      <c r="A593" t="s">
        <v>2143</v>
      </c>
      <c r="B593">
        <v>5169</v>
      </c>
    </row>
    <row r="594" spans="1:2" x14ac:dyDescent="0.35">
      <c r="A594" t="s">
        <v>2151</v>
      </c>
      <c r="B594">
        <v>4369</v>
      </c>
    </row>
    <row r="595" spans="1:2" x14ac:dyDescent="0.35">
      <c r="A595" t="s">
        <v>2156</v>
      </c>
      <c r="B595">
        <v>4370</v>
      </c>
    </row>
    <row r="596" spans="1:2" x14ac:dyDescent="0.35">
      <c r="A596" t="s">
        <v>2160</v>
      </c>
      <c r="B596">
        <v>5696</v>
      </c>
    </row>
    <row r="597" spans="1:2" x14ac:dyDescent="0.35">
      <c r="A597" t="s">
        <v>1650</v>
      </c>
      <c r="B597">
        <v>5348</v>
      </c>
    </row>
    <row r="598" spans="1:2" x14ac:dyDescent="0.35">
      <c r="A598" t="s">
        <v>1846</v>
      </c>
      <c r="B598">
        <v>5360</v>
      </c>
    </row>
    <row r="599" spans="1:2" x14ac:dyDescent="0.35">
      <c r="A599" t="s">
        <v>1916</v>
      </c>
      <c r="B599">
        <v>5363</v>
      </c>
    </row>
    <row r="600" spans="1:2" x14ac:dyDescent="0.35">
      <c r="A600" t="s">
        <v>896</v>
      </c>
      <c r="B600">
        <v>48</v>
      </c>
    </row>
    <row r="601" spans="1:2" x14ac:dyDescent="0.35">
      <c r="A601" t="s">
        <v>364</v>
      </c>
      <c r="B601">
        <v>4046</v>
      </c>
    </row>
    <row r="602" spans="1:2" x14ac:dyDescent="0.35">
      <c r="A602" t="s">
        <v>702</v>
      </c>
      <c r="B602">
        <v>5452</v>
      </c>
    </row>
    <row r="603" spans="1:2" x14ac:dyDescent="0.35">
      <c r="A603" t="s">
        <v>706</v>
      </c>
      <c r="B603">
        <v>5454</v>
      </c>
    </row>
    <row r="604" spans="1:2" x14ac:dyDescent="0.35">
      <c r="A604" t="s">
        <v>710</v>
      </c>
      <c r="B604">
        <v>5456</v>
      </c>
    </row>
    <row r="605" spans="1:2" x14ac:dyDescent="0.35">
      <c r="A605" t="s">
        <v>2173</v>
      </c>
      <c r="B605">
        <v>5458</v>
      </c>
    </row>
    <row r="606" spans="1:2" x14ac:dyDescent="0.35">
      <c r="A606" t="s">
        <v>696</v>
      </c>
      <c r="B606">
        <v>5448</v>
      </c>
    </row>
    <row r="607" spans="1:2" x14ac:dyDescent="0.35">
      <c r="A607" t="s">
        <v>699</v>
      </c>
      <c r="B607">
        <v>5450</v>
      </c>
    </row>
    <row r="608" spans="1:2" x14ac:dyDescent="0.35">
      <c r="A608" t="s">
        <v>2195</v>
      </c>
      <c r="B608">
        <v>4782</v>
      </c>
    </row>
    <row r="609" spans="1:2" x14ac:dyDescent="0.35">
      <c r="A609" t="s">
        <v>2202</v>
      </c>
      <c r="B609">
        <v>4776</v>
      </c>
    </row>
    <row r="610" spans="1:2" x14ac:dyDescent="0.35">
      <c r="A610" t="s">
        <v>2204</v>
      </c>
      <c r="B610">
        <v>4775</v>
      </c>
    </row>
    <row r="611" spans="1:2" x14ac:dyDescent="0.35">
      <c r="A611" t="s">
        <v>932</v>
      </c>
      <c r="B611">
        <v>5137</v>
      </c>
    </row>
    <row r="612" spans="1:2" x14ac:dyDescent="0.35">
      <c r="A612" t="s">
        <v>1096</v>
      </c>
      <c r="B612">
        <v>3803</v>
      </c>
    </row>
    <row r="613" spans="1:2" x14ac:dyDescent="0.35">
      <c r="A613" t="s">
        <v>2193</v>
      </c>
      <c r="B613">
        <v>5145</v>
      </c>
    </row>
    <row r="614" spans="1:2" x14ac:dyDescent="0.35">
      <c r="A614" t="s">
        <v>2365</v>
      </c>
      <c r="B614">
        <v>4796</v>
      </c>
    </row>
    <row r="615" spans="1:2" x14ac:dyDescent="0.35">
      <c r="A615" t="s">
        <v>1546</v>
      </c>
      <c r="B615">
        <v>5337</v>
      </c>
    </row>
    <row r="616" spans="1:2" x14ac:dyDescent="0.35">
      <c r="A616" t="s">
        <v>1653</v>
      </c>
      <c r="B616">
        <v>45</v>
      </c>
    </row>
    <row r="617" spans="1:2" x14ac:dyDescent="0.35">
      <c r="A617" t="s">
        <v>2379</v>
      </c>
      <c r="B617">
        <v>4781</v>
      </c>
    </row>
    <row r="618" spans="1:2" x14ac:dyDescent="0.35">
      <c r="A618" t="s">
        <v>2412</v>
      </c>
      <c r="B618">
        <v>4785</v>
      </c>
    </row>
    <row r="619" spans="1:2" x14ac:dyDescent="0.35">
      <c r="A619" t="s">
        <v>3251</v>
      </c>
      <c r="B619">
        <v>36</v>
      </c>
    </row>
    <row r="620" spans="1:2" x14ac:dyDescent="0.35">
      <c r="A620" t="s">
        <v>2208</v>
      </c>
      <c r="B620">
        <v>3783</v>
      </c>
    </row>
    <row r="621" spans="1:2" x14ac:dyDescent="0.35">
      <c r="A621" t="s">
        <v>2212</v>
      </c>
      <c r="B621">
        <v>3784</v>
      </c>
    </row>
    <row r="622" spans="1:2" x14ac:dyDescent="0.35">
      <c r="A622" t="s">
        <v>2216</v>
      </c>
      <c r="B622">
        <v>3782</v>
      </c>
    </row>
    <row r="623" spans="1:2" x14ac:dyDescent="0.35">
      <c r="A623" t="s">
        <v>2220</v>
      </c>
      <c r="B623">
        <v>5503</v>
      </c>
    </row>
    <row r="624" spans="1:2" x14ac:dyDescent="0.35">
      <c r="A624" t="s">
        <v>2197</v>
      </c>
      <c r="B624">
        <v>5375</v>
      </c>
    </row>
    <row r="625" spans="1:2" x14ac:dyDescent="0.35">
      <c r="A625" t="s">
        <v>1480</v>
      </c>
      <c r="B625">
        <v>5230</v>
      </c>
    </row>
    <row r="626" spans="1:2" x14ac:dyDescent="0.35">
      <c r="A626" t="s">
        <v>1140</v>
      </c>
      <c r="B626">
        <v>5620</v>
      </c>
    </row>
    <row r="627" spans="1:2" x14ac:dyDescent="0.35">
      <c r="A627" t="s">
        <v>1589</v>
      </c>
      <c r="B627">
        <v>5642</v>
      </c>
    </row>
    <row r="628" spans="1:2" x14ac:dyDescent="0.35">
      <c r="A628" t="s">
        <v>1593</v>
      </c>
      <c r="B628">
        <v>5644</v>
      </c>
    </row>
    <row r="629" spans="1:2" x14ac:dyDescent="0.35">
      <c r="A629" t="s">
        <v>1623</v>
      </c>
      <c r="B629">
        <v>5646</v>
      </c>
    </row>
    <row r="630" spans="1:2" x14ac:dyDescent="0.35">
      <c r="A630" t="s">
        <v>1626</v>
      </c>
      <c r="B630">
        <v>5648</v>
      </c>
    </row>
    <row r="631" spans="1:2" x14ac:dyDescent="0.35">
      <c r="A631" t="s">
        <v>2236</v>
      </c>
      <c r="B631">
        <v>5654</v>
      </c>
    </row>
    <row r="632" spans="1:2" x14ac:dyDescent="0.35">
      <c r="A632" t="s">
        <v>2239</v>
      </c>
      <c r="B632">
        <v>5655</v>
      </c>
    </row>
    <row r="633" spans="1:2" x14ac:dyDescent="0.35">
      <c r="A633" t="s">
        <v>2242</v>
      </c>
      <c r="B633">
        <v>5656</v>
      </c>
    </row>
    <row r="634" spans="1:2" x14ac:dyDescent="0.35">
      <c r="A634" t="s">
        <v>2245</v>
      </c>
      <c r="B634">
        <v>5657</v>
      </c>
    </row>
    <row r="635" spans="1:2" x14ac:dyDescent="0.35">
      <c r="A635" t="s">
        <v>654</v>
      </c>
      <c r="B635">
        <v>5611</v>
      </c>
    </row>
    <row r="636" spans="1:2" x14ac:dyDescent="0.35">
      <c r="A636" t="s">
        <v>1074</v>
      </c>
      <c r="B636">
        <v>5613</v>
      </c>
    </row>
    <row r="637" spans="1:2" x14ac:dyDescent="0.35">
      <c r="A637" t="s">
        <v>1076</v>
      </c>
      <c r="B637">
        <v>5615</v>
      </c>
    </row>
    <row r="638" spans="1:2" x14ac:dyDescent="0.35">
      <c r="A638" t="s">
        <v>1126</v>
      </c>
      <c r="B638">
        <v>4664</v>
      </c>
    </row>
    <row r="639" spans="1:2" x14ac:dyDescent="0.35">
      <c r="A639" t="s">
        <v>1130</v>
      </c>
      <c r="B639">
        <v>4665</v>
      </c>
    </row>
    <row r="640" spans="1:2" x14ac:dyDescent="0.35">
      <c r="A640" t="s">
        <v>2248</v>
      </c>
      <c r="B640">
        <v>4425</v>
      </c>
    </row>
    <row r="641" spans="1:2" x14ac:dyDescent="0.35">
      <c r="A641" t="s">
        <v>2252</v>
      </c>
      <c r="B641">
        <v>4428</v>
      </c>
    </row>
    <row r="642" spans="1:2" x14ac:dyDescent="0.35">
      <c r="A642" t="s">
        <v>2254</v>
      </c>
      <c r="B642">
        <v>4427</v>
      </c>
    </row>
    <row r="643" spans="1:2" x14ac:dyDescent="0.35">
      <c r="A643" t="s">
        <v>2256</v>
      </c>
      <c r="B643">
        <v>4429</v>
      </c>
    </row>
    <row r="644" spans="1:2" x14ac:dyDescent="0.35">
      <c r="A644" t="s">
        <v>2260</v>
      </c>
      <c r="B644">
        <v>4430</v>
      </c>
    </row>
    <row r="645" spans="1:2" x14ac:dyDescent="0.35">
      <c r="A645" t="s">
        <v>2206</v>
      </c>
      <c r="B645">
        <v>54</v>
      </c>
    </row>
    <row r="646" spans="1:2" x14ac:dyDescent="0.35">
      <c r="A646" t="s">
        <v>2265</v>
      </c>
      <c r="B646">
        <v>5459</v>
      </c>
    </row>
    <row r="647" spans="1:2" x14ac:dyDescent="0.35">
      <c r="A647" t="s">
        <v>2280</v>
      </c>
      <c r="B647">
        <v>4439</v>
      </c>
    </row>
    <row r="648" spans="1:2" x14ac:dyDescent="0.35">
      <c r="A648" t="s">
        <v>2288</v>
      </c>
      <c r="B648">
        <v>4444</v>
      </c>
    </row>
    <row r="649" spans="1:2" x14ac:dyDescent="0.35">
      <c r="A649" t="s">
        <v>2292</v>
      </c>
      <c r="B649">
        <v>4440</v>
      </c>
    </row>
    <row r="650" spans="1:2" x14ac:dyDescent="0.35">
      <c r="A650" t="s">
        <v>2296</v>
      </c>
      <c r="B650">
        <v>4443</v>
      </c>
    </row>
    <row r="651" spans="1:2" x14ac:dyDescent="0.35">
      <c r="A651" t="s">
        <v>2310</v>
      </c>
      <c r="B651">
        <v>4438</v>
      </c>
    </row>
    <row r="652" spans="1:2" x14ac:dyDescent="0.35">
      <c r="A652" t="s">
        <v>2314</v>
      </c>
      <c r="B652">
        <v>4441</v>
      </c>
    </row>
    <row r="653" spans="1:2" x14ac:dyDescent="0.35">
      <c r="A653" t="s">
        <v>2300</v>
      </c>
      <c r="B653">
        <v>4445</v>
      </c>
    </row>
    <row r="654" spans="1:2" x14ac:dyDescent="0.35">
      <c r="A654" t="s">
        <v>2284</v>
      </c>
      <c r="B654">
        <v>4442</v>
      </c>
    </row>
    <row r="655" spans="1:2" x14ac:dyDescent="0.35">
      <c r="A655" t="s">
        <v>1995</v>
      </c>
      <c r="B655">
        <v>51</v>
      </c>
    </row>
    <row r="656" spans="1:2" x14ac:dyDescent="0.35">
      <c r="A656" t="s">
        <v>2304</v>
      </c>
      <c r="B656">
        <v>4431</v>
      </c>
    </row>
    <row r="657" spans="1:2" x14ac:dyDescent="0.35">
      <c r="A657" t="s">
        <v>2318</v>
      </c>
      <c r="B657">
        <v>4432</v>
      </c>
    </row>
    <row r="658" spans="1:2" x14ac:dyDescent="0.35">
      <c r="A658" t="s">
        <v>2322</v>
      </c>
      <c r="B658">
        <v>4433</v>
      </c>
    </row>
    <row r="659" spans="1:2" x14ac:dyDescent="0.35">
      <c r="A659" t="s">
        <v>2326</v>
      </c>
      <c r="B659">
        <v>4434</v>
      </c>
    </row>
    <row r="660" spans="1:2" x14ac:dyDescent="0.35">
      <c r="A660" t="s">
        <v>2330</v>
      </c>
      <c r="B660">
        <v>4435</v>
      </c>
    </row>
    <row r="661" spans="1:2" x14ac:dyDescent="0.35">
      <c r="A661" t="s">
        <v>2334</v>
      </c>
      <c r="B661">
        <v>4436</v>
      </c>
    </row>
    <row r="662" spans="1:2" x14ac:dyDescent="0.35">
      <c r="A662" t="s">
        <v>2267</v>
      </c>
      <c r="B662">
        <v>4448</v>
      </c>
    </row>
    <row r="663" spans="1:2" x14ac:dyDescent="0.35">
      <c r="A663" t="s">
        <v>2271</v>
      </c>
      <c r="B663">
        <v>4446</v>
      </c>
    </row>
    <row r="664" spans="1:2" x14ac:dyDescent="0.35">
      <c r="A664" t="s">
        <v>2275</v>
      </c>
      <c r="B664">
        <v>4447</v>
      </c>
    </row>
    <row r="665" spans="1:2" x14ac:dyDescent="0.35">
      <c r="A665" t="s">
        <v>2338</v>
      </c>
      <c r="B665">
        <v>4437</v>
      </c>
    </row>
    <row r="666" spans="1:2" x14ac:dyDescent="0.35">
      <c r="A666" t="s">
        <v>2342</v>
      </c>
      <c r="B666">
        <v>4426</v>
      </c>
    </row>
    <row r="667" spans="1:2" x14ac:dyDescent="0.35">
      <c r="A667" t="s">
        <v>2512</v>
      </c>
      <c r="B667">
        <v>56</v>
      </c>
    </row>
    <row r="668" spans="1:2" x14ac:dyDescent="0.35">
      <c r="A668" t="s">
        <v>2345</v>
      </c>
      <c r="B668">
        <v>3802</v>
      </c>
    </row>
    <row r="669" spans="1:2" x14ac:dyDescent="0.35">
      <c r="A669" t="s">
        <v>2350</v>
      </c>
      <c r="B669">
        <v>5697</v>
      </c>
    </row>
    <row r="670" spans="1:2" x14ac:dyDescent="0.35">
      <c r="A670" t="s">
        <v>2353</v>
      </c>
      <c r="B670">
        <v>5698</v>
      </c>
    </row>
    <row r="671" spans="1:2" x14ac:dyDescent="0.35">
      <c r="A671" t="s">
        <v>2356</v>
      </c>
      <c r="B671">
        <v>5699</v>
      </c>
    </row>
    <row r="672" spans="1:2" x14ac:dyDescent="0.35">
      <c r="A672" t="s">
        <v>2359</v>
      </c>
      <c r="B672">
        <v>4313</v>
      </c>
    </row>
    <row r="673" spans="1:2" x14ac:dyDescent="0.35">
      <c r="A673" t="s">
        <v>914</v>
      </c>
      <c r="B673">
        <v>5306</v>
      </c>
    </row>
    <row r="674" spans="1:2" x14ac:dyDescent="0.35">
      <c r="A674" t="s">
        <v>2502</v>
      </c>
      <c r="B674">
        <v>42</v>
      </c>
    </row>
    <row r="675" spans="1:2" x14ac:dyDescent="0.35">
      <c r="A675" t="s">
        <v>784</v>
      </c>
      <c r="B675">
        <v>4803</v>
      </c>
    </row>
    <row r="676" spans="1:2" x14ac:dyDescent="0.35">
      <c r="A676" t="s">
        <v>2515</v>
      </c>
      <c r="B676">
        <v>57</v>
      </c>
    </row>
    <row r="677" spans="1:2" x14ac:dyDescent="0.35">
      <c r="A677" t="s">
        <v>800</v>
      </c>
      <c r="B677">
        <v>4569</v>
      </c>
    </row>
    <row r="678" spans="1:2" x14ac:dyDescent="0.35">
      <c r="A678" t="s">
        <v>796</v>
      </c>
      <c r="B678">
        <v>4571</v>
      </c>
    </row>
    <row r="679" spans="1:2" x14ac:dyDescent="0.35">
      <c r="A679" t="s">
        <v>798</v>
      </c>
      <c r="B679">
        <v>4572</v>
      </c>
    </row>
    <row r="680" spans="1:2" x14ac:dyDescent="0.35">
      <c r="A680" t="s">
        <v>1102</v>
      </c>
      <c r="B680">
        <v>4573</v>
      </c>
    </row>
    <row r="681" spans="1:2" x14ac:dyDescent="0.35">
      <c r="A681" t="s">
        <v>1889</v>
      </c>
      <c r="B681">
        <v>4304</v>
      </c>
    </row>
    <row r="682" spans="1:2" x14ac:dyDescent="0.35">
      <c r="A682" t="s">
        <v>1897</v>
      </c>
      <c r="B682">
        <v>4302</v>
      </c>
    </row>
    <row r="683" spans="1:2" x14ac:dyDescent="0.35">
      <c r="A683" t="s">
        <v>1902</v>
      </c>
      <c r="B683">
        <v>4300</v>
      </c>
    </row>
    <row r="684" spans="1:2" x14ac:dyDescent="0.35">
      <c r="A684" t="s">
        <v>1905</v>
      </c>
      <c r="B684">
        <v>4298</v>
      </c>
    </row>
    <row r="685" spans="1:2" x14ac:dyDescent="0.35">
      <c r="A685" t="s">
        <v>1908</v>
      </c>
      <c r="B685">
        <v>4306</v>
      </c>
    </row>
    <row r="686" spans="1:2" x14ac:dyDescent="0.35">
      <c r="A686" t="s">
        <v>1911</v>
      </c>
      <c r="B686">
        <v>4296</v>
      </c>
    </row>
    <row r="687" spans="1:2" x14ac:dyDescent="0.35">
      <c r="A687" t="s">
        <v>1368</v>
      </c>
      <c r="B687">
        <v>47</v>
      </c>
    </row>
    <row r="688" spans="1:2" x14ac:dyDescent="0.35">
      <c r="A688" t="s">
        <v>2414</v>
      </c>
      <c r="B688">
        <v>4807</v>
      </c>
    </row>
    <row r="689" spans="1:2" x14ac:dyDescent="0.35">
      <c r="A689" t="s">
        <v>1247</v>
      </c>
      <c r="B689">
        <v>70</v>
      </c>
    </row>
    <row r="690" spans="1:2" x14ac:dyDescent="0.35">
      <c r="A690" t="s">
        <v>1248</v>
      </c>
      <c r="B690">
        <v>73</v>
      </c>
    </row>
    <row r="691" spans="1:2" x14ac:dyDescent="0.35">
      <c r="A691" t="s">
        <v>1253</v>
      </c>
      <c r="B691">
        <v>72</v>
      </c>
    </row>
    <row r="692" spans="1:2" x14ac:dyDescent="0.35">
      <c r="A692" t="s">
        <v>1249</v>
      </c>
      <c r="B692">
        <v>74</v>
      </c>
    </row>
    <row r="693" spans="1:2" x14ac:dyDescent="0.35">
      <c r="A693" t="s">
        <v>2143</v>
      </c>
      <c r="B693">
        <v>4561</v>
      </c>
    </row>
    <row r="694" spans="1:2" x14ac:dyDescent="0.35">
      <c r="A694" t="s">
        <v>1180</v>
      </c>
      <c r="B694">
        <v>5312</v>
      </c>
    </row>
    <row r="695" spans="1:2" x14ac:dyDescent="0.35">
      <c r="A695" t="s">
        <v>1655</v>
      </c>
      <c r="B695">
        <v>46</v>
      </c>
    </row>
    <row r="696" spans="1:2" x14ac:dyDescent="0.35">
      <c r="A696" t="s">
        <v>1919</v>
      </c>
      <c r="B696">
        <v>38</v>
      </c>
    </row>
    <row r="697" spans="1:2" x14ac:dyDescent="0.35">
      <c r="A697" t="s">
        <v>2024</v>
      </c>
      <c r="B697">
        <v>5366</v>
      </c>
    </row>
    <row r="698" spans="1:2" x14ac:dyDescent="0.35">
      <c r="A698" t="s">
        <v>2164</v>
      </c>
      <c r="B698">
        <v>5372</v>
      </c>
    </row>
    <row r="699" spans="1:2" x14ac:dyDescent="0.35">
      <c r="A699" t="s">
        <v>2507</v>
      </c>
      <c r="B699">
        <v>5403</v>
      </c>
    </row>
    <row r="700" spans="1:2" x14ac:dyDescent="0.35">
      <c r="A700" t="s">
        <v>2395</v>
      </c>
      <c r="B700">
        <v>5497</v>
      </c>
    </row>
    <row r="701" spans="1:2" x14ac:dyDescent="0.35">
      <c r="A701" t="s">
        <v>2397</v>
      </c>
      <c r="B701">
        <v>5122</v>
      </c>
    </row>
    <row r="702" spans="1:2" x14ac:dyDescent="0.35">
      <c r="A702" t="s">
        <v>2400</v>
      </c>
      <c r="B702">
        <v>3987</v>
      </c>
    </row>
    <row r="703" spans="1:2" x14ac:dyDescent="0.35">
      <c r="A703" t="s">
        <v>2404</v>
      </c>
      <c r="B703">
        <v>5498</v>
      </c>
    </row>
    <row r="704" spans="1:2" x14ac:dyDescent="0.35">
      <c r="A704" t="s">
        <v>2408</v>
      </c>
      <c r="B704">
        <v>5499</v>
      </c>
    </row>
    <row r="705" spans="1:2" x14ac:dyDescent="0.35">
      <c r="A705" t="s">
        <v>3003</v>
      </c>
      <c r="B705">
        <v>4793</v>
      </c>
    </row>
    <row r="706" spans="1:2" x14ac:dyDescent="0.35">
      <c r="A706" t="s">
        <v>2630</v>
      </c>
      <c r="B706">
        <v>4754</v>
      </c>
    </row>
    <row r="707" spans="1:2" x14ac:dyDescent="0.35">
      <c r="A707" t="s">
        <v>3392</v>
      </c>
      <c r="B707">
        <v>58</v>
      </c>
    </row>
    <row r="708" spans="1:2" x14ac:dyDescent="0.35">
      <c r="A708" t="s">
        <v>2429</v>
      </c>
      <c r="B708">
        <v>3971</v>
      </c>
    </row>
    <row r="709" spans="1:2" x14ac:dyDescent="0.35">
      <c r="A709" t="s">
        <v>1946</v>
      </c>
      <c r="B709">
        <v>5519</v>
      </c>
    </row>
    <row r="710" spans="1:2" x14ac:dyDescent="0.35">
      <c r="A710" t="s">
        <v>2421</v>
      </c>
      <c r="B710">
        <v>5521</v>
      </c>
    </row>
    <row r="711" spans="1:2" x14ac:dyDescent="0.35">
      <c r="A711" t="s">
        <v>2425</v>
      </c>
      <c r="B711">
        <v>5522</v>
      </c>
    </row>
    <row r="712" spans="1:2" x14ac:dyDescent="0.35">
      <c r="A712" t="s">
        <v>2434</v>
      </c>
      <c r="B712">
        <v>5524</v>
      </c>
    </row>
    <row r="713" spans="1:2" x14ac:dyDescent="0.35">
      <c r="A713" t="s">
        <v>1261</v>
      </c>
      <c r="B713">
        <v>40</v>
      </c>
    </row>
    <row r="714" spans="1:2" x14ac:dyDescent="0.35">
      <c r="A714" t="s">
        <v>1265</v>
      </c>
      <c r="B714">
        <v>44</v>
      </c>
    </row>
    <row r="715" spans="1:2" x14ac:dyDescent="0.35">
      <c r="A715" t="s">
        <v>2440</v>
      </c>
      <c r="B715">
        <v>5146</v>
      </c>
    </row>
    <row r="716" spans="1:2" x14ac:dyDescent="0.35">
      <c r="A716" t="s">
        <v>2444</v>
      </c>
      <c r="B716">
        <v>5525</v>
      </c>
    </row>
    <row r="717" spans="1:2" x14ac:dyDescent="0.35">
      <c r="A717" t="s">
        <v>2448</v>
      </c>
      <c r="B717">
        <v>5526</v>
      </c>
    </row>
    <row r="718" spans="1:2" x14ac:dyDescent="0.35">
      <c r="A718" t="s">
        <v>2450</v>
      </c>
      <c r="B718">
        <v>5527</v>
      </c>
    </row>
    <row r="719" spans="1:2" x14ac:dyDescent="0.35">
      <c r="A719" t="s">
        <v>2456</v>
      </c>
      <c r="B719">
        <v>5461</v>
      </c>
    </row>
    <row r="720" spans="1:2" x14ac:dyDescent="0.35">
      <c r="A720" t="s">
        <v>2454</v>
      </c>
      <c r="B720">
        <v>5460</v>
      </c>
    </row>
    <row r="721" spans="1:2" x14ac:dyDescent="0.35">
      <c r="A721" t="s">
        <v>3255</v>
      </c>
      <c r="B721">
        <v>5417</v>
      </c>
    </row>
    <row r="722" spans="1:2" x14ac:dyDescent="0.35">
      <c r="A722" t="s">
        <v>2463</v>
      </c>
      <c r="B722">
        <v>5520</v>
      </c>
    </row>
    <row r="723" spans="1:2" x14ac:dyDescent="0.35">
      <c r="A723" t="s">
        <v>2468</v>
      </c>
      <c r="B723">
        <v>5523</v>
      </c>
    </row>
    <row r="724" spans="1:2" x14ac:dyDescent="0.35">
      <c r="A724" t="s">
        <v>2472</v>
      </c>
      <c r="B724">
        <v>4722</v>
      </c>
    </row>
    <row r="725" spans="1:2" x14ac:dyDescent="0.35">
      <c r="A725" t="s">
        <v>2475</v>
      </c>
      <c r="B725">
        <v>5135</v>
      </c>
    </row>
    <row r="726" spans="1:2" x14ac:dyDescent="0.35">
      <c r="A726" t="s">
        <v>2956</v>
      </c>
      <c r="B726">
        <v>5472</v>
      </c>
    </row>
    <row r="727" spans="1:2" x14ac:dyDescent="0.35">
      <c r="A727" t="s">
        <v>2977</v>
      </c>
      <c r="B727">
        <v>5474</v>
      </c>
    </row>
    <row r="728" spans="1:2" x14ac:dyDescent="0.35">
      <c r="A728" t="s">
        <v>2390</v>
      </c>
      <c r="B728">
        <v>5383</v>
      </c>
    </row>
    <row r="729" spans="1:2" x14ac:dyDescent="0.35">
      <c r="A729" t="s">
        <v>2392</v>
      </c>
      <c r="B729">
        <v>5385</v>
      </c>
    </row>
    <row r="730" spans="1:2" x14ac:dyDescent="0.35">
      <c r="A730" t="s">
        <v>2394</v>
      </c>
      <c r="B730">
        <v>49</v>
      </c>
    </row>
    <row r="731" spans="1:2" x14ac:dyDescent="0.35">
      <c r="A731" t="s">
        <v>1205</v>
      </c>
      <c r="B731">
        <v>43</v>
      </c>
    </row>
    <row r="732" spans="1:2" x14ac:dyDescent="0.35">
      <c r="A732" t="s">
        <v>1384</v>
      </c>
      <c r="B732">
        <v>39</v>
      </c>
    </row>
    <row r="733" spans="1:2" x14ac:dyDescent="0.35">
      <c r="A733" t="s">
        <v>1240</v>
      </c>
      <c r="B733">
        <v>5315</v>
      </c>
    </row>
    <row r="734" spans="1:2" x14ac:dyDescent="0.35">
      <c r="A734" t="s">
        <v>1844</v>
      </c>
      <c r="B734">
        <v>5357</v>
      </c>
    </row>
    <row r="735" spans="1:2" x14ac:dyDescent="0.35">
      <c r="A735" t="s">
        <v>1657</v>
      </c>
      <c r="B735">
        <v>37</v>
      </c>
    </row>
    <row r="736" spans="1:2" x14ac:dyDescent="0.35">
      <c r="A736" t="s">
        <v>2279</v>
      </c>
      <c r="B736">
        <v>50</v>
      </c>
    </row>
    <row r="737" spans="1:2" x14ac:dyDescent="0.35">
      <c r="A737" t="s">
        <v>2480</v>
      </c>
      <c r="B737">
        <v>4015</v>
      </c>
    </row>
    <row r="738" spans="1:2" x14ac:dyDescent="0.35">
      <c r="A738" t="s">
        <v>1661</v>
      </c>
      <c r="B738">
        <v>5353</v>
      </c>
    </row>
    <row r="739" spans="1:2" x14ac:dyDescent="0.35">
      <c r="A739" t="s">
        <v>2368</v>
      </c>
      <c r="B739">
        <v>5380</v>
      </c>
    </row>
    <row r="740" spans="1:2" x14ac:dyDescent="0.35">
      <c r="A740" t="s">
        <v>2438</v>
      </c>
      <c r="B740">
        <v>5387</v>
      </c>
    </row>
    <row r="741" spans="1:2" x14ac:dyDescent="0.35">
      <c r="A741" t="s">
        <v>3279</v>
      </c>
      <c r="B741">
        <v>5418</v>
      </c>
    </row>
    <row r="742" spans="1:2" x14ac:dyDescent="0.35">
      <c r="A742" t="s">
        <v>3284</v>
      </c>
      <c r="B742">
        <v>5420</v>
      </c>
    </row>
    <row r="743" spans="1:2" x14ac:dyDescent="0.35">
      <c r="A743" t="s">
        <v>3363</v>
      </c>
      <c r="B743">
        <v>5476</v>
      </c>
    </row>
    <row r="744" spans="1:2" x14ac:dyDescent="0.35">
      <c r="A744" t="s">
        <v>3367</v>
      </c>
      <c r="B744">
        <v>5477</v>
      </c>
    </row>
    <row r="745" spans="1:2" x14ac:dyDescent="0.35">
      <c r="A745" t="s">
        <v>3280</v>
      </c>
      <c r="B745">
        <v>5419</v>
      </c>
    </row>
    <row r="746" spans="1:2" x14ac:dyDescent="0.35">
      <c r="A746" t="s">
        <v>2485</v>
      </c>
      <c r="B746">
        <v>5393</v>
      </c>
    </row>
    <row r="747" spans="1:2" x14ac:dyDescent="0.35">
      <c r="A747" t="s">
        <v>2494</v>
      </c>
      <c r="B747">
        <v>5395</v>
      </c>
    </row>
    <row r="748" spans="1:2" x14ac:dyDescent="0.35">
      <c r="A748" t="s">
        <v>2499</v>
      </c>
      <c r="B748">
        <v>5397</v>
      </c>
    </row>
    <row r="749" spans="1:2" x14ac:dyDescent="0.35">
      <c r="A749" t="s">
        <v>2505</v>
      </c>
      <c r="B749">
        <v>5400</v>
      </c>
    </row>
    <row r="750" spans="1:2" x14ac:dyDescent="0.35">
      <c r="A750" t="s">
        <v>2524</v>
      </c>
      <c r="B750">
        <v>5195</v>
      </c>
    </row>
    <row r="751" spans="1:2" x14ac:dyDescent="0.35">
      <c r="A751" t="s">
        <v>2519</v>
      </c>
      <c r="B751">
        <v>5531</v>
      </c>
    </row>
    <row r="752" spans="1:2" x14ac:dyDescent="0.35">
      <c r="A752" t="s">
        <v>2530</v>
      </c>
      <c r="B752">
        <v>5532</v>
      </c>
    </row>
    <row r="753" spans="1:2" x14ac:dyDescent="0.35">
      <c r="A753" t="s">
        <v>2541</v>
      </c>
      <c r="B753">
        <v>5528</v>
      </c>
    </row>
    <row r="754" spans="1:2" x14ac:dyDescent="0.35">
      <c r="A754" t="s">
        <v>2550</v>
      </c>
      <c r="B754">
        <v>5530</v>
      </c>
    </row>
    <row r="755" spans="1:2" x14ac:dyDescent="0.35">
      <c r="A755" t="s">
        <v>2546</v>
      </c>
      <c r="B755">
        <v>5529</v>
      </c>
    </row>
    <row r="756" spans="1:2" x14ac:dyDescent="0.35">
      <c r="A756" t="s">
        <v>2534</v>
      </c>
      <c r="B756">
        <v>5701</v>
      </c>
    </row>
    <row r="757" spans="1:2" x14ac:dyDescent="0.35">
      <c r="A757" t="s">
        <v>2538</v>
      </c>
      <c r="B757">
        <v>5700</v>
      </c>
    </row>
    <row r="758" spans="1:2" x14ac:dyDescent="0.35">
      <c r="A758" t="s">
        <v>2556</v>
      </c>
      <c r="B758">
        <v>5405</v>
      </c>
    </row>
    <row r="759" spans="1:2" x14ac:dyDescent="0.35">
      <c r="A759" t="s">
        <v>2561</v>
      </c>
      <c r="B759">
        <v>5407</v>
      </c>
    </row>
    <row r="760" spans="1:2" x14ac:dyDescent="0.35">
      <c r="A760" t="s">
        <v>2691</v>
      </c>
      <c r="B760">
        <v>5409</v>
      </c>
    </row>
    <row r="761" spans="1:2" x14ac:dyDescent="0.35">
      <c r="A761" t="s">
        <v>2870</v>
      </c>
      <c r="B761">
        <v>5411</v>
      </c>
    </row>
    <row r="762" spans="1:2" x14ac:dyDescent="0.35">
      <c r="A762" t="s">
        <v>2952</v>
      </c>
      <c r="B762">
        <v>5413</v>
      </c>
    </row>
    <row r="763" spans="1:2" x14ac:dyDescent="0.35">
      <c r="A763" t="s">
        <v>2565</v>
      </c>
      <c r="B763">
        <v>3968</v>
      </c>
    </row>
    <row r="764" spans="1:2" x14ac:dyDescent="0.35">
      <c r="A764" t="s">
        <v>2570</v>
      </c>
      <c r="B764">
        <v>5534</v>
      </c>
    </row>
    <row r="765" spans="1:2" x14ac:dyDescent="0.35">
      <c r="A765" t="s">
        <v>2575</v>
      </c>
      <c r="B765">
        <v>5535</v>
      </c>
    </row>
    <row r="766" spans="1:2" x14ac:dyDescent="0.35">
      <c r="A766" t="s">
        <v>2580</v>
      </c>
      <c r="B766">
        <v>5536</v>
      </c>
    </row>
    <row r="767" spans="1:2" x14ac:dyDescent="0.35">
      <c r="A767" t="s">
        <v>2584</v>
      </c>
      <c r="B767">
        <v>5537</v>
      </c>
    </row>
    <row r="768" spans="1:2" x14ac:dyDescent="0.35">
      <c r="A768" t="s">
        <v>2588</v>
      </c>
      <c r="B768">
        <v>5196</v>
      </c>
    </row>
    <row r="769" spans="1:2" x14ac:dyDescent="0.35">
      <c r="A769" t="s">
        <v>3380</v>
      </c>
      <c r="B769">
        <v>4018</v>
      </c>
    </row>
    <row r="770" spans="1:2" x14ac:dyDescent="0.35">
      <c r="A770" t="s">
        <v>612</v>
      </c>
      <c r="B770">
        <v>5438</v>
      </c>
    </row>
    <row r="771" spans="1:2" x14ac:dyDescent="0.35">
      <c r="A771" t="s">
        <v>577</v>
      </c>
      <c r="B771">
        <v>5422</v>
      </c>
    </row>
    <row r="772" spans="1:2" x14ac:dyDescent="0.35">
      <c r="A772" t="s">
        <v>588</v>
      </c>
      <c r="B772">
        <v>5427</v>
      </c>
    </row>
    <row r="773" spans="1:2" x14ac:dyDescent="0.35">
      <c r="A773" t="s">
        <v>597</v>
      </c>
      <c r="B773">
        <v>5431</v>
      </c>
    </row>
    <row r="774" spans="1:2" x14ac:dyDescent="0.35">
      <c r="A774" t="s">
        <v>600</v>
      </c>
      <c r="B774">
        <v>5433</v>
      </c>
    </row>
    <row r="775" spans="1:2" x14ac:dyDescent="0.35">
      <c r="A775" t="s">
        <v>608</v>
      </c>
      <c r="B775">
        <v>5436</v>
      </c>
    </row>
    <row r="776" spans="1:2" x14ac:dyDescent="0.35">
      <c r="A776" t="s">
        <v>2601</v>
      </c>
      <c r="B776">
        <v>5504</v>
      </c>
    </row>
    <row r="777" spans="1:2" x14ac:dyDescent="0.35">
      <c r="A777" t="s">
        <v>2611</v>
      </c>
      <c r="B777">
        <v>5197</v>
      </c>
    </row>
    <row r="778" spans="1:2" x14ac:dyDescent="0.35">
      <c r="A778" t="s">
        <v>2615</v>
      </c>
      <c r="B778">
        <v>5539</v>
      </c>
    </row>
    <row r="779" spans="1:2" x14ac:dyDescent="0.35">
      <c r="A779" t="s">
        <v>2619</v>
      </c>
      <c r="B779">
        <v>5540</v>
      </c>
    </row>
    <row r="780" spans="1:2" x14ac:dyDescent="0.35">
      <c r="A780" t="s">
        <v>844</v>
      </c>
      <c r="B780">
        <v>5481</v>
      </c>
    </row>
    <row r="781" spans="1:2" x14ac:dyDescent="0.35">
      <c r="A781" t="s">
        <v>845</v>
      </c>
      <c r="B781">
        <v>5483</v>
      </c>
    </row>
    <row r="782" spans="1:2" x14ac:dyDescent="0.35">
      <c r="A782" t="s">
        <v>847</v>
      </c>
      <c r="B782">
        <v>5485</v>
      </c>
    </row>
    <row r="783" spans="1:2" x14ac:dyDescent="0.35">
      <c r="A783" t="s">
        <v>853</v>
      </c>
      <c r="B783">
        <v>5487</v>
      </c>
    </row>
    <row r="784" spans="1:2" x14ac:dyDescent="0.35">
      <c r="A784" t="s">
        <v>857</v>
      </c>
      <c r="B784">
        <v>5489</v>
      </c>
    </row>
    <row r="785" spans="1:2" x14ac:dyDescent="0.35">
      <c r="A785" t="s">
        <v>858</v>
      </c>
      <c r="B785">
        <v>5491</v>
      </c>
    </row>
    <row r="786" spans="1:2" x14ac:dyDescent="0.35">
      <c r="A786" t="s">
        <v>862</v>
      </c>
      <c r="B786">
        <v>5493</v>
      </c>
    </row>
    <row r="787" spans="1:2" x14ac:dyDescent="0.35">
      <c r="A787" t="s">
        <v>2623</v>
      </c>
      <c r="B787">
        <v>5538</v>
      </c>
    </row>
    <row r="788" spans="1:2" x14ac:dyDescent="0.35">
      <c r="A788" t="s">
        <v>2627</v>
      </c>
      <c r="B788">
        <v>5702</v>
      </c>
    </row>
    <row r="789" spans="1:2" x14ac:dyDescent="0.35">
      <c r="A789" t="s">
        <v>3107</v>
      </c>
      <c r="B789">
        <v>4792</v>
      </c>
    </row>
    <row r="790" spans="1:2" x14ac:dyDescent="0.35">
      <c r="A790" t="s">
        <v>2633</v>
      </c>
      <c r="B790">
        <v>5541</v>
      </c>
    </row>
    <row r="791" spans="1:2" x14ac:dyDescent="0.35">
      <c r="A791" t="s">
        <v>2642</v>
      </c>
      <c r="B791">
        <v>5659</v>
      </c>
    </row>
    <row r="792" spans="1:2" x14ac:dyDescent="0.35">
      <c r="A792" t="s">
        <v>2644</v>
      </c>
      <c r="B792">
        <v>5658</v>
      </c>
    </row>
    <row r="793" spans="1:2" x14ac:dyDescent="0.35">
      <c r="A793" t="s">
        <v>2649</v>
      </c>
      <c r="B793">
        <v>5542</v>
      </c>
    </row>
    <row r="794" spans="1:2" x14ac:dyDescent="0.35">
      <c r="A794" t="s">
        <v>2653</v>
      </c>
      <c r="B794">
        <v>3988</v>
      </c>
    </row>
    <row r="795" spans="1:2" x14ac:dyDescent="0.35">
      <c r="A795" t="s">
        <v>2668</v>
      </c>
      <c r="B795">
        <v>5543</v>
      </c>
    </row>
    <row r="796" spans="1:2" x14ac:dyDescent="0.35">
      <c r="A796" t="s">
        <v>2660</v>
      </c>
      <c r="B796">
        <v>115</v>
      </c>
    </row>
    <row r="797" spans="1:2" x14ac:dyDescent="0.35">
      <c r="A797" t="s">
        <v>2662</v>
      </c>
      <c r="B797">
        <v>111</v>
      </c>
    </row>
    <row r="798" spans="1:2" x14ac:dyDescent="0.35">
      <c r="A798" t="s">
        <v>2665</v>
      </c>
      <c r="B798">
        <v>109</v>
      </c>
    </row>
    <row r="799" spans="1:2" x14ac:dyDescent="0.35">
      <c r="A799" t="s">
        <v>2687</v>
      </c>
      <c r="B799">
        <v>5198</v>
      </c>
    </row>
    <row r="800" spans="1:2" x14ac:dyDescent="0.35">
      <c r="A800" t="s">
        <v>2673</v>
      </c>
      <c r="B800">
        <v>4673</v>
      </c>
    </row>
    <row r="801" spans="1:2" x14ac:dyDescent="0.35">
      <c r="A801" t="s">
        <v>2679</v>
      </c>
      <c r="B801">
        <v>4670</v>
      </c>
    </row>
    <row r="802" spans="1:2" x14ac:dyDescent="0.35">
      <c r="A802" t="s">
        <v>2683</v>
      </c>
      <c r="B802">
        <v>4671</v>
      </c>
    </row>
    <row r="803" spans="1:2" x14ac:dyDescent="0.35">
      <c r="A803" t="s">
        <v>3220</v>
      </c>
      <c r="B803">
        <v>5416</v>
      </c>
    </row>
    <row r="804" spans="1:2" x14ac:dyDescent="0.35">
      <c r="A804" t="s">
        <v>2570</v>
      </c>
      <c r="B804">
        <v>5534</v>
      </c>
    </row>
    <row r="805" spans="1:2" x14ac:dyDescent="0.35">
      <c r="A805" t="s">
        <v>2694</v>
      </c>
      <c r="B805">
        <v>5663</v>
      </c>
    </row>
    <row r="806" spans="1:2" x14ac:dyDescent="0.35">
      <c r="A806" t="s">
        <v>2700</v>
      </c>
      <c r="B806">
        <v>5660</v>
      </c>
    </row>
    <row r="807" spans="1:2" x14ac:dyDescent="0.35">
      <c r="A807" t="s">
        <v>2704</v>
      </c>
      <c r="B807">
        <v>5661</v>
      </c>
    </row>
    <row r="808" spans="1:2" x14ac:dyDescent="0.35">
      <c r="A808" t="s">
        <v>2714</v>
      </c>
      <c r="B808">
        <v>5662</v>
      </c>
    </row>
    <row r="809" spans="1:2" x14ac:dyDescent="0.35">
      <c r="A809" t="s">
        <v>1932</v>
      </c>
      <c r="B809">
        <v>5232</v>
      </c>
    </row>
    <row r="810" spans="1:2" x14ac:dyDescent="0.35">
      <c r="A810" t="s">
        <v>1106</v>
      </c>
      <c r="B810">
        <v>5309</v>
      </c>
    </row>
    <row r="811" spans="1:2" x14ac:dyDescent="0.35">
      <c r="A811" t="s">
        <v>2763</v>
      </c>
      <c r="B811">
        <v>5727</v>
      </c>
    </row>
    <row r="812" spans="1:2" x14ac:dyDescent="0.35">
      <c r="A812" t="s">
        <v>2839</v>
      </c>
      <c r="B812">
        <v>5728</v>
      </c>
    </row>
    <row r="813" spans="1:2" x14ac:dyDescent="0.35">
      <c r="A813" t="s">
        <v>2726</v>
      </c>
      <c r="B813">
        <v>5730</v>
      </c>
    </row>
    <row r="814" spans="1:2" x14ac:dyDescent="0.35">
      <c r="A814" t="s">
        <v>2729</v>
      </c>
      <c r="B814">
        <v>5731</v>
      </c>
    </row>
    <row r="815" spans="1:2" x14ac:dyDescent="0.35">
      <c r="A815" t="s">
        <v>2749</v>
      </c>
      <c r="B815">
        <v>4655</v>
      </c>
    </row>
    <row r="816" spans="1:2" x14ac:dyDescent="0.35">
      <c r="A816" t="s">
        <v>2778</v>
      </c>
      <c r="B816">
        <v>4546</v>
      </c>
    </row>
    <row r="817" spans="1:2" x14ac:dyDescent="0.35">
      <c r="A817" t="s">
        <v>2772</v>
      </c>
      <c r="B817">
        <v>5709</v>
      </c>
    </row>
    <row r="818" spans="1:2" x14ac:dyDescent="0.35">
      <c r="A818" t="s">
        <v>2848</v>
      </c>
      <c r="B818">
        <v>5710</v>
      </c>
    </row>
    <row r="819" spans="1:2" x14ac:dyDescent="0.35">
      <c r="A819" t="s">
        <v>2837</v>
      </c>
      <c r="B819">
        <v>5711</v>
      </c>
    </row>
    <row r="820" spans="1:2" x14ac:dyDescent="0.35">
      <c r="A820" t="s">
        <v>2833</v>
      </c>
      <c r="B820">
        <v>4553</v>
      </c>
    </row>
    <row r="821" spans="1:2" x14ac:dyDescent="0.35">
      <c r="A821" t="s">
        <v>2774</v>
      </c>
      <c r="B821">
        <v>4656</v>
      </c>
    </row>
    <row r="822" spans="1:2" x14ac:dyDescent="0.35">
      <c r="A822" t="s">
        <v>2781</v>
      </c>
      <c r="B822">
        <v>4660</v>
      </c>
    </row>
    <row r="823" spans="1:2" x14ac:dyDescent="0.35">
      <c r="A823" t="s">
        <v>2809</v>
      </c>
      <c r="B823">
        <v>5724</v>
      </c>
    </row>
    <row r="824" spans="1:2" x14ac:dyDescent="0.35">
      <c r="A824" t="s">
        <v>2817</v>
      </c>
      <c r="B824">
        <v>5726</v>
      </c>
    </row>
    <row r="825" spans="1:2" x14ac:dyDescent="0.35">
      <c r="A825" t="s">
        <v>2731</v>
      </c>
      <c r="B825">
        <v>5732</v>
      </c>
    </row>
    <row r="826" spans="1:2" x14ac:dyDescent="0.35">
      <c r="A826" t="s">
        <v>2719</v>
      </c>
      <c r="B826">
        <v>4552</v>
      </c>
    </row>
    <row r="827" spans="1:2" x14ac:dyDescent="0.35">
      <c r="A827" t="s">
        <v>2755</v>
      </c>
      <c r="B827">
        <v>4659</v>
      </c>
    </row>
    <row r="828" spans="1:2" x14ac:dyDescent="0.35">
      <c r="A828" t="s">
        <v>2757</v>
      </c>
      <c r="B828">
        <v>4652</v>
      </c>
    </row>
    <row r="829" spans="1:2" x14ac:dyDescent="0.35">
      <c r="A829" t="s">
        <v>2770</v>
      </c>
      <c r="B829">
        <v>4644</v>
      </c>
    </row>
    <row r="830" spans="1:2" x14ac:dyDescent="0.35">
      <c r="A830" t="s">
        <v>2722</v>
      </c>
      <c r="B830">
        <v>5708</v>
      </c>
    </row>
    <row r="831" spans="1:2" x14ac:dyDescent="0.35">
      <c r="A831" t="s">
        <v>2753</v>
      </c>
      <c r="B831">
        <v>4650</v>
      </c>
    </row>
    <row r="832" spans="1:2" x14ac:dyDescent="0.35">
      <c r="A832" t="s">
        <v>2851</v>
      </c>
      <c r="B832">
        <v>4648</v>
      </c>
    </row>
    <row r="833" spans="1:2" x14ac:dyDescent="0.35">
      <c r="A833" t="s">
        <v>2733</v>
      </c>
      <c r="B833">
        <v>5715</v>
      </c>
    </row>
    <row r="834" spans="1:2" x14ac:dyDescent="0.35">
      <c r="A834" t="s">
        <v>2737</v>
      </c>
      <c r="B834">
        <v>5716</v>
      </c>
    </row>
    <row r="835" spans="1:2" x14ac:dyDescent="0.35">
      <c r="A835" t="s">
        <v>2741</v>
      </c>
      <c r="B835">
        <v>5717</v>
      </c>
    </row>
    <row r="836" spans="1:2" x14ac:dyDescent="0.35">
      <c r="A836" t="s">
        <v>2745</v>
      </c>
      <c r="B836">
        <v>4657</v>
      </c>
    </row>
    <row r="837" spans="1:2" x14ac:dyDescent="0.35">
      <c r="A837" t="s">
        <v>2821</v>
      </c>
      <c r="B837">
        <v>5733</v>
      </c>
    </row>
    <row r="838" spans="1:2" x14ac:dyDescent="0.35">
      <c r="A838" t="s">
        <v>2825</v>
      </c>
      <c r="B838">
        <v>5734</v>
      </c>
    </row>
    <row r="839" spans="1:2" x14ac:dyDescent="0.35">
      <c r="A839" t="s">
        <v>2829</v>
      </c>
      <c r="B839">
        <v>4554</v>
      </c>
    </row>
    <row r="840" spans="1:2" x14ac:dyDescent="0.35">
      <c r="A840" t="s">
        <v>2854</v>
      </c>
      <c r="B840">
        <v>5736</v>
      </c>
    </row>
    <row r="841" spans="1:2" x14ac:dyDescent="0.35">
      <c r="A841" t="s">
        <v>2860</v>
      </c>
      <c r="B841">
        <v>5737</v>
      </c>
    </row>
    <row r="842" spans="1:2" x14ac:dyDescent="0.35">
      <c r="A842" t="s">
        <v>2759</v>
      </c>
      <c r="B842">
        <v>4640</v>
      </c>
    </row>
    <row r="843" spans="1:2" x14ac:dyDescent="0.35">
      <c r="A843" t="s">
        <v>2785</v>
      </c>
      <c r="B843">
        <v>5718</v>
      </c>
    </row>
    <row r="844" spans="1:2" x14ac:dyDescent="0.35">
      <c r="A844" t="s">
        <v>2789</v>
      </c>
      <c r="B844">
        <v>5719</v>
      </c>
    </row>
    <row r="845" spans="1:2" x14ac:dyDescent="0.35">
      <c r="A845" t="s">
        <v>2793</v>
      </c>
      <c r="B845">
        <v>5720</v>
      </c>
    </row>
    <row r="846" spans="1:2" x14ac:dyDescent="0.35">
      <c r="A846" t="s">
        <v>2797</v>
      </c>
      <c r="B846">
        <v>5721</v>
      </c>
    </row>
    <row r="847" spans="1:2" x14ac:dyDescent="0.35">
      <c r="A847" t="s">
        <v>2801</v>
      </c>
      <c r="B847">
        <v>5722</v>
      </c>
    </row>
    <row r="848" spans="1:2" x14ac:dyDescent="0.35">
      <c r="A848" t="s">
        <v>2865</v>
      </c>
      <c r="B848">
        <v>5729</v>
      </c>
    </row>
    <row r="849" spans="1:2" x14ac:dyDescent="0.35">
      <c r="A849" t="s">
        <v>2844</v>
      </c>
      <c r="B849">
        <v>5735</v>
      </c>
    </row>
    <row r="850" spans="1:2" x14ac:dyDescent="0.35">
      <c r="A850" t="s">
        <v>2805</v>
      </c>
      <c r="B850">
        <v>5723</v>
      </c>
    </row>
    <row r="851" spans="1:2" x14ac:dyDescent="0.35">
      <c r="A851" t="s">
        <v>2813</v>
      </c>
      <c r="B851">
        <v>5725</v>
      </c>
    </row>
    <row r="852" spans="1:2" x14ac:dyDescent="0.35">
      <c r="A852" t="s">
        <v>506</v>
      </c>
      <c r="B852">
        <v>5594</v>
      </c>
    </row>
    <row r="853" spans="1:2" x14ac:dyDescent="0.35">
      <c r="A853" t="s">
        <v>512</v>
      </c>
      <c r="B853">
        <v>5597</v>
      </c>
    </row>
    <row r="854" spans="1:2" x14ac:dyDescent="0.35">
      <c r="A854" t="s">
        <v>515</v>
      </c>
      <c r="B854">
        <v>5600</v>
      </c>
    </row>
    <row r="855" spans="1:2" x14ac:dyDescent="0.35">
      <c r="A855" t="s">
        <v>519</v>
      </c>
      <c r="B855">
        <v>5603</v>
      </c>
    </row>
    <row r="856" spans="1:2" x14ac:dyDescent="0.35">
      <c r="A856" t="s">
        <v>1538</v>
      </c>
      <c r="B856">
        <v>5332</v>
      </c>
    </row>
    <row r="857" spans="1:2" x14ac:dyDescent="0.35">
      <c r="A857" t="s">
        <v>2878</v>
      </c>
      <c r="B857">
        <v>5136</v>
      </c>
    </row>
    <row r="858" spans="1:2" x14ac:dyDescent="0.35">
      <c r="A858" t="s">
        <v>2882</v>
      </c>
      <c r="B858">
        <v>5545</v>
      </c>
    </row>
    <row r="859" spans="1:2" x14ac:dyDescent="0.35">
      <c r="A859" t="s">
        <v>2886</v>
      </c>
      <c r="B859">
        <v>5199</v>
      </c>
    </row>
    <row r="860" spans="1:2" x14ac:dyDescent="0.35">
      <c r="A860" t="s">
        <v>2668</v>
      </c>
      <c r="B860">
        <v>5544</v>
      </c>
    </row>
    <row r="861" spans="1:2" x14ac:dyDescent="0.35">
      <c r="A861" t="s">
        <v>1616</v>
      </c>
      <c r="B861">
        <v>4726</v>
      </c>
    </row>
    <row r="862" spans="1:2" x14ac:dyDescent="0.35">
      <c r="A862" t="s">
        <v>1619</v>
      </c>
      <c r="B862">
        <v>4728</v>
      </c>
    </row>
    <row r="863" spans="1:2" x14ac:dyDescent="0.35">
      <c r="A863" t="s">
        <v>2891</v>
      </c>
      <c r="B863">
        <v>4215</v>
      </c>
    </row>
    <row r="864" spans="1:2" x14ac:dyDescent="0.35">
      <c r="A864" t="s">
        <v>2893</v>
      </c>
      <c r="B864">
        <v>4216</v>
      </c>
    </row>
    <row r="865" spans="1:2" x14ac:dyDescent="0.35">
      <c r="A865" t="s">
        <v>2894</v>
      </c>
      <c r="B865">
        <v>4217</v>
      </c>
    </row>
    <row r="866" spans="1:2" x14ac:dyDescent="0.35">
      <c r="A866" t="s">
        <v>2895</v>
      </c>
      <c r="B866">
        <v>4218</v>
      </c>
    </row>
    <row r="867" spans="1:2" x14ac:dyDescent="0.35">
      <c r="A867" t="s">
        <v>2941</v>
      </c>
      <c r="B867">
        <v>5147</v>
      </c>
    </row>
    <row r="868" spans="1:2" x14ac:dyDescent="0.35">
      <c r="A868" t="s">
        <v>2944</v>
      </c>
      <c r="B868">
        <v>5148</v>
      </c>
    </row>
    <row r="869" spans="1:2" x14ac:dyDescent="0.35">
      <c r="A869" t="s">
        <v>2947</v>
      </c>
      <c r="B869">
        <v>5149</v>
      </c>
    </row>
    <row r="870" spans="1:2" x14ac:dyDescent="0.35">
      <c r="A870" t="s">
        <v>1513</v>
      </c>
      <c r="B870">
        <v>55</v>
      </c>
    </row>
    <row r="871" spans="1:2" x14ac:dyDescent="0.35">
      <c r="A871" t="s">
        <v>1527</v>
      </c>
      <c r="B871">
        <v>5327</v>
      </c>
    </row>
    <row r="872" spans="1:2" x14ac:dyDescent="0.35">
      <c r="A872" t="s">
        <v>1543</v>
      </c>
      <c r="B872">
        <v>5335</v>
      </c>
    </row>
    <row r="873" spans="1:2" x14ac:dyDescent="0.35">
      <c r="A873" t="s">
        <v>823</v>
      </c>
      <c r="B873">
        <v>4016</v>
      </c>
    </row>
    <row r="874" spans="1:2" x14ac:dyDescent="0.35">
      <c r="A874" t="s">
        <v>1516</v>
      </c>
      <c r="B874">
        <v>5321</v>
      </c>
    </row>
    <row r="875" spans="1:2" x14ac:dyDescent="0.35">
      <c r="A875" t="s">
        <v>1417</v>
      </c>
      <c r="B875">
        <v>4491</v>
      </c>
    </row>
    <row r="876" spans="1:2" x14ac:dyDescent="0.35">
      <c r="A876" t="s">
        <v>1423</v>
      </c>
      <c r="B876">
        <v>4489</v>
      </c>
    </row>
    <row r="877" spans="1:2" x14ac:dyDescent="0.35">
      <c r="A877" t="s">
        <v>1428</v>
      </c>
      <c r="B877">
        <v>4490</v>
      </c>
    </row>
    <row r="878" spans="1:2" x14ac:dyDescent="0.35">
      <c r="A878" t="s">
        <v>1433</v>
      </c>
      <c r="B878">
        <v>4492</v>
      </c>
    </row>
    <row r="879" spans="1:2" x14ac:dyDescent="0.35">
      <c r="A879" t="s">
        <v>2972</v>
      </c>
      <c r="B879">
        <v>4048</v>
      </c>
    </row>
    <row r="880" spans="1:2" x14ac:dyDescent="0.35">
      <c r="A880" t="s">
        <v>2960</v>
      </c>
      <c r="B880">
        <v>4047</v>
      </c>
    </row>
    <row r="881" spans="1:2" x14ac:dyDescent="0.35">
      <c r="A881" t="s">
        <v>1605</v>
      </c>
      <c r="B881">
        <v>4288</v>
      </c>
    </row>
    <row r="882" spans="1:2" x14ac:dyDescent="0.35">
      <c r="A882" t="s">
        <v>2968</v>
      </c>
      <c r="B882">
        <v>4487</v>
      </c>
    </row>
    <row r="883" spans="1:2" x14ac:dyDescent="0.35">
      <c r="A883" t="s">
        <v>910</v>
      </c>
      <c r="B883">
        <v>53</v>
      </c>
    </row>
    <row r="884" spans="1:2" x14ac:dyDescent="0.35">
      <c r="A884" t="s">
        <v>1521</v>
      </c>
      <c r="B884">
        <v>5324</v>
      </c>
    </row>
    <row r="885" spans="1:2" x14ac:dyDescent="0.35">
      <c r="A885" t="s">
        <v>3056</v>
      </c>
      <c r="B885">
        <v>4538</v>
      </c>
    </row>
    <row r="886" spans="1:2" x14ac:dyDescent="0.35">
      <c r="A886" t="s">
        <v>3059</v>
      </c>
      <c r="B886">
        <v>4539</v>
      </c>
    </row>
    <row r="887" spans="1:2" x14ac:dyDescent="0.35">
      <c r="A887" t="s">
        <v>3062</v>
      </c>
      <c r="B887">
        <v>4540</v>
      </c>
    </row>
    <row r="888" spans="1:2" x14ac:dyDescent="0.35">
      <c r="A888" t="s">
        <v>3068</v>
      </c>
      <c r="B888">
        <v>4550</v>
      </c>
    </row>
    <row r="889" spans="1:2" x14ac:dyDescent="0.35">
      <c r="A889" t="s">
        <v>3074</v>
      </c>
      <c r="B889">
        <v>4556</v>
      </c>
    </row>
    <row r="890" spans="1:2" x14ac:dyDescent="0.35">
      <c r="A890" t="s">
        <v>3065</v>
      </c>
      <c r="B890">
        <v>4541</v>
      </c>
    </row>
    <row r="891" spans="1:2" x14ac:dyDescent="0.35">
      <c r="A891" t="s">
        <v>3071</v>
      </c>
      <c r="B891">
        <v>4551</v>
      </c>
    </row>
    <row r="892" spans="1:2" x14ac:dyDescent="0.35">
      <c r="A892" t="s">
        <v>3078</v>
      </c>
      <c r="B892">
        <v>4559</v>
      </c>
    </row>
    <row r="893" spans="1:2" x14ac:dyDescent="0.35">
      <c r="A893" t="s">
        <v>3046</v>
      </c>
      <c r="B893">
        <v>4557</v>
      </c>
    </row>
    <row r="894" spans="1:2" x14ac:dyDescent="0.35">
      <c r="A894" t="s">
        <v>3134</v>
      </c>
      <c r="B894">
        <v>4807</v>
      </c>
    </row>
    <row r="895" spans="1:2" x14ac:dyDescent="0.35">
      <c r="A895" t="s">
        <v>4214</v>
      </c>
      <c r="B895">
        <v>5201</v>
      </c>
    </row>
    <row r="896" spans="1:2" x14ac:dyDescent="0.35">
      <c r="A896" t="s">
        <v>4215</v>
      </c>
      <c r="B896">
        <v>5202</v>
      </c>
    </row>
    <row r="897" spans="1:2" x14ac:dyDescent="0.35">
      <c r="A897" t="s">
        <v>2987</v>
      </c>
      <c r="B897">
        <v>5203</v>
      </c>
    </row>
    <row r="898" spans="1:2" x14ac:dyDescent="0.35">
      <c r="A898" t="s">
        <v>2991</v>
      </c>
      <c r="B898">
        <v>5204</v>
      </c>
    </row>
    <row r="899" spans="1:2" x14ac:dyDescent="0.35">
      <c r="A899" t="s">
        <v>2995</v>
      </c>
      <c r="B899">
        <v>5205</v>
      </c>
    </row>
    <row r="900" spans="1:2" x14ac:dyDescent="0.35">
      <c r="A900" t="s">
        <v>2999</v>
      </c>
      <c r="B900">
        <v>5206</v>
      </c>
    </row>
    <row r="901" spans="1:2" x14ac:dyDescent="0.35">
      <c r="A901" t="s">
        <v>4216</v>
      </c>
      <c r="B901">
        <v>5207</v>
      </c>
    </row>
    <row r="902" spans="1:2" x14ac:dyDescent="0.35">
      <c r="A902" t="s">
        <v>4217</v>
      </c>
      <c r="B902">
        <v>5208</v>
      </c>
    </row>
    <row r="903" spans="1:2" x14ac:dyDescent="0.35">
      <c r="A903" t="s">
        <v>4218</v>
      </c>
      <c r="B903">
        <v>5209</v>
      </c>
    </row>
    <row r="904" spans="1:2" x14ac:dyDescent="0.35">
      <c r="A904" t="s">
        <v>3016</v>
      </c>
      <c r="B904">
        <v>5210</v>
      </c>
    </row>
    <row r="905" spans="1:2" x14ac:dyDescent="0.35">
      <c r="A905" t="s">
        <v>3020</v>
      </c>
      <c r="B905">
        <v>5211</v>
      </c>
    </row>
    <row r="906" spans="1:2" x14ac:dyDescent="0.35">
      <c r="A906" t="s">
        <v>3024</v>
      </c>
      <c r="B906">
        <v>5212</v>
      </c>
    </row>
    <row r="907" spans="1:2" x14ac:dyDescent="0.35">
      <c r="A907" t="s">
        <v>3028</v>
      </c>
      <c r="B907">
        <v>5213</v>
      </c>
    </row>
    <row r="908" spans="1:2" x14ac:dyDescent="0.35">
      <c r="A908" t="s">
        <v>3032</v>
      </c>
      <c r="B908">
        <v>5214</v>
      </c>
    </row>
    <row r="909" spans="1:2" x14ac:dyDescent="0.35">
      <c r="A909" t="s">
        <v>3036</v>
      </c>
      <c r="B909">
        <v>5215</v>
      </c>
    </row>
    <row r="910" spans="1:2" x14ac:dyDescent="0.35">
      <c r="A910" t="s">
        <v>4219</v>
      </c>
      <c r="B910">
        <v>5216</v>
      </c>
    </row>
    <row r="911" spans="1:2" x14ac:dyDescent="0.35">
      <c r="A911" t="s">
        <v>4220</v>
      </c>
      <c r="B911">
        <v>5217</v>
      </c>
    </row>
    <row r="912" spans="1:2" x14ac:dyDescent="0.35">
      <c r="A912" t="s">
        <v>4221</v>
      </c>
      <c r="B912">
        <v>5218</v>
      </c>
    </row>
    <row r="913" spans="1:2" x14ac:dyDescent="0.35">
      <c r="A913" t="s">
        <v>3052</v>
      </c>
      <c r="B913">
        <v>5219</v>
      </c>
    </row>
    <row r="914" spans="1:2" x14ac:dyDescent="0.35">
      <c r="A914" t="s">
        <v>4222</v>
      </c>
      <c r="B914">
        <v>5220</v>
      </c>
    </row>
    <row r="915" spans="1:2" x14ac:dyDescent="0.35">
      <c r="A915" t="s">
        <v>4223</v>
      </c>
      <c r="B915">
        <v>5221</v>
      </c>
    </row>
    <row r="916" spans="1:2" x14ac:dyDescent="0.35">
      <c r="A916" t="s">
        <v>4224</v>
      </c>
      <c r="B916">
        <v>5222</v>
      </c>
    </row>
    <row r="917" spans="1:2" x14ac:dyDescent="0.35">
      <c r="A917" t="s">
        <v>4225</v>
      </c>
      <c r="B917">
        <v>5223</v>
      </c>
    </row>
    <row r="918" spans="1:2" x14ac:dyDescent="0.35">
      <c r="A918" t="s">
        <v>4226</v>
      </c>
      <c r="B918">
        <v>5224</v>
      </c>
    </row>
    <row r="919" spans="1:2" x14ac:dyDescent="0.35">
      <c r="A919" t="s">
        <v>4227</v>
      </c>
      <c r="B919">
        <v>5225</v>
      </c>
    </row>
    <row r="920" spans="1:2" x14ac:dyDescent="0.35">
      <c r="A920" t="s">
        <v>457</v>
      </c>
      <c r="B920">
        <v>4570</v>
      </c>
    </row>
    <row r="921" spans="1:2" x14ac:dyDescent="0.35">
      <c r="A921" t="s">
        <v>3084</v>
      </c>
      <c r="B921">
        <v>5462</v>
      </c>
    </row>
    <row r="922" spans="1:2" x14ac:dyDescent="0.35">
      <c r="A922" t="s">
        <v>3092</v>
      </c>
      <c r="B922">
        <v>5151</v>
      </c>
    </row>
    <row r="923" spans="1:2" x14ac:dyDescent="0.35">
      <c r="A923" t="s">
        <v>3087</v>
      </c>
      <c r="B923">
        <v>5150</v>
      </c>
    </row>
    <row r="924" spans="1:2" x14ac:dyDescent="0.35">
      <c r="A924" t="s">
        <v>3096</v>
      </c>
      <c r="B924">
        <v>5500</v>
      </c>
    </row>
    <row r="925" spans="1:2" x14ac:dyDescent="0.35">
      <c r="A925" t="s">
        <v>3101</v>
      </c>
      <c r="B925">
        <v>4729</v>
      </c>
    </row>
    <row r="926" spans="1:2" x14ac:dyDescent="0.35">
      <c r="A926" t="s">
        <v>3265</v>
      </c>
      <c r="B926">
        <v>4739</v>
      </c>
    </row>
    <row r="927" spans="1:2" x14ac:dyDescent="0.35">
      <c r="A927" t="s">
        <v>3082</v>
      </c>
      <c r="B927">
        <v>5712</v>
      </c>
    </row>
    <row r="928" spans="1:2" x14ac:dyDescent="0.35">
      <c r="A928" t="s">
        <v>3116</v>
      </c>
      <c r="B928">
        <v>5546</v>
      </c>
    </row>
    <row r="929" spans="1:2" x14ac:dyDescent="0.35">
      <c r="A929" t="s">
        <v>3118</v>
      </c>
      <c r="B929">
        <v>5152</v>
      </c>
    </row>
    <row r="930" spans="1:2" x14ac:dyDescent="0.35">
      <c r="A930" t="s">
        <v>355</v>
      </c>
      <c r="B930">
        <v>4045</v>
      </c>
    </row>
    <row r="931" spans="1:2" x14ac:dyDescent="0.35">
      <c r="A931" t="s">
        <v>3120</v>
      </c>
      <c r="B931">
        <v>5140</v>
      </c>
    </row>
    <row r="932" spans="1:2" x14ac:dyDescent="0.35">
      <c r="A932" t="s">
        <v>451</v>
      </c>
      <c r="B932">
        <v>4574</v>
      </c>
    </row>
    <row r="933" spans="1:2" x14ac:dyDescent="0.35">
      <c r="A933" t="s">
        <v>455</v>
      </c>
      <c r="B933">
        <v>4575</v>
      </c>
    </row>
    <row r="934" spans="1:2" x14ac:dyDescent="0.35">
      <c r="A934" t="s">
        <v>3128</v>
      </c>
      <c r="B934">
        <v>5200</v>
      </c>
    </row>
    <row r="935" spans="1:2" x14ac:dyDescent="0.35">
      <c r="A935" t="s">
        <v>3132</v>
      </c>
      <c r="B935">
        <v>5153</v>
      </c>
    </row>
    <row r="936" spans="1:2" x14ac:dyDescent="0.35">
      <c r="A936" t="s">
        <v>3265</v>
      </c>
      <c r="B936">
        <v>4739</v>
      </c>
    </row>
    <row r="937" spans="1:2" x14ac:dyDescent="0.35">
      <c r="A937" t="s">
        <v>328</v>
      </c>
      <c r="B937">
        <v>4498</v>
      </c>
    </row>
    <row r="938" spans="1:2" x14ac:dyDescent="0.35">
      <c r="A938" t="s">
        <v>3139</v>
      </c>
      <c r="B938">
        <v>110</v>
      </c>
    </row>
    <row r="939" spans="1:2" x14ac:dyDescent="0.35">
      <c r="A939" t="s">
        <v>3142</v>
      </c>
      <c r="B939">
        <v>5154</v>
      </c>
    </row>
    <row r="940" spans="1:2" x14ac:dyDescent="0.35">
      <c r="A940" t="s">
        <v>3144</v>
      </c>
      <c r="B940">
        <v>5155</v>
      </c>
    </row>
    <row r="941" spans="1:2" x14ac:dyDescent="0.35">
      <c r="A941" t="s">
        <v>3148</v>
      </c>
      <c r="B941">
        <v>5156</v>
      </c>
    </row>
    <row r="942" spans="1:2" x14ac:dyDescent="0.35">
      <c r="A942" t="s">
        <v>3151</v>
      </c>
      <c r="B942">
        <v>5157</v>
      </c>
    </row>
    <row r="943" spans="1:2" x14ac:dyDescent="0.35">
      <c r="A943" t="s">
        <v>3224</v>
      </c>
      <c r="B943">
        <v>4566</v>
      </c>
    </row>
    <row r="944" spans="1:2" x14ac:dyDescent="0.35">
      <c r="A944" t="s">
        <v>3249</v>
      </c>
      <c r="B944">
        <v>5714</v>
      </c>
    </row>
    <row r="945" spans="1:2" x14ac:dyDescent="0.35">
      <c r="A945" t="s">
        <v>3229</v>
      </c>
      <c r="B945">
        <v>5505</v>
      </c>
    </row>
    <row r="946" spans="1:2" x14ac:dyDescent="0.35">
      <c r="A946" t="s">
        <v>3235</v>
      </c>
      <c r="B946">
        <v>5507</v>
      </c>
    </row>
    <row r="947" spans="1:2" x14ac:dyDescent="0.35">
      <c r="A947" t="s">
        <v>3237</v>
      </c>
      <c r="B947">
        <v>5547</v>
      </c>
    </row>
    <row r="948" spans="1:2" x14ac:dyDescent="0.35">
      <c r="A948" t="s">
        <v>3238</v>
      </c>
      <c r="B948">
        <v>5548</v>
      </c>
    </row>
    <row r="949" spans="1:2" x14ac:dyDescent="0.35">
      <c r="A949" t="s">
        <v>3241</v>
      </c>
      <c r="B949">
        <v>5549</v>
      </c>
    </row>
    <row r="950" spans="1:2" x14ac:dyDescent="0.35">
      <c r="A950" t="s">
        <v>3244</v>
      </c>
      <c r="B950">
        <v>5550</v>
      </c>
    </row>
    <row r="951" spans="1:2" x14ac:dyDescent="0.35">
      <c r="A951" t="s">
        <v>3233</v>
      </c>
      <c r="B951">
        <v>5506</v>
      </c>
    </row>
    <row r="952" spans="1:2" x14ac:dyDescent="0.35">
      <c r="A952" t="s">
        <v>814</v>
      </c>
      <c r="B952">
        <v>5299</v>
      </c>
    </row>
    <row r="953" spans="1:2" x14ac:dyDescent="0.35">
      <c r="A953" t="s">
        <v>1634</v>
      </c>
      <c r="B953">
        <v>5345</v>
      </c>
    </row>
    <row r="954" spans="1:2" x14ac:dyDescent="0.35">
      <c r="A954" t="s">
        <v>1650</v>
      </c>
      <c r="B954">
        <v>5348</v>
      </c>
    </row>
    <row r="955" spans="1:2" x14ac:dyDescent="0.35">
      <c r="A955" t="s">
        <v>3247</v>
      </c>
      <c r="B955">
        <v>5703</v>
      </c>
    </row>
    <row r="956" spans="1:2" x14ac:dyDescent="0.35">
      <c r="A956" t="s">
        <v>3248</v>
      </c>
      <c r="B956">
        <v>5713</v>
      </c>
    </row>
    <row r="957" spans="1:2" x14ac:dyDescent="0.35">
      <c r="A957" t="s">
        <v>1846</v>
      </c>
      <c r="B957">
        <v>5360</v>
      </c>
    </row>
    <row r="958" spans="1:2" x14ac:dyDescent="0.35">
      <c r="A958" t="s">
        <v>1916</v>
      </c>
      <c r="B958">
        <v>5363</v>
      </c>
    </row>
    <row r="959" spans="1:2" x14ac:dyDescent="0.35">
      <c r="A959" t="s">
        <v>563</v>
      </c>
      <c r="B959">
        <v>48</v>
      </c>
    </row>
    <row r="960" spans="1:2" x14ac:dyDescent="0.35">
      <c r="A960" t="s">
        <v>3259</v>
      </c>
      <c r="B960">
        <v>4580</v>
      </c>
    </row>
    <row r="961" spans="1:2" x14ac:dyDescent="0.35">
      <c r="A961" t="s">
        <v>3262</v>
      </c>
      <c r="B961">
        <v>4581</v>
      </c>
    </row>
    <row r="962" spans="1:2" x14ac:dyDescent="0.35">
      <c r="A962" t="s">
        <v>3257</v>
      </c>
      <c r="B962">
        <v>4572</v>
      </c>
    </row>
    <row r="963" spans="1:2" x14ac:dyDescent="0.35">
      <c r="A963" t="s">
        <v>661</v>
      </c>
      <c r="B963">
        <v>4784</v>
      </c>
    </row>
    <row r="964" spans="1:2" x14ac:dyDescent="0.35">
      <c r="A964" t="s">
        <v>3274</v>
      </c>
      <c r="B964">
        <v>4046</v>
      </c>
    </row>
    <row r="965" spans="1:2" x14ac:dyDescent="0.35">
      <c r="A965" t="s">
        <v>3112</v>
      </c>
      <c r="B965">
        <v>5172</v>
      </c>
    </row>
    <row r="966" spans="1:2" x14ac:dyDescent="0.35">
      <c r="A966" t="s">
        <v>3275</v>
      </c>
      <c r="B966">
        <v>5574</v>
      </c>
    </row>
    <row r="967" spans="1:2" x14ac:dyDescent="0.35">
      <c r="A967" t="s">
        <v>880</v>
      </c>
      <c r="B967">
        <v>5302</v>
      </c>
    </row>
    <row r="968" spans="1:2" x14ac:dyDescent="0.35">
      <c r="A968" t="s">
        <v>883</v>
      </c>
      <c r="B968">
        <v>5303</v>
      </c>
    </row>
    <row r="969" spans="1:2" x14ac:dyDescent="0.35">
      <c r="A969" t="s">
        <v>866</v>
      </c>
      <c r="B969">
        <v>37</v>
      </c>
    </row>
    <row r="970" spans="1:2" x14ac:dyDescent="0.35">
      <c r="A970" t="s">
        <v>3296</v>
      </c>
      <c r="B970">
        <v>5567</v>
      </c>
    </row>
    <row r="971" spans="1:2" x14ac:dyDescent="0.35">
      <c r="A971" t="s">
        <v>3308</v>
      </c>
      <c r="B971">
        <v>5568</v>
      </c>
    </row>
    <row r="972" spans="1:2" x14ac:dyDescent="0.35">
      <c r="A972" t="s">
        <v>3292</v>
      </c>
      <c r="B972">
        <v>5569</v>
      </c>
    </row>
    <row r="973" spans="1:2" x14ac:dyDescent="0.35">
      <c r="A973" t="s">
        <v>3300</v>
      </c>
      <c r="B973">
        <v>5570</v>
      </c>
    </row>
    <row r="974" spans="1:2" x14ac:dyDescent="0.35">
      <c r="A974" t="s">
        <v>670</v>
      </c>
      <c r="B974">
        <v>5571</v>
      </c>
    </row>
    <row r="975" spans="1:2" x14ac:dyDescent="0.35">
      <c r="A975" t="s">
        <v>3304</v>
      </c>
      <c r="B975">
        <v>5572</v>
      </c>
    </row>
    <row r="976" spans="1:2" x14ac:dyDescent="0.35">
      <c r="A976" t="s">
        <v>3285</v>
      </c>
      <c r="B976">
        <v>5575</v>
      </c>
    </row>
    <row r="977" spans="1:2" x14ac:dyDescent="0.35">
      <c r="A977" t="s">
        <v>3312</v>
      </c>
      <c r="B977">
        <v>5141</v>
      </c>
    </row>
    <row r="978" spans="1:2" x14ac:dyDescent="0.35">
      <c r="A978" t="s">
        <v>3315</v>
      </c>
      <c r="B978">
        <v>5581</v>
      </c>
    </row>
    <row r="979" spans="1:2" x14ac:dyDescent="0.35">
      <c r="A979" t="s">
        <v>3319</v>
      </c>
      <c r="B979">
        <v>5582</v>
      </c>
    </row>
    <row r="980" spans="1:2" x14ac:dyDescent="0.35">
      <c r="A980" t="s">
        <v>3323</v>
      </c>
      <c r="B980">
        <v>5583</v>
      </c>
    </row>
    <row r="981" spans="1:2" x14ac:dyDescent="0.35">
      <c r="A981" t="s">
        <v>3327</v>
      </c>
      <c r="B981">
        <v>5584</v>
      </c>
    </row>
    <row r="982" spans="1:2" x14ac:dyDescent="0.35">
      <c r="A982" t="s">
        <v>3331</v>
      </c>
      <c r="B982">
        <v>5585</v>
      </c>
    </row>
    <row r="983" spans="1:2" x14ac:dyDescent="0.35">
      <c r="A983" t="s">
        <v>3335</v>
      </c>
      <c r="B983">
        <v>5586</v>
      </c>
    </row>
    <row r="984" spans="1:2" x14ac:dyDescent="0.35">
      <c r="A984" t="s">
        <v>3339</v>
      </c>
      <c r="B984">
        <v>5587</v>
      </c>
    </row>
    <row r="985" spans="1:2" x14ac:dyDescent="0.35">
      <c r="A985" t="s">
        <v>3343</v>
      </c>
      <c r="B985">
        <v>5588</v>
      </c>
    </row>
    <row r="986" spans="1:2" x14ac:dyDescent="0.35">
      <c r="A986" t="s">
        <v>3347</v>
      </c>
      <c r="B986">
        <v>5589</v>
      </c>
    </row>
    <row r="987" spans="1:2" x14ac:dyDescent="0.35">
      <c r="A987" t="s">
        <v>657</v>
      </c>
      <c r="B987">
        <v>4748</v>
      </c>
    </row>
    <row r="988" spans="1:2" x14ac:dyDescent="0.35">
      <c r="A988" t="s">
        <v>570</v>
      </c>
      <c r="B988">
        <v>5297</v>
      </c>
    </row>
    <row r="989" spans="1:2" x14ac:dyDescent="0.35">
      <c r="A989" t="s">
        <v>870</v>
      </c>
      <c r="B989">
        <v>5469</v>
      </c>
    </row>
    <row r="990" spans="1:2" x14ac:dyDescent="0.35">
      <c r="A990" t="s">
        <v>3373</v>
      </c>
      <c r="B990">
        <v>4497</v>
      </c>
    </row>
    <row r="991" spans="1:2" x14ac:dyDescent="0.35">
      <c r="A991" t="s">
        <v>3371</v>
      </c>
      <c r="B991">
        <v>4496</v>
      </c>
    </row>
    <row r="992" spans="1:2" x14ac:dyDescent="0.35">
      <c r="A992" t="s">
        <v>3374</v>
      </c>
      <c r="B992">
        <v>81</v>
      </c>
    </row>
    <row r="993" spans="1:2" x14ac:dyDescent="0.35">
      <c r="A993" t="s">
        <v>3378</v>
      </c>
      <c r="B993">
        <v>5159</v>
      </c>
    </row>
    <row r="994" spans="1:2" x14ac:dyDescent="0.35">
      <c r="A994" t="s">
        <v>3376</v>
      </c>
      <c r="B994">
        <v>5158</v>
      </c>
    </row>
    <row r="995" spans="1:2" x14ac:dyDescent="0.35">
      <c r="A995" t="s">
        <v>738</v>
      </c>
      <c r="B995">
        <v>52</v>
      </c>
    </row>
    <row r="996" spans="1:2" x14ac:dyDescent="0.35">
      <c r="A996" t="s">
        <v>811</v>
      </c>
      <c r="B996">
        <v>5468</v>
      </c>
    </row>
    <row r="997" spans="1:2" x14ac:dyDescent="0.35">
      <c r="A997" t="s">
        <v>751</v>
      </c>
      <c r="B997">
        <v>5298</v>
      </c>
    </row>
    <row r="998" spans="1:2" x14ac:dyDescent="0.35">
      <c r="A998" t="s">
        <v>3384</v>
      </c>
      <c r="B998">
        <v>5170</v>
      </c>
    </row>
    <row r="999" spans="1:2" x14ac:dyDescent="0.35">
      <c r="A999" t="s">
        <v>3270</v>
      </c>
      <c r="B999">
        <v>5502</v>
      </c>
    </row>
    <row r="1000" spans="1:2" x14ac:dyDescent="0.35">
      <c r="A1000" t="s">
        <v>3387</v>
      </c>
      <c r="B1000">
        <v>5301</v>
      </c>
    </row>
    <row r="1001" spans="1:2" x14ac:dyDescent="0.35">
      <c r="A1001" t="s">
        <v>3389</v>
      </c>
      <c r="B1001">
        <v>5160</v>
      </c>
    </row>
    <row r="1002" spans="1:2" x14ac:dyDescent="0.35">
      <c r="A1002" t="s">
        <v>868</v>
      </c>
      <c r="B1002">
        <v>5300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6E72-8628-439F-8BCC-9623A93B2D65}">
  <dimension ref="A1:D1950"/>
  <sheetViews>
    <sheetView workbookViewId="0">
      <selection activeCell="F7" sqref="F7"/>
    </sheetView>
  </sheetViews>
  <sheetFormatPr baseColWidth="10" defaultRowHeight="14.5" x14ac:dyDescent="0.35"/>
  <sheetData>
    <row r="1" spans="1:4" x14ac:dyDescent="0.35">
      <c r="A1">
        <v>2</v>
      </c>
      <c r="B1" t="s">
        <v>4229</v>
      </c>
      <c r="C1">
        <v>2</v>
      </c>
      <c r="D1" t="s">
        <v>3539</v>
      </c>
    </row>
    <row r="2" spans="1:4" x14ac:dyDescent="0.35">
      <c r="A2">
        <v>3</v>
      </c>
      <c r="B2" t="s">
        <v>4230</v>
      </c>
      <c r="C2">
        <v>2</v>
      </c>
      <c r="D2" t="s">
        <v>3549</v>
      </c>
    </row>
    <row r="3" spans="1:4" x14ac:dyDescent="0.35">
      <c r="A3">
        <v>4</v>
      </c>
      <c r="B3" t="s">
        <v>4231</v>
      </c>
      <c r="C3">
        <v>2</v>
      </c>
      <c r="D3" t="s">
        <v>3605</v>
      </c>
    </row>
    <row r="4" spans="1:4" x14ac:dyDescent="0.35">
      <c r="A4">
        <v>5</v>
      </c>
      <c r="B4" t="s">
        <v>4232</v>
      </c>
      <c r="C4">
        <v>2</v>
      </c>
      <c r="D4" t="s">
        <v>3623</v>
      </c>
    </row>
    <row r="5" spans="1:4" x14ac:dyDescent="0.35">
      <c r="A5">
        <v>6</v>
      </c>
      <c r="B5" t="s">
        <v>4233</v>
      </c>
      <c r="C5">
        <v>2</v>
      </c>
      <c r="D5" t="s">
        <v>3646</v>
      </c>
    </row>
    <row r="6" spans="1:4" x14ac:dyDescent="0.35">
      <c r="A6">
        <v>7</v>
      </c>
      <c r="B6" t="s">
        <v>4234</v>
      </c>
      <c r="C6">
        <v>2</v>
      </c>
      <c r="D6" t="s">
        <v>3664</v>
      </c>
    </row>
    <row r="7" spans="1:4" x14ac:dyDescent="0.35">
      <c r="A7">
        <v>8</v>
      </c>
      <c r="B7" t="s">
        <v>4235</v>
      </c>
      <c r="C7">
        <v>2</v>
      </c>
      <c r="D7" t="s">
        <v>3674</v>
      </c>
    </row>
    <row r="8" spans="1:4" x14ac:dyDescent="0.35">
      <c r="A8">
        <v>9</v>
      </c>
      <c r="B8" t="s">
        <v>4236</v>
      </c>
      <c r="C8">
        <v>2</v>
      </c>
      <c r="D8" t="s">
        <v>3754</v>
      </c>
    </row>
    <row r="9" spans="1:4" x14ac:dyDescent="0.35">
      <c r="A9">
        <v>10</v>
      </c>
      <c r="B9" t="s">
        <v>4237</v>
      </c>
      <c r="C9">
        <v>2</v>
      </c>
      <c r="D9" t="s">
        <v>3801</v>
      </c>
    </row>
    <row r="10" spans="1:4" x14ac:dyDescent="0.35">
      <c r="A10">
        <v>11</v>
      </c>
      <c r="B10" t="s">
        <v>4238</v>
      </c>
      <c r="C10">
        <v>2</v>
      </c>
      <c r="D10" t="s">
        <v>3802</v>
      </c>
    </row>
    <row r="11" spans="1:4" x14ac:dyDescent="0.35">
      <c r="A11">
        <v>12</v>
      </c>
      <c r="B11" t="s">
        <v>3520</v>
      </c>
      <c r="C11">
        <v>3</v>
      </c>
      <c r="D11" t="s">
        <v>3520</v>
      </c>
    </row>
    <row r="12" spans="1:4" x14ac:dyDescent="0.35">
      <c r="A12">
        <v>13</v>
      </c>
      <c r="B12" t="s">
        <v>4239</v>
      </c>
      <c r="C12">
        <v>3</v>
      </c>
      <c r="D12" t="s">
        <v>3529</v>
      </c>
    </row>
    <row r="13" spans="1:4" x14ac:dyDescent="0.35">
      <c r="A13">
        <v>14</v>
      </c>
      <c r="B13" t="s">
        <v>3530</v>
      </c>
      <c r="C13">
        <v>3</v>
      </c>
      <c r="D13" t="s">
        <v>3530</v>
      </c>
    </row>
    <row r="14" spans="1:4" x14ac:dyDescent="0.35">
      <c r="A14">
        <v>15</v>
      </c>
      <c r="B14" t="s">
        <v>3548</v>
      </c>
      <c r="C14">
        <v>3</v>
      </c>
      <c r="D14" t="s">
        <v>3548</v>
      </c>
    </row>
    <row r="15" spans="1:4" x14ac:dyDescent="0.35">
      <c r="A15">
        <v>18</v>
      </c>
      <c r="B15" t="s">
        <v>4240</v>
      </c>
      <c r="C15">
        <v>3</v>
      </c>
      <c r="D15" t="s">
        <v>3598</v>
      </c>
    </row>
    <row r="16" spans="1:4" x14ac:dyDescent="0.35">
      <c r="A16">
        <v>20</v>
      </c>
      <c r="B16" t="s">
        <v>4241</v>
      </c>
      <c r="C16">
        <v>3</v>
      </c>
      <c r="D16" t="s">
        <v>3620</v>
      </c>
    </row>
    <row r="17" spans="1:4" x14ac:dyDescent="0.35">
      <c r="A17">
        <v>21</v>
      </c>
      <c r="B17" t="s">
        <v>4242</v>
      </c>
      <c r="C17">
        <v>3</v>
      </c>
      <c r="D17" t="s">
        <v>3622</v>
      </c>
    </row>
    <row r="18" spans="1:4" x14ac:dyDescent="0.35">
      <c r="A18">
        <v>22</v>
      </c>
      <c r="B18" t="s">
        <v>4243</v>
      </c>
      <c r="C18">
        <v>3</v>
      </c>
      <c r="D18" t="s">
        <v>3624</v>
      </c>
    </row>
    <row r="19" spans="1:4" x14ac:dyDescent="0.35">
      <c r="A19">
        <v>23</v>
      </c>
      <c r="B19" t="s">
        <v>3646</v>
      </c>
      <c r="C19">
        <v>3</v>
      </c>
      <c r="D19" t="s">
        <v>3646</v>
      </c>
    </row>
    <row r="20" spans="1:4" x14ac:dyDescent="0.35">
      <c r="A20">
        <v>24</v>
      </c>
      <c r="B20" t="s">
        <v>4244</v>
      </c>
      <c r="C20">
        <v>3</v>
      </c>
      <c r="D20" t="s">
        <v>3647</v>
      </c>
    </row>
    <row r="21" spans="1:4" x14ac:dyDescent="0.35">
      <c r="A21">
        <v>25</v>
      </c>
      <c r="B21" t="s">
        <v>3651</v>
      </c>
      <c r="C21">
        <v>3</v>
      </c>
      <c r="D21" t="s">
        <v>3651</v>
      </c>
    </row>
    <row r="22" spans="1:4" x14ac:dyDescent="0.35">
      <c r="A22">
        <v>26</v>
      </c>
      <c r="B22" t="s">
        <v>3653</v>
      </c>
      <c r="C22">
        <v>3</v>
      </c>
      <c r="D22" t="s">
        <v>3653</v>
      </c>
    </row>
    <row r="23" spans="1:4" x14ac:dyDescent="0.35">
      <c r="A23">
        <v>27</v>
      </c>
      <c r="B23" t="s">
        <v>3672</v>
      </c>
      <c r="C23">
        <v>3</v>
      </c>
      <c r="D23" t="s">
        <v>3672</v>
      </c>
    </row>
    <row r="24" spans="1:4" x14ac:dyDescent="0.35">
      <c r="A24">
        <v>28</v>
      </c>
      <c r="B24" t="s">
        <v>3777</v>
      </c>
      <c r="C24">
        <v>3</v>
      </c>
      <c r="D24" t="s">
        <v>3777</v>
      </c>
    </row>
    <row r="25" spans="1:4" x14ac:dyDescent="0.35">
      <c r="A25">
        <v>29</v>
      </c>
      <c r="B25" t="s">
        <v>3785</v>
      </c>
      <c r="C25">
        <v>3</v>
      </c>
      <c r="D25" t="s">
        <v>3785</v>
      </c>
    </row>
    <row r="26" spans="1:4" x14ac:dyDescent="0.35">
      <c r="A26">
        <v>30</v>
      </c>
      <c r="B26" t="s">
        <v>3811</v>
      </c>
      <c r="C26">
        <v>3</v>
      </c>
      <c r="D26" t="s">
        <v>3811</v>
      </c>
    </row>
    <row r="27" spans="1:4" x14ac:dyDescent="0.35">
      <c r="A27">
        <v>31</v>
      </c>
      <c r="B27" t="s">
        <v>4245</v>
      </c>
      <c r="C27">
        <v>3</v>
      </c>
      <c r="D27" t="s">
        <v>149</v>
      </c>
    </row>
    <row r="28" spans="1:4" x14ac:dyDescent="0.35">
      <c r="A28">
        <v>32</v>
      </c>
      <c r="B28" t="s">
        <v>4246</v>
      </c>
      <c r="C28">
        <v>5</v>
      </c>
      <c r="D28" t="s">
        <v>3514</v>
      </c>
    </row>
    <row r="29" spans="1:4" x14ac:dyDescent="0.35">
      <c r="A29">
        <v>33</v>
      </c>
      <c r="B29" t="s">
        <v>4247</v>
      </c>
      <c r="C29">
        <v>5</v>
      </c>
      <c r="D29" t="s">
        <v>3747</v>
      </c>
    </row>
    <row r="30" spans="1:4" x14ac:dyDescent="0.35">
      <c r="A30">
        <v>34</v>
      </c>
      <c r="B30" t="s">
        <v>4248</v>
      </c>
      <c r="C30">
        <v>5</v>
      </c>
      <c r="D30" t="s">
        <v>3826</v>
      </c>
    </row>
    <row r="31" spans="1:4" x14ac:dyDescent="0.35">
      <c r="A31">
        <v>35</v>
      </c>
      <c r="B31" t="s">
        <v>4246</v>
      </c>
      <c r="C31">
        <v>8</v>
      </c>
      <c r="D31" t="s">
        <v>3514</v>
      </c>
    </row>
    <row r="32" spans="1:4" x14ac:dyDescent="0.35">
      <c r="A32">
        <v>36</v>
      </c>
      <c r="B32" t="s">
        <v>3252</v>
      </c>
      <c r="C32">
        <v>157</v>
      </c>
      <c r="D32" t="s">
        <v>3253</v>
      </c>
    </row>
    <row r="33" spans="1:4" x14ac:dyDescent="0.35">
      <c r="A33">
        <v>37</v>
      </c>
      <c r="B33" t="s">
        <v>175</v>
      </c>
      <c r="C33">
        <v>157</v>
      </c>
      <c r="D33" t="s">
        <v>178</v>
      </c>
    </row>
    <row r="34" spans="1:4" x14ac:dyDescent="0.35">
      <c r="A34">
        <v>38</v>
      </c>
      <c r="B34" t="s">
        <v>437</v>
      </c>
      <c r="C34">
        <v>157</v>
      </c>
      <c r="D34" t="s">
        <v>438</v>
      </c>
    </row>
    <row r="35" spans="1:4" x14ac:dyDescent="0.35">
      <c r="A35">
        <v>39</v>
      </c>
      <c r="B35" t="s">
        <v>157</v>
      </c>
      <c r="C35">
        <v>157</v>
      </c>
      <c r="D35" t="s">
        <v>160</v>
      </c>
    </row>
    <row r="36" spans="1:4" x14ac:dyDescent="0.35">
      <c r="A36">
        <v>40</v>
      </c>
      <c r="B36" t="s">
        <v>163</v>
      </c>
      <c r="C36">
        <v>157</v>
      </c>
      <c r="D36" t="s">
        <v>164</v>
      </c>
    </row>
    <row r="37" spans="1:4" x14ac:dyDescent="0.35">
      <c r="A37">
        <v>41</v>
      </c>
      <c r="B37" t="s">
        <v>247</v>
      </c>
      <c r="C37">
        <v>157</v>
      </c>
      <c r="D37" t="s">
        <v>248</v>
      </c>
    </row>
    <row r="38" spans="1:4" x14ac:dyDescent="0.35">
      <c r="A38">
        <v>42</v>
      </c>
      <c r="B38" t="s">
        <v>2503</v>
      </c>
      <c r="C38">
        <v>157</v>
      </c>
      <c r="D38" t="s">
        <v>1944</v>
      </c>
    </row>
    <row r="39" spans="1:4" x14ac:dyDescent="0.35">
      <c r="A39">
        <v>43</v>
      </c>
      <c r="B39" t="s">
        <v>167</v>
      </c>
      <c r="C39">
        <v>157</v>
      </c>
      <c r="D39" t="s">
        <v>168</v>
      </c>
    </row>
    <row r="40" spans="1:4" x14ac:dyDescent="0.35">
      <c r="A40">
        <v>44</v>
      </c>
      <c r="B40" t="s">
        <v>171</v>
      </c>
      <c r="C40">
        <v>157</v>
      </c>
      <c r="D40" t="s">
        <v>172</v>
      </c>
    </row>
    <row r="41" spans="1:4" x14ac:dyDescent="0.35">
      <c r="A41">
        <v>45</v>
      </c>
      <c r="B41" t="s">
        <v>275</v>
      </c>
      <c r="C41">
        <v>157</v>
      </c>
      <c r="D41" t="s">
        <v>276</v>
      </c>
    </row>
    <row r="42" spans="1:4" x14ac:dyDescent="0.35">
      <c r="A42">
        <v>46</v>
      </c>
      <c r="B42" t="s">
        <v>185</v>
      </c>
      <c r="C42">
        <v>157</v>
      </c>
      <c r="D42" t="s">
        <v>186</v>
      </c>
    </row>
    <row r="43" spans="1:4" x14ac:dyDescent="0.35">
      <c r="A43">
        <v>47</v>
      </c>
      <c r="B43" t="s">
        <v>223</v>
      </c>
      <c r="C43">
        <v>157</v>
      </c>
      <c r="D43" t="s">
        <v>224</v>
      </c>
    </row>
    <row r="44" spans="1:4" x14ac:dyDescent="0.35">
      <c r="A44">
        <v>48</v>
      </c>
      <c r="B44" t="s">
        <v>565</v>
      </c>
      <c r="C44">
        <v>157</v>
      </c>
      <c r="D44" t="s">
        <v>566</v>
      </c>
    </row>
    <row r="45" spans="1:4" x14ac:dyDescent="0.35">
      <c r="A45">
        <v>49</v>
      </c>
      <c r="B45" t="s">
        <v>243</v>
      </c>
      <c r="C45">
        <v>157</v>
      </c>
      <c r="D45" t="s">
        <v>244</v>
      </c>
    </row>
    <row r="46" spans="1:4" x14ac:dyDescent="0.35">
      <c r="A46">
        <v>50</v>
      </c>
      <c r="B46" t="s">
        <v>181</v>
      </c>
      <c r="C46">
        <v>157</v>
      </c>
      <c r="D46" t="s">
        <v>182</v>
      </c>
    </row>
    <row r="47" spans="1:4" x14ac:dyDescent="0.35">
      <c r="A47">
        <v>51</v>
      </c>
      <c r="B47" t="s">
        <v>423</v>
      </c>
      <c r="C47">
        <v>157</v>
      </c>
      <c r="D47" t="s">
        <v>424</v>
      </c>
    </row>
    <row r="48" spans="1:4" x14ac:dyDescent="0.35">
      <c r="A48">
        <v>52</v>
      </c>
      <c r="B48" t="s">
        <v>411</v>
      </c>
      <c r="C48">
        <v>157</v>
      </c>
      <c r="D48" t="s">
        <v>412</v>
      </c>
    </row>
    <row r="49" spans="1:4" x14ac:dyDescent="0.35">
      <c r="A49">
        <v>53</v>
      </c>
      <c r="B49" t="s">
        <v>700</v>
      </c>
      <c r="C49">
        <v>157</v>
      </c>
      <c r="D49" t="s">
        <v>498</v>
      </c>
    </row>
    <row r="50" spans="1:4" x14ac:dyDescent="0.35">
      <c r="A50">
        <v>54</v>
      </c>
      <c r="B50" t="s">
        <v>854</v>
      </c>
      <c r="C50">
        <v>157</v>
      </c>
      <c r="D50" t="s">
        <v>855</v>
      </c>
    </row>
    <row r="51" spans="1:4" x14ac:dyDescent="0.35">
      <c r="A51">
        <v>55</v>
      </c>
      <c r="B51" t="s">
        <v>838</v>
      </c>
      <c r="C51">
        <v>157</v>
      </c>
      <c r="D51" t="s">
        <v>482</v>
      </c>
    </row>
    <row r="52" spans="1:4" x14ac:dyDescent="0.35">
      <c r="A52">
        <v>56</v>
      </c>
      <c r="B52" t="s">
        <v>2513</v>
      </c>
      <c r="C52">
        <v>157</v>
      </c>
      <c r="D52" t="s">
        <v>479</v>
      </c>
    </row>
    <row r="53" spans="1:4" x14ac:dyDescent="0.35">
      <c r="A53">
        <v>57</v>
      </c>
      <c r="B53" t="s">
        <v>2516</v>
      </c>
      <c r="C53">
        <v>157</v>
      </c>
      <c r="D53" t="s">
        <v>2517</v>
      </c>
    </row>
    <row r="54" spans="1:4" x14ac:dyDescent="0.35">
      <c r="A54">
        <v>58</v>
      </c>
      <c r="B54" t="s">
        <v>3393</v>
      </c>
      <c r="C54">
        <v>157</v>
      </c>
      <c r="D54" t="s">
        <v>3394</v>
      </c>
    </row>
    <row r="55" spans="1:4" x14ac:dyDescent="0.35">
      <c r="A55">
        <v>59</v>
      </c>
      <c r="B55" t="s">
        <v>4249</v>
      </c>
      <c r="C55">
        <v>14</v>
      </c>
      <c r="D55" t="s">
        <v>2175</v>
      </c>
    </row>
    <row r="56" spans="1:4" x14ac:dyDescent="0.35">
      <c r="A56">
        <v>60</v>
      </c>
      <c r="B56" t="s">
        <v>2953</v>
      </c>
      <c r="C56">
        <v>14</v>
      </c>
      <c r="D56" t="s">
        <v>1444</v>
      </c>
    </row>
    <row r="57" spans="1:4" x14ac:dyDescent="0.35">
      <c r="A57">
        <v>61</v>
      </c>
      <c r="B57" t="s">
        <v>4250</v>
      </c>
      <c r="C57">
        <v>14</v>
      </c>
      <c r="D57" t="s">
        <v>3108</v>
      </c>
    </row>
    <row r="58" spans="1:4" x14ac:dyDescent="0.35">
      <c r="A58">
        <v>62</v>
      </c>
      <c r="B58" t="s">
        <v>4251</v>
      </c>
      <c r="C58">
        <v>14</v>
      </c>
      <c r="D58" t="s">
        <v>4061</v>
      </c>
    </row>
    <row r="59" spans="1:4" x14ac:dyDescent="0.35">
      <c r="A59">
        <v>63</v>
      </c>
      <c r="B59" t="s">
        <v>4252</v>
      </c>
      <c r="C59">
        <v>14</v>
      </c>
      <c r="D59" t="s">
        <v>1852</v>
      </c>
    </row>
    <row r="60" spans="1:4" x14ac:dyDescent="0.35">
      <c r="A60">
        <v>64</v>
      </c>
      <c r="B60" t="s">
        <v>4253</v>
      </c>
      <c r="C60">
        <v>14</v>
      </c>
      <c r="D60" t="s">
        <v>4062</v>
      </c>
    </row>
    <row r="61" spans="1:4" x14ac:dyDescent="0.35">
      <c r="A61">
        <v>65</v>
      </c>
      <c r="B61" t="s">
        <v>4254</v>
      </c>
      <c r="C61">
        <v>14</v>
      </c>
      <c r="D61" t="s">
        <v>4072</v>
      </c>
    </row>
    <row r="62" spans="1:4" x14ac:dyDescent="0.35">
      <c r="A62">
        <v>66</v>
      </c>
      <c r="B62" t="s">
        <v>4255</v>
      </c>
      <c r="C62">
        <v>87</v>
      </c>
      <c r="D62" t="s">
        <v>3521</v>
      </c>
    </row>
    <row r="63" spans="1:4" x14ac:dyDescent="0.35">
      <c r="A63">
        <v>67</v>
      </c>
      <c r="B63" t="s">
        <v>4256</v>
      </c>
      <c r="C63">
        <v>87</v>
      </c>
      <c r="D63" t="s">
        <v>3526</v>
      </c>
    </row>
    <row r="64" spans="1:4" x14ac:dyDescent="0.35">
      <c r="A64">
        <v>68</v>
      </c>
      <c r="B64" t="s">
        <v>3530</v>
      </c>
      <c r="C64">
        <v>87</v>
      </c>
      <c r="D64" t="s">
        <v>3530</v>
      </c>
    </row>
    <row r="65" spans="1:4" x14ac:dyDescent="0.35">
      <c r="A65">
        <v>69</v>
      </c>
      <c r="B65" t="s">
        <v>4257</v>
      </c>
      <c r="C65">
        <v>87</v>
      </c>
      <c r="D65" t="s">
        <v>3539</v>
      </c>
    </row>
    <row r="66" spans="1:4" x14ac:dyDescent="0.35">
      <c r="A66">
        <v>70</v>
      </c>
      <c r="B66" t="s">
        <v>4258</v>
      </c>
      <c r="C66">
        <v>87</v>
      </c>
      <c r="D66" t="s">
        <v>3646</v>
      </c>
    </row>
    <row r="67" spans="1:4" x14ac:dyDescent="0.35">
      <c r="A67">
        <v>71</v>
      </c>
      <c r="B67" t="s">
        <v>149</v>
      </c>
      <c r="C67">
        <v>87</v>
      </c>
      <c r="D67" t="s">
        <v>459</v>
      </c>
    </row>
    <row r="68" spans="1:4" x14ac:dyDescent="0.35">
      <c r="A68">
        <v>72</v>
      </c>
      <c r="B68" t="s">
        <v>1254</v>
      </c>
      <c r="C68">
        <v>87</v>
      </c>
      <c r="D68" t="s">
        <v>1255</v>
      </c>
    </row>
    <row r="69" spans="1:4" x14ac:dyDescent="0.35">
      <c r="A69">
        <v>73</v>
      </c>
      <c r="B69" t="s">
        <v>446</v>
      </c>
      <c r="C69">
        <v>87</v>
      </c>
      <c r="D69" t="s">
        <v>449</v>
      </c>
    </row>
    <row r="70" spans="1:4" x14ac:dyDescent="0.35">
      <c r="A70">
        <v>74</v>
      </c>
      <c r="B70" t="s">
        <v>1250</v>
      </c>
      <c r="C70">
        <v>87</v>
      </c>
      <c r="D70" t="s">
        <v>248</v>
      </c>
    </row>
    <row r="71" spans="1:4" x14ac:dyDescent="0.35">
      <c r="A71">
        <v>75</v>
      </c>
      <c r="B71" t="s">
        <v>442</v>
      </c>
      <c r="C71">
        <v>87</v>
      </c>
      <c r="D71" t="s">
        <v>443</v>
      </c>
    </row>
    <row r="72" spans="1:4" x14ac:dyDescent="0.35">
      <c r="A72">
        <v>76</v>
      </c>
      <c r="B72" t="s">
        <v>4259</v>
      </c>
      <c r="C72">
        <v>87</v>
      </c>
      <c r="D72" t="s">
        <v>1992</v>
      </c>
    </row>
    <row r="73" spans="1:4" x14ac:dyDescent="0.35">
      <c r="A73">
        <v>77</v>
      </c>
      <c r="B73" t="s">
        <v>3488</v>
      </c>
      <c r="C73">
        <v>91</v>
      </c>
      <c r="D73" t="s">
        <v>3488</v>
      </c>
    </row>
    <row r="74" spans="1:4" x14ac:dyDescent="0.35">
      <c r="A74">
        <v>78</v>
      </c>
      <c r="B74" t="s">
        <v>3785</v>
      </c>
      <c r="C74">
        <v>91</v>
      </c>
      <c r="D74" t="s">
        <v>3785</v>
      </c>
    </row>
    <row r="75" spans="1:4" x14ac:dyDescent="0.35">
      <c r="A75">
        <v>80</v>
      </c>
      <c r="B75">
        <v>252366</v>
      </c>
      <c r="C75">
        <v>98</v>
      </c>
      <c r="D75" t="s">
        <v>1975</v>
      </c>
    </row>
    <row r="76" spans="1:4" x14ac:dyDescent="0.35">
      <c r="A76">
        <v>81</v>
      </c>
      <c r="B76">
        <v>252367</v>
      </c>
      <c r="C76">
        <v>98</v>
      </c>
      <c r="D76" t="s">
        <v>1709</v>
      </c>
    </row>
    <row r="77" spans="1:4" x14ac:dyDescent="0.35">
      <c r="A77">
        <v>82</v>
      </c>
      <c r="B77">
        <v>249390</v>
      </c>
      <c r="C77">
        <v>98</v>
      </c>
      <c r="D77" t="s">
        <v>1613</v>
      </c>
    </row>
    <row r="78" spans="1:4" x14ac:dyDescent="0.35">
      <c r="A78">
        <v>83</v>
      </c>
      <c r="B78" t="s">
        <v>987</v>
      </c>
      <c r="C78">
        <v>98</v>
      </c>
      <c r="D78" t="s">
        <v>4143</v>
      </c>
    </row>
    <row r="79" spans="1:4" x14ac:dyDescent="0.35">
      <c r="A79">
        <v>84</v>
      </c>
      <c r="B79" t="s">
        <v>3488</v>
      </c>
      <c r="C79">
        <v>102</v>
      </c>
      <c r="D79" t="s">
        <v>3488</v>
      </c>
    </row>
    <row r="80" spans="1:4" x14ac:dyDescent="0.35">
      <c r="A80">
        <v>85</v>
      </c>
      <c r="B80" t="s">
        <v>3584</v>
      </c>
      <c r="C80">
        <v>102</v>
      </c>
      <c r="D80" t="s">
        <v>3584</v>
      </c>
    </row>
    <row r="81" spans="1:4" x14ac:dyDescent="0.35">
      <c r="A81">
        <v>86</v>
      </c>
      <c r="B81" t="s">
        <v>3646</v>
      </c>
      <c r="C81">
        <v>102</v>
      </c>
      <c r="D81" t="s">
        <v>3646</v>
      </c>
    </row>
    <row r="82" spans="1:4" x14ac:dyDescent="0.35">
      <c r="A82">
        <v>87</v>
      </c>
      <c r="B82" t="s">
        <v>3664</v>
      </c>
      <c r="C82">
        <v>102</v>
      </c>
      <c r="D82" t="s">
        <v>3664</v>
      </c>
    </row>
    <row r="83" spans="1:4" x14ac:dyDescent="0.35">
      <c r="A83">
        <v>88</v>
      </c>
      <c r="B83" t="s">
        <v>3670</v>
      </c>
      <c r="C83">
        <v>102</v>
      </c>
      <c r="D83" t="s">
        <v>3670</v>
      </c>
    </row>
    <row r="84" spans="1:4" x14ac:dyDescent="0.35">
      <c r="A84">
        <v>89</v>
      </c>
      <c r="B84" t="s">
        <v>3678</v>
      </c>
      <c r="C84">
        <v>102</v>
      </c>
      <c r="D84" t="s">
        <v>3678</v>
      </c>
    </row>
    <row r="85" spans="1:4" x14ac:dyDescent="0.35">
      <c r="A85">
        <v>90</v>
      </c>
      <c r="B85" t="s">
        <v>4260</v>
      </c>
      <c r="C85">
        <v>105</v>
      </c>
      <c r="D85" t="s">
        <v>3664</v>
      </c>
    </row>
    <row r="86" spans="1:4" x14ac:dyDescent="0.35">
      <c r="A86">
        <v>91</v>
      </c>
      <c r="B86">
        <v>615810001</v>
      </c>
      <c r="C86">
        <v>254</v>
      </c>
      <c r="D86" t="s">
        <v>3678</v>
      </c>
    </row>
    <row r="87" spans="1:4" x14ac:dyDescent="0.35">
      <c r="A87">
        <v>92</v>
      </c>
      <c r="B87" t="s">
        <v>4261</v>
      </c>
      <c r="C87">
        <v>236</v>
      </c>
      <c r="D87" t="s">
        <v>3664</v>
      </c>
    </row>
    <row r="88" spans="1:4" x14ac:dyDescent="0.35">
      <c r="A88">
        <v>93</v>
      </c>
      <c r="B88" t="s">
        <v>3548</v>
      </c>
      <c r="C88">
        <v>237</v>
      </c>
      <c r="D88" t="s">
        <v>3548</v>
      </c>
    </row>
    <row r="89" spans="1:4" x14ac:dyDescent="0.35">
      <c r="A89">
        <v>94</v>
      </c>
      <c r="B89" t="s">
        <v>3738</v>
      </c>
      <c r="C89">
        <v>237</v>
      </c>
      <c r="D89" t="s">
        <v>3738</v>
      </c>
    </row>
    <row r="90" spans="1:4" x14ac:dyDescent="0.35">
      <c r="A90">
        <v>95</v>
      </c>
      <c r="B90" t="s">
        <v>3760</v>
      </c>
      <c r="C90">
        <v>237</v>
      </c>
      <c r="D90" t="s">
        <v>3760</v>
      </c>
    </row>
    <row r="91" spans="1:4" x14ac:dyDescent="0.35">
      <c r="A91">
        <v>96</v>
      </c>
      <c r="B91" t="s">
        <v>4262</v>
      </c>
      <c r="C91">
        <v>237</v>
      </c>
      <c r="D91" t="s">
        <v>3801</v>
      </c>
    </row>
    <row r="92" spans="1:4" x14ac:dyDescent="0.35">
      <c r="A92">
        <v>97</v>
      </c>
      <c r="B92" t="s">
        <v>4263</v>
      </c>
      <c r="C92">
        <v>242</v>
      </c>
      <c r="D92" t="s">
        <v>3844</v>
      </c>
    </row>
    <row r="93" spans="1:4" x14ac:dyDescent="0.35">
      <c r="A93">
        <v>100</v>
      </c>
      <c r="B93">
        <v>95819518</v>
      </c>
      <c r="C93">
        <v>243</v>
      </c>
      <c r="D93" t="s">
        <v>3598</v>
      </c>
    </row>
    <row r="94" spans="1:4" x14ac:dyDescent="0.35">
      <c r="A94">
        <v>103</v>
      </c>
      <c r="B94">
        <v>95850007</v>
      </c>
      <c r="C94">
        <v>243</v>
      </c>
      <c r="D94" t="s">
        <v>48</v>
      </c>
    </row>
    <row r="95" spans="1:4" x14ac:dyDescent="0.35">
      <c r="A95">
        <v>104</v>
      </c>
      <c r="B95">
        <v>95850329</v>
      </c>
      <c r="C95">
        <v>243</v>
      </c>
      <c r="D95" t="s">
        <v>35</v>
      </c>
    </row>
    <row r="96" spans="1:4" x14ac:dyDescent="0.35">
      <c r="A96">
        <v>105</v>
      </c>
      <c r="B96">
        <v>95850332</v>
      </c>
      <c r="C96">
        <v>243</v>
      </c>
      <c r="D96" t="s">
        <v>45</v>
      </c>
    </row>
    <row r="97" spans="1:4" x14ac:dyDescent="0.35">
      <c r="A97">
        <v>107</v>
      </c>
      <c r="B97">
        <v>95850330</v>
      </c>
      <c r="C97">
        <v>243</v>
      </c>
      <c r="D97" t="s">
        <v>39</v>
      </c>
    </row>
    <row r="98" spans="1:4" x14ac:dyDescent="0.35">
      <c r="A98">
        <v>108</v>
      </c>
      <c r="B98">
        <v>95850331</v>
      </c>
      <c r="C98">
        <v>243</v>
      </c>
      <c r="D98" t="s">
        <v>42</v>
      </c>
    </row>
    <row r="99" spans="1:4" x14ac:dyDescent="0.35">
      <c r="A99">
        <v>109</v>
      </c>
      <c r="B99">
        <v>95890015</v>
      </c>
      <c r="C99">
        <v>243</v>
      </c>
      <c r="D99" t="s">
        <v>2666</v>
      </c>
    </row>
    <row r="100" spans="1:4" x14ac:dyDescent="0.35">
      <c r="A100">
        <v>110</v>
      </c>
      <c r="B100">
        <v>95850340</v>
      </c>
      <c r="C100">
        <v>243</v>
      </c>
      <c r="D100" t="s">
        <v>3140</v>
      </c>
    </row>
    <row r="101" spans="1:4" x14ac:dyDescent="0.35">
      <c r="A101">
        <v>111</v>
      </c>
      <c r="B101">
        <v>95850698</v>
      </c>
      <c r="C101">
        <v>243</v>
      </c>
      <c r="D101" t="s">
        <v>2663</v>
      </c>
    </row>
    <row r="102" spans="1:4" x14ac:dyDescent="0.35">
      <c r="A102">
        <v>112</v>
      </c>
      <c r="B102">
        <v>95850340</v>
      </c>
      <c r="C102">
        <v>243</v>
      </c>
      <c r="D102" t="s">
        <v>2631</v>
      </c>
    </row>
    <row r="103" spans="1:4" x14ac:dyDescent="0.35">
      <c r="A103">
        <v>113</v>
      </c>
      <c r="B103">
        <v>96870013</v>
      </c>
      <c r="C103">
        <v>243</v>
      </c>
      <c r="D103" t="s">
        <v>459</v>
      </c>
    </row>
    <row r="104" spans="1:4" x14ac:dyDescent="0.35">
      <c r="A104">
        <v>114</v>
      </c>
      <c r="B104">
        <v>95821077</v>
      </c>
      <c r="C104">
        <v>243</v>
      </c>
      <c r="D104" t="s">
        <v>345</v>
      </c>
    </row>
    <row r="105" spans="1:4" x14ac:dyDescent="0.35">
      <c r="A105">
        <v>115</v>
      </c>
      <c r="B105">
        <v>95849363</v>
      </c>
      <c r="C105">
        <v>243</v>
      </c>
      <c r="D105" t="s">
        <v>1773</v>
      </c>
    </row>
    <row r="106" spans="1:4" x14ac:dyDescent="0.35">
      <c r="A106">
        <v>116</v>
      </c>
      <c r="B106" t="s">
        <v>4264</v>
      </c>
      <c r="C106">
        <v>245</v>
      </c>
      <c r="D106" t="s">
        <v>3586</v>
      </c>
    </row>
    <row r="107" spans="1:4" x14ac:dyDescent="0.35">
      <c r="A107">
        <v>117</v>
      </c>
      <c r="B107" t="s">
        <v>3664</v>
      </c>
      <c r="C107">
        <v>246</v>
      </c>
      <c r="D107" t="s">
        <v>3664</v>
      </c>
    </row>
    <row r="108" spans="1:4" x14ac:dyDescent="0.35">
      <c r="A108">
        <v>119</v>
      </c>
      <c r="B108" t="s">
        <v>4265</v>
      </c>
      <c r="C108">
        <v>248</v>
      </c>
      <c r="D108" t="s">
        <v>3584</v>
      </c>
    </row>
    <row r="109" spans="1:4" x14ac:dyDescent="0.35">
      <c r="A109">
        <v>120</v>
      </c>
      <c r="B109" t="s">
        <v>4266</v>
      </c>
      <c r="C109">
        <v>248</v>
      </c>
      <c r="D109" t="s">
        <v>3843</v>
      </c>
    </row>
    <row r="110" spans="1:4" x14ac:dyDescent="0.35">
      <c r="A110">
        <v>121</v>
      </c>
      <c r="B110" t="s">
        <v>4267</v>
      </c>
      <c r="C110">
        <v>642</v>
      </c>
      <c r="D110" t="s">
        <v>3514</v>
      </c>
    </row>
    <row r="111" spans="1:4" x14ac:dyDescent="0.35">
      <c r="A111">
        <v>124</v>
      </c>
      <c r="B111" t="s">
        <v>4268</v>
      </c>
      <c r="C111">
        <v>642</v>
      </c>
      <c r="D111" t="s">
        <v>3598</v>
      </c>
    </row>
    <row r="112" spans="1:4" x14ac:dyDescent="0.35">
      <c r="A112">
        <v>125</v>
      </c>
      <c r="B112" t="s">
        <v>4269</v>
      </c>
      <c r="C112">
        <v>642</v>
      </c>
      <c r="D112" t="s">
        <v>3610</v>
      </c>
    </row>
    <row r="113" spans="1:4" x14ac:dyDescent="0.35">
      <c r="A113">
        <v>126</v>
      </c>
      <c r="B113" t="s">
        <v>4270</v>
      </c>
      <c r="C113">
        <v>642</v>
      </c>
      <c r="D113" t="s">
        <v>3624</v>
      </c>
    </row>
    <row r="114" spans="1:4" x14ac:dyDescent="0.35">
      <c r="A114">
        <v>127</v>
      </c>
      <c r="B114" t="s">
        <v>4271</v>
      </c>
      <c r="C114">
        <v>642</v>
      </c>
      <c r="D114" t="s">
        <v>3637</v>
      </c>
    </row>
    <row r="115" spans="1:4" x14ac:dyDescent="0.35">
      <c r="A115">
        <v>128</v>
      </c>
      <c r="B115" t="s">
        <v>4272</v>
      </c>
      <c r="C115">
        <v>642</v>
      </c>
      <c r="D115" t="s">
        <v>3664</v>
      </c>
    </row>
    <row r="116" spans="1:4" x14ac:dyDescent="0.35">
      <c r="A116">
        <v>129</v>
      </c>
      <c r="B116" t="s">
        <v>4273</v>
      </c>
      <c r="C116">
        <v>642</v>
      </c>
      <c r="D116" t="s">
        <v>3670</v>
      </c>
    </row>
    <row r="117" spans="1:4" x14ac:dyDescent="0.35">
      <c r="A117">
        <v>130</v>
      </c>
      <c r="B117" t="s">
        <v>4274</v>
      </c>
      <c r="C117">
        <v>642</v>
      </c>
      <c r="D117" t="s">
        <v>3702</v>
      </c>
    </row>
    <row r="118" spans="1:4" x14ac:dyDescent="0.35">
      <c r="A118">
        <v>131</v>
      </c>
      <c r="B118" t="s">
        <v>4275</v>
      </c>
      <c r="C118">
        <v>642</v>
      </c>
      <c r="D118" t="s">
        <v>3801</v>
      </c>
    </row>
    <row r="119" spans="1:4" x14ac:dyDescent="0.35">
      <c r="A119">
        <v>132</v>
      </c>
      <c r="B119" t="s">
        <v>4276</v>
      </c>
      <c r="C119">
        <v>642</v>
      </c>
      <c r="D119" t="s">
        <v>3843</v>
      </c>
    </row>
    <row r="120" spans="1:4" x14ac:dyDescent="0.35">
      <c r="A120">
        <v>133</v>
      </c>
      <c r="B120" t="s">
        <v>4277</v>
      </c>
      <c r="C120">
        <v>642</v>
      </c>
      <c r="D120" t="s">
        <v>3868</v>
      </c>
    </row>
    <row r="121" spans="1:4" x14ac:dyDescent="0.35">
      <c r="A121">
        <v>134</v>
      </c>
      <c r="B121" t="s">
        <v>1555</v>
      </c>
      <c r="C121">
        <v>642</v>
      </c>
      <c r="D121" t="s">
        <v>1557</v>
      </c>
    </row>
    <row r="122" spans="1:4" x14ac:dyDescent="0.35">
      <c r="A122">
        <v>135</v>
      </c>
      <c r="B122" t="s">
        <v>4278</v>
      </c>
      <c r="C122">
        <v>642</v>
      </c>
      <c r="D122" t="s">
        <v>3869</v>
      </c>
    </row>
    <row r="123" spans="1:4" x14ac:dyDescent="0.35">
      <c r="A123">
        <v>136</v>
      </c>
      <c r="B123" t="s">
        <v>4279</v>
      </c>
      <c r="C123">
        <v>642</v>
      </c>
      <c r="D123" t="s">
        <v>149</v>
      </c>
    </row>
    <row r="124" spans="1:4" x14ac:dyDescent="0.35">
      <c r="A124">
        <v>137</v>
      </c>
      <c r="B124" t="s">
        <v>652</v>
      </c>
      <c r="C124">
        <v>642</v>
      </c>
      <c r="D124" t="s">
        <v>459</v>
      </c>
    </row>
    <row r="125" spans="1:4" x14ac:dyDescent="0.35">
      <c r="A125">
        <v>138</v>
      </c>
      <c r="B125" t="s">
        <v>4280</v>
      </c>
      <c r="C125">
        <v>642</v>
      </c>
      <c r="D125" t="s">
        <v>4146</v>
      </c>
    </row>
    <row r="126" spans="1:4" x14ac:dyDescent="0.35">
      <c r="A126">
        <v>139</v>
      </c>
      <c r="B126" t="s">
        <v>4281</v>
      </c>
      <c r="C126">
        <v>642</v>
      </c>
      <c r="D126" t="s">
        <v>4159</v>
      </c>
    </row>
    <row r="127" spans="1:4" x14ac:dyDescent="0.35">
      <c r="A127">
        <v>140</v>
      </c>
      <c r="B127" t="s">
        <v>4282</v>
      </c>
      <c r="C127">
        <v>642</v>
      </c>
      <c r="D127" t="s">
        <v>4176</v>
      </c>
    </row>
    <row r="128" spans="1:4" x14ac:dyDescent="0.35">
      <c r="A128">
        <v>141</v>
      </c>
      <c r="B128" t="s">
        <v>3548</v>
      </c>
      <c r="C128">
        <v>256</v>
      </c>
      <c r="D128" t="s">
        <v>3548</v>
      </c>
    </row>
    <row r="129" spans="1:4" x14ac:dyDescent="0.35">
      <c r="A129">
        <v>142</v>
      </c>
      <c r="B129">
        <v>50193</v>
      </c>
      <c r="C129">
        <v>257</v>
      </c>
      <c r="D129" t="s">
        <v>3637</v>
      </c>
    </row>
    <row r="130" spans="1:4" x14ac:dyDescent="0.35">
      <c r="A130">
        <v>143</v>
      </c>
      <c r="B130">
        <v>50169</v>
      </c>
      <c r="C130">
        <v>257</v>
      </c>
      <c r="D130" t="s">
        <v>3668</v>
      </c>
    </row>
    <row r="131" spans="1:4" x14ac:dyDescent="0.35">
      <c r="A131">
        <v>144</v>
      </c>
      <c r="B131">
        <v>51017</v>
      </c>
      <c r="C131">
        <v>257</v>
      </c>
      <c r="D131" t="s">
        <v>3702</v>
      </c>
    </row>
    <row r="132" spans="1:4" x14ac:dyDescent="0.35">
      <c r="A132">
        <v>145</v>
      </c>
      <c r="B132" t="s">
        <v>4283</v>
      </c>
      <c r="C132">
        <v>258</v>
      </c>
      <c r="D132" t="s">
        <v>3548</v>
      </c>
    </row>
    <row r="133" spans="1:4" x14ac:dyDescent="0.35">
      <c r="A133">
        <v>146</v>
      </c>
      <c r="B133" t="s">
        <v>4284</v>
      </c>
      <c r="C133">
        <v>258</v>
      </c>
      <c r="D133" t="s">
        <v>3647</v>
      </c>
    </row>
    <row r="134" spans="1:4" x14ac:dyDescent="0.35">
      <c r="A134">
        <v>147</v>
      </c>
      <c r="B134" t="s">
        <v>4285</v>
      </c>
      <c r="C134">
        <v>258</v>
      </c>
      <c r="D134" t="s">
        <v>3664</v>
      </c>
    </row>
    <row r="135" spans="1:4" x14ac:dyDescent="0.35">
      <c r="A135">
        <v>148</v>
      </c>
      <c r="B135" t="s">
        <v>4286</v>
      </c>
      <c r="C135">
        <v>258</v>
      </c>
      <c r="D135" t="s">
        <v>3702</v>
      </c>
    </row>
    <row r="136" spans="1:4" x14ac:dyDescent="0.35">
      <c r="A136">
        <v>149</v>
      </c>
      <c r="B136" t="s">
        <v>4287</v>
      </c>
      <c r="C136">
        <v>259</v>
      </c>
      <c r="D136" t="s">
        <v>3664</v>
      </c>
    </row>
    <row r="137" spans="1:4" x14ac:dyDescent="0.35">
      <c r="A137">
        <v>150</v>
      </c>
      <c r="B137" t="s">
        <v>3790</v>
      </c>
      <c r="C137">
        <v>260</v>
      </c>
      <c r="D137" t="s">
        <v>3790</v>
      </c>
    </row>
    <row r="138" spans="1:4" x14ac:dyDescent="0.35">
      <c r="A138">
        <v>151</v>
      </c>
      <c r="B138" t="s">
        <v>4288</v>
      </c>
      <c r="C138">
        <v>261</v>
      </c>
      <c r="D138" t="s">
        <v>3584</v>
      </c>
    </row>
    <row r="139" spans="1:4" x14ac:dyDescent="0.35">
      <c r="A139">
        <v>152</v>
      </c>
      <c r="B139" t="s">
        <v>4289</v>
      </c>
      <c r="C139">
        <v>261</v>
      </c>
      <c r="D139" t="s">
        <v>3664</v>
      </c>
    </row>
    <row r="140" spans="1:4" x14ac:dyDescent="0.35">
      <c r="A140">
        <v>153</v>
      </c>
      <c r="B140" t="s">
        <v>4290</v>
      </c>
      <c r="C140">
        <v>261</v>
      </c>
      <c r="D140" t="s">
        <v>3668</v>
      </c>
    </row>
    <row r="141" spans="1:4" x14ac:dyDescent="0.35">
      <c r="A141">
        <v>154</v>
      </c>
      <c r="B141" t="s">
        <v>4291</v>
      </c>
      <c r="C141">
        <v>261</v>
      </c>
      <c r="D141" t="s">
        <v>3734</v>
      </c>
    </row>
    <row r="142" spans="1:4" x14ac:dyDescent="0.35">
      <c r="A142">
        <v>155</v>
      </c>
      <c r="B142" t="s">
        <v>4292</v>
      </c>
      <c r="C142">
        <v>261</v>
      </c>
      <c r="D142" t="s">
        <v>3738</v>
      </c>
    </row>
    <row r="143" spans="1:4" x14ac:dyDescent="0.35">
      <c r="A143">
        <v>156</v>
      </c>
      <c r="B143" t="s">
        <v>4293</v>
      </c>
      <c r="C143">
        <v>261</v>
      </c>
      <c r="D143" t="s">
        <v>3747</v>
      </c>
    </row>
    <row r="144" spans="1:4" x14ac:dyDescent="0.35">
      <c r="A144">
        <v>157</v>
      </c>
      <c r="B144" t="s">
        <v>4294</v>
      </c>
      <c r="C144">
        <v>261</v>
      </c>
      <c r="D144" t="s">
        <v>3777</v>
      </c>
    </row>
    <row r="145" spans="1:4" x14ac:dyDescent="0.35">
      <c r="A145">
        <v>3764</v>
      </c>
      <c r="B145" t="s">
        <v>4295</v>
      </c>
      <c r="C145">
        <v>836</v>
      </c>
      <c r="D145" t="s">
        <v>459</v>
      </c>
    </row>
    <row r="146" spans="1:4" x14ac:dyDescent="0.35">
      <c r="A146">
        <v>3765</v>
      </c>
      <c r="B146" t="s">
        <v>4296</v>
      </c>
      <c r="C146">
        <v>836</v>
      </c>
      <c r="D146" t="s">
        <v>4159</v>
      </c>
    </row>
    <row r="147" spans="1:4" x14ac:dyDescent="0.35">
      <c r="A147">
        <v>3766</v>
      </c>
      <c r="B147" t="s">
        <v>3455</v>
      </c>
      <c r="C147">
        <v>275</v>
      </c>
      <c r="D147" t="s">
        <v>3455</v>
      </c>
    </row>
    <row r="148" spans="1:4" x14ac:dyDescent="0.35">
      <c r="A148">
        <v>3767</v>
      </c>
      <c r="B148">
        <v>72573</v>
      </c>
      <c r="C148">
        <v>275</v>
      </c>
      <c r="D148" t="s">
        <v>3459</v>
      </c>
    </row>
    <row r="149" spans="1:4" x14ac:dyDescent="0.35">
      <c r="A149">
        <v>3768</v>
      </c>
      <c r="B149">
        <v>57227</v>
      </c>
      <c r="C149">
        <v>275</v>
      </c>
      <c r="D149" t="s">
        <v>3460</v>
      </c>
    </row>
    <row r="150" spans="1:4" x14ac:dyDescent="0.35">
      <c r="A150">
        <v>3769</v>
      </c>
      <c r="B150">
        <v>71376</v>
      </c>
      <c r="C150">
        <v>275</v>
      </c>
      <c r="D150" t="s">
        <v>3493</v>
      </c>
    </row>
    <row r="151" spans="1:4" x14ac:dyDescent="0.35">
      <c r="A151">
        <v>3770</v>
      </c>
      <c r="B151">
        <v>57225</v>
      </c>
      <c r="C151">
        <v>275</v>
      </c>
      <c r="D151" t="s">
        <v>3548</v>
      </c>
    </row>
    <row r="152" spans="1:4" x14ac:dyDescent="0.35">
      <c r="A152">
        <v>3771</v>
      </c>
      <c r="B152">
        <v>53346</v>
      </c>
      <c r="C152">
        <v>275</v>
      </c>
      <c r="D152" t="s">
        <v>3738</v>
      </c>
    </row>
    <row r="153" spans="1:4" x14ac:dyDescent="0.35">
      <c r="A153">
        <v>3772</v>
      </c>
      <c r="B153" t="s">
        <v>3670</v>
      </c>
      <c r="C153">
        <v>277</v>
      </c>
      <c r="D153" t="s">
        <v>3670</v>
      </c>
    </row>
    <row r="154" spans="1:4" x14ac:dyDescent="0.35">
      <c r="A154">
        <v>3773</v>
      </c>
      <c r="B154" t="s">
        <v>3777</v>
      </c>
      <c r="C154">
        <v>278</v>
      </c>
      <c r="D154" t="s">
        <v>3777</v>
      </c>
    </row>
    <row r="155" spans="1:4" x14ac:dyDescent="0.35">
      <c r="A155">
        <v>3774</v>
      </c>
      <c r="B155" t="s">
        <v>4297</v>
      </c>
      <c r="C155">
        <v>280</v>
      </c>
      <c r="D155" t="s">
        <v>3647</v>
      </c>
    </row>
    <row r="156" spans="1:4" x14ac:dyDescent="0.35">
      <c r="A156">
        <v>3775</v>
      </c>
      <c r="B156">
        <v>292305</v>
      </c>
      <c r="C156">
        <v>282</v>
      </c>
      <c r="D156" t="s">
        <v>3674</v>
      </c>
    </row>
    <row r="157" spans="1:4" x14ac:dyDescent="0.35">
      <c r="A157">
        <v>3776</v>
      </c>
      <c r="B157">
        <v>805375</v>
      </c>
      <c r="C157">
        <v>283</v>
      </c>
      <c r="D157" t="s">
        <v>3664</v>
      </c>
    </row>
    <row r="158" spans="1:4" x14ac:dyDescent="0.35">
      <c r="A158">
        <v>3777</v>
      </c>
      <c r="B158">
        <v>807277</v>
      </c>
      <c r="C158">
        <v>283</v>
      </c>
      <c r="D158" t="s">
        <v>3668</v>
      </c>
    </row>
    <row r="159" spans="1:4" x14ac:dyDescent="0.35">
      <c r="A159">
        <v>3778</v>
      </c>
      <c r="B159" t="s">
        <v>4298</v>
      </c>
      <c r="C159">
        <v>370</v>
      </c>
      <c r="D159" t="s">
        <v>3646</v>
      </c>
    </row>
    <row r="160" spans="1:4" x14ac:dyDescent="0.35">
      <c r="A160">
        <v>3779</v>
      </c>
      <c r="B160" t="s">
        <v>4261</v>
      </c>
      <c r="C160">
        <v>284</v>
      </c>
      <c r="D160" t="s">
        <v>3664</v>
      </c>
    </row>
    <row r="161" spans="1:4" x14ac:dyDescent="0.35">
      <c r="A161">
        <v>3780</v>
      </c>
      <c r="B161" t="s">
        <v>4299</v>
      </c>
      <c r="C161">
        <v>285</v>
      </c>
      <c r="D161" t="s">
        <v>3843</v>
      </c>
    </row>
    <row r="162" spans="1:4" x14ac:dyDescent="0.35">
      <c r="A162">
        <v>3781</v>
      </c>
      <c r="B162" t="s">
        <v>4300</v>
      </c>
      <c r="C162">
        <v>286</v>
      </c>
      <c r="D162" t="s">
        <v>3664</v>
      </c>
    </row>
    <row r="163" spans="1:4" x14ac:dyDescent="0.35">
      <c r="A163">
        <v>3782</v>
      </c>
      <c r="B163">
        <v>1027554</v>
      </c>
      <c r="C163">
        <v>289</v>
      </c>
      <c r="D163" t="s">
        <v>2217</v>
      </c>
    </row>
    <row r="164" spans="1:4" x14ac:dyDescent="0.35">
      <c r="A164">
        <v>3783</v>
      </c>
      <c r="B164">
        <v>1029294</v>
      </c>
      <c r="C164">
        <v>289</v>
      </c>
      <c r="D164" t="s">
        <v>2209</v>
      </c>
    </row>
    <row r="165" spans="1:4" x14ac:dyDescent="0.35">
      <c r="A165">
        <v>3784</v>
      </c>
      <c r="B165">
        <v>1027553</v>
      </c>
      <c r="C165">
        <v>289</v>
      </c>
      <c r="D165" t="s">
        <v>2213</v>
      </c>
    </row>
    <row r="166" spans="1:4" x14ac:dyDescent="0.35">
      <c r="A166">
        <v>3785</v>
      </c>
      <c r="B166" t="s">
        <v>3488</v>
      </c>
      <c r="C166">
        <v>290</v>
      </c>
      <c r="D166" t="s">
        <v>3488</v>
      </c>
    </row>
    <row r="167" spans="1:4" x14ac:dyDescent="0.35">
      <c r="A167">
        <v>3786</v>
      </c>
      <c r="B167" t="s">
        <v>4301</v>
      </c>
      <c r="C167">
        <v>290</v>
      </c>
      <c r="D167" t="s">
        <v>3637</v>
      </c>
    </row>
    <row r="168" spans="1:4" x14ac:dyDescent="0.35">
      <c r="A168">
        <v>3787</v>
      </c>
      <c r="B168" t="s">
        <v>3664</v>
      </c>
      <c r="C168">
        <v>294</v>
      </c>
      <c r="D168" t="s">
        <v>3664</v>
      </c>
    </row>
    <row r="169" spans="1:4" x14ac:dyDescent="0.35">
      <c r="A169">
        <v>3788</v>
      </c>
      <c r="B169">
        <v>35758579</v>
      </c>
      <c r="C169">
        <v>294</v>
      </c>
      <c r="D169" t="s">
        <v>1511</v>
      </c>
    </row>
    <row r="170" spans="1:4" x14ac:dyDescent="0.35">
      <c r="A170">
        <v>3789</v>
      </c>
      <c r="B170">
        <v>35758282</v>
      </c>
      <c r="C170">
        <v>294</v>
      </c>
      <c r="D170" t="s">
        <v>496</v>
      </c>
    </row>
    <row r="171" spans="1:4" x14ac:dyDescent="0.35">
      <c r="A171">
        <v>3790</v>
      </c>
      <c r="B171">
        <v>35848727</v>
      </c>
      <c r="C171">
        <v>294</v>
      </c>
      <c r="D171" t="s">
        <v>488</v>
      </c>
    </row>
    <row r="172" spans="1:4" x14ac:dyDescent="0.35">
      <c r="A172">
        <v>3791</v>
      </c>
      <c r="B172">
        <v>35758202</v>
      </c>
      <c r="C172">
        <v>294</v>
      </c>
      <c r="D172" t="s">
        <v>1244</v>
      </c>
    </row>
    <row r="173" spans="1:4" x14ac:dyDescent="0.35">
      <c r="A173">
        <v>3792</v>
      </c>
      <c r="B173">
        <v>35738189</v>
      </c>
      <c r="C173">
        <v>294</v>
      </c>
      <c r="D173" t="s">
        <v>1740</v>
      </c>
    </row>
    <row r="174" spans="1:4" x14ac:dyDescent="0.35">
      <c r="A174">
        <v>3793</v>
      </c>
      <c r="B174">
        <v>35738185</v>
      </c>
      <c r="C174">
        <v>294</v>
      </c>
      <c r="D174" t="s">
        <v>1318</v>
      </c>
    </row>
    <row r="175" spans="1:4" x14ac:dyDescent="0.35">
      <c r="A175">
        <v>3794</v>
      </c>
      <c r="B175">
        <v>35738186</v>
      </c>
      <c r="C175">
        <v>294</v>
      </c>
      <c r="D175" t="s">
        <v>1495</v>
      </c>
    </row>
    <row r="176" spans="1:4" x14ac:dyDescent="0.35">
      <c r="A176">
        <v>3795</v>
      </c>
      <c r="B176">
        <v>35738172</v>
      </c>
      <c r="C176">
        <v>294</v>
      </c>
      <c r="D176" t="s">
        <v>2031</v>
      </c>
    </row>
    <row r="177" spans="1:4" x14ac:dyDescent="0.35">
      <c r="A177">
        <v>3796</v>
      </c>
      <c r="B177">
        <v>35738173</v>
      </c>
      <c r="C177">
        <v>294</v>
      </c>
      <c r="D177" t="s">
        <v>1200</v>
      </c>
    </row>
    <row r="178" spans="1:4" x14ac:dyDescent="0.35">
      <c r="A178">
        <v>3797</v>
      </c>
      <c r="B178">
        <v>35758196</v>
      </c>
      <c r="C178">
        <v>294</v>
      </c>
      <c r="D178" t="s">
        <v>2063</v>
      </c>
    </row>
    <row r="179" spans="1:4" x14ac:dyDescent="0.35">
      <c r="A179">
        <v>3798</v>
      </c>
      <c r="B179">
        <v>35758255</v>
      </c>
      <c r="C179">
        <v>294</v>
      </c>
      <c r="D179" t="s">
        <v>1387</v>
      </c>
    </row>
    <row r="180" spans="1:4" x14ac:dyDescent="0.35">
      <c r="A180">
        <v>3799</v>
      </c>
      <c r="B180">
        <v>35758263</v>
      </c>
      <c r="C180">
        <v>294</v>
      </c>
      <c r="D180" t="s">
        <v>1491</v>
      </c>
    </row>
    <row r="181" spans="1:4" x14ac:dyDescent="0.35">
      <c r="A181">
        <v>3800</v>
      </c>
      <c r="B181">
        <v>35758268</v>
      </c>
      <c r="C181">
        <v>294</v>
      </c>
      <c r="D181" t="s">
        <v>1366</v>
      </c>
    </row>
    <row r="182" spans="1:4" x14ac:dyDescent="0.35">
      <c r="A182">
        <v>3801</v>
      </c>
      <c r="B182">
        <v>35758281</v>
      </c>
      <c r="C182">
        <v>294</v>
      </c>
      <c r="D182" t="s">
        <v>1196</v>
      </c>
    </row>
    <row r="183" spans="1:4" x14ac:dyDescent="0.35">
      <c r="A183">
        <v>3802</v>
      </c>
      <c r="B183">
        <v>35946893</v>
      </c>
      <c r="C183">
        <v>294</v>
      </c>
      <c r="D183" t="s">
        <v>2346</v>
      </c>
    </row>
    <row r="184" spans="1:4" x14ac:dyDescent="0.35">
      <c r="A184">
        <v>3803</v>
      </c>
      <c r="B184">
        <v>35770188</v>
      </c>
      <c r="C184">
        <v>294</v>
      </c>
      <c r="D184" t="s">
        <v>1097</v>
      </c>
    </row>
    <row r="185" spans="1:4" x14ac:dyDescent="0.35">
      <c r="A185">
        <v>3804</v>
      </c>
      <c r="B185">
        <v>35774147</v>
      </c>
      <c r="C185">
        <v>294</v>
      </c>
      <c r="D185" t="s">
        <v>1211</v>
      </c>
    </row>
    <row r="186" spans="1:4" x14ac:dyDescent="0.35">
      <c r="A186">
        <v>3805</v>
      </c>
      <c r="B186">
        <v>35777315</v>
      </c>
      <c r="C186">
        <v>294</v>
      </c>
      <c r="D186" t="s">
        <v>1630</v>
      </c>
    </row>
    <row r="187" spans="1:4" x14ac:dyDescent="0.35">
      <c r="A187">
        <v>3806</v>
      </c>
      <c r="B187">
        <v>35738185</v>
      </c>
      <c r="C187">
        <v>295</v>
      </c>
      <c r="D187" t="s">
        <v>1318</v>
      </c>
    </row>
    <row r="188" spans="1:4" x14ac:dyDescent="0.35">
      <c r="A188">
        <v>3807</v>
      </c>
      <c r="B188">
        <v>35738173</v>
      </c>
      <c r="C188">
        <v>295</v>
      </c>
      <c r="D188" t="s">
        <v>1200</v>
      </c>
    </row>
    <row r="189" spans="1:4" x14ac:dyDescent="0.35">
      <c r="A189">
        <v>3808</v>
      </c>
      <c r="B189">
        <v>35738192</v>
      </c>
      <c r="C189">
        <v>296</v>
      </c>
      <c r="D189" t="s">
        <v>288</v>
      </c>
    </row>
    <row r="190" spans="1:4" x14ac:dyDescent="0.35">
      <c r="A190">
        <v>3809</v>
      </c>
      <c r="B190">
        <v>35738185</v>
      </c>
      <c r="C190">
        <v>296</v>
      </c>
      <c r="D190" t="s">
        <v>1318</v>
      </c>
    </row>
    <row r="191" spans="1:4" x14ac:dyDescent="0.35">
      <c r="A191">
        <v>3810</v>
      </c>
      <c r="B191">
        <v>35738188</v>
      </c>
      <c r="C191">
        <v>296</v>
      </c>
      <c r="D191" t="s">
        <v>1732</v>
      </c>
    </row>
    <row r="192" spans="1:4" x14ac:dyDescent="0.35">
      <c r="A192">
        <v>3811</v>
      </c>
      <c r="B192">
        <v>35758207</v>
      </c>
      <c r="C192">
        <v>296</v>
      </c>
      <c r="D192" t="s">
        <v>3145</v>
      </c>
    </row>
    <row r="193" spans="1:4" x14ac:dyDescent="0.35">
      <c r="A193">
        <v>3812</v>
      </c>
      <c r="B193">
        <v>35758214</v>
      </c>
      <c r="C193">
        <v>296</v>
      </c>
      <c r="D193" t="s">
        <v>2706</v>
      </c>
    </row>
    <row r="194" spans="1:4" x14ac:dyDescent="0.35">
      <c r="A194">
        <v>3813</v>
      </c>
      <c r="B194">
        <v>35758221</v>
      </c>
      <c r="C194">
        <v>296</v>
      </c>
      <c r="D194" t="s">
        <v>1506</v>
      </c>
    </row>
    <row r="195" spans="1:4" x14ac:dyDescent="0.35">
      <c r="A195">
        <v>3814</v>
      </c>
      <c r="B195">
        <v>35758225</v>
      </c>
      <c r="C195">
        <v>296</v>
      </c>
      <c r="D195" t="s">
        <v>3152</v>
      </c>
    </row>
    <row r="196" spans="1:4" x14ac:dyDescent="0.35">
      <c r="A196">
        <v>3815</v>
      </c>
      <c r="B196">
        <v>35758202</v>
      </c>
      <c r="C196">
        <v>297</v>
      </c>
      <c r="D196" t="s">
        <v>1244</v>
      </c>
    </row>
    <row r="197" spans="1:4" x14ac:dyDescent="0.35">
      <c r="A197">
        <v>3816</v>
      </c>
      <c r="B197">
        <v>35738185</v>
      </c>
      <c r="C197">
        <v>297</v>
      </c>
      <c r="D197" t="s">
        <v>1318</v>
      </c>
    </row>
    <row r="198" spans="1:4" x14ac:dyDescent="0.35">
      <c r="A198">
        <v>3817</v>
      </c>
      <c r="B198">
        <v>35738186</v>
      </c>
      <c r="C198">
        <v>297</v>
      </c>
      <c r="D198" t="s">
        <v>1495</v>
      </c>
    </row>
    <row r="199" spans="1:4" x14ac:dyDescent="0.35">
      <c r="A199">
        <v>3818</v>
      </c>
      <c r="B199">
        <v>35738173</v>
      </c>
      <c r="C199">
        <v>297</v>
      </c>
      <c r="D199" t="s">
        <v>1200</v>
      </c>
    </row>
    <row r="200" spans="1:4" x14ac:dyDescent="0.35">
      <c r="A200">
        <v>3819</v>
      </c>
      <c r="B200">
        <v>35738186</v>
      </c>
      <c r="C200">
        <v>298</v>
      </c>
      <c r="D200" t="s">
        <v>1495</v>
      </c>
    </row>
    <row r="201" spans="1:4" x14ac:dyDescent="0.35">
      <c r="A201">
        <v>3820</v>
      </c>
      <c r="B201">
        <v>35738173</v>
      </c>
      <c r="C201">
        <v>298</v>
      </c>
      <c r="D201" t="s">
        <v>1200</v>
      </c>
    </row>
    <row r="202" spans="1:4" x14ac:dyDescent="0.35">
      <c r="A202">
        <v>3821</v>
      </c>
      <c r="B202">
        <v>35758273</v>
      </c>
      <c r="C202">
        <v>298</v>
      </c>
      <c r="D202" t="s">
        <v>3088</v>
      </c>
    </row>
    <row r="203" spans="1:4" x14ac:dyDescent="0.35">
      <c r="A203">
        <v>3822</v>
      </c>
      <c r="B203">
        <v>35738185</v>
      </c>
      <c r="C203">
        <v>299</v>
      </c>
      <c r="D203" t="s">
        <v>1318</v>
      </c>
    </row>
    <row r="204" spans="1:4" x14ac:dyDescent="0.35">
      <c r="A204">
        <v>3823</v>
      </c>
      <c r="B204">
        <v>35738173</v>
      </c>
      <c r="C204">
        <v>299</v>
      </c>
      <c r="D204" t="s">
        <v>1200</v>
      </c>
    </row>
    <row r="205" spans="1:4" x14ac:dyDescent="0.35">
      <c r="A205">
        <v>3824</v>
      </c>
      <c r="B205">
        <v>35758255</v>
      </c>
      <c r="C205">
        <v>299</v>
      </c>
      <c r="D205" t="s">
        <v>1387</v>
      </c>
    </row>
    <row r="206" spans="1:4" x14ac:dyDescent="0.35">
      <c r="A206">
        <v>3825</v>
      </c>
      <c r="B206">
        <v>35758579</v>
      </c>
      <c r="C206">
        <v>302</v>
      </c>
      <c r="D206" t="s">
        <v>1511</v>
      </c>
    </row>
    <row r="207" spans="1:4" x14ac:dyDescent="0.35">
      <c r="A207">
        <v>3826</v>
      </c>
      <c r="B207">
        <v>35738189</v>
      </c>
      <c r="C207">
        <v>302</v>
      </c>
      <c r="D207" t="s">
        <v>1740</v>
      </c>
    </row>
    <row r="208" spans="1:4" x14ac:dyDescent="0.35">
      <c r="A208">
        <v>3827</v>
      </c>
      <c r="B208">
        <v>35738173</v>
      </c>
      <c r="C208">
        <v>302</v>
      </c>
      <c r="D208" t="s">
        <v>1200</v>
      </c>
    </row>
    <row r="209" spans="1:4" x14ac:dyDescent="0.35">
      <c r="A209">
        <v>3828</v>
      </c>
      <c r="B209">
        <v>35758280</v>
      </c>
      <c r="C209">
        <v>302</v>
      </c>
      <c r="D209" t="s">
        <v>934</v>
      </c>
    </row>
    <row r="210" spans="1:4" x14ac:dyDescent="0.35">
      <c r="A210">
        <v>3829</v>
      </c>
      <c r="B210">
        <v>35774147</v>
      </c>
      <c r="C210">
        <v>302</v>
      </c>
      <c r="D210" t="s">
        <v>1211</v>
      </c>
    </row>
    <row r="211" spans="1:4" x14ac:dyDescent="0.35">
      <c r="A211">
        <v>3830</v>
      </c>
      <c r="B211">
        <v>35777315</v>
      </c>
      <c r="C211">
        <v>302</v>
      </c>
      <c r="D211" t="s">
        <v>1630</v>
      </c>
    </row>
    <row r="212" spans="1:4" x14ac:dyDescent="0.35">
      <c r="A212">
        <v>3831</v>
      </c>
      <c r="B212">
        <v>35738187</v>
      </c>
      <c r="C212">
        <v>311</v>
      </c>
      <c r="D212" t="s">
        <v>1498</v>
      </c>
    </row>
    <row r="213" spans="1:4" x14ac:dyDescent="0.35">
      <c r="A213">
        <v>3832</v>
      </c>
      <c r="B213">
        <v>35758202</v>
      </c>
      <c r="C213">
        <v>311</v>
      </c>
      <c r="D213" t="s">
        <v>1244</v>
      </c>
    </row>
    <row r="214" spans="1:4" x14ac:dyDescent="0.35">
      <c r="A214">
        <v>3833</v>
      </c>
      <c r="B214">
        <v>35738186</v>
      </c>
      <c r="C214">
        <v>311</v>
      </c>
      <c r="D214" t="s">
        <v>1495</v>
      </c>
    </row>
    <row r="215" spans="1:4" x14ac:dyDescent="0.35">
      <c r="A215">
        <v>3834</v>
      </c>
      <c r="B215">
        <v>35758259</v>
      </c>
      <c r="C215">
        <v>311</v>
      </c>
      <c r="D215" t="s">
        <v>2441</v>
      </c>
    </row>
    <row r="216" spans="1:4" x14ac:dyDescent="0.35">
      <c r="A216">
        <v>3835</v>
      </c>
      <c r="B216">
        <v>35738185</v>
      </c>
      <c r="C216">
        <v>312</v>
      </c>
      <c r="D216" t="s">
        <v>1318</v>
      </c>
    </row>
    <row r="217" spans="1:4" x14ac:dyDescent="0.35">
      <c r="A217">
        <v>3836</v>
      </c>
      <c r="B217">
        <v>35738173</v>
      </c>
      <c r="C217">
        <v>312</v>
      </c>
      <c r="D217" t="s">
        <v>1200</v>
      </c>
    </row>
    <row r="218" spans="1:4" x14ac:dyDescent="0.35">
      <c r="A218">
        <v>3837</v>
      </c>
      <c r="B218">
        <v>35758255</v>
      </c>
      <c r="C218">
        <v>312</v>
      </c>
      <c r="D218" t="s">
        <v>1387</v>
      </c>
    </row>
    <row r="219" spans="1:4" x14ac:dyDescent="0.35">
      <c r="A219">
        <v>3838</v>
      </c>
      <c r="B219">
        <v>35738185</v>
      </c>
      <c r="C219">
        <v>313</v>
      </c>
      <c r="D219" t="s">
        <v>1318</v>
      </c>
    </row>
    <row r="220" spans="1:4" x14ac:dyDescent="0.35">
      <c r="A220">
        <v>3839</v>
      </c>
      <c r="B220">
        <v>35738173</v>
      </c>
      <c r="C220">
        <v>313</v>
      </c>
      <c r="D220" t="s">
        <v>1200</v>
      </c>
    </row>
    <row r="221" spans="1:4" x14ac:dyDescent="0.35">
      <c r="A221">
        <v>3840</v>
      </c>
      <c r="B221">
        <v>35758255</v>
      </c>
      <c r="C221">
        <v>313</v>
      </c>
      <c r="D221" t="s">
        <v>1387</v>
      </c>
    </row>
    <row r="222" spans="1:4" x14ac:dyDescent="0.35">
      <c r="A222">
        <v>3841</v>
      </c>
      <c r="B222">
        <v>35758255</v>
      </c>
      <c r="C222">
        <v>314</v>
      </c>
      <c r="D222" t="s">
        <v>1387</v>
      </c>
    </row>
    <row r="223" spans="1:4" x14ac:dyDescent="0.35">
      <c r="A223">
        <v>3842</v>
      </c>
      <c r="B223">
        <v>35758579</v>
      </c>
      <c r="C223">
        <v>315</v>
      </c>
      <c r="D223" t="s">
        <v>1511</v>
      </c>
    </row>
    <row r="224" spans="1:4" x14ac:dyDescent="0.35">
      <c r="A224">
        <v>3843</v>
      </c>
      <c r="B224">
        <v>35848727</v>
      </c>
      <c r="C224">
        <v>315</v>
      </c>
      <c r="D224" t="s">
        <v>488</v>
      </c>
    </row>
    <row r="225" spans="1:4" x14ac:dyDescent="0.35">
      <c r="A225">
        <v>3844</v>
      </c>
      <c r="B225">
        <v>35738185</v>
      </c>
      <c r="C225">
        <v>315</v>
      </c>
      <c r="D225" t="s">
        <v>1318</v>
      </c>
    </row>
    <row r="226" spans="1:4" x14ac:dyDescent="0.35">
      <c r="A226">
        <v>3845</v>
      </c>
      <c r="B226">
        <v>35758255</v>
      </c>
      <c r="C226">
        <v>315</v>
      </c>
      <c r="D226" t="s">
        <v>1387</v>
      </c>
    </row>
    <row r="227" spans="1:4" x14ac:dyDescent="0.35">
      <c r="A227">
        <v>3846</v>
      </c>
      <c r="B227">
        <v>35758280</v>
      </c>
      <c r="C227">
        <v>315</v>
      </c>
      <c r="D227" t="s">
        <v>934</v>
      </c>
    </row>
    <row r="228" spans="1:4" x14ac:dyDescent="0.35">
      <c r="A228">
        <v>3847</v>
      </c>
      <c r="B228">
        <v>35770188</v>
      </c>
      <c r="C228">
        <v>315</v>
      </c>
      <c r="D228" t="s">
        <v>1097</v>
      </c>
    </row>
    <row r="229" spans="1:4" x14ac:dyDescent="0.35">
      <c r="A229">
        <v>3848</v>
      </c>
      <c r="B229">
        <v>35738195</v>
      </c>
      <c r="C229">
        <v>316</v>
      </c>
      <c r="D229" t="s">
        <v>662</v>
      </c>
    </row>
    <row r="230" spans="1:4" x14ac:dyDescent="0.35">
      <c r="A230">
        <v>3849</v>
      </c>
      <c r="B230">
        <v>35758275</v>
      </c>
      <c r="C230">
        <v>317</v>
      </c>
      <c r="D230" t="s">
        <v>296</v>
      </c>
    </row>
    <row r="231" spans="1:4" x14ac:dyDescent="0.35">
      <c r="A231">
        <v>3850</v>
      </c>
      <c r="B231">
        <v>35738192</v>
      </c>
      <c r="C231">
        <v>317</v>
      </c>
      <c r="D231" t="s">
        <v>288</v>
      </c>
    </row>
    <row r="232" spans="1:4" x14ac:dyDescent="0.35">
      <c r="A232">
        <v>3851</v>
      </c>
      <c r="B232">
        <v>35758264</v>
      </c>
      <c r="C232">
        <v>317</v>
      </c>
      <c r="D232" t="s">
        <v>416</v>
      </c>
    </row>
    <row r="233" spans="1:4" x14ac:dyDescent="0.35">
      <c r="A233">
        <v>3852</v>
      </c>
      <c r="B233">
        <v>35738194</v>
      </c>
      <c r="C233">
        <v>317</v>
      </c>
      <c r="D233" t="s">
        <v>336</v>
      </c>
    </row>
    <row r="234" spans="1:4" x14ac:dyDescent="0.35">
      <c r="A234">
        <v>3853</v>
      </c>
      <c r="B234">
        <v>35758269</v>
      </c>
      <c r="C234">
        <v>317</v>
      </c>
      <c r="D234" t="s">
        <v>424</v>
      </c>
    </row>
    <row r="235" spans="1:4" x14ac:dyDescent="0.35">
      <c r="A235">
        <v>3854</v>
      </c>
      <c r="B235">
        <v>35933077</v>
      </c>
      <c r="C235">
        <v>317</v>
      </c>
      <c r="D235" t="s">
        <v>4041</v>
      </c>
    </row>
    <row r="236" spans="1:4" x14ac:dyDescent="0.35">
      <c r="A236">
        <v>3855</v>
      </c>
      <c r="B236">
        <v>35758215</v>
      </c>
      <c r="C236">
        <v>317</v>
      </c>
      <c r="D236" t="s">
        <v>1709</v>
      </c>
    </row>
    <row r="237" spans="1:4" x14ac:dyDescent="0.35">
      <c r="A237">
        <v>3856</v>
      </c>
      <c r="B237">
        <v>35738190</v>
      </c>
      <c r="C237">
        <v>317</v>
      </c>
      <c r="D237" t="s">
        <v>1760</v>
      </c>
    </row>
    <row r="238" spans="1:4" x14ac:dyDescent="0.35">
      <c r="A238">
        <v>3857</v>
      </c>
      <c r="B238">
        <v>35971260</v>
      </c>
      <c r="C238">
        <v>317</v>
      </c>
      <c r="D238" t="s">
        <v>1979</v>
      </c>
    </row>
    <row r="239" spans="1:4" x14ac:dyDescent="0.35">
      <c r="A239">
        <v>3858</v>
      </c>
      <c r="B239">
        <v>35738193</v>
      </c>
      <c r="C239">
        <v>317</v>
      </c>
      <c r="D239" t="s">
        <v>3122</v>
      </c>
    </row>
    <row r="240" spans="1:4" x14ac:dyDescent="0.35">
      <c r="A240">
        <v>3859</v>
      </c>
      <c r="B240">
        <v>35738195</v>
      </c>
      <c r="C240">
        <v>317</v>
      </c>
      <c r="D240" t="s">
        <v>662</v>
      </c>
    </row>
    <row r="241" spans="1:4" x14ac:dyDescent="0.35">
      <c r="A241">
        <v>3860</v>
      </c>
      <c r="B241">
        <v>35738174</v>
      </c>
      <c r="C241">
        <v>317</v>
      </c>
      <c r="D241" t="s">
        <v>1310</v>
      </c>
    </row>
    <row r="242" spans="1:4" x14ac:dyDescent="0.35">
      <c r="A242">
        <v>3861</v>
      </c>
      <c r="B242">
        <v>35738176</v>
      </c>
      <c r="C242">
        <v>317</v>
      </c>
      <c r="D242" t="s">
        <v>1796</v>
      </c>
    </row>
    <row r="243" spans="1:4" x14ac:dyDescent="0.35">
      <c r="A243">
        <v>3862</v>
      </c>
      <c r="B243">
        <v>35758193</v>
      </c>
      <c r="C243">
        <v>317</v>
      </c>
      <c r="D243" t="s">
        <v>4054</v>
      </c>
    </row>
    <row r="244" spans="1:4" x14ac:dyDescent="0.35">
      <c r="A244">
        <v>3863</v>
      </c>
      <c r="B244">
        <v>35758209</v>
      </c>
      <c r="C244">
        <v>317</v>
      </c>
      <c r="D244" t="s">
        <v>1755</v>
      </c>
    </row>
    <row r="245" spans="1:4" x14ac:dyDescent="0.35">
      <c r="A245">
        <v>3864</v>
      </c>
      <c r="B245">
        <v>35758255</v>
      </c>
      <c r="C245">
        <v>317</v>
      </c>
      <c r="D245" t="s">
        <v>1387</v>
      </c>
    </row>
    <row r="246" spans="1:4" x14ac:dyDescent="0.35">
      <c r="A246">
        <v>3865</v>
      </c>
      <c r="B246">
        <v>35758258</v>
      </c>
      <c r="C246">
        <v>317</v>
      </c>
      <c r="D246" t="s">
        <v>1786</v>
      </c>
    </row>
    <row r="247" spans="1:4" x14ac:dyDescent="0.35">
      <c r="A247">
        <v>3866</v>
      </c>
      <c r="B247">
        <v>35758259</v>
      </c>
      <c r="C247">
        <v>317</v>
      </c>
      <c r="D247" t="s">
        <v>2441</v>
      </c>
    </row>
    <row r="248" spans="1:4" x14ac:dyDescent="0.35">
      <c r="A248">
        <v>3867</v>
      </c>
      <c r="B248">
        <v>35933311</v>
      </c>
      <c r="C248">
        <v>317</v>
      </c>
      <c r="D248" t="s">
        <v>4076</v>
      </c>
    </row>
    <row r="249" spans="1:4" x14ac:dyDescent="0.35">
      <c r="A249">
        <v>3868</v>
      </c>
      <c r="B249">
        <v>35758190</v>
      </c>
      <c r="C249">
        <v>317</v>
      </c>
      <c r="D249" t="s">
        <v>3093</v>
      </c>
    </row>
    <row r="250" spans="1:4" x14ac:dyDescent="0.35">
      <c r="A250">
        <v>3869</v>
      </c>
      <c r="B250">
        <v>35935337</v>
      </c>
      <c r="C250">
        <v>317</v>
      </c>
      <c r="D250" t="s">
        <v>1700</v>
      </c>
    </row>
    <row r="251" spans="1:4" x14ac:dyDescent="0.35">
      <c r="A251">
        <v>3870</v>
      </c>
      <c r="B251">
        <v>35864636</v>
      </c>
      <c r="C251">
        <v>317</v>
      </c>
      <c r="D251" t="s">
        <v>2834</v>
      </c>
    </row>
    <row r="252" spans="1:4" x14ac:dyDescent="0.35">
      <c r="A252">
        <v>3871</v>
      </c>
      <c r="B252">
        <v>35958455</v>
      </c>
      <c r="C252">
        <v>317</v>
      </c>
      <c r="D252" t="s">
        <v>2845</v>
      </c>
    </row>
    <row r="253" spans="1:4" x14ac:dyDescent="0.35">
      <c r="A253">
        <v>3872</v>
      </c>
      <c r="B253">
        <v>35738185</v>
      </c>
      <c r="C253">
        <v>318</v>
      </c>
      <c r="D253" t="s">
        <v>1318</v>
      </c>
    </row>
    <row r="254" spans="1:4" x14ac:dyDescent="0.35">
      <c r="A254">
        <v>3873</v>
      </c>
      <c r="B254">
        <v>35738173</v>
      </c>
      <c r="C254">
        <v>318</v>
      </c>
      <c r="D254" t="s">
        <v>1200</v>
      </c>
    </row>
    <row r="255" spans="1:4" x14ac:dyDescent="0.35">
      <c r="A255">
        <v>3874</v>
      </c>
      <c r="B255">
        <v>35738173</v>
      </c>
      <c r="C255">
        <v>319</v>
      </c>
      <c r="D255" t="s">
        <v>1200</v>
      </c>
    </row>
    <row r="256" spans="1:4" x14ac:dyDescent="0.35">
      <c r="A256">
        <v>3875</v>
      </c>
      <c r="B256">
        <v>35758579</v>
      </c>
      <c r="C256">
        <v>303</v>
      </c>
      <c r="D256" t="s">
        <v>1511</v>
      </c>
    </row>
    <row r="257" spans="1:4" x14ac:dyDescent="0.35">
      <c r="A257">
        <v>3876</v>
      </c>
      <c r="B257">
        <v>35848727</v>
      </c>
      <c r="C257">
        <v>303</v>
      </c>
      <c r="D257" t="s">
        <v>488</v>
      </c>
    </row>
    <row r="258" spans="1:4" x14ac:dyDescent="0.35">
      <c r="A258">
        <v>3877</v>
      </c>
      <c r="B258">
        <v>35738185</v>
      </c>
      <c r="C258">
        <v>303</v>
      </c>
      <c r="D258" t="s">
        <v>1318</v>
      </c>
    </row>
    <row r="259" spans="1:4" x14ac:dyDescent="0.35">
      <c r="A259">
        <v>3878</v>
      </c>
      <c r="B259">
        <v>35738173</v>
      </c>
      <c r="C259">
        <v>303</v>
      </c>
      <c r="D259" t="s">
        <v>1200</v>
      </c>
    </row>
    <row r="260" spans="1:4" x14ac:dyDescent="0.35">
      <c r="A260">
        <v>3879</v>
      </c>
      <c r="B260">
        <v>35946893</v>
      </c>
      <c r="C260">
        <v>320</v>
      </c>
      <c r="D260" t="s">
        <v>2346</v>
      </c>
    </row>
    <row r="261" spans="1:4" x14ac:dyDescent="0.35">
      <c r="A261">
        <v>3880</v>
      </c>
      <c r="B261">
        <v>35738191</v>
      </c>
      <c r="C261">
        <v>304</v>
      </c>
      <c r="D261" t="s">
        <v>292</v>
      </c>
    </row>
    <row r="262" spans="1:4" x14ac:dyDescent="0.35">
      <c r="A262">
        <v>3881</v>
      </c>
      <c r="B262">
        <v>35758202</v>
      </c>
      <c r="C262">
        <v>304</v>
      </c>
      <c r="D262" t="s">
        <v>1244</v>
      </c>
    </row>
    <row r="263" spans="1:4" x14ac:dyDescent="0.35">
      <c r="A263">
        <v>3882</v>
      </c>
      <c r="B263">
        <v>35738185</v>
      </c>
      <c r="C263">
        <v>304</v>
      </c>
      <c r="D263" t="s">
        <v>1318</v>
      </c>
    </row>
    <row r="264" spans="1:4" x14ac:dyDescent="0.35">
      <c r="A264">
        <v>3883</v>
      </c>
      <c r="B264">
        <v>35738186</v>
      </c>
      <c r="C264">
        <v>304</v>
      </c>
      <c r="D264" t="s">
        <v>1495</v>
      </c>
    </row>
    <row r="265" spans="1:4" x14ac:dyDescent="0.35">
      <c r="A265">
        <v>3884</v>
      </c>
      <c r="B265">
        <v>35738173</v>
      </c>
      <c r="C265">
        <v>304</v>
      </c>
      <c r="D265" t="s">
        <v>1200</v>
      </c>
    </row>
    <row r="266" spans="1:4" x14ac:dyDescent="0.35">
      <c r="A266">
        <v>3885</v>
      </c>
      <c r="B266">
        <v>35758255</v>
      </c>
      <c r="C266">
        <v>304</v>
      </c>
      <c r="D266" t="s">
        <v>1387</v>
      </c>
    </row>
    <row r="267" spans="1:4" x14ac:dyDescent="0.35">
      <c r="A267">
        <v>3886</v>
      </c>
      <c r="B267">
        <v>35758263</v>
      </c>
      <c r="C267">
        <v>304</v>
      </c>
      <c r="D267" t="s">
        <v>1491</v>
      </c>
    </row>
    <row r="268" spans="1:4" x14ac:dyDescent="0.35">
      <c r="A268">
        <v>3887</v>
      </c>
      <c r="B268">
        <v>35758268</v>
      </c>
      <c r="C268">
        <v>304</v>
      </c>
      <c r="D268" t="s">
        <v>1366</v>
      </c>
    </row>
    <row r="269" spans="1:4" x14ac:dyDescent="0.35">
      <c r="A269">
        <v>3888</v>
      </c>
      <c r="B269">
        <v>35758280</v>
      </c>
      <c r="C269">
        <v>305</v>
      </c>
      <c r="D269" t="s">
        <v>934</v>
      </c>
    </row>
    <row r="270" spans="1:4" x14ac:dyDescent="0.35">
      <c r="A270">
        <v>3889</v>
      </c>
      <c r="B270">
        <v>35770188</v>
      </c>
      <c r="C270">
        <v>305</v>
      </c>
      <c r="D270" t="s">
        <v>1097</v>
      </c>
    </row>
    <row r="271" spans="1:4" x14ac:dyDescent="0.35">
      <c r="A271">
        <v>3890</v>
      </c>
      <c r="B271">
        <v>35758282</v>
      </c>
      <c r="C271">
        <v>306</v>
      </c>
      <c r="D271" t="s">
        <v>496</v>
      </c>
    </row>
    <row r="272" spans="1:4" x14ac:dyDescent="0.35">
      <c r="A272">
        <v>3891</v>
      </c>
      <c r="B272">
        <v>35738187</v>
      </c>
      <c r="C272">
        <v>306</v>
      </c>
      <c r="D272" t="s">
        <v>1498</v>
      </c>
    </row>
    <row r="273" spans="1:4" x14ac:dyDescent="0.35">
      <c r="A273">
        <v>3892</v>
      </c>
      <c r="B273">
        <v>35758202</v>
      </c>
      <c r="C273">
        <v>306</v>
      </c>
      <c r="D273" t="s">
        <v>1244</v>
      </c>
    </row>
    <row r="274" spans="1:4" x14ac:dyDescent="0.35">
      <c r="A274">
        <v>3893</v>
      </c>
      <c r="B274">
        <v>35738185</v>
      </c>
      <c r="C274">
        <v>306</v>
      </c>
      <c r="D274" t="s">
        <v>1318</v>
      </c>
    </row>
    <row r="275" spans="1:4" x14ac:dyDescent="0.35">
      <c r="A275">
        <v>3894</v>
      </c>
      <c r="B275">
        <v>35738173</v>
      </c>
      <c r="C275">
        <v>306</v>
      </c>
      <c r="D275" t="s">
        <v>1200</v>
      </c>
    </row>
    <row r="276" spans="1:4" x14ac:dyDescent="0.35">
      <c r="A276">
        <v>3895</v>
      </c>
      <c r="B276">
        <v>35758201</v>
      </c>
      <c r="C276">
        <v>306</v>
      </c>
      <c r="D276" t="s">
        <v>1501</v>
      </c>
    </row>
    <row r="277" spans="1:4" x14ac:dyDescent="0.35">
      <c r="A277">
        <v>3896</v>
      </c>
      <c r="B277">
        <v>35758221</v>
      </c>
      <c r="C277">
        <v>306</v>
      </c>
      <c r="D277" t="s">
        <v>1506</v>
      </c>
    </row>
    <row r="278" spans="1:4" x14ac:dyDescent="0.35">
      <c r="A278">
        <v>3897</v>
      </c>
      <c r="B278">
        <v>35758271</v>
      </c>
      <c r="C278">
        <v>306</v>
      </c>
      <c r="D278" t="s">
        <v>2948</v>
      </c>
    </row>
    <row r="279" spans="1:4" x14ac:dyDescent="0.35">
      <c r="A279">
        <v>3898</v>
      </c>
      <c r="B279">
        <v>35758276</v>
      </c>
      <c r="C279">
        <v>306</v>
      </c>
      <c r="D279" t="s">
        <v>1192</v>
      </c>
    </row>
    <row r="280" spans="1:4" x14ac:dyDescent="0.35">
      <c r="A280">
        <v>3899</v>
      </c>
      <c r="B280">
        <v>35758281</v>
      </c>
      <c r="C280">
        <v>306</v>
      </c>
      <c r="D280" t="s">
        <v>1196</v>
      </c>
    </row>
    <row r="281" spans="1:4" x14ac:dyDescent="0.35">
      <c r="A281">
        <v>3900</v>
      </c>
      <c r="B281">
        <v>35738173</v>
      </c>
      <c r="C281">
        <v>307</v>
      </c>
      <c r="D281" t="s">
        <v>1200</v>
      </c>
    </row>
    <row r="282" spans="1:4" x14ac:dyDescent="0.35">
      <c r="A282">
        <v>3901</v>
      </c>
      <c r="B282">
        <v>35758255</v>
      </c>
      <c r="C282">
        <v>307</v>
      </c>
      <c r="D282" t="s">
        <v>1387</v>
      </c>
    </row>
    <row r="283" spans="1:4" x14ac:dyDescent="0.35">
      <c r="A283">
        <v>3902</v>
      </c>
      <c r="B283">
        <v>35738191</v>
      </c>
      <c r="C283">
        <v>308</v>
      </c>
      <c r="D283" t="s">
        <v>292</v>
      </c>
    </row>
    <row r="284" spans="1:4" x14ac:dyDescent="0.35">
      <c r="A284">
        <v>3903</v>
      </c>
      <c r="B284">
        <v>35738187</v>
      </c>
      <c r="C284">
        <v>308</v>
      </c>
      <c r="D284" t="s">
        <v>1498</v>
      </c>
    </row>
    <row r="285" spans="1:4" x14ac:dyDescent="0.35">
      <c r="A285">
        <v>3904</v>
      </c>
      <c r="B285">
        <v>35758202</v>
      </c>
      <c r="C285">
        <v>308</v>
      </c>
      <c r="D285" t="s">
        <v>1244</v>
      </c>
    </row>
    <row r="286" spans="1:4" x14ac:dyDescent="0.35">
      <c r="A286">
        <v>3905</v>
      </c>
      <c r="B286">
        <v>35738189</v>
      </c>
      <c r="C286">
        <v>308</v>
      </c>
      <c r="D286" t="s">
        <v>1740</v>
      </c>
    </row>
    <row r="287" spans="1:4" x14ac:dyDescent="0.35">
      <c r="A287">
        <v>3906</v>
      </c>
      <c r="B287">
        <v>35738185</v>
      </c>
      <c r="C287">
        <v>308</v>
      </c>
      <c r="D287" t="s">
        <v>1318</v>
      </c>
    </row>
    <row r="288" spans="1:4" x14ac:dyDescent="0.35">
      <c r="A288">
        <v>3907</v>
      </c>
      <c r="B288">
        <v>35738186</v>
      </c>
      <c r="C288">
        <v>308</v>
      </c>
      <c r="D288" t="s">
        <v>1495</v>
      </c>
    </row>
    <row r="289" spans="1:4" x14ac:dyDescent="0.35">
      <c r="A289">
        <v>3908</v>
      </c>
      <c r="B289">
        <v>35738172</v>
      </c>
      <c r="C289">
        <v>308</v>
      </c>
      <c r="D289" t="s">
        <v>2031</v>
      </c>
    </row>
    <row r="290" spans="1:4" x14ac:dyDescent="0.35">
      <c r="A290">
        <v>3909</v>
      </c>
      <c r="B290">
        <v>35738173</v>
      </c>
      <c r="C290">
        <v>308</v>
      </c>
      <c r="D290" t="s">
        <v>1200</v>
      </c>
    </row>
    <row r="291" spans="1:4" x14ac:dyDescent="0.35">
      <c r="A291">
        <v>3910</v>
      </c>
      <c r="B291">
        <v>35758201</v>
      </c>
      <c r="C291">
        <v>308</v>
      </c>
      <c r="D291" t="s">
        <v>1501</v>
      </c>
    </row>
    <row r="292" spans="1:4" x14ac:dyDescent="0.35">
      <c r="A292">
        <v>3911</v>
      </c>
      <c r="B292">
        <v>35758255</v>
      </c>
      <c r="C292">
        <v>308</v>
      </c>
      <c r="D292" t="s">
        <v>1387</v>
      </c>
    </row>
    <row r="293" spans="1:4" x14ac:dyDescent="0.35">
      <c r="A293">
        <v>3912</v>
      </c>
      <c r="B293">
        <v>35758263</v>
      </c>
      <c r="C293">
        <v>308</v>
      </c>
      <c r="D293" t="s">
        <v>1491</v>
      </c>
    </row>
    <row r="294" spans="1:4" x14ac:dyDescent="0.35">
      <c r="A294">
        <v>3913</v>
      </c>
      <c r="B294">
        <v>35758268</v>
      </c>
      <c r="C294">
        <v>308</v>
      </c>
      <c r="D294" t="s">
        <v>1366</v>
      </c>
    </row>
    <row r="295" spans="1:4" x14ac:dyDescent="0.35">
      <c r="A295">
        <v>3914</v>
      </c>
      <c r="B295">
        <v>35758281</v>
      </c>
      <c r="C295">
        <v>308</v>
      </c>
      <c r="D295" t="s">
        <v>1196</v>
      </c>
    </row>
    <row r="296" spans="1:4" x14ac:dyDescent="0.35">
      <c r="A296">
        <v>3915</v>
      </c>
      <c r="B296">
        <v>35738189</v>
      </c>
      <c r="C296">
        <v>309</v>
      </c>
      <c r="D296" t="s">
        <v>1740</v>
      </c>
    </row>
    <row r="297" spans="1:4" x14ac:dyDescent="0.35">
      <c r="A297">
        <v>3916</v>
      </c>
      <c r="B297">
        <v>35738185</v>
      </c>
      <c r="C297">
        <v>309</v>
      </c>
      <c r="D297" t="s">
        <v>1318</v>
      </c>
    </row>
    <row r="298" spans="1:4" x14ac:dyDescent="0.35">
      <c r="A298">
        <v>3917</v>
      </c>
      <c r="B298">
        <v>35738173</v>
      </c>
      <c r="C298">
        <v>309</v>
      </c>
      <c r="D298" t="s">
        <v>1200</v>
      </c>
    </row>
    <row r="299" spans="1:4" x14ac:dyDescent="0.35">
      <c r="A299">
        <v>3918</v>
      </c>
      <c r="B299">
        <v>35738185</v>
      </c>
      <c r="C299">
        <v>310</v>
      </c>
      <c r="D299" t="s">
        <v>1318</v>
      </c>
    </row>
    <row r="300" spans="1:4" x14ac:dyDescent="0.35">
      <c r="A300">
        <v>3919</v>
      </c>
      <c r="B300">
        <v>35738173</v>
      </c>
      <c r="C300">
        <v>310</v>
      </c>
      <c r="D300" t="s">
        <v>1200</v>
      </c>
    </row>
    <row r="301" spans="1:4" x14ac:dyDescent="0.35">
      <c r="A301">
        <v>3920</v>
      </c>
      <c r="B301" t="s">
        <v>4302</v>
      </c>
      <c r="C301">
        <v>321</v>
      </c>
      <c r="D301" t="s">
        <v>3838</v>
      </c>
    </row>
    <row r="302" spans="1:4" x14ac:dyDescent="0.35">
      <c r="A302">
        <v>3921</v>
      </c>
      <c r="B302" t="s">
        <v>4302</v>
      </c>
      <c r="C302">
        <v>321</v>
      </c>
      <c r="D302" t="s">
        <v>1944</v>
      </c>
    </row>
    <row r="303" spans="1:4" x14ac:dyDescent="0.35">
      <c r="A303">
        <v>3922</v>
      </c>
      <c r="B303" t="s">
        <v>4303</v>
      </c>
      <c r="C303">
        <v>327</v>
      </c>
      <c r="D303" t="s">
        <v>3664</v>
      </c>
    </row>
    <row r="304" spans="1:4" x14ac:dyDescent="0.35">
      <c r="A304">
        <v>3923</v>
      </c>
      <c r="B304" t="s">
        <v>4304</v>
      </c>
      <c r="C304">
        <v>327</v>
      </c>
      <c r="D304" t="s">
        <v>3670</v>
      </c>
    </row>
    <row r="305" spans="1:4" x14ac:dyDescent="0.35">
      <c r="A305">
        <v>3924</v>
      </c>
      <c r="B305" t="s">
        <v>4305</v>
      </c>
      <c r="C305">
        <v>327</v>
      </c>
      <c r="D305" t="s">
        <v>3740</v>
      </c>
    </row>
    <row r="306" spans="1:4" x14ac:dyDescent="0.35">
      <c r="A306">
        <v>3925</v>
      </c>
      <c r="B306" t="s">
        <v>4306</v>
      </c>
      <c r="C306">
        <v>327</v>
      </c>
      <c r="D306" t="s">
        <v>3777</v>
      </c>
    </row>
    <row r="307" spans="1:4" x14ac:dyDescent="0.35">
      <c r="A307">
        <v>3926</v>
      </c>
      <c r="B307">
        <v>162844</v>
      </c>
      <c r="C307">
        <v>792</v>
      </c>
      <c r="D307" t="s">
        <v>3598</v>
      </c>
    </row>
    <row r="308" spans="1:4" x14ac:dyDescent="0.35">
      <c r="A308">
        <v>3927</v>
      </c>
      <c r="B308">
        <v>198217</v>
      </c>
      <c r="C308">
        <v>792</v>
      </c>
      <c r="D308" t="s">
        <v>3701</v>
      </c>
    </row>
    <row r="309" spans="1:4" x14ac:dyDescent="0.35">
      <c r="A309">
        <v>3928</v>
      </c>
      <c r="B309">
        <v>108250</v>
      </c>
      <c r="C309">
        <v>792</v>
      </c>
      <c r="D309" t="s">
        <v>3859</v>
      </c>
    </row>
    <row r="310" spans="1:4" x14ac:dyDescent="0.35">
      <c r="A310">
        <v>3929</v>
      </c>
      <c r="B310" t="s">
        <v>4307</v>
      </c>
      <c r="C310">
        <v>336</v>
      </c>
      <c r="D310" t="s">
        <v>3624</v>
      </c>
    </row>
    <row r="311" spans="1:4" x14ac:dyDescent="0.35">
      <c r="A311">
        <v>3930</v>
      </c>
      <c r="B311" t="s">
        <v>3584</v>
      </c>
      <c r="C311">
        <v>339</v>
      </c>
      <c r="D311" t="s">
        <v>3584</v>
      </c>
    </row>
    <row r="312" spans="1:4" x14ac:dyDescent="0.35">
      <c r="A312">
        <v>3931</v>
      </c>
      <c r="B312" t="s">
        <v>4308</v>
      </c>
      <c r="C312">
        <v>339</v>
      </c>
      <c r="D312" t="s">
        <v>3589</v>
      </c>
    </row>
    <row r="313" spans="1:4" x14ac:dyDescent="0.35">
      <c r="A313">
        <v>3933</v>
      </c>
      <c r="B313" t="s">
        <v>3680</v>
      </c>
      <c r="C313">
        <v>346</v>
      </c>
      <c r="D313" t="s">
        <v>3680</v>
      </c>
    </row>
    <row r="314" spans="1:4" x14ac:dyDescent="0.35">
      <c r="A314">
        <v>3934</v>
      </c>
      <c r="B314" t="s">
        <v>3785</v>
      </c>
      <c r="C314">
        <v>346</v>
      </c>
      <c r="D314" t="s">
        <v>3785</v>
      </c>
    </row>
    <row r="315" spans="1:4" x14ac:dyDescent="0.35">
      <c r="A315">
        <v>3935</v>
      </c>
      <c r="B315" t="s">
        <v>3790</v>
      </c>
      <c r="C315">
        <v>346</v>
      </c>
      <c r="D315" t="s">
        <v>3790</v>
      </c>
    </row>
    <row r="316" spans="1:4" x14ac:dyDescent="0.35">
      <c r="A316">
        <v>3936</v>
      </c>
      <c r="B316">
        <v>32134641</v>
      </c>
      <c r="C316">
        <v>350</v>
      </c>
      <c r="D316" t="s">
        <v>3584</v>
      </c>
    </row>
    <row r="317" spans="1:4" x14ac:dyDescent="0.35">
      <c r="A317">
        <v>3937</v>
      </c>
      <c r="B317">
        <v>32146785</v>
      </c>
      <c r="C317">
        <v>350</v>
      </c>
      <c r="D317" t="s">
        <v>3633</v>
      </c>
    </row>
    <row r="318" spans="1:4" x14ac:dyDescent="0.35">
      <c r="A318">
        <v>3938</v>
      </c>
      <c r="B318">
        <v>32144303</v>
      </c>
      <c r="C318">
        <v>350</v>
      </c>
      <c r="D318" t="s">
        <v>3639</v>
      </c>
    </row>
    <row r="319" spans="1:4" x14ac:dyDescent="0.35">
      <c r="A319">
        <v>3939</v>
      </c>
      <c r="B319">
        <v>32142431</v>
      </c>
      <c r="C319">
        <v>350</v>
      </c>
      <c r="D319" t="s">
        <v>3664</v>
      </c>
    </row>
    <row r="320" spans="1:4" x14ac:dyDescent="0.35">
      <c r="A320">
        <v>3940</v>
      </c>
      <c r="B320">
        <v>32169287</v>
      </c>
      <c r="C320">
        <v>350</v>
      </c>
      <c r="D320" t="s">
        <v>3674</v>
      </c>
    </row>
    <row r="321" spans="1:4" x14ac:dyDescent="0.35">
      <c r="A321">
        <v>3941</v>
      </c>
      <c r="B321" t="s">
        <v>4240</v>
      </c>
      <c r="C321">
        <v>351</v>
      </c>
      <c r="D321" t="s">
        <v>3598</v>
      </c>
    </row>
    <row r="322" spans="1:4" x14ac:dyDescent="0.35">
      <c r="A322">
        <v>3942</v>
      </c>
      <c r="B322" t="s">
        <v>4309</v>
      </c>
      <c r="C322">
        <v>363</v>
      </c>
      <c r="D322" t="s">
        <v>3670</v>
      </c>
    </row>
    <row r="323" spans="1:4" x14ac:dyDescent="0.35">
      <c r="A323">
        <v>3943</v>
      </c>
      <c r="B323" t="s">
        <v>4310</v>
      </c>
      <c r="C323">
        <v>363</v>
      </c>
      <c r="D323" t="s">
        <v>3672</v>
      </c>
    </row>
    <row r="324" spans="1:4" x14ac:dyDescent="0.35">
      <c r="A324">
        <v>3944</v>
      </c>
      <c r="B324" t="s">
        <v>3811</v>
      </c>
      <c r="C324">
        <v>363</v>
      </c>
      <c r="D324" t="s">
        <v>3811</v>
      </c>
    </row>
    <row r="325" spans="1:4" x14ac:dyDescent="0.35">
      <c r="A325">
        <v>3945</v>
      </c>
      <c r="B325" t="s">
        <v>916</v>
      </c>
      <c r="C325">
        <v>1082</v>
      </c>
      <c r="D325" t="s">
        <v>917</v>
      </c>
    </row>
    <row r="326" spans="1:4" x14ac:dyDescent="0.35">
      <c r="A326">
        <v>3946</v>
      </c>
      <c r="B326" t="s">
        <v>801</v>
      </c>
      <c r="C326">
        <v>1082</v>
      </c>
      <c r="D326" t="s">
        <v>802</v>
      </c>
    </row>
    <row r="327" spans="1:4" x14ac:dyDescent="0.35">
      <c r="A327">
        <v>3947</v>
      </c>
      <c r="B327" t="s">
        <v>300</v>
      </c>
      <c r="C327">
        <v>1082</v>
      </c>
      <c r="D327" t="s">
        <v>302</v>
      </c>
    </row>
    <row r="328" spans="1:4" x14ac:dyDescent="0.35">
      <c r="A328">
        <v>3948</v>
      </c>
      <c r="B328" t="s">
        <v>756</v>
      </c>
      <c r="C328">
        <v>1082</v>
      </c>
      <c r="D328" t="s">
        <v>757</v>
      </c>
    </row>
    <row r="329" spans="1:4" x14ac:dyDescent="0.35">
      <c r="A329">
        <v>3949</v>
      </c>
      <c r="B329" t="s">
        <v>132</v>
      </c>
      <c r="C329">
        <v>1082</v>
      </c>
      <c r="D329" t="s">
        <v>135</v>
      </c>
    </row>
    <row r="330" spans="1:4" x14ac:dyDescent="0.35">
      <c r="A330">
        <v>3950</v>
      </c>
      <c r="B330" t="s">
        <v>1103</v>
      </c>
      <c r="C330">
        <v>1082</v>
      </c>
      <c r="D330" t="s">
        <v>1104</v>
      </c>
    </row>
    <row r="331" spans="1:4" x14ac:dyDescent="0.35">
      <c r="A331">
        <v>3951</v>
      </c>
      <c r="B331" t="s">
        <v>305</v>
      </c>
      <c r="C331">
        <v>1082</v>
      </c>
      <c r="D331" t="s">
        <v>306</v>
      </c>
    </row>
    <row r="332" spans="1:4" x14ac:dyDescent="0.35">
      <c r="A332">
        <v>3952</v>
      </c>
      <c r="B332" t="s">
        <v>309</v>
      </c>
      <c r="C332">
        <v>1082</v>
      </c>
      <c r="D332" t="s">
        <v>310</v>
      </c>
    </row>
    <row r="333" spans="1:4" x14ac:dyDescent="0.35">
      <c r="A333">
        <v>3953</v>
      </c>
      <c r="B333">
        <v>2851121</v>
      </c>
      <c r="C333">
        <v>1082</v>
      </c>
      <c r="D333" t="s">
        <v>350</v>
      </c>
    </row>
    <row r="334" spans="1:4" x14ac:dyDescent="0.35">
      <c r="A334">
        <v>3954</v>
      </c>
      <c r="B334">
        <v>2851122</v>
      </c>
      <c r="C334">
        <v>1082</v>
      </c>
      <c r="D334" t="s">
        <v>353</v>
      </c>
    </row>
    <row r="335" spans="1:4" x14ac:dyDescent="0.35">
      <c r="A335">
        <v>3955</v>
      </c>
      <c r="B335" t="s">
        <v>433</v>
      </c>
      <c r="C335">
        <v>1082</v>
      </c>
      <c r="D335" t="s">
        <v>164</v>
      </c>
    </row>
    <row r="336" spans="1:4" x14ac:dyDescent="0.35">
      <c r="A336">
        <v>3956</v>
      </c>
      <c r="B336" t="s">
        <v>671</v>
      </c>
      <c r="C336">
        <v>1082</v>
      </c>
      <c r="D336" t="s">
        <v>168</v>
      </c>
    </row>
    <row r="337" spans="1:4" x14ac:dyDescent="0.35">
      <c r="A337">
        <v>3957</v>
      </c>
      <c r="B337" t="s">
        <v>1397</v>
      </c>
      <c r="C337">
        <v>1082</v>
      </c>
      <c r="D337" t="s">
        <v>1398</v>
      </c>
    </row>
    <row r="338" spans="1:4" x14ac:dyDescent="0.35">
      <c r="A338">
        <v>3958</v>
      </c>
      <c r="B338">
        <v>3149739</v>
      </c>
      <c r="C338">
        <v>1082</v>
      </c>
      <c r="D338" t="s">
        <v>1571</v>
      </c>
    </row>
    <row r="339" spans="1:4" x14ac:dyDescent="0.35">
      <c r="A339">
        <v>3960</v>
      </c>
      <c r="B339">
        <v>3149738</v>
      </c>
      <c r="C339">
        <v>1082</v>
      </c>
      <c r="D339" t="s">
        <v>1574</v>
      </c>
    </row>
    <row r="340" spans="1:4" x14ac:dyDescent="0.35">
      <c r="A340">
        <v>3961</v>
      </c>
      <c r="B340">
        <v>3149737</v>
      </c>
      <c r="C340">
        <v>1082</v>
      </c>
      <c r="D340" t="s">
        <v>1587</v>
      </c>
    </row>
    <row r="341" spans="1:4" x14ac:dyDescent="0.35">
      <c r="A341">
        <v>3962</v>
      </c>
      <c r="B341">
        <v>3149736</v>
      </c>
      <c r="C341">
        <v>1082</v>
      </c>
      <c r="D341" t="s">
        <v>1577</v>
      </c>
    </row>
    <row r="342" spans="1:4" x14ac:dyDescent="0.35">
      <c r="A342">
        <v>3963</v>
      </c>
      <c r="B342">
        <v>3149732</v>
      </c>
      <c r="C342">
        <v>1082</v>
      </c>
      <c r="D342" t="s">
        <v>1580</v>
      </c>
    </row>
    <row r="343" spans="1:4" x14ac:dyDescent="0.35">
      <c r="A343">
        <v>3965</v>
      </c>
      <c r="B343">
        <v>3149735</v>
      </c>
      <c r="C343">
        <v>1082</v>
      </c>
      <c r="D343" t="s">
        <v>1583</v>
      </c>
    </row>
    <row r="344" spans="1:4" x14ac:dyDescent="0.35">
      <c r="A344">
        <v>3966</v>
      </c>
      <c r="B344">
        <v>3149734</v>
      </c>
      <c r="C344">
        <v>1082</v>
      </c>
      <c r="D344" t="s">
        <v>761</v>
      </c>
    </row>
    <row r="345" spans="1:4" x14ac:dyDescent="0.35">
      <c r="A345">
        <v>3967</v>
      </c>
      <c r="B345">
        <v>3254101</v>
      </c>
      <c r="C345">
        <v>1082</v>
      </c>
      <c r="D345" t="s">
        <v>1642</v>
      </c>
    </row>
    <row r="346" spans="1:4" x14ac:dyDescent="0.35">
      <c r="A346">
        <v>3968</v>
      </c>
      <c r="B346">
        <v>3191782</v>
      </c>
      <c r="C346">
        <v>1082</v>
      </c>
      <c r="D346" t="s">
        <v>2566</v>
      </c>
    </row>
    <row r="347" spans="1:4" x14ac:dyDescent="0.35">
      <c r="A347">
        <v>3969</v>
      </c>
      <c r="B347">
        <v>3191789</v>
      </c>
      <c r="C347">
        <v>1082</v>
      </c>
      <c r="D347" t="s">
        <v>2020</v>
      </c>
    </row>
    <row r="348" spans="1:4" x14ac:dyDescent="0.35">
      <c r="A348">
        <v>3970</v>
      </c>
      <c r="B348" t="s">
        <v>1414</v>
      </c>
      <c r="C348">
        <v>1082</v>
      </c>
      <c r="D348" t="s">
        <v>1415</v>
      </c>
    </row>
    <row r="349" spans="1:4" x14ac:dyDescent="0.35">
      <c r="A349">
        <v>3971</v>
      </c>
      <c r="B349">
        <v>3491990</v>
      </c>
      <c r="C349">
        <v>1082</v>
      </c>
      <c r="D349" t="s">
        <v>2430</v>
      </c>
    </row>
    <row r="350" spans="1:4" x14ac:dyDescent="0.35">
      <c r="A350">
        <v>3972</v>
      </c>
      <c r="B350">
        <v>3463258</v>
      </c>
      <c r="C350">
        <v>1082</v>
      </c>
      <c r="D350" t="s">
        <v>1647</v>
      </c>
    </row>
    <row r="351" spans="1:4" x14ac:dyDescent="0.35">
      <c r="A351">
        <v>3973</v>
      </c>
      <c r="B351" t="s">
        <v>103</v>
      </c>
      <c r="C351">
        <v>1082</v>
      </c>
      <c r="D351" t="s">
        <v>104</v>
      </c>
    </row>
    <row r="352" spans="1:4" x14ac:dyDescent="0.35">
      <c r="A352">
        <v>3974</v>
      </c>
      <c r="B352" t="s">
        <v>806</v>
      </c>
      <c r="C352">
        <v>1082</v>
      </c>
      <c r="D352" t="s">
        <v>807</v>
      </c>
    </row>
    <row r="353" spans="1:4" x14ac:dyDescent="0.35">
      <c r="A353">
        <v>3975</v>
      </c>
      <c r="B353">
        <v>2851431</v>
      </c>
      <c r="C353">
        <v>1082</v>
      </c>
      <c r="D353" t="s">
        <v>4159</v>
      </c>
    </row>
    <row r="354" spans="1:4" x14ac:dyDescent="0.35">
      <c r="A354">
        <v>3976</v>
      </c>
      <c r="B354">
        <v>3297140</v>
      </c>
      <c r="C354">
        <v>1082</v>
      </c>
      <c r="D354" t="s">
        <v>4168</v>
      </c>
    </row>
    <row r="355" spans="1:4" x14ac:dyDescent="0.35">
      <c r="A355">
        <v>3977</v>
      </c>
      <c r="B355" t="s">
        <v>4261</v>
      </c>
      <c r="C355">
        <v>367</v>
      </c>
      <c r="D355" t="s">
        <v>3670</v>
      </c>
    </row>
    <row r="356" spans="1:4" x14ac:dyDescent="0.35">
      <c r="A356">
        <v>3978</v>
      </c>
      <c r="B356" t="s">
        <v>4311</v>
      </c>
      <c r="C356">
        <v>367</v>
      </c>
      <c r="D356" t="s">
        <v>3682</v>
      </c>
    </row>
    <row r="357" spans="1:4" x14ac:dyDescent="0.35">
      <c r="A357">
        <v>3979</v>
      </c>
      <c r="B357" t="s">
        <v>4312</v>
      </c>
      <c r="C357">
        <v>368</v>
      </c>
      <c r="D357" t="s">
        <v>3674</v>
      </c>
    </row>
    <row r="358" spans="1:4" x14ac:dyDescent="0.35">
      <c r="A358">
        <v>3980</v>
      </c>
      <c r="B358" t="s">
        <v>3674</v>
      </c>
      <c r="C358">
        <v>368</v>
      </c>
      <c r="D358" t="s">
        <v>3674</v>
      </c>
    </row>
    <row r="359" spans="1:4" x14ac:dyDescent="0.35">
      <c r="A359">
        <v>3981</v>
      </c>
      <c r="B359" t="s">
        <v>4313</v>
      </c>
      <c r="C359">
        <v>371</v>
      </c>
      <c r="D359" t="s">
        <v>3661</v>
      </c>
    </row>
    <row r="360" spans="1:4" x14ac:dyDescent="0.35">
      <c r="A360">
        <v>3983</v>
      </c>
      <c r="B360">
        <v>47048</v>
      </c>
      <c r="C360">
        <v>378</v>
      </c>
      <c r="D360" t="s">
        <v>3437</v>
      </c>
    </row>
    <row r="361" spans="1:4" x14ac:dyDescent="0.35">
      <c r="A361">
        <v>3984</v>
      </c>
      <c r="B361">
        <v>47047</v>
      </c>
      <c r="C361">
        <v>378</v>
      </c>
      <c r="D361" t="s">
        <v>3670</v>
      </c>
    </row>
    <row r="362" spans="1:4" x14ac:dyDescent="0.35">
      <c r="A362">
        <v>3985</v>
      </c>
      <c r="B362" t="s">
        <v>4314</v>
      </c>
      <c r="C362">
        <v>379</v>
      </c>
      <c r="D362" t="s">
        <v>3508</v>
      </c>
    </row>
    <row r="363" spans="1:4" x14ac:dyDescent="0.35">
      <c r="A363">
        <v>3986</v>
      </c>
      <c r="B363" t="s">
        <v>4315</v>
      </c>
      <c r="C363">
        <v>379</v>
      </c>
      <c r="D363" t="s">
        <v>3864</v>
      </c>
    </row>
    <row r="364" spans="1:4" x14ac:dyDescent="0.35">
      <c r="A364">
        <v>3987</v>
      </c>
      <c r="B364" t="s">
        <v>2402</v>
      </c>
      <c r="C364">
        <v>380</v>
      </c>
      <c r="D364" t="s">
        <v>416</v>
      </c>
    </row>
    <row r="365" spans="1:4" x14ac:dyDescent="0.35">
      <c r="A365">
        <v>3988</v>
      </c>
      <c r="B365" t="s">
        <v>2654</v>
      </c>
      <c r="C365">
        <v>380</v>
      </c>
      <c r="D365" t="s">
        <v>2655</v>
      </c>
    </row>
    <row r="366" spans="1:4" x14ac:dyDescent="0.35">
      <c r="A366">
        <v>3989</v>
      </c>
      <c r="B366" t="s">
        <v>4316</v>
      </c>
      <c r="C366">
        <v>381</v>
      </c>
      <c r="D366" t="s">
        <v>3598</v>
      </c>
    </row>
    <row r="367" spans="1:4" x14ac:dyDescent="0.35">
      <c r="A367">
        <v>3990</v>
      </c>
      <c r="B367" t="s">
        <v>3664</v>
      </c>
      <c r="C367">
        <v>381</v>
      </c>
      <c r="D367" t="s">
        <v>3664</v>
      </c>
    </row>
    <row r="368" spans="1:4" x14ac:dyDescent="0.35">
      <c r="A368">
        <v>3991</v>
      </c>
      <c r="B368" t="s">
        <v>4317</v>
      </c>
      <c r="C368">
        <v>381</v>
      </c>
      <c r="D368" t="s">
        <v>3801</v>
      </c>
    </row>
    <row r="369" spans="1:4" x14ac:dyDescent="0.35">
      <c r="A369">
        <v>3992</v>
      </c>
      <c r="B369" t="s">
        <v>4318</v>
      </c>
      <c r="C369">
        <v>382</v>
      </c>
      <c r="D369" t="s">
        <v>3769</v>
      </c>
    </row>
    <row r="370" spans="1:4" x14ac:dyDescent="0.35">
      <c r="A370">
        <v>3993</v>
      </c>
      <c r="B370" t="s">
        <v>4319</v>
      </c>
      <c r="C370">
        <v>383</v>
      </c>
      <c r="D370" t="s">
        <v>3668</v>
      </c>
    </row>
    <row r="371" spans="1:4" x14ac:dyDescent="0.35">
      <c r="A371">
        <v>3994</v>
      </c>
      <c r="B371" t="s">
        <v>3670</v>
      </c>
      <c r="C371">
        <v>383</v>
      </c>
      <c r="D371" t="s">
        <v>3670</v>
      </c>
    </row>
    <row r="372" spans="1:4" x14ac:dyDescent="0.35">
      <c r="A372">
        <v>3995</v>
      </c>
      <c r="B372">
        <v>9121</v>
      </c>
      <c r="C372">
        <v>387</v>
      </c>
      <c r="D372" t="s">
        <v>3664</v>
      </c>
    </row>
    <row r="373" spans="1:4" x14ac:dyDescent="0.35">
      <c r="A373">
        <v>3996</v>
      </c>
      <c r="B373" t="s">
        <v>4320</v>
      </c>
      <c r="C373">
        <v>390</v>
      </c>
      <c r="D373" t="s">
        <v>3664</v>
      </c>
    </row>
    <row r="374" spans="1:4" x14ac:dyDescent="0.35">
      <c r="A374">
        <v>3997</v>
      </c>
      <c r="B374" t="s">
        <v>4321</v>
      </c>
      <c r="C374">
        <v>390</v>
      </c>
      <c r="D374" t="s">
        <v>3674</v>
      </c>
    </row>
    <row r="375" spans="1:4" x14ac:dyDescent="0.35">
      <c r="A375">
        <v>3998</v>
      </c>
      <c r="B375" t="s">
        <v>4322</v>
      </c>
      <c r="C375">
        <v>390</v>
      </c>
      <c r="D375" t="s">
        <v>4151</v>
      </c>
    </row>
    <row r="376" spans="1:4" x14ac:dyDescent="0.35">
      <c r="A376">
        <v>3999</v>
      </c>
      <c r="B376" t="s">
        <v>4320</v>
      </c>
      <c r="C376">
        <v>391</v>
      </c>
      <c r="D376" t="s">
        <v>3664</v>
      </c>
    </row>
    <row r="377" spans="1:4" x14ac:dyDescent="0.35">
      <c r="A377">
        <v>4000</v>
      </c>
      <c r="B377" t="s">
        <v>4321</v>
      </c>
      <c r="C377">
        <v>391</v>
      </c>
      <c r="D377" t="s">
        <v>3674</v>
      </c>
    </row>
    <row r="378" spans="1:4" x14ac:dyDescent="0.35">
      <c r="A378">
        <v>4001</v>
      </c>
      <c r="B378" t="s">
        <v>4323</v>
      </c>
      <c r="C378">
        <v>392</v>
      </c>
      <c r="D378" t="s">
        <v>3664</v>
      </c>
    </row>
    <row r="379" spans="1:4" x14ac:dyDescent="0.35">
      <c r="A379">
        <v>4002</v>
      </c>
      <c r="B379">
        <v>427137</v>
      </c>
      <c r="C379">
        <v>396</v>
      </c>
      <c r="D379" t="s">
        <v>3598</v>
      </c>
    </row>
    <row r="380" spans="1:4" x14ac:dyDescent="0.35">
      <c r="A380">
        <v>4003</v>
      </c>
      <c r="B380">
        <v>427136</v>
      </c>
      <c r="C380">
        <v>396</v>
      </c>
      <c r="D380" t="s">
        <v>3605</v>
      </c>
    </row>
    <row r="381" spans="1:4" x14ac:dyDescent="0.35">
      <c r="A381">
        <v>4004</v>
      </c>
      <c r="B381" t="s">
        <v>3625</v>
      </c>
      <c r="C381">
        <v>405</v>
      </c>
      <c r="D381" t="s">
        <v>3625</v>
      </c>
    </row>
    <row r="382" spans="1:4" x14ac:dyDescent="0.35">
      <c r="A382">
        <v>4005</v>
      </c>
      <c r="B382" t="s">
        <v>4324</v>
      </c>
      <c r="C382">
        <v>405</v>
      </c>
      <c r="D382" t="s">
        <v>3702</v>
      </c>
    </row>
    <row r="383" spans="1:4" x14ac:dyDescent="0.35">
      <c r="A383">
        <v>4009</v>
      </c>
      <c r="B383" t="s">
        <v>4312</v>
      </c>
      <c r="C383">
        <v>412</v>
      </c>
      <c r="D383" t="s">
        <v>3674</v>
      </c>
    </row>
    <row r="384" spans="1:4" x14ac:dyDescent="0.35">
      <c r="A384">
        <v>4010</v>
      </c>
      <c r="B384" t="s">
        <v>4325</v>
      </c>
      <c r="C384">
        <v>175</v>
      </c>
      <c r="D384" t="s">
        <v>3964</v>
      </c>
    </row>
    <row r="385" spans="1:4" x14ac:dyDescent="0.35">
      <c r="A385">
        <v>4011</v>
      </c>
      <c r="B385" t="s">
        <v>4326</v>
      </c>
      <c r="C385">
        <v>175</v>
      </c>
      <c r="D385" t="s">
        <v>3962</v>
      </c>
    </row>
    <row r="386" spans="1:4" x14ac:dyDescent="0.35">
      <c r="A386">
        <v>4012</v>
      </c>
      <c r="B386" t="s">
        <v>1673</v>
      </c>
      <c r="C386">
        <v>175</v>
      </c>
      <c r="D386" t="s">
        <v>1373</v>
      </c>
    </row>
    <row r="387" spans="1:4" x14ac:dyDescent="0.35">
      <c r="A387">
        <v>4013</v>
      </c>
      <c r="B387" t="s">
        <v>4327</v>
      </c>
      <c r="C387">
        <v>175</v>
      </c>
      <c r="D387" t="s">
        <v>3369</v>
      </c>
    </row>
    <row r="388" spans="1:4" x14ac:dyDescent="0.35">
      <c r="A388">
        <v>4014</v>
      </c>
      <c r="B388" t="s">
        <v>601</v>
      </c>
      <c r="C388">
        <v>175</v>
      </c>
      <c r="D388" t="s">
        <v>602</v>
      </c>
    </row>
    <row r="389" spans="1:4" x14ac:dyDescent="0.35">
      <c r="A389">
        <v>4015</v>
      </c>
      <c r="B389" t="s">
        <v>295</v>
      </c>
      <c r="C389">
        <v>175</v>
      </c>
      <c r="D389" t="s">
        <v>296</v>
      </c>
    </row>
    <row r="390" spans="1:4" x14ac:dyDescent="0.35">
      <c r="A390">
        <v>4016</v>
      </c>
      <c r="B390" t="s">
        <v>415</v>
      </c>
      <c r="C390">
        <v>175</v>
      </c>
      <c r="D390" t="s">
        <v>416</v>
      </c>
    </row>
    <row r="391" spans="1:4" x14ac:dyDescent="0.35">
      <c r="A391">
        <v>4017</v>
      </c>
      <c r="B391" t="s">
        <v>613</v>
      </c>
      <c r="C391">
        <v>175</v>
      </c>
      <c r="D391" t="s">
        <v>614</v>
      </c>
    </row>
    <row r="392" spans="1:4" x14ac:dyDescent="0.35">
      <c r="A392">
        <v>4018</v>
      </c>
      <c r="B392" t="s">
        <v>609</v>
      </c>
      <c r="C392">
        <v>175</v>
      </c>
      <c r="D392" t="s">
        <v>610</v>
      </c>
    </row>
    <row r="393" spans="1:4" x14ac:dyDescent="0.35">
      <c r="A393">
        <v>4019</v>
      </c>
      <c r="B393" t="s">
        <v>598</v>
      </c>
      <c r="C393">
        <v>175</v>
      </c>
      <c r="D393" t="s">
        <v>471</v>
      </c>
    </row>
    <row r="394" spans="1:4" x14ac:dyDescent="0.35">
      <c r="A394">
        <v>4020</v>
      </c>
      <c r="B394" t="s">
        <v>3516</v>
      </c>
      <c r="C394">
        <v>413</v>
      </c>
      <c r="D394" t="s">
        <v>3516</v>
      </c>
    </row>
    <row r="395" spans="1:4" x14ac:dyDescent="0.35">
      <c r="A395">
        <v>4021</v>
      </c>
      <c r="B395">
        <v>300001</v>
      </c>
      <c r="C395">
        <v>414</v>
      </c>
      <c r="D395" t="s">
        <v>149</v>
      </c>
    </row>
    <row r="396" spans="1:4" x14ac:dyDescent="0.35">
      <c r="A396">
        <v>4022</v>
      </c>
      <c r="B396" t="s">
        <v>4328</v>
      </c>
      <c r="C396">
        <v>414</v>
      </c>
      <c r="D396" t="s">
        <v>459</v>
      </c>
    </row>
    <row r="397" spans="1:4" x14ac:dyDescent="0.35">
      <c r="A397">
        <v>4023</v>
      </c>
      <c r="B397" t="s">
        <v>4329</v>
      </c>
      <c r="C397">
        <v>415</v>
      </c>
      <c r="D397" t="s">
        <v>3664</v>
      </c>
    </row>
    <row r="398" spans="1:4" x14ac:dyDescent="0.35">
      <c r="A398">
        <v>4024</v>
      </c>
      <c r="B398" t="s">
        <v>4261</v>
      </c>
      <c r="C398">
        <v>417</v>
      </c>
      <c r="D398" t="s">
        <v>3664</v>
      </c>
    </row>
    <row r="399" spans="1:4" x14ac:dyDescent="0.35">
      <c r="A399">
        <v>4025</v>
      </c>
      <c r="B399" t="s">
        <v>3637</v>
      </c>
      <c r="C399">
        <v>541</v>
      </c>
      <c r="D399" t="s">
        <v>3637</v>
      </c>
    </row>
    <row r="400" spans="1:4" x14ac:dyDescent="0.35">
      <c r="A400">
        <v>4026</v>
      </c>
      <c r="B400" t="s">
        <v>4330</v>
      </c>
      <c r="C400">
        <v>418</v>
      </c>
      <c r="D400" t="s">
        <v>3437</v>
      </c>
    </row>
    <row r="401" spans="1:4" x14ac:dyDescent="0.35">
      <c r="A401">
        <v>4027</v>
      </c>
      <c r="B401" t="s">
        <v>4331</v>
      </c>
      <c r="C401">
        <v>418</v>
      </c>
      <c r="D401" t="s">
        <v>3670</v>
      </c>
    </row>
    <row r="402" spans="1:4" x14ac:dyDescent="0.35">
      <c r="A402">
        <v>4028</v>
      </c>
      <c r="B402" t="s">
        <v>4332</v>
      </c>
      <c r="C402">
        <v>418</v>
      </c>
      <c r="D402" t="s">
        <v>3674</v>
      </c>
    </row>
    <row r="403" spans="1:4" x14ac:dyDescent="0.35">
      <c r="A403">
        <v>4029</v>
      </c>
      <c r="B403" t="s">
        <v>4333</v>
      </c>
      <c r="C403">
        <v>419</v>
      </c>
      <c r="D403" t="s">
        <v>3726</v>
      </c>
    </row>
    <row r="404" spans="1:4" x14ac:dyDescent="0.35">
      <c r="A404">
        <v>4030</v>
      </c>
      <c r="B404" t="s">
        <v>4334</v>
      </c>
      <c r="C404">
        <v>420</v>
      </c>
      <c r="D404" t="s">
        <v>3528</v>
      </c>
    </row>
    <row r="405" spans="1:4" x14ac:dyDescent="0.35">
      <c r="A405">
        <v>4031</v>
      </c>
      <c r="B405" t="s">
        <v>4335</v>
      </c>
      <c r="C405">
        <v>420</v>
      </c>
      <c r="D405" t="s">
        <v>3539</v>
      </c>
    </row>
    <row r="406" spans="1:4" x14ac:dyDescent="0.35">
      <c r="A406">
        <v>4032</v>
      </c>
      <c r="B406" t="s">
        <v>4336</v>
      </c>
      <c r="C406">
        <v>420</v>
      </c>
      <c r="D406" t="s">
        <v>3811</v>
      </c>
    </row>
    <row r="407" spans="1:4" x14ac:dyDescent="0.35">
      <c r="A407">
        <v>4033</v>
      </c>
      <c r="B407" t="s">
        <v>1709</v>
      </c>
      <c r="C407">
        <v>420</v>
      </c>
      <c r="D407" t="s">
        <v>1709</v>
      </c>
    </row>
    <row r="408" spans="1:4" x14ac:dyDescent="0.35">
      <c r="A408">
        <v>4034</v>
      </c>
      <c r="B408" t="s">
        <v>4067</v>
      </c>
      <c r="C408">
        <v>420</v>
      </c>
      <c r="D408" t="s">
        <v>4067</v>
      </c>
    </row>
    <row r="409" spans="1:4" x14ac:dyDescent="0.35">
      <c r="A409">
        <v>4035</v>
      </c>
      <c r="B409">
        <v>48070020</v>
      </c>
      <c r="C409">
        <v>421</v>
      </c>
      <c r="D409" t="s">
        <v>3664</v>
      </c>
    </row>
    <row r="410" spans="1:4" x14ac:dyDescent="0.35">
      <c r="A410">
        <v>4036</v>
      </c>
      <c r="B410">
        <v>140502</v>
      </c>
      <c r="C410">
        <v>422</v>
      </c>
      <c r="D410" t="s">
        <v>3623</v>
      </c>
    </row>
    <row r="411" spans="1:4" x14ac:dyDescent="0.35">
      <c r="A411">
        <v>4037</v>
      </c>
      <c r="B411">
        <v>118280</v>
      </c>
      <c r="C411">
        <v>422</v>
      </c>
      <c r="D411" t="s">
        <v>3670</v>
      </c>
    </row>
    <row r="412" spans="1:4" x14ac:dyDescent="0.35">
      <c r="A412">
        <v>4038</v>
      </c>
      <c r="B412">
        <v>147430</v>
      </c>
      <c r="C412">
        <v>422</v>
      </c>
      <c r="D412" t="s">
        <v>3672</v>
      </c>
    </row>
    <row r="413" spans="1:4" x14ac:dyDescent="0.35">
      <c r="A413">
        <v>4039</v>
      </c>
      <c r="B413">
        <v>135313</v>
      </c>
      <c r="C413">
        <v>422</v>
      </c>
      <c r="D413" t="s">
        <v>3674</v>
      </c>
    </row>
    <row r="414" spans="1:4" x14ac:dyDescent="0.35">
      <c r="A414">
        <v>4040</v>
      </c>
      <c r="B414" t="s">
        <v>4337</v>
      </c>
      <c r="C414">
        <v>423</v>
      </c>
      <c r="D414" t="s">
        <v>3646</v>
      </c>
    </row>
    <row r="415" spans="1:4" x14ac:dyDescent="0.35">
      <c r="A415">
        <v>4041</v>
      </c>
      <c r="B415" t="s">
        <v>4338</v>
      </c>
      <c r="C415">
        <v>441</v>
      </c>
      <c r="D415" t="s">
        <v>3740</v>
      </c>
    </row>
    <row r="416" spans="1:4" x14ac:dyDescent="0.35">
      <c r="A416">
        <v>4042</v>
      </c>
      <c r="B416" t="s">
        <v>4339</v>
      </c>
      <c r="C416">
        <v>441</v>
      </c>
      <c r="D416" t="s">
        <v>3841</v>
      </c>
    </row>
    <row r="417" spans="1:4" x14ac:dyDescent="0.35">
      <c r="A417">
        <v>4043</v>
      </c>
      <c r="B417" t="s">
        <v>3670</v>
      </c>
      <c r="C417">
        <v>424</v>
      </c>
      <c r="D417" t="s">
        <v>3670</v>
      </c>
    </row>
    <row r="418" spans="1:4" x14ac:dyDescent="0.35">
      <c r="A418">
        <v>4044</v>
      </c>
      <c r="B418" t="s">
        <v>4340</v>
      </c>
      <c r="C418">
        <v>425</v>
      </c>
      <c r="D418" t="s">
        <v>2617</v>
      </c>
    </row>
    <row r="419" spans="1:4" x14ac:dyDescent="0.35">
      <c r="A419">
        <v>4045</v>
      </c>
      <c r="B419" t="s">
        <v>357</v>
      </c>
      <c r="C419">
        <v>425</v>
      </c>
      <c r="D419" t="s">
        <v>358</v>
      </c>
    </row>
    <row r="420" spans="1:4" x14ac:dyDescent="0.35">
      <c r="A420">
        <v>4046</v>
      </c>
      <c r="B420" t="s">
        <v>365</v>
      </c>
      <c r="C420">
        <v>425</v>
      </c>
      <c r="D420" t="s">
        <v>366</v>
      </c>
    </row>
    <row r="421" spans="1:4" x14ac:dyDescent="0.35">
      <c r="A421">
        <v>4047</v>
      </c>
      <c r="B421" t="s">
        <v>2961</v>
      </c>
      <c r="C421">
        <v>425</v>
      </c>
      <c r="D421" t="s">
        <v>2962</v>
      </c>
    </row>
    <row r="422" spans="1:4" x14ac:dyDescent="0.35">
      <c r="A422">
        <v>4048</v>
      </c>
      <c r="B422" t="s">
        <v>2973</v>
      </c>
      <c r="C422">
        <v>425</v>
      </c>
      <c r="D422" t="s">
        <v>2974</v>
      </c>
    </row>
    <row r="423" spans="1:4" x14ac:dyDescent="0.35">
      <c r="A423">
        <v>4049</v>
      </c>
      <c r="B423" t="s">
        <v>4341</v>
      </c>
      <c r="C423">
        <v>452</v>
      </c>
      <c r="D423" t="s">
        <v>3489</v>
      </c>
    </row>
    <row r="424" spans="1:4" x14ac:dyDescent="0.35">
      <c r="A424">
        <v>4050</v>
      </c>
      <c r="B424" t="s">
        <v>4342</v>
      </c>
      <c r="C424">
        <v>452</v>
      </c>
      <c r="D424" t="s">
        <v>3493</v>
      </c>
    </row>
    <row r="425" spans="1:4" x14ac:dyDescent="0.35">
      <c r="A425">
        <v>4051</v>
      </c>
      <c r="B425">
        <v>49070104</v>
      </c>
      <c r="C425">
        <v>452</v>
      </c>
      <c r="D425" t="s">
        <v>3738</v>
      </c>
    </row>
    <row r="426" spans="1:4" x14ac:dyDescent="0.35">
      <c r="A426">
        <v>4052</v>
      </c>
      <c r="B426">
        <v>49070172</v>
      </c>
      <c r="C426">
        <v>452</v>
      </c>
      <c r="D426" t="s">
        <v>3740</v>
      </c>
    </row>
    <row r="427" spans="1:4" x14ac:dyDescent="0.35">
      <c r="A427">
        <v>4053</v>
      </c>
      <c r="B427">
        <v>49070251</v>
      </c>
      <c r="C427">
        <v>452</v>
      </c>
      <c r="D427" t="s">
        <v>3746</v>
      </c>
    </row>
    <row r="428" spans="1:4" x14ac:dyDescent="0.35">
      <c r="A428">
        <v>4054</v>
      </c>
      <c r="B428" t="s">
        <v>4343</v>
      </c>
      <c r="C428">
        <v>452</v>
      </c>
      <c r="D428" t="s">
        <v>3852</v>
      </c>
    </row>
    <row r="429" spans="1:4" x14ac:dyDescent="0.35">
      <c r="A429">
        <v>4055</v>
      </c>
      <c r="B429">
        <v>49070079</v>
      </c>
      <c r="C429">
        <v>452</v>
      </c>
      <c r="D429" t="s">
        <v>3863</v>
      </c>
    </row>
    <row r="430" spans="1:4" x14ac:dyDescent="0.35">
      <c r="A430">
        <v>4056</v>
      </c>
      <c r="B430">
        <v>11490</v>
      </c>
      <c r="C430">
        <v>430</v>
      </c>
      <c r="D430" t="s">
        <v>3664</v>
      </c>
    </row>
    <row r="431" spans="1:4" x14ac:dyDescent="0.35">
      <c r="A431">
        <v>4061</v>
      </c>
      <c r="B431" t="s">
        <v>3458</v>
      </c>
      <c r="C431">
        <v>436</v>
      </c>
      <c r="D431" t="s">
        <v>3458</v>
      </c>
    </row>
    <row r="432" spans="1:4" x14ac:dyDescent="0.35">
      <c r="A432">
        <v>4062</v>
      </c>
      <c r="B432" t="s">
        <v>4338</v>
      </c>
      <c r="C432">
        <v>439</v>
      </c>
      <c r="D432" t="s">
        <v>3740</v>
      </c>
    </row>
    <row r="433" spans="1:4" x14ac:dyDescent="0.35">
      <c r="A433">
        <v>4063</v>
      </c>
      <c r="B433">
        <v>1130446</v>
      </c>
      <c r="C433">
        <v>447</v>
      </c>
      <c r="D433" t="s">
        <v>3637</v>
      </c>
    </row>
    <row r="434" spans="1:4" x14ac:dyDescent="0.35">
      <c r="A434">
        <v>4064</v>
      </c>
      <c r="B434">
        <v>324289</v>
      </c>
      <c r="C434">
        <v>447</v>
      </c>
      <c r="D434" t="s">
        <v>3664</v>
      </c>
    </row>
    <row r="435" spans="1:4" x14ac:dyDescent="0.35">
      <c r="A435">
        <v>4065</v>
      </c>
      <c r="B435">
        <v>18492</v>
      </c>
      <c r="C435">
        <v>448</v>
      </c>
      <c r="D435" t="s">
        <v>3670</v>
      </c>
    </row>
    <row r="436" spans="1:4" x14ac:dyDescent="0.35">
      <c r="A436">
        <v>4066</v>
      </c>
      <c r="B436">
        <v>51036</v>
      </c>
      <c r="C436">
        <v>449</v>
      </c>
      <c r="D436" t="s">
        <v>3664</v>
      </c>
    </row>
    <row r="437" spans="1:4" x14ac:dyDescent="0.35">
      <c r="A437">
        <v>4072</v>
      </c>
      <c r="B437" t="s">
        <v>4344</v>
      </c>
      <c r="C437">
        <v>455</v>
      </c>
      <c r="D437" t="s">
        <v>3646</v>
      </c>
    </row>
    <row r="438" spans="1:4" x14ac:dyDescent="0.35">
      <c r="A438">
        <v>4073</v>
      </c>
      <c r="B438" t="s">
        <v>4345</v>
      </c>
      <c r="C438">
        <v>456</v>
      </c>
      <c r="D438" t="s">
        <v>3664</v>
      </c>
    </row>
    <row r="439" spans="1:4" x14ac:dyDescent="0.35">
      <c r="A439">
        <v>4074</v>
      </c>
      <c r="B439" t="s">
        <v>4346</v>
      </c>
      <c r="C439">
        <v>457</v>
      </c>
      <c r="D439" t="s">
        <v>3646</v>
      </c>
    </row>
    <row r="440" spans="1:4" x14ac:dyDescent="0.35">
      <c r="A440">
        <v>4075</v>
      </c>
      <c r="B440" t="s">
        <v>4347</v>
      </c>
      <c r="C440">
        <v>460</v>
      </c>
      <c r="D440" t="s">
        <v>3664</v>
      </c>
    </row>
    <row r="441" spans="1:4" x14ac:dyDescent="0.35">
      <c r="A441">
        <v>4076</v>
      </c>
      <c r="B441" t="s">
        <v>4348</v>
      </c>
      <c r="C441">
        <v>461</v>
      </c>
      <c r="D441" t="s">
        <v>3502</v>
      </c>
    </row>
    <row r="442" spans="1:4" x14ac:dyDescent="0.35">
      <c r="A442">
        <v>4077</v>
      </c>
      <c r="B442" t="s">
        <v>4349</v>
      </c>
      <c r="C442">
        <v>461</v>
      </c>
      <c r="D442" t="s">
        <v>3548</v>
      </c>
    </row>
    <row r="443" spans="1:4" x14ac:dyDescent="0.35">
      <c r="A443">
        <v>4078</v>
      </c>
      <c r="B443" t="s">
        <v>4350</v>
      </c>
      <c r="C443">
        <v>461</v>
      </c>
      <c r="D443" t="s">
        <v>3670</v>
      </c>
    </row>
    <row r="444" spans="1:4" x14ac:dyDescent="0.35">
      <c r="A444">
        <v>4079</v>
      </c>
      <c r="B444" t="s">
        <v>4351</v>
      </c>
      <c r="C444">
        <v>462</v>
      </c>
      <c r="D444" t="s">
        <v>3664</v>
      </c>
    </row>
    <row r="445" spans="1:4" x14ac:dyDescent="0.35">
      <c r="A445">
        <v>4080</v>
      </c>
      <c r="B445">
        <v>1350073</v>
      </c>
      <c r="C445">
        <v>463</v>
      </c>
      <c r="D445" t="s">
        <v>3669</v>
      </c>
    </row>
    <row r="446" spans="1:4" x14ac:dyDescent="0.35">
      <c r="A446">
        <v>4081</v>
      </c>
      <c r="B446" t="s">
        <v>3488</v>
      </c>
      <c r="C446">
        <v>464</v>
      </c>
      <c r="D446" t="s">
        <v>3488</v>
      </c>
    </row>
    <row r="447" spans="1:4" x14ac:dyDescent="0.35">
      <c r="A447">
        <v>4082</v>
      </c>
      <c r="B447" t="s">
        <v>3664</v>
      </c>
      <c r="C447">
        <v>464</v>
      </c>
      <c r="D447" t="s">
        <v>3664</v>
      </c>
    </row>
    <row r="448" spans="1:4" x14ac:dyDescent="0.35">
      <c r="A448">
        <v>4083</v>
      </c>
      <c r="B448" t="s">
        <v>3702</v>
      </c>
      <c r="C448">
        <v>464</v>
      </c>
      <c r="D448" t="s">
        <v>3702</v>
      </c>
    </row>
    <row r="449" spans="1:4" x14ac:dyDescent="0.35">
      <c r="A449">
        <v>4084</v>
      </c>
      <c r="B449" t="s">
        <v>4261</v>
      </c>
      <c r="C449">
        <v>540</v>
      </c>
      <c r="D449" t="s">
        <v>3664</v>
      </c>
    </row>
    <row r="450" spans="1:4" x14ac:dyDescent="0.35">
      <c r="A450">
        <v>4085</v>
      </c>
      <c r="B450" t="s">
        <v>4352</v>
      </c>
      <c r="C450">
        <v>465</v>
      </c>
      <c r="D450" t="s">
        <v>3646</v>
      </c>
    </row>
    <row r="451" spans="1:4" x14ac:dyDescent="0.35">
      <c r="A451">
        <v>4086</v>
      </c>
      <c r="B451">
        <v>505035147</v>
      </c>
      <c r="C451">
        <v>466</v>
      </c>
      <c r="D451" t="s">
        <v>3790</v>
      </c>
    </row>
    <row r="452" spans="1:4" x14ac:dyDescent="0.35">
      <c r="A452">
        <v>4087</v>
      </c>
      <c r="B452">
        <v>505035825</v>
      </c>
      <c r="C452">
        <v>466</v>
      </c>
      <c r="D452" t="s">
        <v>3791</v>
      </c>
    </row>
    <row r="453" spans="1:4" x14ac:dyDescent="0.35">
      <c r="A453">
        <v>4088</v>
      </c>
      <c r="B453" t="s">
        <v>4346</v>
      </c>
      <c r="C453">
        <v>469</v>
      </c>
      <c r="D453" t="s">
        <v>3646</v>
      </c>
    </row>
    <row r="454" spans="1:4" x14ac:dyDescent="0.35">
      <c r="A454">
        <v>4090</v>
      </c>
      <c r="B454" t="s">
        <v>4353</v>
      </c>
      <c r="C454">
        <v>472</v>
      </c>
      <c r="D454" t="s">
        <v>3624</v>
      </c>
    </row>
    <row r="455" spans="1:4" x14ac:dyDescent="0.35">
      <c r="A455">
        <v>4091</v>
      </c>
      <c r="B455" t="s">
        <v>4354</v>
      </c>
      <c r="C455">
        <v>472</v>
      </c>
      <c r="D455" t="s">
        <v>3664</v>
      </c>
    </row>
    <row r="456" spans="1:4" x14ac:dyDescent="0.35">
      <c r="A456">
        <v>4092</v>
      </c>
      <c r="B456" t="s">
        <v>4354</v>
      </c>
      <c r="C456">
        <v>472</v>
      </c>
      <c r="D456" t="s">
        <v>3670</v>
      </c>
    </row>
    <row r="457" spans="1:4" x14ac:dyDescent="0.35">
      <c r="A457">
        <v>4093</v>
      </c>
      <c r="B457" t="s">
        <v>4355</v>
      </c>
      <c r="C457">
        <v>474</v>
      </c>
      <c r="D457" t="s">
        <v>4168</v>
      </c>
    </row>
    <row r="458" spans="1:4" x14ac:dyDescent="0.35">
      <c r="A458">
        <v>4094</v>
      </c>
      <c r="B458" t="s">
        <v>4356</v>
      </c>
      <c r="C458">
        <v>474</v>
      </c>
      <c r="D458" t="s">
        <v>4168</v>
      </c>
    </row>
    <row r="459" spans="1:4" x14ac:dyDescent="0.35">
      <c r="A459">
        <v>4095</v>
      </c>
      <c r="B459" t="s">
        <v>4357</v>
      </c>
      <c r="C459">
        <v>474</v>
      </c>
      <c r="D459" t="s">
        <v>4168</v>
      </c>
    </row>
    <row r="460" spans="1:4" x14ac:dyDescent="0.35">
      <c r="A460">
        <v>4096</v>
      </c>
      <c r="B460" t="s">
        <v>4358</v>
      </c>
      <c r="C460">
        <v>474</v>
      </c>
      <c r="D460" t="s">
        <v>4168</v>
      </c>
    </row>
    <row r="461" spans="1:4" x14ac:dyDescent="0.35">
      <c r="A461">
        <v>4097</v>
      </c>
      <c r="B461" t="s">
        <v>4359</v>
      </c>
      <c r="C461">
        <v>474</v>
      </c>
      <c r="D461" t="s">
        <v>4168</v>
      </c>
    </row>
    <row r="462" spans="1:4" x14ac:dyDescent="0.35">
      <c r="A462">
        <v>4098</v>
      </c>
      <c r="B462" t="s">
        <v>4360</v>
      </c>
      <c r="C462">
        <v>474</v>
      </c>
      <c r="D462" t="s">
        <v>4168</v>
      </c>
    </row>
    <row r="463" spans="1:4" x14ac:dyDescent="0.35">
      <c r="A463">
        <v>4099</v>
      </c>
      <c r="B463" t="s">
        <v>4361</v>
      </c>
      <c r="C463">
        <v>474</v>
      </c>
      <c r="D463" t="s">
        <v>4168</v>
      </c>
    </row>
    <row r="464" spans="1:4" x14ac:dyDescent="0.35">
      <c r="A464">
        <v>4100</v>
      </c>
      <c r="B464" t="s">
        <v>4362</v>
      </c>
      <c r="C464">
        <v>474</v>
      </c>
      <c r="D464" t="s">
        <v>4168</v>
      </c>
    </row>
    <row r="465" spans="1:4" x14ac:dyDescent="0.35">
      <c r="A465">
        <v>4101</v>
      </c>
      <c r="B465" t="s">
        <v>4363</v>
      </c>
      <c r="C465">
        <v>474</v>
      </c>
      <c r="D465" t="s">
        <v>4168</v>
      </c>
    </row>
    <row r="466" spans="1:4" x14ac:dyDescent="0.35">
      <c r="A466">
        <v>4102</v>
      </c>
      <c r="B466" t="s">
        <v>4364</v>
      </c>
      <c r="C466">
        <v>474</v>
      </c>
      <c r="D466" t="s">
        <v>4168</v>
      </c>
    </row>
    <row r="467" spans="1:4" x14ac:dyDescent="0.35">
      <c r="A467">
        <v>4103</v>
      </c>
      <c r="B467" t="s">
        <v>4365</v>
      </c>
      <c r="C467">
        <v>476</v>
      </c>
      <c r="D467" t="s">
        <v>3664</v>
      </c>
    </row>
    <row r="468" spans="1:4" x14ac:dyDescent="0.35">
      <c r="A468">
        <v>4104</v>
      </c>
      <c r="B468" t="s">
        <v>4346</v>
      </c>
      <c r="C468">
        <v>477</v>
      </c>
      <c r="D468" t="s">
        <v>3646</v>
      </c>
    </row>
    <row r="469" spans="1:4" x14ac:dyDescent="0.35">
      <c r="A469">
        <v>4105</v>
      </c>
      <c r="B469" t="s">
        <v>4261</v>
      </c>
      <c r="C469">
        <v>477</v>
      </c>
      <c r="D469" t="s">
        <v>3670</v>
      </c>
    </row>
    <row r="470" spans="1:4" x14ac:dyDescent="0.35">
      <c r="A470">
        <v>4106</v>
      </c>
      <c r="B470" t="s">
        <v>3488</v>
      </c>
      <c r="C470">
        <v>478</v>
      </c>
      <c r="D470" t="s">
        <v>3488</v>
      </c>
    </row>
    <row r="471" spans="1:4" x14ac:dyDescent="0.35">
      <c r="A471">
        <v>4107</v>
      </c>
      <c r="B471" t="s">
        <v>3636</v>
      </c>
      <c r="C471">
        <v>478</v>
      </c>
      <c r="D471" t="s">
        <v>3636</v>
      </c>
    </row>
    <row r="472" spans="1:4" x14ac:dyDescent="0.35">
      <c r="A472">
        <v>4108</v>
      </c>
      <c r="B472" t="s">
        <v>4366</v>
      </c>
      <c r="C472">
        <v>480</v>
      </c>
      <c r="D472" t="s">
        <v>3754</v>
      </c>
    </row>
    <row r="473" spans="1:4" x14ac:dyDescent="0.35">
      <c r="A473">
        <v>4111</v>
      </c>
      <c r="B473">
        <v>3297140</v>
      </c>
      <c r="C473">
        <v>483</v>
      </c>
      <c r="D473" t="s">
        <v>4168</v>
      </c>
    </row>
    <row r="474" spans="1:4" x14ac:dyDescent="0.35">
      <c r="A474">
        <v>4112</v>
      </c>
      <c r="B474" t="s">
        <v>4367</v>
      </c>
      <c r="C474">
        <v>484</v>
      </c>
      <c r="D474" t="s">
        <v>3646</v>
      </c>
    </row>
    <row r="475" spans="1:4" x14ac:dyDescent="0.35">
      <c r="A475">
        <v>4113</v>
      </c>
      <c r="B475" t="s">
        <v>4368</v>
      </c>
      <c r="C475">
        <v>486</v>
      </c>
      <c r="D475" t="s">
        <v>3664</v>
      </c>
    </row>
    <row r="476" spans="1:4" x14ac:dyDescent="0.35">
      <c r="A476">
        <v>4114</v>
      </c>
      <c r="B476" t="s">
        <v>3637</v>
      </c>
      <c r="C476">
        <v>491</v>
      </c>
      <c r="D476" t="s">
        <v>3637</v>
      </c>
    </row>
    <row r="477" spans="1:4" x14ac:dyDescent="0.35">
      <c r="A477">
        <v>4115</v>
      </c>
      <c r="B477" t="s">
        <v>3644</v>
      </c>
      <c r="C477">
        <v>491</v>
      </c>
      <c r="D477" t="s">
        <v>3644</v>
      </c>
    </row>
    <row r="478" spans="1:4" x14ac:dyDescent="0.35">
      <c r="A478">
        <v>4117</v>
      </c>
      <c r="B478" t="s">
        <v>4369</v>
      </c>
      <c r="C478">
        <v>494</v>
      </c>
      <c r="D478" t="s">
        <v>3668</v>
      </c>
    </row>
    <row r="479" spans="1:4" x14ac:dyDescent="0.35">
      <c r="A479">
        <v>4118</v>
      </c>
      <c r="B479" t="s">
        <v>3598</v>
      </c>
      <c r="C479">
        <v>499</v>
      </c>
      <c r="D479" t="s">
        <v>3598</v>
      </c>
    </row>
    <row r="480" spans="1:4" x14ac:dyDescent="0.35">
      <c r="A480">
        <v>4119</v>
      </c>
      <c r="B480" t="s">
        <v>4370</v>
      </c>
      <c r="C480">
        <v>501</v>
      </c>
      <c r="D480" t="s">
        <v>3664</v>
      </c>
    </row>
    <row r="481" spans="1:4" x14ac:dyDescent="0.35">
      <c r="A481">
        <v>4122</v>
      </c>
      <c r="B481" t="s">
        <v>4371</v>
      </c>
      <c r="C481">
        <v>513</v>
      </c>
      <c r="D481" t="s">
        <v>3520</v>
      </c>
    </row>
    <row r="482" spans="1:4" x14ac:dyDescent="0.35">
      <c r="A482">
        <v>4123</v>
      </c>
      <c r="B482" t="s">
        <v>3548</v>
      </c>
      <c r="C482">
        <v>515</v>
      </c>
      <c r="D482" t="s">
        <v>3548</v>
      </c>
    </row>
    <row r="483" spans="1:4" x14ac:dyDescent="0.35">
      <c r="A483">
        <v>4124</v>
      </c>
      <c r="B483" t="s">
        <v>4316</v>
      </c>
      <c r="C483">
        <v>516</v>
      </c>
      <c r="D483" t="s">
        <v>3598</v>
      </c>
    </row>
    <row r="484" spans="1:4" x14ac:dyDescent="0.35">
      <c r="A484">
        <v>4125</v>
      </c>
      <c r="B484" t="s">
        <v>4372</v>
      </c>
      <c r="C484">
        <v>519</v>
      </c>
      <c r="D484" t="s">
        <v>3578</v>
      </c>
    </row>
    <row r="485" spans="1:4" x14ac:dyDescent="0.35">
      <c r="A485">
        <v>4127</v>
      </c>
      <c r="B485">
        <v>80001837</v>
      </c>
      <c r="C485">
        <v>521</v>
      </c>
      <c r="D485" t="s">
        <v>3668</v>
      </c>
    </row>
    <row r="486" spans="1:4" x14ac:dyDescent="0.35">
      <c r="A486">
        <v>4128</v>
      </c>
      <c r="B486">
        <v>3130</v>
      </c>
      <c r="C486">
        <v>521</v>
      </c>
      <c r="D486" t="s">
        <v>3772</v>
      </c>
    </row>
    <row r="487" spans="1:4" x14ac:dyDescent="0.35">
      <c r="A487">
        <v>4129</v>
      </c>
      <c r="B487" t="s">
        <v>3488</v>
      </c>
      <c r="C487">
        <v>522</v>
      </c>
      <c r="D487" t="s">
        <v>3488</v>
      </c>
    </row>
    <row r="488" spans="1:4" x14ac:dyDescent="0.35">
      <c r="A488">
        <v>4130</v>
      </c>
      <c r="B488" t="s">
        <v>3637</v>
      </c>
      <c r="C488">
        <v>522</v>
      </c>
      <c r="D488" t="s">
        <v>3637</v>
      </c>
    </row>
    <row r="489" spans="1:4" x14ac:dyDescent="0.35">
      <c r="A489">
        <v>4131</v>
      </c>
      <c r="B489" t="s">
        <v>4373</v>
      </c>
      <c r="C489">
        <v>522</v>
      </c>
      <c r="D489" t="s">
        <v>3639</v>
      </c>
    </row>
    <row r="490" spans="1:4" x14ac:dyDescent="0.35">
      <c r="A490">
        <v>4132</v>
      </c>
      <c r="B490" t="s">
        <v>4365</v>
      </c>
      <c r="C490">
        <v>522</v>
      </c>
      <c r="D490" t="s">
        <v>3664</v>
      </c>
    </row>
    <row r="491" spans="1:4" x14ac:dyDescent="0.35">
      <c r="A491">
        <v>4133</v>
      </c>
      <c r="B491" t="s">
        <v>3668</v>
      </c>
      <c r="C491">
        <v>522</v>
      </c>
      <c r="D491" t="s">
        <v>3668</v>
      </c>
    </row>
    <row r="492" spans="1:4" x14ac:dyDescent="0.35">
      <c r="A492">
        <v>4134</v>
      </c>
      <c r="B492" t="s">
        <v>3670</v>
      </c>
      <c r="C492">
        <v>522</v>
      </c>
      <c r="D492" t="s">
        <v>3670</v>
      </c>
    </row>
    <row r="493" spans="1:4" x14ac:dyDescent="0.35">
      <c r="A493">
        <v>4135</v>
      </c>
      <c r="B493" t="s">
        <v>4374</v>
      </c>
      <c r="C493">
        <v>522</v>
      </c>
      <c r="D493" t="s">
        <v>3702</v>
      </c>
    </row>
    <row r="494" spans="1:4" x14ac:dyDescent="0.35">
      <c r="A494">
        <v>4136</v>
      </c>
      <c r="B494" t="s">
        <v>4240</v>
      </c>
      <c r="C494">
        <v>523</v>
      </c>
      <c r="D494" t="s">
        <v>3598</v>
      </c>
    </row>
    <row r="495" spans="1:4" x14ac:dyDescent="0.35">
      <c r="A495">
        <v>4138</v>
      </c>
      <c r="B495" t="s">
        <v>4375</v>
      </c>
      <c r="C495">
        <v>524</v>
      </c>
      <c r="D495" t="s">
        <v>3488</v>
      </c>
    </row>
    <row r="496" spans="1:4" x14ac:dyDescent="0.35">
      <c r="A496">
        <v>4139</v>
      </c>
      <c r="B496" t="s">
        <v>4301</v>
      </c>
      <c r="C496">
        <v>524</v>
      </c>
      <c r="D496" t="s">
        <v>3637</v>
      </c>
    </row>
    <row r="497" spans="1:4" x14ac:dyDescent="0.35">
      <c r="A497">
        <v>4140</v>
      </c>
      <c r="B497" t="s">
        <v>4261</v>
      </c>
      <c r="C497">
        <v>524</v>
      </c>
      <c r="D497" t="s">
        <v>3664</v>
      </c>
    </row>
    <row r="498" spans="1:4" x14ac:dyDescent="0.35">
      <c r="A498">
        <v>4141</v>
      </c>
      <c r="B498" t="s">
        <v>2590</v>
      </c>
      <c r="C498">
        <v>524</v>
      </c>
      <c r="D498" t="s">
        <v>2590</v>
      </c>
    </row>
    <row r="499" spans="1:4" x14ac:dyDescent="0.35">
      <c r="A499">
        <v>4142</v>
      </c>
      <c r="B499" t="s">
        <v>4042</v>
      </c>
      <c r="C499">
        <v>524</v>
      </c>
      <c r="D499" t="s">
        <v>4042</v>
      </c>
    </row>
    <row r="500" spans="1:4" x14ac:dyDescent="0.35">
      <c r="A500">
        <v>4143</v>
      </c>
      <c r="B500" t="s">
        <v>4376</v>
      </c>
      <c r="C500">
        <v>526</v>
      </c>
      <c r="D500" t="s">
        <v>3664</v>
      </c>
    </row>
    <row r="501" spans="1:4" x14ac:dyDescent="0.35">
      <c r="A501">
        <v>4145</v>
      </c>
      <c r="B501" t="s">
        <v>4346</v>
      </c>
      <c r="C501">
        <v>529</v>
      </c>
      <c r="D501" t="s">
        <v>3646</v>
      </c>
    </row>
    <row r="502" spans="1:4" x14ac:dyDescent="0.35">
      <c r="A502">
        <v>4147</v>
      </c>
      <c r="B502" t="s">
        <v>4377</v>
      </c>
      <c r="C502">
        <v>531</v>
      </c>
      <c r="D502" t="s">
        <v>3646</v>
      </c>
    </row>
    <row r="503" spans="1:4" x14ac:dyDescent="0.35">
      <c r="A503">
        <v>4148</v>
      </c>
      <c r="B503" t="s">
        <v>4378</v>
      </c>
      <c r="C503">
        <v>535</v>
      </c>
      <c r="D503" t="s">
        <v>3664</v>
      </c>
    </row>
    <row r="504" spans="1:4" x14ac:dyDescent="0.35">
      <c r="A504">
        <v>4149</v>
      </c>
      <c r="B504" t="s">
        <v>3664</v>
      </c>
      <c r="C504">
        <v>542</v>
      </c>
      <c r="D504" t="s">
        <v>3664</v>
      </c>
    </row>
    <row r="505" spans="1:4" x14ac:dyDescent="0.35">
      <c r="A505">
        <v>4150</v>
      </c>
      <c r="B505" t="s">
        <v>4365</v>
      </c>
      <c r="C505">
        <v>544</v>
      </c>
      <c r="D505" t="s">
        <v>3664</v>
      </c>
    </row>
    <row r="506" spans="1:4" x14ac:dyDescent="0.35">
      <c r="A506">
        <v>4151</v>
      </c>
      <c r="B506" t="s">
        <v>4379</v>
      </c>
      <c r="C506">
        <v>546</v>
      </c>
      <c r="D506" t="s">
        <v>3664</v>
      </c>
    </row>
    <row r="507" spans="1:4" x14ac:dyDescent="0.35">
      <c r="A507">
        <v>4152</v>
      </c>
      <c r="B507" t="s">
        <v>4380</v>
      </c>
      <c r="C507">
        <v>546</v>
      </c>
      <c r="D507" t="s">
        <v>3738</v>
      </c>
    </row>
    <row r="508" spans="1:4" x14ac:dyDescent="0.35">
      <c r="A508">
        <v>4153</v>
      </c>
      <c r="B508" t="s">
        <v>4381</v>
      </c>
      <c r="C508">
        <v>547</v>
      </c>
      <c r="D508" t="s">
        <v>4019</v>
      </c>
    </row>
    <row r="509" spans="1:4" x14ac:dyDescent="0.35">
      <c r="A509">
        <v>4154</v>
      </c>
      <c r="B509" t="s">
        <v>4382</v>
      </c>
      <c r="C509">
        <v>547</v>
      </c>
      <c r="D509" t="s">
        <v>4032</v>
      </c>
    </row>
    <row r="510" spans="1:4" x14ac:dyDescent="0.35">
      <c r="A510">
        <v>4155</v>
      </c>
      <c r="B510" t="s">
        <v>4383</v>
      </c>
      <c r="C510">
        <v>547</v>
      </c>
      <c r="D510" t="s">
        <v>4033</v>
      </c>
    </row>
    <row r="511" spans="1:4" x14ac:dyDescent="0.35">
      <c r="A511">
        <v>4156</v>
      </c>
      <c r="B511" t="s">
        <v>4384</v>
      </c>
      <c r="C511">
        <v>547</v>
      </c>
      <c r="D511" t="s">
        <v>4034</v>
      </c>
    </row>
    <row r="512" spans="1:4" x14ac:dyDescent="0.35">
      <c r="A512">
        <v>4157</v>
      </c>
      <c r="B512" t="s">
        <v>4385</v>
      </c>
      <c r="C512">
        <v>547</v>
      </c>
      <c r="D512" t="s">
        <v>4035</v>
      </c>
    </row>
    <row r="513" spans="1:4" x14ac:dyDescent="0.35">
      <c r="A513">
        <v>4158</v>
      </c>
      <c r="B513" t="s">
        <v>3520</v>
      </c>
      <c r="C513">
        <v>548</v>
      </c>
      <c r="D513" t="s">
        <v>3520</v>
      </c>
    </row>
    <row r="514" spans="1:4" x14ac:dyDescent="0.35">
      <c r="A514">
        <v>4159</v>
      </c>
      <c r="B514" t="s">
        <v>3586</v>
      </c>
      <c r="C514">
        <v>548</v>
      </c>
      <c r="D514" t="s">
        <v>3586</v>
      </c>
    </row>
    <row r="515" spans="1:4" x14ac:dyDescent="0.35">
      <c r="A515">
        <v>4160</v>
      </c>
      <c r="B515" t="s">
        <v>3637</v>
      </c>
      <c r="C515">
        <v>548</v>
      </c>
      <c r="D515" t="s">
        <v>3637</v>
      </c>
    </row>
    <row r="516" spans="1:4" x14ac:dyDescent="0.35">
      <c r="A516">
        <v>4161</v>
      </c>
      <c r="B516" t="s">
        <v>3664</v>
      </c>
      <c r="C516">
        <v>548</v>
      </c>
      <c r="D516" t="s">
        <v>3664</v>
      </c>
    </row>
    <row r="517" spans="1:4" x14ac:dyDescent="0.35">
      <c r="A517">
        <v>4162</v>
      </c>
      <c r="B517" t="s">
        <v>3668</v>
      </c>
      <c r="C517">
        <v>548</v>
      </c>
      <c r="D517" t="s">
        <v>3668</v>
      </c>
    </row>
    <row r="518" spans="1:4" x14ac:dyDescent="0.35">
      <c r="A518">
        <v>4163</v>
      </c>
      <c r="B518" t="s">
        <v>3672</v>
      </c>
      <c r="C518">
        <v>548</v>
      </c>
      <c r="D518" t="s">
        <v>3672</v>
      </c>
    </row>
    <row r="519" spans="1:4" x14ac:dyDescent="0.35">
      <c r="A519">
        <v>4164</v>
      </c>
      <c r="B519" t="s">
        <v>3702</v>
      </c>
      <c r="C519">
        <v>548</v>
      </c>
      <c r="D519" t="s">
        <v>3702</v>
      </c>
    </row>
    <row r="520" spans="1:4" x14ac:dyDescent="0.35">
      <c r="A520">
        <v>4165</v>
      </c>
      <c r="B520" t="s">
        <v>3703</v>
      </c>
      <c r="C520">
        <v>548</v>
      </c>
      <c r="D520" t="s">
        <v>3703</v>
      </c>
    </row>
    <row r="521" spans="1:4" x14ac:dyDescent="0.35">
      <c r="A521">
        <v>4166</v>
      </c>
      <c r="B521" t="s">
        <v>4386</v>
      </c>
      <c r="C521">
        <v>548</v>
      </c>
      <c r="D521" t="s">
        <v>4153</v>
      </c>
    </row>
    <row r="522" spans="1:4" x14ac:dyDescent="0.35">
      <c r="A522">
        <v>4167</v>
      </c>
      <c r="B522" t="s">
        <v>3624</v>
      </c>
      <c r="C522">
        <v>550</v>
      </c>
      <c r="D522" t="s">
        <v>3624</v>
      </c>
    </row>
    <row r="523" spans="1:4" x14ac:dyDescent="0.35">
      <c r="A523">
        <v>4168</v>
      </c>
      <c r="B523">
        <v>8571</v>
      </c>
      <c r="C523">
        <v>552</v>
      </c>
      <c r="D523" t="s">
        <v>3838</v>
      </c>
    </row>
    <row r="524" spans="1:4" x14ac:dyDescent="0.35">
      <c r="A524">
        <v>4169</v>
      </c>
      <c r="B524" t="s">
        <v>4387</v>
      </c>
      <c r="C524">
        <v>553</v>
      </c>
      <c r="D524" t="s">
        <v>3664</v>
      </c>
    </row>
    <row r="525" spans="1:4" x14ac:dyDescent="0.35">
      <c r="A525">
        <v>4170</v>
      </c>
      <c r="B525" t="s">
        <v>3488</v>
      </c>
      <c r="C525">
        <v>554</v>
      </c>
      <c r="D525" t="s">
        <v>3488</v>
      </c>
    </row>
    <row r="526" spans="1:4" x14ac:dyDescent="0.35">
      <c r="A526">
        <v>4171</v>
      </c>
      <c r="B526" t="s">
        <v>3493</v>
      </c>
      <c r="C526">
        <v>554</v>
      </c>
      <c r="D526" t="s">
        <v>3493</v>
      </c>
    </row>
    <row r="527" spans="1:4" x14ac:dyDescent="0.35">
      <c r="A527">
        <v>4172</v>
      </c>
      <c r="B527" t="s">
        <v>3488</v>
      </c>
      <c r="C527">
        <v>556</v>
      </c>
      <c r="D527" t="s">
        <v>3488</v>
      </c>
    </row>
    <row r="528" spans="1:4" x14ac:dyDescent="0.35">
      <c r="A528">
        <v>4173</v>
      </c>
      <c r="B528" t="s">
        <v>3726</v>
      </c>
      <c r="C528">
        <v>556</v>
      </c>
      <c r="D528" t="s">
        <v>3726</v>
      </c>
    </row>
    <row r="529" spans="1:4" x14ac:dyDescent="0.35">
      <c r="A529">
        <v>4174</v>
      </c>
      <c r="B529" t="s">
        <v>4388</v>
      </c>
      <c r="C529">
        <v>561</v>
      </c>
      <c r="D529" t="s">
        <v>3670</v>
      </c>
    </row>
    <row r="530" spans="1:4" x14ac:dyDescent="0.35">
      <c r="A530">
        <v>4175</v>
      </c>
      <c r="B530" t="s">
        <v>4389</v>
      </c>
      <c r="C530">
        <v>562</v>
      </c>
      <c r="D530" t="s">
        <v>3488</v>
      </c>
    </row>
    <row r="531" spans="1:4" x14ac:dyDescent="0.35">
      <c r="A531">
        <v>4176</v>
      </c>
      <c r="B531" t="s">
        <v>4346</v>
      </c>
      <c r="C531">
        <v>566</v>
      </c>
      <c r="D531" t="s">
        <v>3646</v>
      </c>
    </row>
    <row r="532" spans="1:4" x14ac:dyDescent="0.35">
      <c r="A532">
        <v>4181</v>
      </c>
      <c r="B532" t="s">
        <v>4390</v>
      </c>
      <c r="C532">
        <v>574</v>
      </c>
      <c r="D532" t="s">
        <v>3624</v>
      </c>
    </row>
    <row r="533" spans="1:4" x14ac:dyDescent="0.35">
      <c r="A533">
        <v>4182</v>
      </c>
      <c r="B533" t="s">
        <v>4391</v>
      </c>
      <c r="C533">
        <v>576</v>
      </c>
      <c r="D533" t="s">
        <v>3788</v>
      </c>
    </row>
    <row r="534" spans="1:4" x14ac:dyDescent="0.35">
      <c r="A534">
        <v>4183</v>
      </c>
      <c r="B534" t="s">
        <v>4392</v>
      </c>
      <c r="C534">
        <v>581</v>
      </c>
      <c r="D534" t="s">
        <v>3664</v>
      </c>
    </row>
    <row r="535" spans="1:4" x14ac:dyDescent="0.35">
      <c r="A535">
        <v>4184</v>
      </c>
      <c r="B535" t="s">
        <v>4243</v>
      </c>
      <c r="C535">
        <v>582</v>
      </c>
      <c r="D535" t="s">
        <v>3624</v>
      </c>
    </row>
    <row r="536" spans="1:4" x14ac:dyDescent="0.35">
      <c r="A536">
        <v>4185</v>
      </c>
      <c r="B536" t="s">
        <v>4261</v>
      </c>
      <c r="C536">
        <v>582</v>
      </c>
      <c r="D536" t="s">
        <v>3664</v>
      </c>
    </row>
    <row r="537" spans="1:4" x14ac:dyDescent="0.35">
      <c r="A537">
        <v>4186</v>
      </c>
      <c r="B537" t="s">
        <v>4393</v>
      </c>
      <c r="C537">
        <v>583</v>
      </c>
      <c r="D537" t="s">
        <v>3584</v>
      </c>
    </row>
    <row r="538" spans="1:4" x14ac:dyDescent="0.35">
      <c r="A538">
        <v>4187</v>
      </c>
      <c r="B538" t="s">
        <v>4394</v>
      </c>
      <c r="C538">
        <v>583</v>
      </c>
      <c r="D538" t="s">
        <v>3664</v>
      </c>
    </row>
    <row r="539" spans="1:4" x14ac:dyDescent="0.35">
      <c r="A539">
        <v>4188</v>
      </c>
      <c r="B539" t="s">
        <v>4395</v>
      </c>
      <c r="C539">
        <v>584</v>
      </c>
      <c r="D539" t="s">
        <v>3670</v>
      </c>
    </row>
    <row r="540" spans="1:4" x14ac:dyDescent="0.35">
      <c r="A540">
        <v>4189</v>
      </c>
      <c r="B540" t="s">
        <v>4396</v>
      </c>
      <c r="C540">
        <v>585</v>
      </c>
      <c r="D540" t="s">
        <v>3734</v>
      </c>
    </row>
    <row r="541" spans="1:4" x14ac:dyDescent="0.35">
      <c r="A541">
        <v>4190</v>
      </c>
      <c r="B541" t="s">
        <v>4397</v>
      </c>
      <c r="C541">
        <v>587</v>
      </c>
      <c r="D541" t="s">
        <v>3637</v>
      </c>
    </row>
    <row r="542" spans="1:4" x14ac:dyDescent="0.35">
      <c r="A542">
        <v>4191</v>
      </c>
      <c r="B542" t="s">
        <v>4398</v>
      </c>
      <c r="C542">
        <v>587</v>
      </c>
      <c r="D542" t="s">
        <v>3664</v>
      </c>
    </row>
    <row r="543" spans="1:4" x14ac:dyDescent="0.35">
      <c r="A543">
        <v>4192</v>
      </c>
      <c r="B543" t="s">
        <v>4399</v>
      </c>
      <c r="C543">
        <v>587</v>
      </c>
      <c r="D543" t="s">
        <v>3668</v>
      </c>
    </row>
    <row r="544" spans="1:4" x14ac:dyDescent="0.35">
      <c r="A544">
        <v>4193</v>
      </c>
      <c r="B544" t="s">
        <v>3702</v>
      </c>
      <c r="C544">
        <v>587</v>
      </c>
      <c r="D544" t="s">
        <v>3702</v>
      </c>
    </row>
    <row r="545" spans="1:4" x14ac:dyDescent="0.35">
      <c r="A545">
        <v>4194</v>
      </c>
      <c r="B545" t="s">
        <v>4400</v>
      </c>
      <c r="C545">
        <v>587</v>
      </c>
      <c r="D545" t="s">
        <v>3703</v>
      </c>
    </row>
    <row r="546" spans="1:4" x14ac:dyDescent="0.35">
      <c r="A546">
        <v>4195</v>
      </c>
      <c r="B546" t="s">
        <v>3801</v>
      </c>
      <c r="C546">
        <v>587</v>
      </c>
      <c r="D546" t="s">
        <v>3801</v>
      </c>
    </row>
    <row r="547" spans="1:4" x14ac:dyDescent="0.35">
      <c r="A547">
        <v>4196</v>
      </c>
      <c r="B547" t="s">
        <v>3664</v>
      </c>
      <c r="C547">
        <v>589</v>
      </c>
      <c r="D547" t="s">
        <v>3664</v>
      </c>
    </row>
    <row r="548" spans="1:4" x14ac:dyDescent="0.35">
      <c r="A548">
        <v>4197</v>
      </c>
      <c r="B548" t="s">
        <v>4399</v>
      </c>
      <c r="C548">
        <v>589</v>
      </c>
      <c r="D548" t="s">
        <v>3668</v>
      </c>
    </row>
    <row r="549" spans="1:4" x14ac:dyDescent="0.35">
      <c r="A549">
        <v>4198</v>
      </c>
      <c r="B549" t="s">
        <v>3624</v>
      </c>
      <c r="C549">
        <v>591</v>
      </c>
      <c r="D549" t="s">
        <v>3624</v>
      </c>
    </row>
    <row r="550" spans="1:4" x14ac:dyDescent="0.35">
      <c r="A550">
        <v>4199</v>
      </c>
      <c r="B550" t="s">
        <v>4401</v>
      </c>
      <c r="C550">
        <v>591</v>
      </c>
      <c r="D550" t="s">
        <v>3664</v>
      </c>
    </row>
    <row r="551" spans="1:4" x14ac:dyDescent="0.35">
      <c r="A551">
        <v>4200</v>
      </c>
      <c r="B551" t="s">
        <v>4402</v>
      </c>
      <c r="C551">
        <v>591</v>
      </c>
      <c r="D551" t="s">
        <v>3668</v>
      </c>
    </row>
    <row r="552" spans="1:4" x14ac:dyDescent="0.35">
      <c r="A552">
        <v>4201</v>
      </c>
      <c r="B552" t="s">
        <v>4403</v>
      </c>
      <c r="C552">
        <v>591</v>
      </c>
      <c r="D552" t="s">
        <v>3669</v>
      </c>
    </row>
    <row r="553" spans="1:4" x14ac:dyDescent="0.35">
      <c r="A553">
        <v>4202</v>
      </c>
      <c r="B553" t="s">
        <v>4404</v>
      </c>
      <c r="C553">
        <v>591</v>
      </c>
      <c r="D553" t="s">
        <v>3670</v>
      </c>
    </row>
    <row r="554" spans="1:4" x14ac:dyDescent="0.35">
      <c r="A554">
        <v>4203</v>
      </c>
      <c r="B554" t="s">
        <v>4405</v>
      </c>
      <c r="C554">
        <v>591</v>
      </c>
      <c r="D554" t="s">
        <v>3702</v>
      </c>
    </row>
    <row r="555" spans="1:4" x14ac:dyDescent="0.35">
      <c r="A555">
        <v>4204</v>
      </c>
      <c r="B555" t="s">
        <v>4406</v>
      </c>
      <c r="C555">
        <v>591</v>
      </c>
      <c r="D555" t="s">
        <v>3703</v>
      </c>
    </row>
    <row r="556" spans="1:4" x14ac:dyDescent="0.35">
      <c r="A556">
        <v>4205</v>
      </c>
      <c r="B556" t="s">
        <v>3664</v>
      </c>
      <c r="C556">
        <v>593</v>
      </c>
      <c r="D556" t="s">
        <v>3664</v>
      </c>
    </row>
    <row r="557" spans="1:4" x14ac:dyDescent="0.35">
      <c r="A557">
        <v>4206</v>
      </c>
      <c r="B557" t="s">
        <v>4407</v>
      </c>
      <c r="C557">
        <v>594</v>
      </c>
      <c r="D557" t="s">
        <v>3646</v>
      </c>
    </row>
    <row r="558" spans="1:4" x14ac:dyDescent="0.35">
      <c r="A558">
        <v>4207</v>
      </c>
      <c r="B558" t="s">
        <v>3664</v>
      </c>
      <c r="C558">
        <v>596</v>
      </c>
      <c r="D558" t="s">
        <v>3664</v>
      </c>
    </row>
    <row r="559" spans="1:4" x14ac:dyDescent="0.35">
      <c r="A559">
        <v>4208</v>
      </c>
      <c r="B559" t="s">
        <v>3584</v>
      </c>
      <c r="C559">
        <v>597</v>
      </c>
      <c r="D559" t="s">
        <v>3584</v>
      </c>
    </row>
    <row r="560" spans="1:4" x14ac:dyDescent="0.35">
      <c r="A560">
        <v>4209</v>
      </c>
      <c r="B560" t="s">
        <v>3664</v>
      </c>
      <c r="C560">
        <v>597</v>
      </c>
      <c r="D560" t="s">
        <v>3664</v>
      </c>
    </row>
    <row r="561" spans="1:4" x14ac:dyDescent="0.35">
      <c r="A561">
        <v>4213</v>
      </c>
      <c r="B561" t="s">
        <v>4408</v>
      </c>
      <c r="C561">
        <v>61</v>
      </c>
      <c r="D561" t="s">
        <v>3664</v>
      </c>
    </row>
    <row r="562" spans="1:4" x14ac:dyDescent="0.35">
      <c r="A562">
        <v>4214</v>
      </c>
      <c r="B562">
        <v>920060528</v>
      </c>
      <c r="C562">
        <v>61</v>
      </c>
      <c r="D562" t="s">
        <v>4000</v>
      </c>
    </row>
    <row r="563" spans="1:4" x14ac:dyDescent="0.35">
      <c r="A563">
        <v>4215</v>
      </c>
      <c r="B563">
        <v>713516</v>
      </c>
      <c r="C563">
        <v>61</v>
      </c>
      <c r="D563" t="s">
        <v>769</v>
      </c>
    </row>
    <row r="564" spans="1:4" x14ac:dyDescent="0.35">
      <c r="A564">
        <v>4216</v>
      </c>
      <c r="B564">
        <v>713517</v>
      </c>
      <c r="C564">
        <v>61</v>
      </c>
      <c r="D564" t="s">
        <v>773</v>
      </c>
    </row>
    <row r="565" spans="1:4" x14ac:dyDescent="0.35">
      <c r="A565">
        <v>4217</v>
      </c>
      <c r="B565">
        <v>713518</v>
      </c>
      <c r="C565">
        <v>61</v>
      </c>
      <c r="D565" t="s">
        <v>777</v>
      </c>
    </row>
    <row r="566" spans="1:4" x14ac:dyDescent="0.35">
      <c r="A566">
        <v>4218</v>
      </c>
      <c r="B566">
        <v>713519</v>
      </c>
      <c r="C566">
        <v>61</v>
      </c>
      <c r="D566" t="s">
        <v>781</v>
      </c>
    </row>
    <row r="567" spans="1:4" x14ac:dyDescent="0.35">
      <c r="A567">
        <v>4219</v>
      </c>
      <c r="B567" t="s">
        <v>3738</v>
      </c>
      <c r="C567">
        <v>600</v>
      </c>
      <c r="D567" t="s">
        <v>3738</v>
      </c>
    </row>
    <row r="568" spans="1:4" x14ac:dyDescent="0.35">
      <c r="A568">
        <v>4220</v>
      </c>
      <c r="B568">
        <v>8551</v>
      </c>
      <c r="C568">
        <v>601</v>
      </c>
      <c r="D568" t="s">
        <v>3811</v>
      </c>
    </row>
    <row r="569" spans="1:4" x14ac:dyDescent="0.35">
      <c r="A569">
        <v>4221</v>
      </c>
      <c r="B569" t="s">
        <v>4409</v>
      </c>
      <c r="C569">
        <v>609</v>
      </c>
      <c r="D569" t="s">
        <v>3554</v>
      </c>
    </row>
    <row r="570" spans="1:4" x14ac:dyDescent="0.35">
      <c r="A570">
        <v>4222</v>
      </c>
      <c r="B570" t="s">
        <v>3637</v>
      </c>
      <c r="C570">
        <v>610</v>
      </c>
      <c r="D570" t="s">
        <v>3637</v>
      </c>
    </row>
    <row r="571" spans="1:4" x14ac:dyDescent="0.35">
      <c r="A571">
        <v>4223</v>
      </c>
      <c r="B571" t="s">
        <v>4410</v>
      </c>
      <c r="C571">
        <v>610</v>
      </c>
      <c r="D571" t="s">
        <v>3674</v>
      </c>
    </row>
    <row r="572" spans="1:4" x14ac:dyDescent="0.35">
      <c r="A572">
        <v>4224</v>
      </c>
      <c r="B572" t="s">
        <v>3860</v>
      </c>
      <c r="C572">
        <v>610</v>
      </c>
      <c r="D572" t="s">
        <v>3860</v>
      </c>
    </row>
    <row r="573" spans="1:4" x14ac:dyDescent="0.35">
      <c r="A573">
        <v>4225</v>
      </c>
      <c r="B573" t="s">
        <v>4411</v>
      </c>
      <c r="C573">
        <v>612</v>
      </c>
      <c r="D573" t="s">
        <v>3644</v>
      </c>
    </row>
    <row r="574" spans="1:4" x14ac:dyDescent="0.35">
      <c r="A574">
        <v>4227</v>
      </c>
      <c r="B574" t="s">
        <v>3624</v>
      </c>
      <c r="C574">
        <v>614</v>
      </c>
      <c r="D574" t="s">
        <v>3624</v>
      </c>
    </row>
    <row r="575" spans="1:4" x14ac:dyDescent="0.35">
      <c r="A575">
        <v>4228</v>
      </c>
      <c r="B575" t="s">
        <v>4365</v>
      </c>
      <c r="C575">
        <v>614</v>
      </c>
      <c r="D575" t="s">
        <v>3664</v>
      </c>
    </row>
    <row r="576" spans="1:4" x14ac:dyDescent="0.35">
      <c r="A576">
        <v>4229</v>
      </c>
      <c r="B576" t="s">
        <v>4412</v>
      </c>
      <c r="C576">
        <v>614</v>
      </c>
      <c r="D576" t="s">
        <v>3702</v>
      </c>
    </row>
    <row r="577" spans="1:4" x14ac:dyDescent="0.35">
      <c r="A577">
        <v>4230</v>
      </c>
      <c r="B577" t="s">
        <v>4413</v>
      </c>
      <c r="C577">
        <v>614</v>
      </c>
      <c r="D577" t="s">
        <v>4145</v>
      </c>
    </row>
    <row r="578" spans="1:4" x14ac:dyDescent="0.35">
      <c r="A578">
        <v>4231</v>
      </c>
      <c r="B578" t="s">
        <v>4414</v>
      </c>
      <c r="C578">
        <v>614</v>
      </c>
      <c r="D578" t="s">
        <v>4160</v>
      </c>
    </row>
    <row r="579" spans="1:4" x14ac:dyDescent="0.35">
      <c r="A579">
        <v>4232</v>
      </c>
      <c r="B579" t="s">
        <v>4415</v>
      </c>
      <c r="C579">
        <v>614</v>
      </c>
      <c r="D579" t="s">
        <v>4161</v>
      </c>
    </row>
    <row r="580" spans="1:4" x14ac:dyDescent="0.35">
      <c r="A580">
        <v>4233</v>
      </c>
      <c r="B580" t="s">
        <v>4416</v>
      </c>
      <c r="C580">
        <v>614</v>
      </c>
      <c r="D580" t="s">
        <v>4165</v>
      </c>
    </row>
    <row r="581" spans="1:4" x14ac:dyDescent="0.35">
      <c r="A581">
        <v>4235</v>
      </c>
      <c r="B581" t="s">
        <v>3664</v>
      </c>
      <c r="C581">
        <v>616</v>
      </c>
      <c r="D581" t="s">
        <v>3664</v>
      </c>
    </row>
    <row r="582" spans="1:4" x14ac:dyDescent="0.35">
      <c r="A582">
        <v>4236</v>
      </c>
      <c r="B582" t="s">
        <v>4301</v>
      </c>
      <c r="C582">
        <v>618</v>
      </c>
      <c r="D582" t="s">
        <v>3637</v>
      </c>
    </row>
    <row r="583" spans="1:4" x14ac:dyDescent="0.35">
      <c r="A583">
        <v>4237</v>
      </c>
      <c r="B583" t="s">
        <v>4417</v>
      </c>
      <c r="C583">
        <v>618</v>
      </c>
      <c r="D583" t="s">
        <v>3668</v>
      </c>
    </row>
    <row r="584" spans="1:4" x14ac:dyDescent="0.35">
      <c r="A584">
        <v>4238</v>
      </c>
      <c r="B584" t="s">
        <v>4393</v>
      </c>
      <c r="C584">
        <v>619</v>
      </c>
      <c r="D584" t="s">
        <v>3584</v>
      </c>
    </row>
    <row r="585" spans="1:4" x14ac:dyDescent="0.35">
      <c r="A585">
        <v>4240</v>
      </c>
      <c r="B585" t="s">
        <v>4418</v>
      </c>
      <c r="C585">
        <v>627</v>
      </c>
      <c r="D585" t="s">
        <v>3668</v>
      </c>
    </row>
    <row r="586" spans="1:4" x14ac:dyDescent="0.35">
      <c r="A586">
        <v>4241</v>
      </c>
      <c r="B586" t="s">
        <v>4301</v>
      </c>
      <c r="C586">
        <v>628</v>
      </c>
      <c r="D586" t="s">
        <v>3637</v>
      </c>
    </row>
    <row r="587" spans="1:4" x14ac:dyDescent="0.35">
      <c r="A587">
        <v>4242</v>
      </c>
      <c r="B587" t="s">
        <v>3584</v>
      </c>
      <c r="C587">
        <v>629</v>
      </c>
      <c r="D587" t="s">
        <v>3584</v>
      </c>
    </row>
    <row r="588" spans="1:4" x14ac:dyDescent="0.35">
      <c r="A588">
        <v>4243</v>
      </c>
      <c r="B588" t="s">
        <v>4419</v>
      </c>
      <c r="C588">
        <v>629</v>
      </c>
      <c r="D588" t="s">
        <v>3598</v>
      </c>
    </row>
    <row r="589" spans="1:4" x14ac:dyDescent="0.35">
      <c r="A589">
        <v>4244</v>
      </c>
      <c r="B589" t="s">
        <v>3637</v>
      </c>
      <c r="C589">
        <v>629</v>
      </c>
      <c r="D589" t="s">
        <v>3637</v>
      </c>
    </row>
    <row r="590" spans="1:4" x14ac:dyDescent="0.35">
      <c r="A590">
        <v>4245</v>
      </c>
      <c r="B590" t="s">
        <v>3664</v>
      </c>
      <c r="C590">
        <v>629</v>
      </c>
      <c r="D590" t="s">
        <v>3664</v>
      </c>
    </row>
    <row r="591" spans="1:4" x14ac:dyDescent="0.35">
      <c r="A591">
        <v>4246</v>
      </c>
      <c r="B591" t="s">
        <v>3668</v>
      </c>
      <c r="C591">
        <v>629</v>
      </c>
      <c r="D591" t="s">
        <v>3668</v>
      </c>
    </row>
    <row r="592" spans="1:4" x14ac:dyDescent="0.35">
      <c r="A592">
        <v>4247</v>
      </c>
      <c r="B592" t="s">
        <v>3672</v>
      </c>
      <c r="C592">
        <v>629</v>
      </c>
      <c r="D592" t="s">
        <v>3672</v>
      </c>
    </row>
    <row r="593" spans="1:4" x14ac:dyDescent="0.35">
      <c r="A593">
        <v>4248</v>
      </c>
      <c r="B593" t="s">
        <v>3702</v>
      </c>
      <c r="C593">
        <v>629</v>
      </c>
      <c r="D593" t="s">
        <v>3702</v>
      </c>
    </row>
    <row r="594" spans="1:4" x14ac:dyDescent="0.35">
      <c r="A594">
        <v>4249</v>
      </c>
      <c r="B594" t="s">
        <v>4400</v>
      </c>
      <c r="C594">
        <v>629</v>
      </c>
      <c r="D594" t="s">
        <v>3703</v>
      </c>
    </row>
    <row r="595" spans="1:4" x14ac:dyDescent="0.35">
      <c r="A595">
        <v>4250</v>
      </c>
      <c r="B595" t="s">
        <v>4420</v>
      </c>
      <c r="C595">
        <v>631</v>
      </c>
      <c r="D595" t="s">
        <v>3664</v>
      </c>
    </row>
    <row r="596" spans="1:4" x14ac:dyDescent="0.35">
      <c r="A596">
        <v>4251</v>
      </c>
      <c r="B596" t="s">
        <v>4421</v>
      </c>
      <c r="C596">
        <v>633</v>
      </c>
      <c r="D596" t="s">
        <v>3670</v>
      </c>
    </row>
    <row r="597" spans="1:4" x14ac:dyDescent="0.35">
      <c r="A597">
        <v>4252</v>
      </c>
      <c r="B597">
        <v>600715</v>
      </c>
      <c r="C597">
        <v>634</v>
      </c>
      <c r="D597" t="s">
        <v>3670</v>
      </c>
    </row>
    <row r="598" spans="1:4" x14ac:dyDescent="0.35">
      <c r="A598">
        <v>4253</v>
      </c>
      <c r="B598">
        <v>3506070005</v>
      </c>
      <c r="C598">
        <v>635</v>
      </c>
      <c r="D598" t="s">
        <v>3664</v>
      </c>
    </row>
    <row r="599" spans="1:4" x14ac:dyDescent="0.35">
      <c r="A599">
        <v>4254</v>
      </c>
      <c r="B599">
        <v>8302</v>
      </c>
      <c r="C599">
        <v>636</v>
      </c>
      <c r="D599" t="s">
        <v>3574</v>
      </c>
    </row>
    <row r="600" spans="1:4" x14ac:dyDescent="0.35">
      <c r="A600">
        <v>4255</v>
      </c>
      <c r="B600" t="s">
        <v>3579</v>
      </c>
      <c r="C600">
        <v>636</v>
      </c>
      <c r="D600" t="s">
        <v>3579</v>
      </c>
    </row>
    <row r="601" spans="1:4" x14ac:dyDescent="0.35">
      <c r="A601">
        <v>4256</v>
      </c>
      <c r="B601" t="s">
        <v>4422</v>
      </c>
      <c r="C601">
        <v>637</v>
      </c>
      <c r="D601" t="s">
        <v>3664</v>
      </c>
    </row>
    <row r="602" spans="1:4" x14ac:dyDescent="0.35">
      <c r="A602">
        <v>4257</v>
      </c>
      <c r="B602" t="s">
        <v>3664</v>
      </c>
      <c r="C602">
        <v>638</v>
      </c>
      <c r="D602" t="s">
        <v>3664</v>
      </c>
    </row>
    <row r="603" spans="1:4" x14ac:dyDescent="0.35">
      <c r="A603">
        <v>4258</v>
      </c>
      <c r="B603" t="s">
        <v>4317</v>
      </c>
      <c r="C603">
        <v>638</v>
      </c>
      <c r="D603" t="s">
        <v>3801</v>
      </c>
    </row>
    <row r="604" spans="1:4" x14ac:dyDescent="0.35">
      <c r="A604">
        <v>4259</v>
      </c>
      <c r="B604" t="s">
        <v>4423</v>
      </c>
      <c r="C604">
        <v>640</v>
      </c>
      <c r="D604" t="s">
        <v>3664</v>
      </c>
    </row>
    <row r="605" spans="1:4" x14ac:dyDescent="0.35">
      <c r="A605">
        <v>4261</v>
      </c>
      <c r="B605" t="s">
        <v>4424</v>
      </c>
      <c r="C605">
        <v>643</v>
      </c>
      <c r="D605" t="s">
        <v>3651</v>
      </c>
    </row>
    <row r="606" spans="1:4" x14ac:dyDescent="0.35">
      <c r="A606">
        <v>4262</v>
      </c>
      <c r="B606" t="s">
        <v>4272</v>
      </c>
      <c r="C606">
        <v>643</v>
      </c>
      <c r="D606" t="s">
        <v>3664</v>
      </c>
    </row>
    <row r="607" spans="1:4" x14ac:dyDescent="0.35">
      <c r="A607">
        <v>4263</v>
      </c>
      <c r="B607">
        <v>10415965</v>
      </c>
      <c r="C607">
        <v>645</v>
      </c>
      <c r="D607" t="s">
        <v>3664</v>
      </c>
    </row>
    <row r="608" spans="1:4" x14ac:dyDescent="0.35">
      <c r="A608">
        <v>4264</v>
      </c>
      <c r="B608" t="s">
        <v>4425</v>
      </c>
      <c r="C608">
        <v>646</v>
      </c>
      <c r="D608" t="s">
        <v>3660</v>
      </c>
    </row>
    <row r="609" spans="1:4" x14ac:dyDescent="0.35">
      <c r="A609">
        <v>4269</v>
      </c>
      <c r="B609" t="s">
        <v>4426</v>
      </c>
      <c r="C609">
        <v>605</v>
      </c>
      <c r="D609" t="s">
        <v>3504</v>
      </c>
    </row>
    <row r="610" spans="1:4" x14ac:dyDescent="0.35">
      <c r="A610">
        <v>4270</v>
      </c>
      <c r="B610" t="s">
        <v>4427</v>
      </c>
      <c r="C610">
        <v>605</v>
      </c>
      <c r="D610" t="s">
        <v>3509</v>
      </c>
    </row>
    <row r="611" spans="1:4" x14ac:dyDescent="0.35">
      <c r="A611">
        <v>4271</v>
      </c>
      <c r="B611" t="s">
        <v>4428</v>
      </c>
      <c r="C611">
        <v>605</v>
      </c>
      <c r="D611" t="s">
        <v>3510</v>
      </c>
    </row>
    <row r="612" spans="1:4" x14ac:dyDescent="0.35">
      <c r="A612">
        <v>4272</v>
      </c>
      <c r="B612" t="s">
        <v>4429</v>
      </c>
      <c r="C612">
        <v>605</v>
      </c>
      <c r="D612" t="s">
        <v>3511</v>
      </c>
    </row>
    <row r="613" spans="1:4" x14ac:dyDescent="0.35">
      <c r="A613">
        <v>4273</v>
      </c>
      <c r="B613" t="s">
        <v>4430</v>
      </c>
      <c r="C613">
        <v>605</v>
      </c>
      <c r="D613" t="s">
        <v>3512</v>
      </c>
    </row>
    <row r="614" spans="1:4" x14ac:dyDescent="0.35">
      <c r="A614">
        <v>4274</v>
      </c>
      <c r="B614" t="s">
        <v>4431</v>
      </c>
      <c r="C614">
        <v>605</v>
      </c>
      <c r="D614" t="s">
        <v>3513</v>
      </c>
    </row>
    <row r="615" spans="1:4" x14ac:dyDescent="0.35">
      <c r="A615">
        <v>4275</v>
      </c>
      <c r="B615" t="s">
        <v>1087</v>
      </c>
      <c r="C615">
        <v>650</v>
      </c>
      <c r="D615" t="s">
        <v>438</v>
      </c>
    </row>
    <row r="616" spans="1:4" x14ac:dyDescent="0.35">
      <c r="A616">
        <v>4277</v>
      </c>
      <c r="B616" t="s">
        <v>1094</v>
      </c>
      <c r="C616">
        <v>650</v>
      </c>
      <c r="D616" t="s">
        <v>160</v>
      </c>
    </row>
    <row r="617" spans="1:4" x14ac:dyDescent="0.35">
      <c r="A617">
        <v>4278</v>
      </c>
      <c r="B617" t="s">
        <v>1089</v>
      </c>
      <c r="C617">
        <v>650</v>
      </c>
      <c r="D617" t="s">
        <v>164</v>
      </c>
    </row>
    <row r="618" spans="1:4" x14ac:dyDescent="0.35">
      <c r="A618">
        <v>4280</v>
      </c>
      <c r="B618" t="s">
        <v>4432</v>
      </c>
      <c r="C618">
        <v>650</v>
      </c>
      <c r="D618" t="s">
        <v>1944</v>
      </c>
    </row>
    <row r="619" spans="1:4" x14ac:dyDescent="0.35">
      <c r="A619">
        <v>4281</v>
      </c>
      <c r="B619" t="s">
        <v>1092</v>
      </c>
      <c r="C619">
        <v>650</v>
      </c>
      <c r="D619" t="s">
        <v>168</v>
      </c>
    </row>
    <row r="620" spans="1:4" x14ac:dyDescent="0.35">
      <c r="A620">
        <v>4282</v>
      </c>
      <c r="B620" t="s">
        <v>1563</v>
      </c>
      <c r="C620">
        <v>650</v>
      </c>
      <c r="D620" t="s">
        <v>390</v>
      </c>
    </row>
    <row r="621" spans="1:4" x14ac:dyDescent="0.35">
      <c r="A621">
        <v>4284</v>
      </c>
      <c r="B621" t="s">
        <v>4433</v>
      </c>
      <c r="C621">
        <v>650</v>
      </c>
      <c r="D621" t="s">
        <v>172</v>
      </c>
    </row>
    <row r="622" spans="1:4" x14ac:dyDescent="0.35">
      <c r="A622">
        <v>4285</v>
      </c>
      <c r="B622" t="s">
        <v>1561</v>
      </c>
      <c r="C622">
        <v>650</v>
      </c>
      <c r="D622" t="s">
        <v>186</v>
      </c>
    </row>
    <row r="623" spans="1:4" x14ac:dyDescent="0.35">
      <c r="A623">
        <v>4286</v>
      </c>
      <c r="B623" t="s">
        <v>1568</v>
      </c>
      <c r="C623">
        <v>650</v>
      </c>
      <c r="D623" t="s">
        <v>224</v>
      </c>
    </row>
    <row r="624" spans="1:4" x14ac:dyDescent="0.35">
      <c r="A624">
        <v>4287</v>
      </c>
      <c r="B624" t="s">
        <v>1566</v>
      </c>
      <c r="C624">
        <v>650</v>
      </c>
      <c r="D624" t="s">
        <v>244</v>
      </c>
    </row>
    <row r="625" spans="1:4" x14ac:dyDescent="0.35">
      <c r="A625">
        <v>4288</v>
      </c>
      <c r="B625" t="s">
        <v>1607</v>
      </c>
      <c r="C625">
        <v>650</v>
      </c>
      <c r="D625" t="s">
        <v>894</v>
      </c>
    </row>
    <row r="626" spans="1:4" x14ac:dyDescent="0.35">
      <c r="A626">
        <v>4289</v>
      </c>
      <c r="B626">
        <v>711977</v>
      </c>
      <c r="C626">
        <v>650</v>
      </c>
      <c r="D626" t="s">
        <v>648</v>
      </c>
    </row>
    <row r="627" spans="1:4" x14ac:dyDescent="0.35">
      <c r="A627">
        <v>4290</v>
      </c>
      <c r="B627" t="s">
        <v>4434</v>
      </c>
      <c r="C627">
        <v>660</v>
      </c>
      <c r="D627" t="s">
        <v>3734</v>
      </c>
    </row>
    <row r="628" spans="1:4" x14ac:dyDescent="0.35">
      <c r="A628">
        <v>4291</v>
      </c>
      <c r="B628" t="s">
        <v>3539</v>
      </c>
      <c r="C628">
        <v>661</v>
      </c>
      <c r="D628" t="s">
        <v>3539</v>
      </c>
    </row>
    <row r="629" spans="1:4" x14ac:dyDescent="0.35">
      <c r="A629">
        <v>4292</v>
      </c>
      <c r="B629" t="s">
        <v>4435</v>
      </c>
      <c r="C629">
        <v>661</v>
      </c>
      <c r="D629" t="s">
        <v>3637</v>
      </c>
    </row>
    <row r="630" spans="1:4" x14ac:dyDescent="0.35">
      <c r="A630">
        <v>4293</v>
      </c>
      <c r="B630" t="s">
        <v>4436</v>
      </c>
      <c r="C630">
        <v>661</v>
      </c>
      <c r="D630" t="s">
        <v>4081</v>
      </c>
    </row>
    <row r="631" spans="1:4" x14ac:dyDescent="0.35">
      <c r="A631">
        <v>4294</v>
      </c>
      <c r="B631" t="s">
        <v>4437</v>
      </c>
      <c r="C631">
        <v>661</v>
      </c>
      <c r="D631" t="s">
        <v>4082</v>
      </c>
    </row>
    <row r="632" spans="1:4" x14ac:dyDescent="0.35">
      <c r="A632">
        <v>4295</v>
      </c>
      <c r="B632">
        <v>8001113008</v>
      </c>
      <c r="C632">
        <v>663</v>
      </c>
      <c r="D632" t="s">
        <v>757</v>
      </c>
    </row>
    <row r="633" spans="1:4" x14ac:dyDescent="0.35">
      <c r="A633">
        <v>4296</v>
      </c>
      <c r="B633" t="s">
        <v>2378</v>
      </c>
      <c r="C633">
        <v>663</v>
      </c>
      <c r="D633" t="s">
        <v>757</v>
      </c>
    </row>
    <row r="634" spans="1:4" x14ac:dyDescent="0.35">
      <c r="A634">
        <v>4297</v>
      </c>
      <c r="B634">
        <v>8001113009</v>
      </c>
      <c r="C634">
        <v>663</v>
      </c>
      <c r="D634" t="s">
        <v>135</v>
      </c>
    </row>
    <row r="635" spans="1:4" x14ac:dyDescent="0.35">
      <c r="A635">
        <v>4298</v>
      </c>
      <c r="B635" t="s">
        <v>2376</v>
      </c>
      <c r="C635">
        <v>663</v>
      </c>
      <c r="D635" t="s">
        <v>135</v>
      </c>
    </row>
    <row r="636" spans="1:4" x14ac:dyDescent="0.35">
      <c r="A636">
        <v>4299</v>
      </c>
      <c r="B636">
        <v>8001113010</v>
      </c>
      <c r="C636">
        <v>663</v>
      </c>
      <c r="D636" t="s">
        <v>1104</v>
      </c>
    </row>
    <row r="637" spans="1:4" x14ac:dyDescent="0.35">
      <c r="A637">
        <v>4300</v>
      </c>
      <c r="B637" t="s">
        <v>2375</v>
      </c>
      <c r="C637">
        <v>663</v>
      </c>
      <c r="D637" t="s">
        <v>1104</v>
      </c>
    </row>
    <row r="638" spans="1:4" x14ac:dyDescent="0.35">
      <c r="A638">
        <v>4301</v>
      </c>
      <c r="B638" t="s">
        <v>1898</v>
      </c>
      <c r="C638">
        <v>663</v>
      </c>
      <c r="D638" t="s">
        <v>1899</v>
      </c>
    </row>
    <row r="639" spans="1:4" x14ac:dyDescent="0.35">
      <c r="A639">
        <v>4302</v>
      </c>
      <c r="B639" t="s">
        <v>2374</v>
      </c>
      <c r="C639">
        <v>663</v>
      </c>
      <c r="D639" t="s">
        <v>1899</v>
      </c>
    </row>
    <row r="640" spans="1:4" x14ac:dyDescent="0.35">
      <c r="A640">
        <v>4303</v>
      </c>
      <c r="B640" t="s">
        <v>1891</v>
      </c>
      <c r="C640">
        <v>663</v>
      </c>
      <c r="D640" t="s">
        <v>1894</v>
      </c>
    </row>
    <row r="641" spans="1:4" x14ac:dyDescent="0.35">
      <c r="A641">
        <v>4304</v>
      </c>
      <c r="B641" t="s">
        <v>2373</v>
      </c>
      <c r="C641">
        <v>663</v>
      </c>
      <c r="D641" t="s">
        <v>1894</v>
      </c>
    </row>
    <row r="642" spans="1:4" x14ac:dyDescent="0.35">
      <c r="A642">
        <v>4305</v>
      </c>
      <c r="B642">
        <v>8001113005</v>
      </c>
      <c r="C642">
        <v>663</v>
      </c>
      <c r="D642" t="s">
        <v>807</v>
      </c>
    </row>
    <row r="643" spans="1:4" x14ac:dyDescent="0.35">
      <c r="A643">
        <v>4306</v>
      </c>
      <c r="B643" t="s">
        <v>2377</v>
      </c>
      <c r="C643">
        <v>663</v>
      </c>
      <c r="D643" t="s">
        <v>807</v>
      </c>
    </row>
    <row r="644" spans="1:4" x14ac:dyDescent="0.35">
      <c r="A644">
        <v>4307</v>
      </c>
      <c r="B644">
        <v>171953</v>
      </c>
      <c r="C644">
        <v>664</v>
      </c>
      <c r="D644" t="s">
        <v>4145</v>
      </c>
    </row>
    <row r="645" spans="1:4" x14ac:dyDescent="0.35">
      <c r="A645">
        <v>4308</v>
      </c>
      <c r="B645">
        <v>32056220</v>
      </c>
      <c r="C645">
        <v>664</v>
      </c>
      <c r="D645" t="s">
        <v>4156</v>
      </c>
    </row>
    <row r="646" spans="1:4" x14ac:dyDescent="0.35">
      <c r="A646">
        <v>4309</v>
      </c>
      <c r="B646" t="s">
        <v>4346</v>
      </c>
      <c r="C646">
        <v>666</v>
      </c>
      <c r="D646" t="s">
        <v>3646</v>
      </c>
    </row>
    <row r="647" spans="1:4" x14ac:dyDescent="0.35">
      <c r="A647">
        <v>4310</v>
      </c>
      <c r="B647" t="s">
        <v>4438</v>
      </c>
      <c r="C647">
        <v>667</v>
      </c>
      <c r="D647" t="s">
        <v>3528</v>
      </c>
    </row>
    <row r="648" spans="1:4" x14ac:dyDescent="0.35">
      <c r="A648">
        <v>4311</v>
      </c>
      <c r="B648" t="s">
        <v>4439</v>
      </c>
      <c r="C648">
        <v>667</v>
      </c>
      <c r="D648" t="s">
        <v>3539</v>
      </c>
    </row>
    <row r="649" spans="1:4" x14ac:dyDescent="0.35">
      <c r="A649">
        <v>4312</v>
      </c>
      <c r="B649" t="s">
        <v>4393</v>
      </c>
      <c r="C649">
        <v>667</v>
      </c>
      <c r="D649" t="s">
        <v>3584</v>
      </c>
    </row>
    <row r="650" spans="1:4" x14ac:dyDescent="0.35">
      <c r="A650">
        <v>4313</v>
      </c>
      <c r="B650" t="s">
        <v>2361</v>
      </c>
      <c r="C650">
        <v>667</v>
      </c>
      <c r="D650" t="s">
        <v>1051</v>
      </c>
    </row>
    <row r="651" spans="1:4" x14ac:dyDescent="0.35">
      <c r="A651">
        <v>4314</v>
      </c>
      <c r="B651" t="s">
        <v>3670</v>
      </c>
      <c r="C651">
        <v>668</v>
      </c>
      <c r="D651" t="s">
        <v>3670</v>
      </c>
    </row>
    <row r="652" spans="1:4" x14ac:dyDescent="0.35">
      <c r="A652">
        <v>4315</v>
      </c>
      <c r="B652" t="s">
        <v>4440</v>
      </c>
      <c r="C652">
        <v>669</v>
      </c>
      <c r="D652" t="s">
        <v>3520</v>
      </c>
    </row>
    <row r="653" spans="1:4" x14ac:dyDescent="0.35">
      <c r="A653">
        <v>4316</v>
      </c>
      <c r="B653" t="s">
        <v>4441</v>
      </c>
      <c r="C653">
        <v>669</v>
      </c>
      <c r="D653" t="s">
        <v>4032</v>
      </c>
    </row>
    <row r="654" spans="1:4" x14ac:dyDescent="0.35">
      <c r="A654">
        <v>4317</v>
      </c>
      <c r="B654" t="s">
        <v>3646</v>
      </c>
      <c r="C654">
        <v>671</v>
      </c>
      <c r="D654" t="s">
        <v>3646</v>
      </c>
    </row>
    <row r="655" spans="1:4" x14ac:dyDescent="0.35">
      <c r="A655">
        <v>4318</v>
      </c>
      <c r="B655" t="s">
        <v>4442</v>
      </c>
      <c r="C655">
        <v>672</v>
      </c>
      <c r="D655" t="s">
        <v>4151</v>
      </c>
    </row>
    <row r="656" spans="1:4" x14ac:dyDescent="0.35">
      <c r="A656">
        <v>4319</v>
      </c>
      <c r="B656" t="s">
        <v>4443</v>
      </c>
      <c r="C656">
        <v>672</v>
      </c>
      <c r="D656" t="s">
        <v>4152</v>
      </c>
    </row>
    <row r="657" spans="1:4" x14ac:dyDescent="0.35">
      <c r="A657">
        <v>4320</v>
      </c>
      <c r="B657" t="s">
        <v>4444</v>
      </c>
      <c r="C657">
        <v>672</v>
      </c>
      <c r="D657" t="s">
        <v>4153</v>
      </c>
    </row>
    <row r="658" spans="1:4" x14ac:dyDescent="0.35">
      <c r="A658">
        <v>4321</v>
      </c>
      <c r="B658" t="s">
        <v>3520</v>
      </c>
      <c r="C658">
        <v>674</v>
      </c>
      <c r="D658" t="s">
        <v>3520</v>
      </c>
    </row>
    <row r="659" spans="1:4" x14ac:dyDescent="0.35">
      <c r="A659">
        <v>4322</v>
      </c>
      <c r="B659" t="s">
        <v>3702</v>
      </c>
      <c r="C659">
        <v>674</v>
      </c>
      <c r="D659" t="s">
        <v>3702</v>
      </c>
    </row>
    <row r="660" spans="1:4" x14ac:dyDescent="0.35">
      <c r="A660">
        <v>4323</v>
      </c>
      <c r="B660" t="s">
        <v>4346</v>
      </c>
      <c r="C660">
        <v>680</v>
      </c>
      <c r="D660" t="s">
        <v>3646</v>
      </c>
    </row>
    <row r="661" spans="1:4" x14ac:dyDescent="0.35">
      <c r="A661">
        <v>4324</v>
      </c>
      <c r="B661">
        <v>8551</v>
      </c>
      <c r="C661">
        <v>680</v>
      </c>
      <c r="D661" t="s">
        <v>3811</v>
      </c>
    </row>
    <row r="662" spans="1:4" x14ac:dyDescent="0.35">
      <c r="A662">
        <v>4325</v>
      </c>
      <c r="B662" t="s">
        <v>923</v>
      </c>
      <c r="C662">
        <v>685</v>
      </c>
      <c r="D662" t="s">
        <v>420</v>
      </c>
    </row>
    <row r="663" spans="1:4" x14ac:dyDescent="0.35">
      <c r="A663">
        <v>4326</v>
      </c>
      <c r="B663" t="s">
        <v>926</v>
      </c>
      <c r="C663">
        <v>685</v>
      </c>
      <c r="D663" t="s">
        <v>662</v>
      </c>
    </row>
    <row r="664" spans="1:4" x14ac:dyDescent="0.35">
      <c r="A664">
        <v>4327</v>
      </c>
      <c r="B664" t="s">
        <v>1365</v>
      </c>
      <c r="C664">
        <v>685</v>
      </c>
      <c r="D664" t="s">
        <v>1366</v>
      </c>
    </row>
    <row r="665" spans="1:4" x14ac:dyDescent="0.35">
      <c r="A665">
        <v>4328</v>
      </c>
      <c r="B665" t="s">
        <v>3637</v>
      </c>
      <c r="C665">
        <v>687</v>
      </c>
      <c r="D665" t="s">
        <v>3637</v>
      </c>
    </row>
    <row r="666" spans="1:4" x14ac:dyDescent="0.35">
      <c r="A666">
        <v>4329</v>
      </c>
      <c r="B666" t="s">
        <v>4445</v>
      </c>
      <c r="C666">
        <v>688</v>
      </c>
      <c r="D666" t="s">
        <v>3637</v>
      </c>
    </row>
    <row r="667" spans="1:4" x14ac:dyDescent="0.35">
      <c r="A667">
        <v>4330</v>
      </c>
      <c r="B667" t="s">
        <v>3637</v>
      </c>
      <c r="C667">
        <v>689</v>
      </c>
      <c r="D667" t="s">
        <v>3637</v>
      </c>
    </row>
    <row r="668" spans="1:4" x14ac:dyDescent="0.35">
      <c r="A668">
        <v>4331</v>
      </c>
      <c r="B668" t="s">
        <v>4446</v>
      </c>
      <c r="C668">
        <v>690</v>
      </c>
      <c r="D668" t="s">
        <v>3664</v>
      </c>
    </row>
    <row r="669" spans="1:4" x14ac:dyDescent="0.35">
      <c r="A669">
        <v>4332</v>
      </c>
      <c r="B669" t="s">
        <v>4447</v>
      </c>
      <c r="C669">
        <v>695</v>
      </c>
      <c r="D669" t="s">
        <v>3633</v>
      </c>
    </row>
    <row r="670" spans="1:4" x14ac:dyDescent="0.35">
      <c r="A670">
        <v>4333</v>
      </c>
      <c r="B670" t="s">
        <v>4448</v>
      </c>
      <c r="C670">
        <v>695</v>
      </c>
      <c r="D670" t="s">
        <v>3765</v>
      </c>
    </row>
    <row r="671" spans="1:4" x14ac:dyDescent="0.35">
      <c r="A671">
        <v>4334</v>
      </c>
      <c r="B671" t="s">
        <v>4449</v>
      </c>
      <c r="C671">
        <v>695</v>
      </c>
      <c r="D671" t="s">
        <v>3838</v>
      </c>
    </row>
    <row r="672" spans="1:4" x14ac:dyDescent="0.35">
      <c r="A672">
        <v>4335</v>
      </c>
      <c r="B672" t="s">
        <v>4450</v>
      </c>
      <c r="C672">
        <v>695</v>
      </c>
      <c r="D672" t="s">
        <v>3863</v>
      </c>
    </row>
    <row r="673" spans="1:4" x14ac:dyDescent="0.35">
      <c r="A673">
        <v>4337</v>
      </c>
      <c r="B673" t="s">
        <v>4451</v>
      </c>
      <c r="C673">
        <v>697</v>
      </c>
      <c r="D673" t="s">
        <v>3664</v>
      </c>
    </row>
    <row r="674" spans="1:4" x14ac:dyDescent="0.35">
      <c r="A674">
        <v>4338</v>
      </c>
      <c r="B674" t="s">
        <v>3447</v>
      </c>
      <c r="C674">
        <v>698</v>
      </c>
      <c r="D674" t="s">
        <v>3447</v>
      </c>
    </row>
    <row r="675" spans="1:4" x14ac:dyDescent="0.35">
      <c r="A675">
        <v>4339</v>
      </c>
      <c r="B675" t="s">
        <v>3670</v>
      </c>
      <c r="C675">
        <v>698</v>
      </c>
      <c r="D675" t="s">
        <v>3670</v>
      </c>
    </row>
    <row r="676" spans="1:4" x14ac:dyDescent="0.35">
      <c r="A676">
        <v>4340</v>
      </c>
      <c r="B676" t="s">
        <v>3493</v>
      </c>
      <c r="C676">
        <v>702</v>
      </c>
      <c r="D676" t="s">
        <v>3493</v>
      </c>
    </row>
    <row r="677" spans="1:4" x14ac:dyDescent="0.35">
      <c r="A677">
        <v>4341</v>
      </c>
      <c r="B677" t="s">
        <v>4452</v>
      </c>
      <c r="C677">
        <v>703</v>
      </c>
      <c r="D677" t="s">
        <v>3598</v>
      </c>
    </row>
    <row r="678" spans="1:4" x14ac:dyDescent="0.35">
      <c r="A678">
        <v>4342</v>
      </c>
      <c r="B678" t="s">
        <v>3664</v>
      </c>
      <c r="C678">
        <v>708</v>
      </c>
      <c r="D678" t="s">
        <v>3664</v>
      </c>
    </row>
    <row r="679" spans="1:4" x14ac:dyDescent="0.35">
      <c r="A679">
        <v>4343</v>
      </c>
      <c r="B679" t="s">
        <v>4261</v>
      </c>
      <c r="C679">
        <v>711</v>
      </c>
      <c r="D679" t="s">
        <v>3664</v>
      </c>
    </row>
    <row r="680" spans="1:4" x14ac:dyDescent="0.35">
      <c r="A680">
        <v>4344</v>
      </c>
      <c r="B680" t="s">
        <v>4453</v>
      </c>
      <c r="C680">
        <v>711</v>
      </c>
      <c r="D680" t="s">
        <v>4150</v>
      </c>
    </row>
    <row r="681" spans="1:4" x14ac:dyDescent="0.35">
      <c r="A681">
        <v>4345</v>
      </c>
      <c r="B681" t="s">
        <v>4454</v>
      </c>
      <c r="C681">
        <v>713</v>
      </c>
      <c r="D681" t="s">
        <v>4151</v>
      </c>
    </row>
    <row r="682" spans="1:4" x14ac:dyDescent="0.35">
      <c r="A682">
        <v>4346</v>
      </c>
      <c r="B682" t="s">
        <v>4455</v>
      </c>
      <c r="C682">
        <v>713</v>
      </c>
      <c r="D682" t="s">
        <v>4151</v>
      </c>
    </row>
    <row r="683" spans="1:4" x14ac:dyDescent="0.35">
      <c r="A683">
        <v>4347</v>
      </c>
      <c r="B683" t="s">
        <v>4454</v>
      </c>
      <c r="C683">
        <v>713</v>
      </c>
      <c r="D683" t="s">
        <v>4152</v>
      </c>
    </row>
    <row r="684" spans="1:4" x14ac:dyDescent="0.35">
      <c r="A684">
        <v>4348</v>
      </c>
      <c r="B684">
        <v>300010</v>
      </c>
      <c r="C684">
        <v>715</v>
      </c>
      <c r="D684" t="s">
        <v>459</v>
      </c>
    </row>
    <row r="685" spans="1:4" x14ac:dyDescent="0.35">
      <c r="A685">
        <v>4349</v>
      </c>
      <c r="B685">
        <v>64150</v>
      </c>
      <c r="C685">
        <v>716</v>
      </c>
      <c r="D685" t="s">
        <v>3664</v>
      </c>
    </row>
    <row r="686" spans="1:4" x14ac:dyDescent="0.35">
      <c r="A686">
        <v>4350</v>
      </c>
      <c r="B686" t="s">
        <v>3668</v>
      </c>
      <c r="C686">
        <v>720</v>
      </c>
      <c r="D686" t="s">
        <v>3668</v>
      </c>
    </row>
    <row r="687" spans="1:4" x14ac:dyDescent="0.35">
      <c r="A687">
        <v>4351</v>
      </c>
      <c r="B687" t="s">
        <v>3672</v>
      </c>
      <c r="C687">
        <v>724</v>
      </c>
      <c r="D687" t="s">
        <v>3672</v>
      </c>
    </row>
    <row r="688" spans="1:4" x14ac:dyDescent="0.35">
      <c r="A688">
        <v>4352</v>
      </c>
      <c r="B688" t="s">
        <v>3624</v>
      </c>
      <c r="C688">
        <v>734</v>
      </c>
      <c r="D688" t="s">
        <v>3624</v>
      </c>
    </row>
    <row r="689" spans="1:4" x14ac:dyDescent="0.35">
      <c r="A689">
        <v>4353</v>
      </c>
      <c r="B689">
        <v>115634</v>
      </c>
      <c r="C689">
        <v>736</v>
      </c>
      <c r="D689" t="s">
        <v>4147</v>
      </c>
    </row>
    <row r="690" spans="1:4" x14ac:dyDescent="0.35">
      <c r="A690">
        <v>4354</v>
      </c>
      <c r="B690">
        <v>115635</v>
      </c>
      <c r="C690">
        <v>736</v>
      </c>
      <c r="D690" t="s">
        <v>4148</v>
      </c>
    </row>
    <row r="691" spans="1:4" x14ac:dyDescent="0.35">
      <c r="A691">
        <v>4355</v>
      </c>
      <c r="B691">
        <v>115031</v>
      </c>
      <c r="C691">
        <v>736</v>
      </c>
      <c r="D691" t="s">
        <v>4153</v>
      </c>
    </row>
    <row r="692" spans="1:4" x14ac:dyDescent="0.35">
      <c r="A692">
        <v>4356</v>
      </c>
      <c r="B692">
        <v>115324</v>
      </c>
      <c r="C692">
        <v>736</v>
      </c>
      <c r="D692" t="s">
        <v>4156</v>
      </c>
    </row>
    <row r="693" spans="1:4" x14ac:dyDescent="0.35">
      <c r="A693">
        <v>4357</v>
      </c>
      <c r="B693">
        <v>115638</v>
      </c>
      <c r="C693">
        <v>736</v>
      </c>
      <c r="D693" t="s">
        <v>4166</v>
      </c>
    </row>
    <row r="694" spans="1:4" x14ac:dyDescent="0.35">
      <c r="A694">
        <v>4358</v>
      </c>
      <c r="B694">
        <v>115639</v>
      </c>
      <c r="C694">
        <v>736</v>
      </c>
      <c r="D694" t="s">
        <v>4167</v>
      </c>
    </row>
    <row r="695" spans="1:4" x14ac:dyDescent="0.35">
      <c r="A695">
        <v>4359</v>
      </c>
      <c r="B695" t="s">
        <v>4456</v>
      </c>
      <c r="C695">
        <v>743</v>
      </c>
      <c r="D695" t="s">
        <v>3702</v>
      </c>
    </row>
    <row r="696" spans="1:4" x14ac:dyDescent="0.35">
      <c r="A696">
        <v>4360</v>
      </c>
      <c r="B696">
        <v>703004</v>
      </c>
      <c r="C696">
        <v>750</v>
      </c>
      <c r="D696" t="s">
        <v>3670</v>
      </c>
    </row>
    <row r="697" spans="1:4" x14ac:dyDescent="0.35">
      <c r="A697">
        <v>4361</v>
      </c>
      <c r="B697">
        <v>10035139</v>
      </c>
      <c r="C697">
        <v>760</v>
      </c>
      <c r="D697" t="s">
        <v>3584</v>
      </c>
    </row>
    <row r="698" spans="1:4" x14ac:dyDescent="0.35">
      <c r="A698">
        <v>4362</v>
      </c>
      <c r="B698">
        <v>10016976</v>
      </c>
      <c r="C698">
        <v>760</v>
      </c>
      <c r="D698" t="s">
        <v>3668</v>
      </c>
    </row>
    <row r="699" spans="1:4" x14ac:dyDescent="0.35">
      <c r="A699">
        <v>4363</v>
      </c>
      <c r="B699">
        <v>10021707</v>
      </c>
      <c r="C699">
        <v>760</v>
      </c>
      <c r="D699" t="s">
        <v>3670</v>
      </c>
    </row>
    <row r="700" spans="1:4" x14ac:dyDescent="0.35">
      <c r="A700">
        <v>4364</v>
      </c>
      <c r="B700">
        <v>10009933</v>
      </c>
      <c r="C700">
        <v>760</v>
      </c>
      <c r="D700" t="s">
        <v>3777</v>
      </c>
    </row>
    <row r="701" spans="1:4" x14ac:dyDescent="0.35">
      <c r="A701">
        <v>4365</v>
      </c>
      <c r="B701">
        <v>10009932</v>
      </c>
      <c r="C701">
        <v>760</v>
      </c>
      <c r="D701" t="s">
        <v>3783</v>
      </c>
    </row>
    <row r="702" spans="1:4" x14ac:dyDescent="0.35">
      <c r="A702">
        <v>4366</v>
      </c>
      <c r="B702">
        <v>10009972</v>
      </c>
      <c r="C702">
        <v>760</v>
      </c>
      <c r="D702" t="s">
        <v>3788</v>
      </c>
    </row>
    <row r="703" spans="1:4" x14ac:dyDescent="0.35">
      <c r="A703">
        <v>4367</v>
      </c>
      <c r="B703">
        <v>10007151</v>
      </c>
      <c r="C703">
        <v>760</v>
      </c>
      <c r="D703" t="s">
        <v>3826</v>
      </c>
    </row>
    <row r="704" spans="1:4" x14ac:dyDescent="0.35">
      <c r="A704">
        <v>4368</v>
      </c>
      <c r="B704">
        <v>10033950</v>
      </c>
      <c r="C704">
        <v>760</v>
      </c>
      <c r="D704" t="s">
        <v>149</v>
      </c>
    </row>
    <row r="705" spans="1:4" x14ac:dyDescent="0.35">
      <c r="A705">
        <v>4369</v>
      </c>
      <c r="B705">
        <v>10035195</v>
      </c>
      <c r="C705">
        <v>760</v>
      </c>
      <c r="D705" t="s">
        <v>2153</v>
      </c>
    </row>
    <row r="706" spans="1:4" x14ac:dyDescent="0.35">
      <c r="A706">
        <v>4370</v>
      </c>
      <c r="B706">
        <v>10035194</v>
      </c>
      <c r="C706">
        <v>760</v>
      </c>
      <c r="D706" t="s">
        <v>2157</v>
      </c>
    </row>
    <row r="707" spans="1:4" x14ac:dyDescent="0.35">
      <c r="A707">
        <v>4371</v>
      </c>
      <c r="B707" t="s">
        <v>3670</v>
      </c>
      <c r="C707">
        <v>263</v>
      </c>
      <c r="D707" t="s">
        <v>3670</v>
      </c>
    </row>
    <row r="708" spans="1:4" x14ac:dyDescent="0.35">
      <c r="A708">
        <v>4372</v>
      </c>
      <c r="B708" t="s">
        <v>3672</v>
      </c>
      <c r="C708">
        <v>263</v>
      </c>
      <c r="D708" t="s">
        <v>3672</v>
      </c>
    </row>
    <row r="709" spans="1:4" x14ac:dyDescent="0.35">
      <c r="A709">
        <v>4373</v>
      </c>
      <c r="B709" t="s">
        <v>4457</v>
      </c>
      <c r="C709">
        <v>263</v>
      </c>
      <c r="D709" t="s">
        <v>3676</v>
      </c>
    </row>
    <row r="710" spans="1:4" x14ac:dyDescent="0.35">
      <c r="A710">
        <v>4374</v>
      </c>
      <c r="B710">
        <v>153706</v>
      </c>
      <c r="C710">
        <v>263</v>
      </c>
      <c r="D710" t="s">
        <v>4166</v>
      </c>
    </row>
    <row r="711" spans="1:4" x14ac:dyDescent="0.35">
      <c r="A711">
        <v>4375</v>
      </c>
      <c r="B711" t="s">
        <v>3620</v>
      </c>
      <c r="C711">
        <v>763</v>
      </c>
      <c r="D711" t="s">
        <v>3620</v>
      </c>
    </row>
    <row r="712" spans="1:4" x14ac:dyDescent="0.35">
      <c r="A712">
        <v>4376</v>
      </c>
      <c r="B712">
        <v>480001</v>
      </c>
      <c r="C712">
        <v>769</v>
      </c>
      <c r="D712" t="s">
        <v>149</v>
      </c>
    </row>
    <row r="713" spans="1:4" x14ac:dyDescent="0.35">
      <c r="A713">
        <v>4377</v>
      </c>
      <c r="B713" t="s">
        <v>4458</v>
      </c>
      <c r="C713">
        <v>770</v>
      </c>
      <c r="D713" t="s">
        <v>3646</v>
      </c>
    </row>
    <row r="714" spans="1:4" x14ac:dyDescent="0.35">
      <c r="A714">
        <v>4378</v>
      </c>
      <c r="B714">
        <v>60738</v>
      </c>
      <c r="C714">
        <v>773</v>
      </c>
      <c r="D714" t="s">
        <v>2052</v>
      </c>
    </row>
    <row r="715" spans="1:4" x14ac:dyDescent="0.35">
      <c r="A715">
        <v>4379</v>
      </c>
      <c r="B715">
        <v>142338</v>
      </c>
      <c r="C715">
        <v>773</v>
      </c>
      <c r="D715" t="s">
        <v>1872</v>
      </c>
    </row>
    <row r="716" spans="1:4" x14ac:dyDescent="0.35">
      <c r="A716">
        <v>4380</v>
      </c>
      <c r="B716">
        <v>142339</v>
      </c>
      <c r="C716">
        <v>773</v>
      </c>
      <c r="D716" t="s">
        <v>1876</v>
      </c>
    </row>
    <row r="717" spans="1:4" x14ac:dyDescent="0.35">
      <c r="A717">
        <v>4381</v>
      </c>
      <c r="B717">
        <v>142335</v>
      </c>
      <c r="C717">
        <v>773</v>
      </c>
      <c r="D717" t="s">
        <v>1860</v>
      </c>
    </row>
    <row r="718" spans="1:4" x14ac:dyDescent="0.35">
      <c r="A718">
        <v>4382</v>
      </c>
      <c r="B718">
        <v>142336</v>
      </c>
      <c r="C718">
        <v>773</v>
      </c>
      <c r="D718" t="s">
        <v>1864</v>
      </c>
    </row>
    <row r="719" spans="1:4" x14ac:dyDescent="0.35">
      <c r="A719">
        <v>4383</v>
      </c>
      <c r="B719" t="s">
        <v>3664</v>
      </c>
      <c r="C719">
        <v>778</v>
      </c>
      <c r="D719" t="s">
        <v>3664</v>
      </c>
    </row>
    <row r="720" spans="1:4" x14ac:dyDescent="0.35">
      <c r="A720">
        <v>4384</v>
      </c>
      <c r="B720" t="s">
        <v>4459</v>
      </c>
      <c r="C720">
        <v>785</v>
      </c>
      <c r="D720" t="s">
        <v>3668</v>
      </c>
    </row>
    <row r="721" spans="1:4" x14ac:dyDescent="0.35">
      <c r="A721">
        <v>4385</v>
      </c>
      <c r="B721">
        <v>564099</v>
      </c>
      <c r="C721">
        <v>787</v>
      </c>
      <c r="D721" t="s">
        <v>3664</v>
      </c>
    </row>
    <row r="722" spans="1:4" x14ac:dyDescent="0.35">
      <c r="A722">
        <v>4386</v>
      </c>
      <c r="B722" t="s">
        <v>3598</v>
      </c>
      <c r="C722">
        <v>788</v>
      </c>
      <c r="D722" t="s">
        <v>3598</v>
      </c>
    </row>
    <row r="723" spans="1:4" x14ac:dyDescent="0.35">
      <c r="A723">
        <v>4387</v>
      </c>
      <c r="B723" t="s">
        <v>3605</v>
      </c>
      <c r="C723">
        <v>788</v>
      </c>
      <c r="D723" t="s">
        <v>3605</v>
      </c>
    </row>
    <row r="724" spans="1:4" x14ac:dyDescent="0.35">
      <c r="A724">
        <v>4388</v>
      </c>
      <c r="B724" t="s">
        <v>4460</v>
      </c>
      <c r="C724">
        <v>793</v>
      </c>
      <c r="D724" t="s">
        <v>3664</v>
      </c>
    </row>
    <row r="725" spans="1:4" x14ac:dyDescent="0.35">
      <c r="A725">
        <v>4389</v>
      </c>
      <c r="B725">
        <v>2319507220000</v>
      </c>
      <c r="C725">
        <v>795</v>
      </c>
      <c r="D725" t="s">
        <v>3800</v>
      </c>
    </row>
    <row r="726" spans="1:4" x14ac:dyDescent="0.35">
      <c r="A726">
        <v>4390</v>
      </c>
      <c r="B726" t="s">
        <v>4461</v>
      </c>
      <c r="C726">
        <v>810</v>
      </c>
      <c r="D726" t="s">
        <v>3769</v>
      </c>
    </row>
    <row r="727" spans="1:4" x14ac:dyDescent="0.35">
      <c r="A727">
        <v>4391</v>
      </c>
      <c r="B727" t="s">
        <v>4462</v>
      </c>
      <c r="C727">
        <v>811</v>
      </c>
      <c r="D727" t="s">
        <v>3584</v>
      </c>
    </row>
    <row r="728" spans="1:4" x14ac:dyDescent="0.35">
      <c r="A728">
        <v>4392</v>
      </c>
      <c r="B728" t="s">
        <v>4463</v>
      </c>
      <c r="C728">
        <v>816</v>
      </c>
      <c r="D728" t="s">
        <v>3540</v>
      </c>
    </row>
    <row r="729" spans="1:4" x14ac:dyDescent="0.35">
      <c r="A729">
        <v>4393</v>
      </c>
      <c r="B729">
        <v>10392205</v>
      </c>
      <c r="C729">
        <v>816</v>
      </c>
      <c r="D729" t="s">
        <v>3647</v>
      </c>
    </row>
    <row r="730" spans="1:4" x14ac:dyDescent="0.35">
      <c r="A730">
        <v>4394</v>
      </c>
      <c r="B730" t="s">
        <v>4464</v>
      </c>
      <c r="C730">
        <v>816</v>
      </c>
      <c r="D730" t="s">
        <v>3664</v>
      </c>
    </row>
    <row r="731" spans="1:4" x14ac:dyDescent="0.35">
      <c r="A731">
        <v>4395</v>
      </c>
      <c r="B731" t="s">
        <v>3584</v>
      </c>
      <c r="C731">
        <v>820</v>
      </c>
      <c r="D731" t="s">
        <v>3584</v>
      </c>
    </row>
    <row r="732" spans="1:4" x14ac:dyDescent="0.35">
      <c r="A732">
        <v>4396</v>
      </c>
      <c r="B732" t="s">
        <v>3844</v>
      </c>
      <c r="C732">
        <v>826</v>
      </c>
      <c r="D732" t="s">
        <v>3844</v>
      </c>
    </row>
    <row r="733" spans="1:4" x14ac:dyDescent="0.35">
      <c r="A733">
        <v>4397</v>
      </c>
      <c r="B733" t="s">
        <v>3845</v>
      </c>
      <c r="C733">
        <v>826</v>
      </c>
      <c r="D733" t="s">
        <v>3845</v>
      </c>
    </row>
    <row r="734" spans="1:4" x14ac:dyDescent="0.35">
      <c r="A734">
        <v>4398</v>
      </c>
      <c r="B734" t="s">
        <v>4465</v>
      </c>
      <c r="C734">
        <v>827</v>
      </c>
      <c r="D734" t="s">
        <v>4152</v>
      </c>
    </row>
    <row r="735" spans="1:4" x14ac:dyDescent="0.35">
      <c r="A735">
        <v>4399</v>
      </c>
      <c r="B735" t="s">
        <v>3664</v>
      </c>
      <c r="C735">
        <v>831</v>
      </c>
      <c r="D735" t="s">
        <v>3664</v>
      </c>
    </row>
    <row r="736" spans="1:4" x14ac:dyDescent="0.35">
      <c r="A736">
        <v>4400</v>
      </c>
      <c r="B736">
        <v>7094171830</v>
      </c>
      <c r="C736">
        <v>837</v>
      </c>
      <c r="D736" t="s">
        <v>1709</v>
      </c>
    </row>
    <row r="737" spans="1:4" x14ac:dyDescent="0.35">
      <c r="A737">
        <v>4401</v>
      </c>
      <c r="B737">
        <v>7094171330</v>
      </c>
      <c r="C737">
        <v>837</v>
      </c>
      <c r="D737" t="s">
        <v>1244</v>
      </c>
    </row>
    <row r="738" spans="1:4" x14ac:dyDescent="0.35">
      <c r="A738">
        <v>4402</v>
      </c>
      <c r="B738">
        <v>7094171430</v>
      </c>
      <c r="C738">
        <v>837</v>
      </c>
      <c r="D738" t="s">
        <v>1719</v>
      </c>
    </row>
    <row r="739" spans="1:4" x14ac:dyDescent="0.35">
      <c r="A739">
        <v>4403</v>
      </c>
      <c r="B739">
        <v>7094174330</v>
      </c>
      <c r="C739">
        <v>837</v>
      </c>
      <c r="D739" t="s">
        <v>1200</v>
      </c>
    </row>
    <row r="740" spans="1:4" x14ac:dyDescent="0.35">
      <c r="A740">
        <v>4404</v>
      </c>
      <c r="B740">
        <v>7094174730</v>
      </c>
      <c r="C740">
        <v>837</v>
      </c>
      <c r="D740" t="s">
        <v>1796</v>
      </c>
    </row>
    <row r="741" spans="1:4" x14ac:dyDescent="0.35">
      <c r="A741">
        <v>4405</v>
      </c>
      <c r="B741">
        <v>7094175930</v>
      </c>
      <c r="C741">
        <v>837</v>
      </c>
      <c r="D741" t="s">
        <v>1755</v>
      </c>
    </row>
    <row r="742" spans="1:4" x14ac:dyDescent="0.35">
      <c r="A742">
        <v>4406</v>
      </c>
      <c r="B742">
        <v>7094174530</v>
      </c>
      <c r="C742">
        <v>837</v>
      </c>
      <c r="D742" t="s">
        <v>1786</v>
      </c>
    </row>
    <row r="743" spans="1:4" x14ac:dyDescent="0.35">
      <c r="A743">
        <v>4407</v>
      </c>
      <c r="B743">
        <v>7094174930</v>
      </c>
      <c r="C743">
        <v>837</v>
      </c>
      <c r="D743" t="s">
        <v>1804</v>
      </c>
    </row>
    <row r="744" spans="1:4" x14ac:dyDescent="0.35">
      <c r="A744">
        <v>4408</v>
      </c>
      <c r="B744">
        <v>7094174030</v>
      </c>
      <c r="C744">
        <v>838</v>
      </c>
      <c r="D744" t="s">
        <v>655</v>
      </c>
    </row>
    <row r="745" spans="1:4" x14ac:dyDescent="0.35">
      <c r="A745">
        <v>4409</v>
      </c>
      <c r="B745">
        <v>7094171830</v>
      </c>
      <c r="C745">
        <v>838</v>
      </c>
      <c r="D745" t="s">
        <v>1709</v>
      </c>
    </row>
    <row r="746" spans="1:4" x14ac:dyDescent="0.35">
      <c r="A746">
        <v>4410</v>
      </c>
      <c r="B746">
        <v>7094171330</v>
      </c>
      <c r="C746">
        <v>838</v>
      </c>
      <c r="D746" t="s">
        <v>1244</v>
      </c>
    </row>
    <row r="747" spans="1:4" x14ac:dyDescent="0.35">
      <c r="A747">
        <v>4411</v>
      </c>
      <c r="B747">
        <v>7094171430</v>
      </c>
      <c r="C747">
        <v>838</v>
      </c>
      <c r="D747" t="s">
        <v>1719</v>
      </c>
    </row>
    <row r="748" spans="1:4" x14ac:dyDescent="0.35">
      <c r="A748">
        <v>4412</v>
      </c>
      <c r="B748">
        <v>7094175930</v>
      </c>
      <c r="C748">
        <v>838</v>
      </c>
      <c r="D748" t="s">
        <v>1755</v>
      </c>
    </row>
    <row r="749" spans="1:4" x14ac:dyDescent="0.35">
      <c r="A749">
        <v>4413</v>
      </c>
      <c r="B749">
        <v>7094176630</v>
      </c>
      <c r="C749">
        <v>838</v>
      </c>
      <c r="D749" t="s">
        <v>2161</v>
      </c>
    </row>
    <row r="750" spans="1:4" x14ac:dyDescent="0.35">
      <c r="A750">
        <v>4414</v>
      </c>
      <c r="B750">
        <v>7094171830</v>
      </c>
      <c r="C750">
        <v>839</v>
      </c>
      <c r="D750" t="s">
        <v>1709</v>
      </c>
    </row>
    <row r="751" spans="1:4" x14ac:dyDescent="0.35">
      <c r="A751">
        <v>4415</v>
      </c>
      <c r="B751">
        <v>7094171330</v>
      </c>
      <c r="C751">
        <v>839</v>
      </c>
      <c r="D751" t="s">
        <v>1244</v>
      </c>
    </row>
    <row r="752" spans="1:4" x14ac:dyDescent="0.35">
      <c r="A752">
        <v>4416</v>
      </c>
      <c r="B752">
        <v>7094171430</v>
      </c>
      <c r="C752">
        <v>839</v>
      </c>
      <c r="D752" t="s">
        <v>1719</v>
      </c>
    </row>
    <row r="753" spans="1:4" x14ac:dyDescent="0.35">
      <c r="A753">
        <v>4417</v>
      </c>
      <c r="B753" t="s">
        <v>4466</v>
      </c>
      <c r="C753">
        <v>842</v>
      </c>
      <c r="D753" t="s">
        <v>3584</v>
      </c>
    </row>
    <row r="754" spans="1:4" x14ac:dyDescent="0.35">
      <c r="A754">
        <v>4418</v>
      </c>
      <c r="B754" t="s">
        <v>4467</v>
      </c>
      <c r="C754">
        <v>844</v>
      </c>
      <c r="D754" t="s">
        <v>3639</v>
      </c>
    </row>
    <row r="755" spans="1:4" x14ac:dyDescent="0.35">
      <c r="A755">
        <v>4419</v>
      </c>
      <c r="B755" t="s">
        <v>4451</v>
      </c>
      <c r="C755">
        <v>844</v>
      </c>
      <c r="D755" t="s">
        <v>3670</v>
      </c>
    </row>
    <row r="756" spans="1:4" x14ac:dyDescent="0.35">
      <c r="A756">
        <v>4420</v>
      </c>
      <c r="B756">
        <v>52286</v>
      </c>
      <c r="C756">
        <v>845</v>
      </c>
      <c r="D756" t="s">
        <v>3674</v>
      </c>
    </row>
    <row r="757" spans="1:4" x14ac:dyDescent="0.35">
      <c r="A757">
        <v>4421</v>
      </c>
      <c r="B757" t="s">
        <v>4468</v>
      </c>
      <c r="C757">
        <v>846</v>
      </c>
      <c r="D757" t="s">
        <v>3664</v>
      </c>
    </row>
    <row r="758" spans="1:4" x14ac:dyDescent="0.35">
      <c r="A758">
        <v>4422</v>
      </c>
      <c r="B758" t="s">
        <v>3589</v>
      </c>
      <c r="C758">
        <v>856</v>
      </c>
      <c r="D758" t="s">
        <v>3589</v>
      </c>
    </row>
    <row r="759" spans="1:4" x14ac:dyDescent="0.35">
      <c r="A759">
        <v>4423</v>
      </c>
      <c r="B759" t="s">
        <v>4469</v>
      </c>
      <c r="C759">
        <v>862</v>
      </c>
      <c r="D759" t="s">
        <v>3438</v>
      </c>
    </row>
    <row r="760" spans="1:4" x14ac:dyDescent="0.35">
      <c r="A760">
        <v>4424</v>
      </c>
      <c r="B760" t="s">
        <v>4295</v>
      </c>
      <c r="C760">
        <v>864</v>
      </c>
      <c r="D760" t="s">
        <v>459</v>
      </c>
    </row>
    <row r="761" spans="1:4" x14ac:dyDescent="0.35">
      <c r="A761">
        <v>4425</v>
      </c>
      <c r="B761">
        <v>69322334</v>
      </c>
      <c r="C761">
        <v>890</v>
      </c>
      <c r="D761" t="s">
        <v>2080</v>
      </c>
    </row>
    <row r="762" spans="1:4" x14ac:dyDescent="0.35">
      <c r="A762">
        <v>4426</v>
      </c>
      <c r="B762">
        <v>69322246</v>
      </c>
      <c r="C762">
        <v>890</v>
      </c>
      <c r="D762" t="s">
        <v>496</v>
      </c>
    </row>
    <row r="763" spans="1:4" x14ac:dyDescent="0.35">
      <c r="A763">
        <v>4427</v>
      </c>
      <c r="B763">
        <v>69322336</v>
      </c>
      <c r="C763">
        <v>890</v>
      </c>
      <c r="D763" t="s">
        <v>894</v>
      </c>
    </row>
    <row r="764" spans="1:4" x14ac:dyDescent="0.35">
      <c r="A764">
        <v>4428</v>
      </c>
      <c r="B764">
        <v>69322335</v>
      </c>
      <c r="C764">
        <v>890</v>
      </c>
      <c r="D764" t="s">
        <v>730</v>
      </c>
    </row>
    <row r="765" spans="1:4" x14ac:dyDescent="0.35">
      <c r="A765">
        <v>4429</v>
      </c>
      <c r="B765">
        <v>99932935</v>
      </c>
      <c r="C765">
        <v>890</v>
      </c>
      <c r="D765" t="s">
        <v>2257</v>
      </c>
    </row>
    <row r="766" spans="1:4" x14ac:dyDescent="0.35">
      <c r="A766">
        <v>4430</v>
      </c>
      <c r="B766">
        <v>99932949</v>
      </c>
      <c r="C766">
        <v>890</v>
      </c>
      <c r="D766" t="s">
        <v>2261</v>
      </c>
    </row>
    <row r="767" spans="1:4" x14ac:dyDescent="0.35">
      <c r="A767">
        <v>4431</v>
      </c>
      <c r="B767">
        <v>99932955</v>
      </c>
      <c r="C767">
        <v>890</v>
      </c>
      <c r="D767" t="s">
        <v>2307</v>
      </c>
    </row>
    <row r="768" spans="1:4" x14ac:dyDescent="0.35">
      <c r="A768">
        <v>4432</v>
      </c>
      <c r="B768">
        <v>99932948</v>
      </c>
      <c r="C768">
        <v>890</v>
      </c>
      <c r="D768" t="s">
        <v>2319</v>
      </c>
    </row>
    <row r="769" spans="1:4" x14ac:dyDescent="0.35">
      <c r="A769">
        <v>4433</v>
      </c>
      <c r="B769">
        <v>99932944</v>
      </c>
      <c r="C769">
        <v>890</v>
      </c>
      <c r="D769" t="s">
        <v>2323</v>
      </c>
    </row>
    <row r="770" spans="1:4" x14ac:dyDescent="0.35">
      <c r="A770">
        <v>4434</v>
      </c>
      <c r="B770">
        <v>99932954</v>
      </c>
      <c r="C770">
        <v>890</v>
      </c>
      <c r="D770" t="s">
        <v>2327</v>
      </c>
    </row>
    <row r="771" spans="1:4" x14ac:dyDescent="0.35">
      <c r="A771">
        <v>4435</v>
      </c>
      <c r="B771">
        <v>99932945</v>
      </c>
      <c r="C771">
        <v>890</v>
      </c>
      <c r="D771" t="s">
        <v>2331</v>
      </c>
    </row>
    <row r="772" spans="1:4" x14ac:dyDescent="0.35">
      <c r="A772">
        <v>4436</v>
      </c>
      <c r="B772">
        <v>99932946</v>
      </c>
      <c r="C772">
        <v>890</v>
      </c>
      <c r="D772" t="s">
        <v>2335</v>
      </c>
    </row>
    <row r="773" spans="1:4" x14ac:dyDescent="0.35">
      <c r="A773">
        <v>4437</v>
      </c>
      <c r="B773">
        <v>99932947</v>
      </c>
      <c r="C773">
        <v>890</v>
      </c>
      <c r="D773" t="s">
        <v>2339</v>
      </c>
    </row>
    <row r="774" spans="1:4" x14ac:dyDescent="0.35">
      <c r="A774">
        <v>4438</v>
      </c>
      <c r="B774">
        <v>99932940</v>
      </c>
      <c r="C774">
        <v>890</v>
      </c>
      <c r="D774" t="s">
        <v>2311</v>
      </c>
    </row>
    <row r="775" spans="1:4" x14ac:dyDescent="0.35">
      <c r="A775">
        <v>4439</v>
      </c>
      <c r="B775">
        <v>99932941</v>
      </c>
      <c r="C775">
        <v>890</v>
      </c>
      <c r="D775" t="s">
        <v>2281</v>
      </c>
    </row>
    <row r="776" spans="1:4" x14ac:dyDescent="0.35">
      <c r="A776">
        <v>4440</v>
      </c>
      <c r="B776">
        <v>99932942</v>
      </c>
      <c r="C776">
        <v>890</v>
      </c>
      <c r="D776" t="s">
        <v>2293</v>
      </c>
    </row>
    <row r="777" spans="1:4" x14ac:dyDescent="0.35">
      <c r="A777">
        <v>4441</v>
      </c>
      <c r="B777">
        <v>99932950</v>
      </c>
      <c r="C777">
        <v>890</v>
      </c>
      <c r="D777" t="s">
        <v>2315</v>
      </c>
    </row>
    <row r="778" spans="1:4" x14ac:dyDescent="0.35">
      <c r="A778">
        <v>4442</v>
      </c>
      <c r="B778">
        <v>99932951</v>
      </c>
      <c r="C778">
        <v>890</v>
      </c>
      <c r="D778" t="s">
        <v>2285</v>
      </c>
    </row>
    <row r="779" spans="1:4" x14ac:dyDescent="0.35">
      <c r="A779">
        <v>4443</v>
      </c>
      <c r="B779">
        <v>99932952</v>
      </c>
      <c r="C779">
        <v>890</v>
      </c>
      <c r="D779" t="s">
        <v>2297</v>
      </c>
    </row>
    <row r="780" spans="1:4" x14ac:dyDescent="0.35">
      <c r="A780">
        <v>4444</v>
      </c>
      <c r="B780">
        <v>99932943</v>
      </c>
      <c r="C780">
        <v>890</v>
      </c>
      <c r="D780" t="s">
        <v>2289</v>
      </c>
    </row>
    <row r="781" spans="1:4" x14ac:dyDescent="0.35">
      <c r="A781">
        <v>4445</v>
      </c>
      <c r="B781">
        <v>99932953</v>
      </c>
      <c r="C781">
        <v>890</v>
      </c>
      <c r="D781" t="s">
        <v>2301</v>
      </c>
    </row>
    <row r="782" spans="1:4" x14ac:dyDescent="0.35">
      <c r="A782">
        <v>4446</v>
      </c>
      <c r="B782">
        <v>99932936</v>
      </c>
      <c r="C782">
        <v>890</v>
      </c>
      <c r="D782" t="s">
        <v>2272</v>
      </c>
    </row>
    <row r="783" spans="1:4" x14ac:dyDescent="0.35">
      <c r="A783">
        <v>4447</v>
      </c>
      <c r="B783">
        <v>99932937</v>
      </c>
      <c r="C783">
        <v>890</v>
      </c>
      <c r="D783" t="s">
        <v>2276</v>
      </c>
    </row>
    <row r="784" spans="1:4" x14ac:dyDescent="0.35">
      <c r="A784">
        <v>4448</v>
      </c>
      <c r="B784">
        <v>99932934</v>
      </c>
      <c r="C784">
        <v>890</v>
      </c>
      <c r="D784" t="s">
        <v>2268</v>
      </c>
    </row>
    <row r="785" spans="1:4" x14ac:dyDescent="0.35">
      <c r="A785">
        <v>4449</v>
      </c>
      <c r="B785" t="s">
        <v>3646</v>
      </c>
      <c r="C785">
        <v>899</v>
      </c>
      <c r="D785" t="s">
        <v>3646</v>
      </c>
    </row>
    <row r="786" spans="1:4" x14ac:dyDescent="0.35">
      <c r="A786">
        <v>4450</v>
      </c>
      <c r="B786" t="s">
        <v>3496</v>
      </c>
      <c r="C786">
        <v>904</v>
      </c>
      <c r="D786" t="s">
        <v>3496</v>
      </c>
    </row>
    <row r="787" spans="1:4" x14ac:dyDescent="0.35">
      <c r="A787">
        <v>4451</v>
      </c>
      <c r="B787">
        <v>62100</v>
      </c>
      <c r="C787">
        <v>923</v>
      </c>
      <c r="D787" t="s">
        <v>4152</v>
      </c>
    </row>
    <row r="788" spans="1:4" x14ac:dyDescent="0.35">
      <c r="A788">
        <v>4452</v>
      </c>
      <c r="B788" t="s">
        <v>4470</v>
      </c>
      <c r="C788">
        <v>923</v>
      </c>
      <c r="D788" t="s">
        <v>4152</v>
      </c>
    </row>
    <row r="789" spans="1:4" x14ac:dyDescent="0.35">
      <c r="A789">
        <v>4453</v>
      </c>
      <c r="B789" t="s">
        <v>3670</v>
      </c>
      <c r="C789">
        <v>924</v>
      </c>
      <c r="D789" t="s">
        <v>3670</v>
      </c>
    </row>
    <row r="790" spans="1:4" x14ac:dyDescent="0.35">
      <c r="A790">
        <v>4454</v>
      </c>
      <c r="B790" t="s">
        <v>3598</v>
      </c>
      <c r="C790">
        <v>934</v>
      </c>
      <c r="D790" t="s">
        <v>3598</v>
      </c>
    </row>
    <row r="791" spans="1:4" x14ac:dyDescent="0.35">
      <c r="A791">
        <v>4455</v>
      </c>
      <c r="B791" t="s">
        <v>4471</v>
      </c>
      <c r="C791">
        <v>937</v>
      </c>
      <c r="D791" t="s">
        <v>3631</v>
      </c>
    </row>
    <row r="792" spans="1:4" x14ac:dyDescent="0.35">
      <c r="A792">
        <v>4456</v>
      </c>
      <c r="B792" t="s">
        <v>3670</v>
      </c>
      <c r="C792">
        <v>938</v>
      </c>
      <c r="D792" t="s">
        <v>3670</v>
      </c>
    </row>
    <row r="793" spans="1:4" x14ac:dyDescent="0.35">
      <c r="A793">
        <v>4457</v>
      </c>
      <c r="B793" t="s">
        <v>3672</v>
      </c>
      <c r="C793">
        <v>938</v>
      </c>
      <c r="D793" t="s">
        <v>3672</v>
      </c>
    </row>
    <row r="794" spans="1:4" x14ac:dyDescent="0.35">
      <c r="A794">
        <v>4458</v>
      </c>
      <c r="B794" t="s">
        <v>4472</v>
      </c>
      <c r="C794">
        <v>940</v>
      </c>
      <c r="D794" t="s">
        <v>4151</v>
      </c>
    </row>
    <row r="795" spans="1:4" x14ac:dyDescent="0.35">
      <c r="A795">
        <v>4459</v>
      </c>
      <c r="B795" t="s">
        <v>4473</v>
      </c>
      <c r="C795">
        <v>947</v>
      </c>
      <c r="D795" t="s">
        <v>4150</v>
      </c>
    </row>
    <row r="796" spans="1:4" x14ac:dyDescent="0.35">
      <c r="A796">
        <v>4460</v>
      </c>
      <c r="B796" t="s">
        <v>4474</v>
      </c>
      <c r="C796">
        <v>947</v>
      </c>
      <c r="D796" t="s">
        <v>4150</v>
      </c>
    </row>
    <row r="797" spans="1:4" x14ac:dyDescent="0.35">
      <c r="A797">
        <v>4461</v>
      </c>
      <c r="B797" t="s">
        <v>3637</v>
      </c>
      <c r="C797">
        <v>949</v>
      </c>
      <c r="D797" t="s">
        <v>3637</v>
      </c>
    </row>
    <row r="798" spans="1:4" x14ac:dyDescent="0.35">
      <c r="A798">
        <v>4462</v>
      </c>
      <c r="B798">
        <v>7094183130</v>
      </c>
      <c r="C798">
        <v>965</v>
      </c>
      <c r="D798" t="s">
        <v>248</v>
      </c>
    </row>
    <row r="799" spans="1:4" x14ac:dyDescent="0.35">
      <c r="A799">
        <v>4463</v>
      </c>
      <c r="B799">
        <v>7094183430</v>
      </c>
      <c r="C799">
        <v>965</v>
      </c>
      <c r="D799" t="s">
        <v>412</v>
      </c>
    </row>
    <row r="800" spans="1:4" x14ac:dyDescent="0.35">
      <c r="A800">
        <v>4464</v>
      </c>
      <c r="B800" t="s">
        <v>4475</v>
      </c>
      <c r="C800">
        <v>965</v>
      </c>
      <c r="D800" t="s">
        <v>2080</v>
      </c>
    </row>
    <row r="801" spans="1:4" x14ac:dyDescent="0.35">
      <c r="A801">
        <v>4465</v>
      </c>
      <c r="B801" t="s">
        <v>2084</v>
      </c>
      <c r="C801">
        <v>965</v>
      </c>
      <c r="D801" t="s">
        <v>496</v>
      </c>
    </row>
    <row r="802" spans="1:4" x14ac:dyDescent="0.35">
      <c r="A802">
        <v>4466</v>
      </c>
      <c r="B802" t="s">
        <v>2088</v>
      </c>
      <c r="C802">
        <v>965</v>
      </c>
      <c r="D802" t="s">
        <v>894</v>
      </c>
    </row>
    <row r="803" spans="1:4" x14ac:dyDescent="0.35">
      <c r="A803">
        <v>4467</v>
      </c>
      <c r="B803" t="s">
        <v>2092</v>
      </c>
      <c r="C803">
        <v>965</v>
      </c>
      <c r="D803" t="s">
        <v>730</v>
      </c>
    </row>
    <row r="804" spans="1:4" x14ac:dyDescent="0.35">
      <c r="A804">
        <v>4468</v>
      </c>
      <c r="B804">
        <v>7094183230</v>
      </c>
      <c r="C804">
        <v>965</v>
      </c>
      <c r="D804" t="s">
        <v>648</v>
      </c>
    </row>
    <row r="805" spans="1:4" x14ac:dyDescent="0.35">
      <c r="A805">
        <v>4469</v>
      </c>
      <c r="B805" t="s">
        <v>2076</v>
      </c>
      <c r="C805">
        <v>965</v>
      </c>
      <c r="D805" t="s">
        <v>938</v>
      </c>
    </row>
    <row r="806" spans="1:4" x14ac:dyDescent="0.35">
      <c r="A806">
        <v>4470</v>
      </c>
      <c r="B806" t="s">
        <v>2128</v>
      </c>
      <c r="C806">
        <v>965</v>
      </c>
      <c r="D806" t="s">
        <v>2129</v>
      </c>
    </row>
    <row r="807" spans="1:4" x14ac:dyDescent="0.35">
      <c r="A807">
        <v>4471</v>
      </c>
      <c r="B807">
        <v>7094183330</v>
      </c>
      <c r="C807">
        <v>965</v>
      </c>
      <c r="D807" t="s">
        <v>1962</v>
      </c>
    </row>
    <row r="808" spans="1:4" x14ac:dyDescent="0.35">
      <c r="A808">
        <v>4472</v>
      </c>
      <c r="B808">
        <v>7094183030</v>
      </c>
      <c r="C808">
        <v>965</v>
      </c>
      <c r="D808" t="s">
        <v>2004</v>
      </c>
    </row>
    <row r="809" spans="1:4" x14ac:dyDescent="0.35">
      <c r="A809">
        <v>4473</v>
      </c>
      <c r="B809" t="s">
        <v>2039</v>
      </c>
      <c r="C809">
        <v>965</v>
      </c>
      <c r="D809" t="s">
        <v>2040</v>
      </c>
    </row>
    <row r="810" spans="1:4" x14ac:dyDescent="0.35">
      <c r="A810">
        <v>4474</v>
      </c>
      <c r="B810" t="s">
        <v>2044</v>
      </c>
      <c r="C810">
        <v>965</v>
      </c>
      <c r="D810" t="s">
        <v>2045</v>
      </c>
    </row>
    <row r="811" spans="1:4" x14ac:dyDescent="0.35">
      <c r="A811">
        <v>4475</v>
      </c>
      <c r="B811" t="s">
        <v>2103</v>
      </c>
      <c r="C811">
        <v>965</v>
      </c>
      <c r="D811" t="s">
        <v>2104</v>
      </c>
    </row>
    <row r="812" spans="1:4" x14ac:dyDescent="0.35">
      <c r="A812">
        <v>4476</v>
      </c>
      <c r="B812" t="s">
        <v>2123</v>
      </c>
      <c r="C812">
        <v>965</v>
      </c>
      <c r="D812" t="s">
        <v>2124</v>
      </c>
    </row>
    <row r="813" spans="1:4" x14ac:dyDescent="0.35">
      <c r="A813">
        <v>4478</v>
      </c>
      <c r="B813" t="s">
        <v>4476</v>
      </c>
      <c r="C813">
        <v>983</v>
      </c>
      <c r="D813" t="s">
        <v>3738</v>
      </c>
    </row>
    <row r="814" spans="1:4" x14ac:dyDescent="0.35">
      <c r="A814">
        <v>4479</v>
      </c>
      <c r="B814" t="s">
        <v>4477</v>
      </c>
      <c r="C814">
        <v>983</v>
      </c>
      <c r="D814" t="s">
        <v>3754</v>
      </c>
    </row>
    <row r="815" spans="1:4" x14ac:dyDescent="0.35">
      <c r="A815">
        <v>4480</v>
      </c>
      <c r="B815">
        <v>10033950</v>
      </c>
      <c r="C815">
        <v>984</v>
      </c>
      <c r="D815" t="s">
        <v>149</v>
      </c>
    </row>
    <row r="816" spans="1:4" x14ac:dyDescent="0.35">
      <c r="A816">
        <v>4481</v>
      </c>
      <c r="B816" t="s">
        <v>4478</v>
      </c>
      <c r="C816">
        <v>999</v>
      </c>
      <c r="D816" t="s">
        <v>4150</v>
      </c>
    </row>
    <row r="817" spans="1:4" x14ac:dyDescent="0.35">
      <c r="A817">
        <v>4482</v>
      </c>
      <c r="B817" t="s">
        <v>3520</v>
      </c>
      <c r="C817">
        <v>1000</v>
      </c>
      <c r="D817" t="s">
        <v>3520</v>
      </c>
    </row>
    <row r="818" spans="1:4" x14ac:dyDescent="0.35">
      <c r="A818">
        <v>4483</v>
      </c>
      <c r="B818" t="s">
        <v>4479</v>
      </c>
      <c r="C818">
        <v>1012</v>
      </c>
      <c r="D818" t="s">
        <v>3664</v>
      </c>
    </row>
    <row r="819" spans="1:4" x14ac:dyDescent="0.35">
      <c r="A819">
        <v>4484</v>
      </c>
      <c r="B819" t="s">
        <v>3637</v>
      </c>
      <c r="C819">
        <v>1014</v>
      </c>
      <c r="D819" t="s">
        <v>3637</v>
      </c>
    </row>
    <row r="820" spans="1:4" x14ac:dyDescent="0.35">
      <c r="A820">
        <v>4485</v>
      </c>
      <c r="B820" t="s">
        <v>3646</v>
      </c>
      <c r="C820">
        <v>1014</v>
      </c>
      <c r="D820" t="s">
        <v>3646</v>
      </c>
    </row>
    <row r="821" spans="1:4" x14ac:dyDescent="0.35">
      <c r="A821">
        <v>4486</v>
      </c>
      <c r="B821" t="s">
        <v>4480</v>
      </c>
      <c r="C821">
        <v>1021</v>
      </c>
      <c r="D821" t="s">
        <v>3646</v>
      </c>
    </row>
    <row r="822" spans="1:4" x14ac:dyDescent="0.35">
      <c r="A822">
        <v>4487</v>
      </c>
      <c r="B822" t="s">
        <v>1303</v>
      </c>
      <c r="C822">
        <v>1030</v>
      </c>
      <c r="D822" t="s">
        <v>2969</v>
      </c>
    </row>
    <row r="823" spans="1:4" x14ac:dyDescent="0.35">
      <c r="A823">
        <v>4488</v>
      </c>
      <c r="B823" t="s">
        <v>3738</v>
      </c>
      <c r="C823">
        <v>1034</v>
      </c>
      <c r="D823" t="s">
        <v>3738</v>
      </c>
    </row>
    <row r="824" spans="1:4" x14ac:dyDescent="0.35">
      <c r="A824">
        <v>4489</v>
      </c>
      <c r="B824" t="s">
        <v>1424</v>
      </c>
      <c r="C824">
        <v>1037</v>
      </c>
      <c r="D824" t="s">
        <v>1425</v>
      </c>
    </row>
    <row r="825" spans="1:4" x14ac:dyDescent="0.35">
      <c r="A825">
        <v>4490</v>
      </c>
      <c r="B825" t="s">
        <v>1429</v>
      </c>
      <c r="C825">
        <v>1037</v>
      </c>
      <c r="D825" t="s">
        <v>1430</v>
      </c>
    </row>
    <row r="826" spans="1:4" x14ac:dyDescent="0.35">
      <c r="A826">
        <v>4491</v>
      </c>
      <c r="B826" t="s">
        <v>1419</v>
      </c>
      <c r="C826">
        <v>1037</v>
      </c>
      <c r="D826" t="s">
        <v>1420</v>
      </c>
    </row>
    <row r="827" spans="1:4" x14ac:dyDescent="0.35">
      <c r="A827">
        <v>4492</v>
      </c>
      <c r="B827" t="s">
        <v>1434</v>
      </c>
      <c r="C827">
        <v>1037</v>
      </c>
      <c r="D827" t="s">
        <v>1435</v>
      </c>
    </row>
    <row r="828" spans="1:4" x14ac:dyDescent="0.35">
      <c r="A828">
        <v>4493</v>
      </c>
      <c r="B828" t="s">
        <v>3864</v>
      </c>
      <c r="C828">
        <v>1039</v>
      </c>
      <c r="D828" t="s">
        <v>3864</v>
      </c>
    </row>
    <row r="829" spans="1:4" x14ac:dyDescent="0.35">
      <c r="A829">
        <v>4495</v>
      </c>
      <c r="B829" t="s">
        <v>3718</v>
      </c>
      <c r="C829">
        <v>1045</v>
      </c>
      <c r="D829" t="s">
        <v>3718</v>
      </c>
    </row>
    <row r="830" spans="1:4" x14ac:dyDescent="0.35">
      <c r="A830">
        <v>4496</v>
      </c>
      <c r="B830" t="s">
        <v>86</v>
      </c>
      <c r="C830">
        <v>1047</v>
      </c>
      <c r="D830" t="s">
        <v>89</v>
      </c>
    </row>
    <row r="831" spans="1:4" x14ac:dyDescent="0.35">
      <c r="A831">
        <v>4497</v>
      </c>
      <c r="B831" t="s">
        <v>117</v>
      </c>
      <c r="C831">
        <v>1047</v>
      </c>
      <c r="D831" t="s">
        <v>118</v>
      </c>
    </row>
    <row r="832" spans="1:4" x14ac:dyDescent="0.35">
      <c r="A832">
        <v>4498</v>
      </c>
      <c r="B832" t="s">
        <v>330</v>
      </c>
      <c r="C832">
        <v>1047</v>
      </c>
      <c r="D832" t="s">
        <v>331</v>
      </c>
    </row>
    <row r="833" spans="1:4" x14ac:dyDescent="0.35">
      <c r="A833">
        <v>4499</v>
      </c>
      <c r="B833" t="s">
        <v>4481</v>
      </c>
      <c r="C833">
        <v>1049</v>
      </c>
      <c r="D833" t="s">
        <v>3872</v>
      </c>
    </row>
    <row r="834" spans="1:4" x14ac:dyDescent="0.35">
      <c r="A834">
        <v>4500</v>
      </c>
      <c r="B834" t="s">
        <v>4482</v>
      </c>
      <c r="C834">
        <v>1049</v>
      </c>
      <c r="D834" t="s">
        <v>3873</v>
      </c>
    </row>
    <row r="835" spans="1:4" x14ac:dyDescent="0.35">
      <c r="A835">
        <v>4501</v>
      </c>
      <c r="B835" t="s">
        <v>4483</v>
      </c>
      <c r="C835">
        <v>1049</v>
      </c>
      <c r="D835" t="s">
        <v>3874</v>
      </c>
    </row>
    <row r="836" spans="1:4" x14ac:dyDescent="0.35">
      <c r="A836">
        <v>4502</v>
      </c>
      <c r="B836" t="s">
        <v>4484</v>
      </c>
      <c r="C836">
        <v>1049</v>
      </c>
      <c r="D836" t="s">
        <v>3430</v>
      </c>
    </row>
    <row r="837" spans="1:4" x14ac:dyDescent="0.35">
      <c r="A837">
        <v>4503</v>
      </c>
      <c r="B837" t="s">
        <v>3029</v>
      </c>
      <c r="C837">
        <v>1049</v>
      </c>
      <c r="D837" t="s">
        <v>3030</v>
      </c>
    </row>
    <row r="838" spans="1:4" x14ac:dyDescent="0.35">
      <c r="A838">
        <v>4504</v>
      </c>
      <c r="B838" t="s">
        <v>4485</v>
      </c>
      <c r="C838">
        <v>1049</v>
      </c>
      <c r="D838" t="s">
        <v>3875</v>
      </c>
    </row>
    <row r="839" spans="1:4" x14ac:dyDescent="0.35">
      <c r="A839">
        <v>4505</v>
      </c>
      <c r="B839" t="s">
        <v>4486</v>
      </c>
      <c r="C839">
        <v>1049</v>
      </c>
      <c r="D839" t="s">
        <v>3014</v>
      </c>
    </row>
    <row r="840" spans="1:4" x14ac:dyDescent="0.35">
      <c r="A840">
        <v>4506</v>
      </c>
      <c r="B840" t="s">
        <v>4487</v>
      </c>
      <c r="C840">
        <v>1049</v>
      </c>
      <c r="D840" t="s">
        <v>3044</v>
      </c>
    </row>
    <row r="841" spans="1:4" x14ac:dyDescent="0.35">
      <c r="A841">
        <v>4507</v>
      </c>
      <c r="B841" t="s">
        <v>2996</v>
      </c>
      <c r="C841">
        <v>1049</v>
      </c>
      <c r="D841" t="s">
        <v>2997</v>
      </c>
    </row>
    <row r="842" spans="1:4" x14ac:dyDescent="0.35">
      <c r="A842">
        <v>4508</v>
      </c>
      <c r="B842" t="s">
        <v>3053</v>
      </c>
      <c r="C842">
        <v>1049</v>
      </c>
      <c r="D842" t="s">
        <v>3054</v>
      </c>
    </row>
    <row r="843" spans="1:4" x14ac:dyDescent="0.35">
      <c r="A843">
        <v>4509</v>
      </c>
      <c r="B843" t="s">
        <v>4488</v>
      </c>
      <c r="C843">
        <v>1049</v>
      </c>
      <c r="D843" t="s">
        <v>3879</v>
      </c>
    </row>
    <row r="844" spans="1:4" x14ac:dyDescent="0.35">
      <c r="A844">
        <v>4510</v>
      </c>
      <c r="B844" t="s">
        <v>4489</v>
      </c>
      <c r="C844">
        <v>1049</v>
      </c>
      <c r="D844" t="s">
        <v>3041</v>
      </c>
    </row>
    <row r="845" spans="1:4" x14ac:dyDescent="0.35">
      <c r="A845">
        <v>4511</v>
      </c>
      <c r="B845" t="s">
        <v>3000</v>
      </c>
      <c r="C845">
        <v>1049</v>
      </c>
      <c r="D845" t="s">
        <v>3001</v>
      </c>
    </row>
    <row r="846" spans="1:4" x14ac:dyDescent="0.35">
      <c r="A846">
        <v>4512</v>
      </c>
      <c r="B846" t="s">
        <v>4490</v>
      </c>
      <c r="C846">
        <v>1049</v>
      </c>
      <c r="D846" t="s">
        <v>3881</v>
      </c>
    </row>
    <row r="847" spans="1:4" x14ac:dyDescent="0.35">
      <c r="A847">
        <v>4513</v>
      </c>
      <c r="B847" t="s">
        <v>3021</v>
      </c>
      <c r="C847">
        <v>1049</v>
      </c>
      <c r="D847" t="s">
        <v>3022</v>
      </c>
    </row>
    <row r="848" spans="1:4" x14ac:dyDescent="0.35">
      <c r="A848">
        <v>4514</v>
      </c>
      <c r="B848" t="s">
        <v>4491</v>
      </c>
      <c r="C848">
        <v>1049</v>
      </c>
      <c r="D848" t="s">
        <v>3884</v>
      </c>
    </row>
    <row r="849" spans="1:4" x14ac:dyDescent="0.35">
      <c r="A849">
        <v>4515</v>
      </c>
      <c r="B849" t="s">
        <v>4492</v>
      </c>
      <c r="C849">
        <v>1049</v>
      </c>
      <c r="D849" t="s">
        <v>3011</v>
      </c>
    </row>
    <row r="850" spans="1:4" x14ac:dyDescent="0.35">
      <c r="A850">
        <v>4516</v>
      </c>
      <c r="B850" t="s">
        <v>2992</v>
      </c>
      <c r="C850">
        <v>1049</v>
      </c>
      <c r="D850" t="s">
        <v>2993</v>
      </c>
    </row>
    <row r="851" spans="1:4" x14ac:dyDescent="0.35">
      <c r="A851">
        <v>4517</v>
      </c>
      <c r="B851" t="s">
        <v>4493</v>
      </c>
      <c r="C851">
        <v>1049</v>
      </c>
      <c r="D851" t="s">
        <v>2985</v>
      </c>
    </row>
    <row r="852" spans="1:4" x14ac:dyDescent="0.35">
      <c r="A852">
        <v>4518</v>
      </c>
      <c r="B852" t="s">
        <v>3033</v>
      </c>
      <c r="C852">
        <v>1049</v>
      </c>
      <c r="D852" t="s">
        <v>3034</v>
      </c>
    </row>
    <row r="853" spans="1:4" x14ac:dyDescent="0.35">
      <c r="A853">
        <v>4519</v>
      </c>
      <c r="B853" t="s">
        <v>3025</v>
      </c>
      <c r="C853">
        <v>1049</v>
      </c>
      <c r="D853" t="s">
        <v>3026</v>
      </c>
    </row>
    <row r="854" spans="1:4" x14ac:dyDescent="0.35">
      <c r="A854">
        <v>4520</v>
      </c>
      <c r="B854" t="s">
        <v>4494</v>
      </c>
      <c r="C854">
        <v>1049</v>
      </c>
      <c r="D854" t="s">
        <v>2982</v>
      </c>
    </row>
    <row r="855" spans="1:4" x14ac:dyDescent="0.35">
      <c r="A855">
        <v>4521</v>
      </c>
      <c r="B855" t="s">
        <v>4495</v>
      </c>
      <c r="C855">
        <v>1049</v>
      </c>
      <c r="D855" t="s">
        <v>2903</v>
      </c>
    </row>
    <row r="856" spans="1:4" x14ac:dyDescent="0.35">
      <c r="A856">
        <v>4522</v>
      </c>
      <c r="B856" t="s">
        <v>3017</v>
      </c>
      <c r="C856">
        <v>1049</v>
      </c>
      <c r="D856" t="s">
        <v>3018</v>
      </c>
    </row>
    <row r="857" spans="1:4" x14ac:dyDescent="0.35">
      <c r="A857">
        <v>4523</v>
      </c>
      <c r="B857" t="s">
        <v>4496</v>
      </c>
      <c r="C857">
        <v>1049</v>
      </c>
      <c r="D857" t="s">
        <v>3008</v>
      </c>
    </row>
    <row r="858" spans="1:4" x14ac:dyDescent="0.35">
      <c r="A858">
        <v>4524</v>
      </c>
      <c r="B858" t="s">
        <v>3037</v>
      </c>
      <c r="C858">
        <v>1049</v>
      </c>
      <c r="D858" t="s">
        <v>3038</v>
      </c>
    </row>
    <row r="859" spans="1:4" x14ac:dyDescent="0.35">
      <c r="A859">
        <v>4525</v>
      </c>
      <c r="B859" t="s">
        <v>2988</v>
      </c>
      <c r="C859">
        <v>1049</v>
      </c>
      <c r="D859" t="s">
        <v>3433</v>
      </c>
    </row>
    <row r="860" spans="1:4" x14ac:dyDescent="0.35">
      <c r="A860">
        <v>4526</v>
      </c>
      <c r="B860" t="s">
        <v>4497</v>
      </c>
      <c r="C860">
        <v>1049</v>
      </c>
      <c r="D860" t="s">
        <v>3890</v>
      </c>
    </row>
    <row r="861" spans="1:4" x14ac:dyDescent="0.35">
      <c r="A861">
        <v>4527</v>
      </c>
      <c r="B861">
        <v>3013984</v>
      </c>
      <c r="C861">
        <v>1050</v>
      </c>
      <c r="D861" t="s">
        <v>3430</v>
      </c>
    </row>
    <row r="862" spans="1:4" x14ac:dyDescent="0.35">
      <c r="A862">
        <v>4529</v>
      </c>
      <c r="B862">
        <v>3013429</v>
      </c>
      <c r="C862">
        <v>1050</v>
      </c>
      <c r="D862" t="s">
        <v>3044</v>
      </c>
    </row>
    <row r="863" spans="1:4" x14ac:dyDescent="0.35">
      <c r="A863">
        <v>4533</v>
      </c>
      <c r="B863">
        <v>3013550</v>
      </c>
      <c r="C863">
        <v>1050</v>
      </c>
      <c r="D863" t="s">
        <v>2982</v>
      </c>
    </row>
    <row r="864" spans="1:4" x14ac:dyDescent="0.35">
      <c r="A864">
        <v>4536</v>
      </c>
      <c r="B864">
        <v>3010816</v>
      </c>
      <c r="C864">
        <v>1050</v>
      </c>
      <c r="D864" t="s">
        <v>3427</v>
      </c>
    </row>
    <row r="865" spans="1:4" x14ac:dyDescent="0.35">
      <c r="A865">
        <v>4537</v>
      </c>
      <c r="B865">
        <v>3013804</v>
      </c>
      <c r="C865">
        <v>1050</v>
      </c>
      <c r="D865" t="s">
        <v>3433</v>
      </c>
    </row>
    <row r="866" spans="1:4" x14ac:dyDescent="0.35">
      <c r="A866">
        <v>4538</v>
      </c>
      <c r="B866">
        <v>7194242130</v>
      </c>
      <c r="C866">
        <v>1056</v>
      </c>
      <c r="D866" t="s">
        <v>210</v>
      </c>
    </row>
    <row r="867" spans="1:4" x14ac:dyDescent="0.35">
      <c r="A867">
        <v>4539</v>
      </c>
      <c r="B867">
        <v>7194242230</v>
      </c>
      <c r="C867">
        <v>1056</v>
      </c>
      <c r="D867" t="s">
        <v>232</v>
      </c>
    </row>
    <row r="868" spans="1:4" x14ac:dyDescent="0.35">
      <c r="A868">
        <v>4540</v>
      </c>
      <c r="B868">
        <v>7194242330</v>
      </c>
      <c r="C868">
        <v>1056</v>
      </c>
      <c r="D868" t="s">
        <v>336</v>
      </c>
    </row>
    <row r="869" spans="1:4" x14ac:dyDescent="0.35">
      <c r="A869">
        <v>4541</v>
      </c>
      <c r="B869">
        <v>7194242530</v>
      </c>
      <c r="C869">
        <v>1056</v>
      </c>
      <c r="D869" t="s">
        <v>586</v>
      </c>
    </row>
    <row r="870" spans="1:4" x14ac:dyDescent="0.35">
      <c r="A870">
        <v>4542</v>
      </c>
      <c r="B870">
        <v>7094176930</v>
      </c>
      <c r="C870">
        <v>1056</v>
      </c>
      <c r="D870" t="s">
        <v>860</v>
      </c>
    </row>
    <row r="871" spans="1:4" x14ac:dyDescent="0.35">
      <c r="A871">
        <v>4543</v>
      </c>
      <c r="B871">
        <v>7094176230</v>
      </c>
      <c r="C871">
        <v>1056</v>
      </c>
      <c r="D871" t="s">
        <v>1975</v>
      </c>
    </row>
    <row r="872" spans="1:4" x14ac:dyDescent="0.35">
      <c r="A872">
        <v>4544</v>
      </c>
      <c r="B872">
        <v>7094171830</v>
      </c>
      <c r="C872">
        <v>1056</v>
      </c>
      <c r="D872" t="s">
        <v>1709</v>
      </c>
    </row>
    <row r="873" spans="1:4" x14ac:dyDescent="0.35">
      <c r="A873">
        <v>4545</v>
      </c>
      <c r="B873">
        <v>7094175630</v>
      </c>
      <c r="C873">
        <v>1056</v>
      </c>
      <c r="D873" t="s">
        <v>1740</v>
      </c>
    </row>
    <row r="874" spans="1:4" x14ac:dyDescent="0.35">
      <c r="A874">
        <v>4546</v>
      </c>
      <c r="B874">
        <v>7094176330</v>
      </c>
      <c r="C874">
        <v>1056</v>
      </c>
      <c r="D874" t="s">
        <v>1613</v>
      </c>
    </row>
    <row r="875" spans="1:4" x14ac:dyDescent="0.35">
      <c r="A875">
        <v>4547</v>
      </c>
      <c r="B875">
        <v>7094171430</v>
      </c>
      <c r="C875">
        <v>1056</v>
      </c>
      <c r="D875" t="s">
        <v>1719</v>
      </c>
    </row>
    <row r="876" spans="1:4" x14ac:dyDescent="0.35">
      <c r="A876">
        <v>4548</v>
      </c>
      <c r="B876">
        <v>7094176530</v>
      </c>
      <c r="C876">
        <v>1056</v>
      </c>
      <c r="D876" t="s">
        <v>1982</v>
      </c>
    </row>
    <row r="877" spans="1:4" x14ac:dyDescent="0.35">
      <c r="A877">
        <v>4549</v>
      </c>
      <c r="B877">
        <v>7094175930</v>
      </c>
      <c r="C877">
        <v>1056</v>
      </c>
      <c r="D877" t="s">
        <v>1755</v>
      </c>
    </row>
    <row r="878" spans="1:4" x14ac:dyDescent="0.35">
      <c r="A878">
        <v>4550</v>
      </c>
      <c r="B878">
        <v>7194242030</v>
      </c>
      <c r="C878">
        <v>1056</v>
      </c>
      <c r="D878" t="s">
        <v>934</v>
      </c>
    </row>
    <row r="879" spans="1:4" x14ac:dyDescent="0.35">
      <c r="A879">
        <v>4551</v>
      </c>
      <c r="B879">
        <v>7194242630</v>
      </c>
      <c r="C879">
        <v>1056</v>
      </c>
      <c r="D879" t="s">
        <v>1988</v>
      </c>
    </row>
    <row r="880" spans="1:4" x14ac:dyDescent="0.35">
      <c r="A880">
        <v>4552</v>
      </c>
      <c r="B880">
        <v>7094177030</v>
      </c>
      <c r="C880">
        <v>1056</v>
      </c>
      <c r="D880" t="s">
        <v>1809</v>
      </c>
    </row>
    <row r="881" spans="1:4" x14ac:dyDescent="0.35">
      <c r="A881">
        <v>4553</v>
      </c>
      <c r="B881">
        <v>7094176730</v>
      </c>
      <c r="C881">
        <v>1056</v>
      </c>
      <c r="D881" t="s">
        <v>2834</v>
      </c>
    </row>
    <row r="882" spans="1:4" x14ac:dyDescent="0.35">
      <c r="A882">
        <v>4554</v>
      </c>
      <c r="B882">
        <v>7094183530</v>
      </c>
      <c r="C882">
        <v>1056</v>
      </c>
      <c r="D882" t="s">
        <v>2830</v>
      </c>
    </row>
    <row r="883" spans="1:4" x14ac:dyDescent="0.35">
      <c r="A883">
        <v>4555</v>
      </c>
      <c r="B883">
        <v>7094201430</v>
      </c>
      <c r="C883">
        <v>1056</v>
      </c>
      <c r="D883" t="s">
        <v>2802</v>
      </c>
    </row>
    <row r="884" spans="1:4" x14ac:dyDescent="0.35">
      <c r="A884">
        <v>4556</v>
      </c>
      <c r="B884">
        <v>7194242430</v>
      </c>
      <c r="C884">
        <v>1056</v>
      </c>
      <c r="D884" t="s">
        <v>3075</v>
      </c>
    </row>
    <row r="885" spans="1:4" x14ac:dyDescent="0.35">
      <c r="A885">
        <v>4557</v>
      </c>
      <c r="B885">
        <v>7194183730</v>
      </c>
      <c r="C885">
        <v>1056</v>
      </c>
      <c r="D885" t="s">
        <v>3049</v>
      </c>
    </row>
    <row r="886" spans="1:4" x14ac:dyDescent="0.35">
      <c r="A886">
        <v>4558</v>
      </c>
      <c r="B886">
        <v>7194183630</v>
      </c>
      <c r="C886">
        <v>1056</v>
      </c>
      <c r="D886" t="s">
        <v>4144</v>
      </c>
    </row>
    <row r="887" spans="1:4" x14ac:dyDescent="0.35">
      <c r="A887">
        <v>4559</v>
      </c>
      <c r="B887">
        <v>7194242730</v>
      </c>
      <c r="C887">
        <v>1056</v>
      </c>
      <c r="D887" t="s">
        <v>3079</v>
      </c>
    </row>
    <row r="888" spans="1:4" x14ac:dyDescent="0.35">
      <c r="A888">
        <v>4560</v>
      </c>
      <c r="B888" t="s">
        <v>4472</v>
      </c>
      <c r="C888">
        <v>1061</v>
      </c>
      <c r="D888" t="s">
        <v>4153</v>
      </c>
    </row>
    <row r="889" spans="1:4" x14ac:dyDescent="0.35">
      <c r="A889">
        <v>4561</v>
      </c>
      <c r="B889" t="s">
        <v>2386</v>
      </c>
      <c r="C889">
        <v>1063</v>
      </c>
      <c r="D889" t="s">
        <v>2148</v>
      </c>
    </row>
    <row r="890" spans="1:4" x14ac:dyDescent="0.35">
      <c r="A890">
        <v>4562</v>
      </c>
      <c r="B890" t="s">
        <v>1237</v>
      </c>
      <c r="C890">
        <v>1072</v>
      </c>
      <c r="D890" t="s">
        <v>802</v>
      </c>
    </row>
    <row r="891" spans="1:4" x14ac:dyDescent="0.35">
      <c r="A891">
        <v>4563</v>
      </c>
      <c r="B891" t="s">
        <v>1214</v>
      </c>
      <c r="C891">
        <v>1072</v>
      </c>
      <c r="D891" t="s">
        <v>302</v>
      </c>
    </row>
    <row r="892" spans="1:4" x14ac:dyDescent="0.35">
      <c r="A892">
        <v>4564</v>
      </c>
      <c r="B892" t="s">
        <v>1218</v>
      </c>
      <c r="C892">
        <v>1072</v>
      </c>
      <c r="D892" t="s">
        <v>757</v>
      </c>
    </row>
    <row r="893" spans="1:4" x14ac:dyDescent="0.35">
      <c r="A893">
        <v>4565</v>
      </c>
      <c r="B893" t="s">
        <v>1222</v>
      </c>
      <c r="C893">
        <v>1072</v>
      </c>
      <c r="D893" t="s">
        <v>135</v>
      </c>
    </row>
    <row r="894" spans="1:4" x14ac:dyDescent="0.35">
      <c r="A894">
        <v>4566</v>
      </c>
      <c r="B894">
        <v>350058</v>
      </c>
      <c r="C894">
        <v>1072</v>
      </c>
      <c r="D894" t="s">
        <v>3225</v>
      </c>
    </row>
    <row r="895" spans="1:4" x14ac:dyDescent="0.35">
      <c r="A895">
        <v>4567</v>
      </c>
      <c r="B895" t="s">
        <v>1229</v>
      </c>
      <c r="C895">
        <v>1072</v>
      </c>
      <c r="D895" t="s">
        <v>807</v>
      </c>
    </row>
    <row r="896" spans="1:4" x14ac:dyDescent="0.35">
      <c r="A896">
        <v>4568</v>
      </c>
      <c r="B896" t="s">
        <v>3637</v>
      </c>
      <c r="C896">
        <v>1073</v>
      </c>
      <c r="D896" t="s">
        <v>3637</v>
      </c>
    </row>
    <row r="897" spans="1:4" x14ac:dyDescent="0.35">
      <c r="A897">
        <v>4569</v>
      </c>
      <c r="B897" t="s">
        <v>801</v>
      </c>
      <c r="C897">
        <v>1077</v>
      </c>
      <c r="D897" t="s">
        <v>802</v>
      </c>
    </row>
    <row r="898" spans="1:4" x14ac:dyDescent="0.35">
      <c r="A898">
        <v>4570</v>
      </c>
      <c r="B898" t="s">
        <v>300</v>
      </c>
      <c r="C898">
        <v>1077</v>
      </c>
      <c r="D898" t="s">
        <v>302</v>
      </c>
    </row>
    <row r="899" spans="1:4" x14ac:dyDescent="0.35">
      <c r="A899">
        <v>4571</v>
      </c>
      <c r="B899" t="s">
        <v>756</v>
      </c>
      <c r="C899">
        <v>1077</v>
      </c>
      <c r="D899" t="s">
        <v>757</v>
      </c>
    </row>
    <row r="900" spans="1:4" x14ac:dyDescent="0.35">
      <c r="A900">
        <v>4572</v>
      </c>
      <c r="B900" t="s">
        <v>132</v>
      </c>
      <c r="C900">
        <v>1077</v>
      </c>
      <c r="D900" t="s">
        <v>135</v>
      </c>
    </row>
    <row r="901" spans="1:4" x14ac:dyDescent="0.35">
      <c r="A901">
        <v>4573</v>
      </c>
      <c r="B901" t="s">
        <v>1103</v>
      </c>
      <c r="C901">
        <v>1077</v>
      </c>
      <c r="D901" t="s">
        <v>1104</v>
      </c>
    </row>
    <row r="902" spans="1:4" x14ac:dyDescent="0.35">
      <c r="A902">
        <v>4574</v>
      </c>
      <c r="B902" t="s">
        <v>305</v>
      </c>
      <c r="C902">
        <v>1077</v>
      </c>
      <c r="D902" t="s">
        <v>306</v>
      </c>
    </row>
    <row r="903" spans="1:4" x14ac:dyDescent="0.35">
      <c r="A903">
        <v>4575</v>
      </c>
      <c r="B903" t="s">
        <v>309</v>
      </c>
      <c r="C903">
        <v>1077</v>
      </c>
      <c r="D903" t="s">
        <v>310</v>
      </c>
    </row>
    <row r="904" spans="1:4" x14ac:dyDescent="0.35">
      <c r="A904">
        <v>4576</v>
      </c>
      <c r="B904" t="s">
        <v>433</v>
      </c>
      <c r="C904">
        <v>1077</v>
      </c>
      <c r="D904" t="s">
        <v>164</v>
      </c>
    </row>
    <row r="905" spans="1:4" x14ac:dyDescent="0.35">
      <c r="A905">
        <v>4577</v>
      </c>
      <c r="B905" t="s">
        <v>671</v>
      </c>
      <c r="C905">
        <v>1077</v>
      </c>
      <c r="D905" t="s">
        <v>168</v>
      </c>
    </row>
    <row r="906" spans="1:4" x14ac:dyDescent="0.35">
      <c r="A906">
        <v>4578</v>
      </c>
      <c r="B906" t="s">
        <v>748</v>
      </c>
      <c r="C906">
        <v>1077</v>
      </c>
      <c r="D906" t="s">
        <v>749</v>
      </c>
    </row>
    <row r="907" spans="1:4" x14ac:dyDescent="0.35">
      <c r="A907">
        <v>4579</v>
      </c>
      <c r="B907" t="s">
        <v>1397</v>
      </c>
      <c r="C907">
        <v>1077</v>
      </c>
      <c r="D907" t="s">
        <v>1398</v>
      </c>
    </row>
    <row r="908" spans="1:4" x14ac:dyDescent="0.35">
      <c r="A908">
        <v>4580</v>
      </c>
      <c r="B908" t="s">
        <v>1123</v>
      </c>
      <c r="C908">
        <v>1077</v>
      </c>
      <c r="D908" t="s">
        <v>1124</v>
      </c>
    </row>
    <row r="909" spans="1:4" x14ac:dyDescent="0.35">
      <c r="A909">
        <v>4581</v>
      </c>
      <c r="B909" t="s">
        <v>1410</v>
      </c>
      <c r="C909">
        <v>1077</v>
      </c>
      <c r="D909" t="s">
        <v>1411</v>
      </c>
    </row>
    <row r="910" spans="1:4" x14ac:dyDescent="0.35">
      <c r="A910">
        <v>4582</v>
      </c>
      <c r="B910" t="s">
        <v>1414</v>
      </c>
      <c r="C910">
        <v>1077</v>
      </c>
      <c r="D910" t="s">
        <v>1415</v>
      </c>
    </row>
    <row r="911" spans="1:4" x14ac:dyDescent="0.35">
      <c r="A911">
        <v>4583</v>
      </c>
      <c r="B911" t="s">
        <v>541</v>
      </c>
      <c r="C911">
        <v>1077</v>
      </c>
      <c r="D911" t="s">
        <v>542</v>
      </c>
    </row>
    <row r="912" spans="1:4" x14ac:dyDescent="0.35">
      <c r="A912">
        <v>4584</v>
      </c>
      <c r="B912" t="s">
        <v>806</v>
      </c>
      <c r="C912">
        <v>1077</v>
      </c>
      <c r="D912" t="s">
        <v>807</v>
      </c>
    </row>
    <row r="913" spans="1:4" x14ac:dyDescent="0.35">
      <c r="A913">
        <v>4585</v>
      </c>
      <c r="B913" t="s">
        <v>545</v>
      </c>
      <c r="C913">
        <v>1077</v>
      </c>
      <c r="D913" t="s">
        <v>546</v>
      </c>
    </row>
    <row r="914" spans="1:4" x14ac:dyDescent="0.35">
      <c r="A914">
        <v>4586</v>
      </c>
      <c r="B914" t="s">
        <v>549</v>
      </c>
      <c r="C914">
        <v>1077</v>
      </c>
      <c r="D914" t="s">
        <v>550</v>
      </c>
    </row>
    <row r="915" spans="1:4" x14ac:dyDescent="0.35">
      <c r="A915">
        <v>4587</v>
      </c>
      <c r="B915" t="s">
        <v>735</v>
      </c>
      <c r="C915">
        <v>1077</v>
      </c>
      <c r="D915" t="s">
        <v>736</v>
      </c>
    </row>
    <row r="916" spans="1:4" x14ac:dyDescent="0.35">
      <c r="A916">
        <v>4588</v>
      </c>
      <c r="B916" t="s">
        <v>820</v>
      </c>
      <c r="C916">
        <v>1077</v>
      </c>
      <c r="D916" t="s">
        <v>821</v>
      </c>
    </row>
    <row r="917" spans="1:4" x14ac:dyDescent="0.35">
      <c r="A917">
        <v>4589</v>
      </c>
      <c r="B917" t="s">
        <v>427</v>
      </c>
      <c r="C917">
        <v>1077</v>
      </c>
      <c r="D917" t="s">
        <v>430</v>
      </c>
    </row>
    <row r="918" spans="1:4" x14ac:dyDescent="0.35">
      <c r="A918">
        <v>4590</v>
      </c>
      <c r="B918" t="s">
        <v>801</v>
      </c>
      <c r="C918">
        <v>1078</v>
      </c>
      <c r="D918" t="s">
        <v>802</v>
      </c>
    </row>
    <row r="919" spans="1:4" x14ac:dyDescent="0.35">
      <c r="A919">
        <v>4591</v>
      </c>
      <c r="B919" t="s">
        <v>300</v>
      </c>
      <c r="C919">
        <v>1078</v>
      </c>
      <c r="D919" t="s">
        <v>302</v>
      </c>
    </row>
    <row r="920" spans="1:4" x14ac:dyDescent="0.35">
      <c r="A920">
        <v>4592</v>
      </c>
      <c r="B920" t="s">
        <v>756</v>
      </c>
      <c r="C920">
        <v>1078</v>
      </c>
      <c r="D920" t="s">
        <v>757</v>
      </c>
    </row>
    <row r="921" spans="1:4" x14ac:dyDescent="0.35">
      <c r="A921">
        <v>4593</v>
      </c>
      <c r="B921" t="s">
        <v>132</v>
      </c>
      <c r="C921">
        <v>1078</v>
      </c>
      <c r="D921" t="s">
        <v>135</v>
      </c>
    </row>
    <row r="922" spans="1:4" x14ac:dyDescent="0.35">
      <c r="A922">
        <v>4594</v>
      </c>
      <c r="B922" t="s">
        <v>1103</v>
      </c>
      <c r="C922">
        <v>1078</v>
      </c>
      <c r="D922" t="s">
        <v>1104</v>
      </c>
    </row>
    <row r="923" spans="1:4" x14ac:dyDescent="0.35">
      <c r="A923">
        <v>4595</v>
      </c>
      <c r="B923" t="s">
        <v>433</v>
      </c>
      <c r="C923">
        <v>1078</v>
      </c>
      <c r="D923" t="s">
        <v>164</v>
      </c>
    </row>
    <row r="924" spans="1:4" x14ac:dyDescent="0.35">
      <c r="A924">
        <v>4596</v>
      </c>
      <c r="B924" t="s">
        <v>806</v>
      </c>
      <c r="C924">
        <v>1078</v>
      </c>
      <c r="D924" t="s">
        <v>807</v>
      </c>
    </row>
    <row r="925" spans="1:4" x14ac:dyDescent="0.35">
      <c r="A925">
        <v>4597</v>
      </c>
      <c r="B925" t="s">
        <v>545</v>
      </c>
      <c r="C925">
        <v>1078</v>
      </c>
      <c r="D925" t="s">
        <v>546</v>
      </c>
    </row>
    <row r="926" spans="1:4" x14ac:dyDescent="0.35">
      <c r="A926">
        <v>4598</v>
      </c>
      <c r="B926" t="s">
        <v>801</v>
      </c>
      <c r="C926">
        <v>1079</v>
      </c>
      <c r="D926" t="s">
        <v>802</v>
      </c>
    </row>
    <row r="927" spans="1:4" x14ac:dyDescent="0.35">
      <c r="A927">
        <v>4599</v>
      </c>
      <c r="B927" t="s">
        <v>300</v>
      </c>
      <c r="C927">
        <v>1079</v>
      </c>
      <c r="D927" t="s">
        <v>302</v>
      </c>
    </row>
    <row r="928" spans="1:4" x14ac:dyDescent="0.35">
      <c r="A928">
        <v>4600</v>
      </c>
      <c r="B928" t="s">
        <v>756</v>
      </c>
      <c r="C928">
        <v>1079</v>
      </c>
      <c r="D928" t="s">
        <v>757</v>
      </c>
    </row>
    <row r="929" spans="1:4" x14ac:dyDescent="0.35">
      <c r="A929">
        <v>4601</v>
      </c>
      <c r="B929" t="s">
        <v>132</v>
      </c>
      <c r="C929">
        <v>1079</v>
      </c>
      <c r="D929" t="s">
        <v>135</v>
      </c>
    </row>
    <row r="930" spans="1:4" x14ac:dyDescent="0.35">
      <c r="A930">
        <v>4602</v>
      </c>
      <c r="B930" t="s">
        <v>1103</v>
      </c>
      <c r="C930">
        <v>1079</v>
      </c>
      <c r="D930" t="s">
        <v>1104</v>
      </c>
    </row>
    <row r="931" spans="1:4" x14ac:dyDescent="0.35">
      <c r="A931">
        <v>4603</v>
      </c>
      <c r="B931" t="s">
        <v>305</v>
      </c>
      <c r="C931">
        <v>1079</v>
      </c>
      <c r="D931" t="s">
        <v>306</v>
      </c>
    </row>
    <row r="932" spans="1:4" x14ac:dyDescent="0.35">
      <c r="A932">
        <v>4604</v>
      </c>
      <c r="B932" t="s">
        <v>309</v>
      </c>
      <c r="C932">
        <v>1079</v>
      </c>
      <c r="D932" t="s">
        <v>310</v>
      </c>
    </row>
    <row r="933" spans="1:4" x14ac:dyDescent="0.35">
      <c r="A933">
        <v>4605</v>
      </c>
      <c r="B933" t="s">
        <v>433</v>
      </c>
      <c r="C933">
        <v>1079</v>
      </c>
      <c r="D933" t="s">
        <v>164</v>
      </c>
    </row>
    <row r="934" spans="1:4" x14ac:dyDescent="0.35">
      <c r="A934">
        <v>4606</v>
      </c>
      <c r="B934" t="s">
        <v>671</v>
      </c>
      <c r="C934">
        <v>1079</v>
      </c>
      <c r="D934" t="s">
        <v>168</v>
      </c>
    </row>
    <row r="935" spans="1:4" x14ac:dyDescent="0.35">
      <c r="A935">
        <v>4607</v>
      </c>
      <c r="B935" t="s">
        <v>748</v>
      </c>
      <c r="C935">
        <v>1079</v>
      </c>
      <c r="D935" t="s">
        <v>749</v>
      </c>
    </row>
    <row r="936" spans="1:4" x14ac:dyDescent="0.35">
      <c r="A936">
        <v>4608</v>
      </c>
      <c r="B936" t="s">
        <v>889</v>
      </c>
      <c r="C936">
        <v>1079</v>
      </c>
      <c r="D936" t="s">
        <v>890</v>
      </c>
    </row>
    <row r="937" spans="1:4" x14ac:dyDescent="0.35">
      <c r="A937">
        <v>4609</v>
      </c>
      <c r="B937" t="s">
        <v>541</v>
      </c>
      <c r="C937">
        <v>1079</v>
      </c>
      <c r="D937" t="s">
        <v>542</v>
      </c>
    </row>
    <row r="938" spans="1:4" x14ac:dyDescent="0.35">
      <c r="A938">
        <v>4610</v>
      </c>
      <c r="B938" t="s">
        <v>806</v>
      </c>
      <c r="C938">
        <v>1079</v>
      </c>
      <c r="D938" t="s">
        <v>807</v>
      </c>
    </row>
    <row r="939" spans="1:4" x14ac:dyDescent="0.35">
      <c r="A939">
        <v>4611</v>
      </c>
      <c r="B939" t="s">
        <v>545</v>
      </c>
      <c r="C939">
        <v>1079</v>
      </c>
      <c r="D939" t="s">
        <v>546</v>
      </c>
    </row>
    <row r="940" spans="1:4" x14ac:dyDescent="0.35">
      <c r="A940">
        <v>4612</v>
      </c>
      <c r="B940" t="s">
        <v>820</v>
      </c>
      <c r="C940">
        <v>1079</v>
      </c>
      <c r="D940" t="s">
        <v>821</v>
      </c>
    </row>
    <row r="941" spans="1:4" x14ac:dyDescent="0.35">
      <c r="A941">
        <v>4613</v>
      </c>
      <c r="B941" t="s">
        <v>801</v>
      </c>
      <c r="C941">
        <v>1080</v>
      </c>
      <c r="D941" t="s">
        <v>802</v>
      </c>
    </row>
    <row r="942" spans="1:4" x14ac:dyDescent="0.35">
      <c r="A942">
        <v>4614</v>
      </c>
      <c r="B942" t="s">
        <v>300</v>
      </c>
      <c r="C942">
        <v>1080</v>
      </c>
      <c r="D942" t="s">
        <v>302</v>
      </c>
    </row>
    <row r="943" spans="1:4" x14ac:dyDescent="0.35">
      <c r="A943">
        <v>4615</v>
      </c>
      <c r="B943" t="s">
        <v>756</v>
      </c>
      <c r="C943">
        <v>1080</v>
      </c>
      <c r="D943" t="s">
        <v>757</v>
      </c>
    </row>
    <row r="944" spans="1:4" x14ac:dyDescent="0.35">
      <c r="A944">
        <v>4616</v>
      </c>
      <c r="B944" t="s">
        <v>132</v>
      </c>
      <c r="C944">
        <v>1080</v>
      </c>
      <c r="D944" t="s">
        <v>135</v>
      </c>
    </row>
    <row r="945" spans="1:4" x14ac:dyDescent="0.35">
      <c r="A945">
        <v>4617</v>
      </c>
      <c r="B945" t="s">
        <v>806</v>
      </c>
      <c r="C945">
        <v>1080</v>
      </c>
      <c r="D945" t="s">
        <v>807</v>
      </c>
    </row>
    <row r="946" spans="1:4" x14ac:dyDescent="0.35">
      <c r="A946">
        <v>4618</v>
      </c>
      <c r="B946">
        <v>2851121</v>
      </c>
      <c r="C946">
        <v>1083</v>
      </c>
      <c r="D946" t="s">
        <v>350</v>
      </c>
    </row>
    <row r="947" spans="1:4" x14ac:dyDescent="0.35">
      <c r="A947">
        <v>4619</v>
      </c>
      <c r="B947">
        <v>2851122</v>
      </c>
      <c r="C947">
        <v>1083</v>
      </c>
      <c r="D947" t="s">
        <v>353</v>
      </c>
    </row>
    <row r="948" spans="1:4" x14ac:dyDescent="0.35">
      <c r="A948">
        <v>4620</v>
      </c>
      <c r="B948">
        <v>3149739</v>
      </c>
      <c r="C948">
        <v>1083</v>
      </c>
      <c r="D948" t="s">
        <v>1571</v>
      </c>
    </row>
    <row r="949" spans="1:4" x14ac:dyDescent="0.35">
      <c r="A949">
        <v>4621</v>
      </c>
      <c r="B949">
        <v>3149738</v>
      </c>
      <c r="C949">
        <v>1083</v>
      </c>
      <c r="D949" t="s">
        <v>1574</v>
      </c>
    </row>
    <row r="950" spans="1:4" x14ac:dyDescent="0.35">
      <c r="A950">
        <v>4622</v>
      </c>
      <c r="B950">
        <v>3149737</v>
      </c>
      <c r="C950">
        <v>1083</v>
      </c>
      <c r="D950" t="s">
        <v>1587</v>
      </c>
    </row>
    <row r="951" spans="1:4" x14ac:dyDescent="0.35">
      <c r="A951">
        <v>4623</v>
      </c>
      <c r="B951">
        <v>3149736</v>
      </c>
      <c r="C951">
        <v>1083</v>
      </c>
      <c r="D951" t="s">
        <v>1577</v>
      </c>
    </row>
    <row r="952" spans="1:4" x14ac:dyDescent="0.35">
      <c r="A952">
        <v>4624</v>
      </c>
      <c r="B952">
        <v>3149732</v>
      </c>
      <c r="C952">
        <v>1083</v>
      </c>
      <c r="D952" t="s">
        <v>1580</v>
      </c>
    </row>
    <row r="953" spans="1:4" x14ac:dyDescent="0.35">
      <c r="A953">
        <v>4625</v>
      </c>
      <c r="B953">
        <v>3149735</v>
      </c>
      <c r="C953">
        <v>1083</v>
      </c>
      <c r="D953" t="s">
        <v>1583</v>
      </c>
    </row>
    <row r="954" spans="1:4" x14ac:dyDescent="0.35">
      <c r="A954">
        <v>4626</v>
      </c>
      <c r="B954">
        <v>3149734</v>
      </c>
      <c r="C954">
        <v>1083</v>
      </c>
      <c r="D954" t="s">
        <v>761</v>
      </c>
    </row>
    <row r="955" spans="1:4" x14ac:dyDescent="0.35">
      <c r="A955">
        <v>4627</v>
      </c>
      <c r="B955">
        <v>3491992</v>
      </c>
      <c r="C955">
        <v>1083</v>
      </c>
      <c r="D955" t="s">
        <v>4094</v>
      </c>
    </row>
    <row r="956" spans="1:4" x14ac:dyDescent="0.35">
      <c r="A956">
        <v>4628</v>
      </c>
      <c r="B956">
        <v>3491986</v>
      </c>
      <c r="C956">
        <v>1083</v>
      </c>
      <c r="D956" t="s">
        <v>4103</v>
      </c>
    </row>
    <row r="957" spans="1:4" x14ac:dyDescent="0.35">
      <c r="A957">
        <v>4629</v>
      </c>
      <c r="B957">
        <v>3848919</v>
      </c>
      <c r="C957">
        <v>1083</v>
      </c>
      <c r="D957" t="s">
        <v>4104</v>
      </c>
    </row>
    <row r="958" spans="1:4" x14ac:dyDescent="0.35">
      <c r="A958">
        <v>4630</v>
      </c>
      <c r="B958">
        <v>3463258</v>
      </c>
      <c r="C958">
        <v>1083</v>
      </c>
      <c r="D958" t="s">
        <v>1647</v>
      </c>
    </row>
    <row r="959" spans="1:4" x14ac:dyDescent="0.35">
      <c r="A959">
        <v>4631</v>
      </c>
      <c r="B959">
        <v>3191789</v>
      </c>
      <c r="C959">
        <v>1084</v>
      </c>
      <c r="D959" t="s">
        <v>2020</v>
      </c>
    </row>
    <row r="960" spans="1:4" x14ac:dyDescent="0.35">
      <c r="A960">
        <v>4632</v>
      </c>
      <c r="B960">
        <v>7094171830</v>
      </c>
      <c r="C960">
        <v>1087</v>
      </c>
      <c r="D960" t="s">
        <v>1709</v>
      </c>
    </row>
    <row r="961" spans="1:4" x14ac:dyDescent="0.35">
      <c r="A961">
        <v>4633</v>
      </c>
      <c r="B961">
        <v>7094175630</v>
      </c>
      <c r="C961">
        <v>1087</v>
      </c>
      <c r="D961" t="s">
        <v>1740</v>
      </c>
    </row>
    <row r="962" spans="1:4" x14ac:dyDescent="0.35">
      <c r="A962">
        <v>4634</v>
      </c>
      <c r="B962">
        <v>7094176330</v>
      </c>
      <c r="C962">
        <v>1087</v>
      </c>
      <c r="D962" t="s">
        <v>1613</v>
      </c>
    </row>
    <row r="963" spans="1:4" x14ac:dyDescent="0.35">
      <c r="A963">
        <v>4635</v>
      </c>
      <c r="B963">
        <v>7094177130</v>
      </c>
      <c r="C963">
        <v>1087</v>
      </c>
      <c r="D963" t="s">
        <v>1814</v>
      </c>
    </row>
    <row r="964" spans="1:4" x14ac:dyDescent="0.35">
      <c r="A964">
        <v>4636</v>
      </c>
      <c r="B964">
        <v>505035147</v>
      </c>
      <c r="C964">
        <v>1093</v>
      </c>
      <c r="D964" t="s">
        <v>3790</v>
      </c>
    </row>
    <row r="965" spans="1:4" x14ac:dyDescent="0.35">
      <c r="A965">
        <v>4637</v>
      </c>
      <c r="B965">
        <v>7094176230</v>
      </c>
      <c r="C965">
        <v>1106</v>
      </c>
      <c r="D965" t="s">
        <v>1975</v>
      </c>
    </row>
    <row r="966" spans="1:4" x14ac:dyDescent="0.35">
      <c r="A966">
        <v>4638</v>
      </c>
      <c r="B966">
        <v>7094171830</v>
      </c>
      <c r="C966">
        <v>1106</v>
      </c>
      <c r="D966" t="s">
        <v>1709</v>
      </c>
    </row>
    <row r="967" spans="1:4" x14ac:dyDescent="0.35">
      <c r="A967">
        <v>4639</v>
      </c>
      <c r="B967">
        <v>7094176730</v>
      </c>
      <c r="C967">
        <v>1106</v>
      </c>
      <c r="D967" t="s">
        <v>2834</v>
      </c>
    </row>
    <row r="968" spans="1:4" x14ac:dyDescent="0.35">
      <c r="A968">
        <v>4640</v>
      </c>
      <c r="B968">
        <v>7094200430</v>
      </c>
      <c r="C968">
        <v>1106</v>
      </c>
      <c r="D968" t="s">
        <v>2760</v>
      </c>
    </row>
    <row r="969" spans="1:4" x14ac:dyDescent="0.35">
      <c r="A969">
        <v>4641</v>
      </c>
      <c r="B969">
        <v>7094201030</v>
      </c>
      <c r="C969">
        <v>1106</v>
      </c>
      <c r="D969" t="s">
        <v>2775</v>
      </c>
    </row>
    <row r="970" spans="1:4" x14ac:dyDescent="0.35">
      <c r="A970">
        <v>4642</v>
      </c>
      <c r="B970">
        <v>7094176230</v>
      </c>
      <c r="C970">
        <v>1107</v>
      </c>
      <c r="D970" t="s">
        <v>1975</v>
      </c>
    </row>
    <row r="971" spans="1:4" x14ac:dyDescent="0.35">
      <c r="A971">
        <v>4643</v>
      </c>
      <c r="B971">
        <v>7094171830</v>
      </c>
      <c r="C971">
        <v>1107</v>
      </c>
      <c r="D971" t="s">
        <v>1709</v>
      </c>
    </row>
    <row r="972" spans="1:4" x14ac:dyDescent="0.35">
      <c r="A972">
        <v>4644</v>
      </c>
      <c r="B972">
        <v>7094171330</v>
      </c>
      <c r="C972">
        <v>1107</v>
      </c>
      <c r="D972" t="s">
        <v>1244</v>
      </c>
    </row>
    <row r="973" spans="1:4" x14ac:dyDescent="0.35">
      <c r="A973">
        <v>4645</v>
      </c>
      <c r="B973">
        <v>7094175630</v>
      </c>
      <c r="C973">
        <v>1107</v>
      </c>
      <c r="D973" t="s">
        <v>1740</v>
      </c>
    </row>
    <row r="974" spans="1:4" x14ac:dyDescent="0.35">
      <c r="A974">
        <v>4646</v>
      </c>
      <c r="B974">
        <v>7094176330</v>
      </c>
      <c r="C974">
        <v>1107</v>
      </c>
      <c r="D974" t="s">
        <v>1613</v>
      </c>
    </row>
    <row r="975" spans="1:4" x14ac:dyDescent="0.35">
      <c r="A975">
        <v>4647</v>
      </c>
      <c r="B975">
        <v>7094171430</v>
      </c>
      <c r="C975">
        <v>1107</v>
      </c>
      <c r="D975" t="s">
        <v>1719</v>
      </c>
    </row>
    <row r="976" spans="1:4" x14ac:dyDescent="0.35">
      <c r="A976">
        <v>4648</v>
      </c>
      <c r="B976">
        <v>7094176030</v>
      </c>
      <c r="C976">
        <v>1107</v>
      </c>
      <c r="D976" t="s">
        <v>1760</v>
      </c>
    </row>
    <row r="977" spans="1:4" x14ac:dyDescent="0.35">
      <c r="A977">
        <v>4649</v>
      </c>
      <c r="B977">
        <v>7094176530</v>
      </c>
      <c r="C977">
        <v>1107</v>
      </c>
      <c r="D977" t="s">
        <v>1982</v>
      </c>
    </row>
    <row r="978" spans="1:4" x14ac:dyDescent="0.35">
      <c r="A978">
        <v>4650</v>
      </c>
      <c r="B978">
        <v>7094176430</v>
      </c>
      <c r="C978">
        <v>1107</v>
      </c>
      <c r="D978" t="s">
        <v>1979</v>
      </c>
    </row>
    <row r="979" spans="1:4" x14ac:dyDescent="0.35">
      <c r="A979">
        <v>4651</v>
      </c>
      <c r="B979">
        <v>7094175930</v>
      </c>
      <c r="C979">
        <v>1107</v>
      </c>
      <c r="D979" t="s">
        <v>1755</v>
      </c>
    </row>
    <row r="980" spans="1:4" x14ac:dyDescent="0.35">
      <c r="A980">
        <v>4652</v>
      </c>
      <c r="B980">
        <v>7094174230</v>
      </c>
      <c r="C980">
        <v>1107</v>
      </c>
      <c r="D980" t="s">
        <v>1773</v>
      </c>
    </row>
    <row r="981" spans="1:4" x14ac:dyDescent="0.35">
      <c r="A981">
        <v>4653</v>
      </c>
      <c r="B981">
        <v>7094175630</v>
      </c>
      <c r="C981">
        <v>1107</v>
      </c>
      <c r="D981" t="s">
        <v>4087</v>
      </c>
    </row>
    <row r="982" spans="1:4" x14ac:dyDescent="0.35">
      <c r="A982">
        <v>4654</v>
      </c>
      <c r="B982">
        <v>7094176730</v>
      </c>
      <c r="C982">
        <v>1107</v>
      </c>
      <c r="D982" t="s">
        <v>2834</v>
      </c>
    </row>
    <row r="983" spans="1:4" x14ac:dyDescent="0.35">
      <c r="A983">
        <v>4655</v>
      </c>
      <c r="B983">
        <v>7094176130</v>
      </c>
      <c r="C983">
        <v>1107</v>
      </c>
      <c r="D983" t="s">
        <v>2750</v>
      </c>
    </row>
    <row r="984" spans="1:4" x14ac:dyDescent="0.35">
      <c r="A984">
        <v>4656</v>
      </c>
      <c r="B984">
        <v>7094201030</v>
      </c>
      <c r="C984">
        <v>1107</v>
      </c>
      <c r="D984" t="s">
        <v>2775</v>
      </c>
    </row>
    <row r="985" spans="1:4" x14ac:dyDescent="0.35">
      <c r="A985">
        <v>4657</v>
      </c>
      <c r="B985">
        <v>7094201230</v>
      </c>
      <c r="C985">
        <v>1107</v>
      </c>
      <c r="D985" t="s">
        <v>2746</v>
      </c>
    </row>
    <row r="986" spans="1:4" x14ac:dyDescent="0.35">
      <c r="A986">
        <v>4658</v>
      </c>
      <c r="B986">
        <v>7094201430</v>
      </c>
      <c r="C986">
        <v>1107</v>
      </c>
      <c r="D986" t="s">
        <v>2802</v>
      </c>
    </row>
    <row r="987" spans="1:4" x14ac:dyDescent="0.35">
      <c r="A987">
        <v>4659</v>
      </c>
      <c r="B987">
        <v>7094175830</v>
      </c>
      <c r="C987">
        <v>1107</v>
      </c>
      <c r="D987" t="s">
        <v>1750</v>
      </c>
    </row>
    <row r="988" spans="1:4" x14ac:dyDescent="0.35">
      <c r="A988">
        <v>4660</v>
      </c>
      <c r="B988">
        <v>7094201330</v>
      </c>
      <c r="C988">
        <v>1107</v>
      </c>
      <c r="D988" t="s">
        <v>2782</v>
      </c>
    </row>
    <row r="989" spans="1:4" x14ac:dyDescent="0.35">
      <c r="A989">
        <v>4661</v>
      </c>
      <c r="B989" t="s">
        <v>4498</v>
      </c>
      <c r="C989">
        <v>1113</v>
      </c>
      <c r="D989" t="s">
        <v>3664</v>
      </c>
    </row>
    <row r="990" spans="1:4" x14ac:dyDescent="0.35">
      <c r="A990">
        <v>4662</v>
      </c>
      <c r="B990" t="s">
        <v>4499</v>
      </c>
      <c r="C990">
        <v>1113</v>
      </c>
      <c r="D990" t="s">
        <v>3702</v>
      </c>
    </row>
    <row r="991" spans="1:4" x14ac:dyDescent="0.35">
      <c r="A991">
        <v>4663</v>
      </c>
      <c r="B991" t="s">
        <v>4500</v>
      </c>
      <c r="C991">
        <v>1122</v>
      </c>
      <c r="D991" t="s">
        <v>3670</v>
      </c>
    </row>
    <row r="992" spans="1:4" x14ac:dyDescent="0.35">
      <c r="A992">
        <v>4664</v>
      </c>
      <c r="B992" t="s">
        <v>1128</v>
      </c>
      <c r="C992">
        <v>20</v>
      </c>
      <c r="D992" t="s">
        <v>2229</v>
      </c>
    </row>
    <row r="993" spans="1:4" x14ac:dyDescent="0.35">
      <c r="A993">
        <v>4665</v>
      </c>
      <c r="B993" t="s">
        <v>1131</v>
      </c>
      <c r="C993">
        <v>20</v>
      </c>
      <c r="D993" t="s">
        <v>2230</v>
      </c>
    </row>
    <row r="994" spans="1:4" x14ac:dyDescent="0.35">
      <c r="A994">
        <v>4666</v>
      </c>
      <c r="B994">
        <v>705492</v>
      </c>
      <c r="C994">
        <v>651</v>
      </c>
      <c r="D994" t="s">
        <v>3454</v>
      </c>
    </row>
    <row r="995" spans="1:4" x14ac:dyDescent="0.35">
      <c r="A995">
        <v>4667</v>
      </c>
      <c r="B995" t="s">
        <v>4501</v>
      </c>
      <c r="C995">
        <v>651</v>
      </c>
      <c r="D995" t="s">
        <v>3664</v>
      </c>
    </row>
    <row r="996" spans="1:4" x14ac:dyDescent="0.35">
      <c r="A996">
        <v>4668</v>
      </c>
      <c r="B996" t="s">
        <v>4502</v>
      </c>
      <c r="C996">
        <v>651</v>
      </c>
      <c r="D996" t="s">
        <v>3668</v>
      </c>
    </row>
    <row r="997" spans="1:4" x14ac:dyDescent="0.35">
      <c r="A997">
        <v>4669</v>
      </c>
      <c r="B997" t="s">
        <v>4503</v>
      </c>
      <c r="C997">
        <v>651</v>
      </c>
      <c r="D997" t="s">
        <v>3823</v>
      </c>
    </row>
    <row r="998" spans="1:4" x14ac:dyDescent="0.35">
      <c r="A998">
        <v>4670</v>
      </c>
      <c r="B998" t="s">
        <v>2680</v>
      </c>
      <c r="C998">
        <v>651</v>
      </c>
      <c r="D998" t="s">
        <v>260</v>
      </c>
    </row>
    <row r="999" spans="1:4" x14ac:dyDescent="0.35">
      <c r="A999">
        <v>4671</v>
      </c>
      <c r="B999" t="s">
        <v>2684</v>
      </c>
      <c r="C999">
        <v>651</v>
      </c>
      <c r="D999" t="s">
        <v>200</v>
      </c>
    </row>
    <row r="1000" spans="1:4" x14ac:dyDescent="0.35">
      <c r="A1000">
        <v>4672</v>
      </c>
      <c r="B1000" t="s">
        <v>1917</v>
      </c>
      <c r="C1000">
        <v>651</v>
      </c>
      <c r="D1000" t="s">
        <v>256</v>
      </c>
    </row>
    <row r="1001" spans="1:4" x14ac:dyDescent="0.35">
      <c r="A1001">
        <v>4673</v>
      </c>
      <c r="B1001" t="s">
        <v>2675</v>
      </c>
      <c r="C1001">
        <v>651</v>
      </c>
      <c r="D1001" t="s">
        <v>2676</v>
      </c>
    </row>
    <row r="1002" spans="1:4" x14ac:dyDescent="0.35">
      <c r="A1002">
        <v>4674</v>
      </c>
      <c r="B1002" t="s">
        <v>4504</v>
      </c>
      <c r="C1002">
        <v>21</v>
      </c>
      <c r="D1002" t="s">
        <v>3646</v>
      </c>
    </row>
    <row r="1003" spans="1:4" x14ac:dyDescent="0.35">
      <c r="A1003">
        <v>4675</v>
      </c>
      <c r="B1003" t="s">
        <v>4505</v>
      </c>
      <c r="C1003">
        <v>22</v>
      </c>
      <c r="D1003" t="s">
        <v>3670</v>
      </c>
    </row>
    <row r="1004" spans="1:4" x14ac:dyDescent="0.35">
      <c r="A1004">
        <v>4676</v>
      </c>
      <c r="B1004" t="s">
        <v>4506</v>
      </c>
      <c r="C1004">
        <v>22</v>
      </c>
      <c r="D1004" t="s">
        <v>3674</v>
      </c>
    </row>
    <row r="1005" spans="1:4" x14ac:dyDescent="0.35">
      <c r="A1005">
        <v>4677</v>
      </c>
      <c r="B1005" t="s">
        <v>4409</v>
      </c>
      <c r="C1005">
        <v>23</v>
      </c>
      <c r="D1005" t="s">
        <v>3548</v>
      </c>
    </row>
    <row r="1006" spans="1:4" x14ac:dyDescent="0.35">
      <c r="A1006">
        <v>4678</v>
      </c>
      <c r="B1006" t="s">
        <v>3555</v>
      </c>
      <c r="C1006">
        <v>23</v>
      </c>
      <c r="D1006" t="s">
        <v>3555</v>
      </c>
    </row>
    <row r="1007" spans="1:4" x14ac:dyDescent="0.35">
      <c r="A1007">
        <v>4679</v>
      </c>
      <c r="B1007" t="s">
        <v>3598</v>
      </c>
      <c r="C1007">
        <v>23</v>
      </c>
      <c r="D1007" t="s">
        <v>3598</v>
      </c>
    </row>
    <row r="1008" spans="1:4" x14ac:dyDescent="0.35">
      <c r="A1008">
        <v>4680</v>
      </c>
      <c r="B1008" t="s">
        <v>3624</v>
      </c>
      <c r="C1008">
        <v>23</v>
      </c>
      <c r="D1008" t="s">
        <v>3624</v>
      </c>
    </row>
    <row r="1009" spans="1:4" x14ac:dyDescent="0.35">
      <c r="A1009">
        <v>4681</v>
      </c>
      <c r="B1009" t="s">
        <v>3637</v>
      </c>
      <c r="C1009">
        <v>23</v>
      </c>
      <c r="D1009" t="s">
        <v>3637</v>
      </c>
    </row>
    <row r="1010" spans="1:4" x14ac:dyDescent="0.35">
      <c r="A1010">
        <v>4682</v>
      </c>
      <c r="B1010" t="s">
        <v>3664</v>
      </c>
      <c r="C1010">
        <v>23</v>
      </c>
      <c r="D1010" t="s">
        <v>3664</v>
      </c>
    </row>
    <row r="1011" spans="1:4" x14ac:dyDescent="0.35">
      <c r="A1011">
        <v>4683</v>
      </c>
      <c r="B1011" t="s">
        <v>3670</v>
      </c>
      <c r="C1011">
        <v>23</v>
      </c>
      <c r="D1011" t="s">
        <v>3670</v>
      </c>
    </row>
    <row r="1012" spans="1:4" x14ac:dyDescent="0.35">
      <c r="A1012">
        <v>4684</v>
      </c>
      <c r="B1012" t="s">
        <v>3838</v>
      </c>
      <c r="C1012">
        <v>23</v>
      </c>
      <c r="D1012" t="s">
        <v>3838</v>
      </c>
    </row>
    <row r="1013" spans="1:4" x14ac:dyDescent="0.35">
      <c r="A1013">
        <v>4685</v>
      </c>
      <c r="B1013" t="s">
        <v>3860</v>
      </c>
      <c r="C1013">
        <v>23</v>
      </c>
      <c r="D1013" t="s">
        <v>3860</v>
      </c>
    </row>
    <row r="1014" spans="1:4" x14ac:dyDescent="0.35">
      <c r="A1014">
        <v>4686</v>
      </c>
      <c r="B1014">
        <v>34908</v>
      </c>
      <c r="C1014">
        <v>24</v>
      </c>
      <c r="D1014" t="s">
        <v>3437</v>
      </c>
    </row>
    <row r="1015" spans="1:4" x14ac:dyDescent="0.35">
      <c r="A1015">
        <v>4687</v>
      </c>
      <c r="B1015">
        <v>48452</v>
      </c>
      <c r="C1015">
        <v>24</v>
      </c>
      <c r="D1015" t="s">
        <v>3444</v>
      </c>
    </row>
    <row r="1016" spans="1:4" x14ac:dyDescent="0.35">
      <c r="A1016">
        <v>4688</v>
      </c>
      <c r="B1016">
        <v>35175</v>
      </c>
      <c r="C1016">
        <v>24</v>
      </c>
      <c r="D1016" t="s">
        <v>3488</v>
      </c>
    </row>
    <row r="1017" spans="1:4" x14ac:dyDescent="0.35">
      <c r="A1017">
        <v>4689</v>
      </c>
      <c r="B1017">
        <v>52102</v>
      </c>
      <c r="C1017">
        <v>24</v>
      </c>
      <c r="D1017" t="s">
        <v>3489</v>
      </c>
    </row>
    <row r="1018" spans="1:4" x14ac:dyDescent="0.35">
      <c r="A1018">
        <v>4690</v>
      </c>
      <c r="B1018">
        <v>52131</v>
      </c>
      <c r="C1018">
        <v>24</v>
      </c>
      <c r="D1018" t="s">
        <v>3490</v>
      </c>
    </row>
    <row r="1019" spans="1:4" x14ac:dyDescent="0.35">
      <c r="A1019">
        <v>4691</v>
      </c>
      <c r="B1019">
        <v>52100</v>
      </c>
      <c r="C1019">
        <v>24</v>
      </c>
      <c r="D1019" t="s">
        <v>3491</v>
      </c>
    </row>
    <row r="1020" spans="1:4" x14ac:dyDescent="0.35">
      <c r="A1020">
        <v>4692</v>
      </c>
      <c r="B1020">
        <v>52097</v>
      </c>
      <c r="C1020">
        <v>24</v>
      </c>
      <c r="D1020" t="s">
        <v>3492</v>
      </c>
    </row>
    <row r="1021" spans="1:4" x14ac:dyDescent="0.35">
      <c r="A1021">
        <v>4693</v>
      </c>
      <c r="B1021">
        <v>20581</v>
      </c>
      <c r="C1021">
        <v>24</v>
      </c>
      <c r="D1021" t="s">
        <v>3493</v>
      </c>
    </row>
    <row r="1022" spans="1:4" x14ac:dyDescent="0.35">
      <c r="A1022">
        <v>4694</v>
      </c>
      <c r="B1022">
        <v>52099</v>
      </c>
      <c r="C1022">
        <v>24</v>
      </c>
      <c r="D1022" t="s">
        <v>3495</v>
      </c>
    </row>
    <row r="1023" spans="1:4" x14ac:dyDescent="0.35">
      <c r="A1023">
        <v>4695</v>
      </c>
      <c r="B1023">
        <v>44660</v>
      </c>
      <c r="C1023">
        <v>24</v>
      </c>
      <c r="D1023" t="s">
        <v>3496</v>
      </c>
    </row>
    <row r="1024" spans="1:4" x14ac:dyDescent="0.35">
      <c r="A1024">
        <v>4696</v>
      </c>
      <c r="B1024">
        <v>52101</v>
      </c>
      <c r="C1024">
        <v>24</v>
      </c>
      <c r="D1024" t="s">
        <v>3497</v>
      </c>
    </row>
    <row r="1025" spans="1:4" x14ac:dyDescent="0.35">
      <c r="A1025">
        <v>4697</v>
      </c>
      <c r="B1025">
        <v>19787</v>
      </c>
      <c r="C1025">
        <v>24</v>
      </c>
      <c r="D1025" t="s">
        <v>3514</v>
      </c>
    </row>
    <row r="1026" spans="1:4" x14ac:dyDescent="0.35">
      <c r="A1026">
        <v>4700</v>
      </c>
      <c r="B1026">
        <v>58564</v>
      </c>
      <c r="C1026">
        <v>24</v>
      </c>
      <c r="D1026" t="s">
        <v>3540</v>
      </c>
    </row>
    <row r="1027" spans="1:4" x14ac:dyDescent="0.35">
      <c r="A1027">
        <v>4701</v>
      </c>
      <c r="B1027">
        <v>24579</v>
      </c>
      <c r="C1027">
        <v>24</v>
      </c>
      <c r="D1027" t="s">
        <v>3548</v>
      </c>
    </row>
    <row r="1028" spans="1:4" x14ac:dyDescent="0.35">
      <c r="A1028">
        <v>4702</v>
      </c>
      <c r="B1028" t="s">
        <v>3551</v>
      </c>
      <c r="C1028">
        <v>24</v>
      </c>
      <c r="D1028" t="s">
        <v>3551</v>
      </c>
    </row>
    <row r="1029" spans="1:4" x14ac:dyDescent="0.35">
      <c r="A1029">
        <v>4703</v>
      </c>
      <c r="B1029">
        <v>30804</v>
      </c>
      <c r="C1029">
        <v>24</v>
      </c>
      <c r="D1029" t="s">
        <v>3598</v>
      </c>
    </row>
    <row r="1030" spans="1:4" x14ac:dyDescent="0.35">
      <c r="A1030">
        <v>4704</v>
      </c>
      <c r="B1030" t="s">
        <v>4507</v>
      </c>
      <c r="C1030">
        <v>24</v>
      </c>
      <c r="D1030" t="s">
        <v>3598</v>
      </c>
    </row>
    <row r="1031" spans="1:4" x14ac:dyDescent="0.35">
      <c r="A1031">
        <v>4705</v>
      </c>
      <c r="B1031" t="s">
        <v>4508</v>
      </c>
      <c r="C1031">
        <v>24</v>
      </c>
      <c r="D1031" t="s">
        <v>3599</v>
      </c>
    </row>
    <row r="1032" spans="1:4" x14ac:dyDescent="0.35">
      <c r="A1032">
        <v>4706</v>
      </c>
      <c r="B1032">
        <v>21099</v>
      </c>
      <c r="C1032">
        <v>24</v>
      </c>
      <c r="D1032" t="s">
        <v>3620</v>
      </c>
    </row>
    <row r="1033" spans="1:4" x14ac:dyDescent="0.35">
      <c r="A1033">
        <v>4707</v>
      </c>
      <c r="B1033">
        <v>57028</v>
      </c>
      <c r="C1033">
        <v>24</v>
      </c>
      <c r="D1033" t="s">
        <v>3624</v>
      </c>
    </row>
    <row r="1034" spans="1:4" x14ac:dyDescent="0.35">
      <c r="A1034">
        <v>4708</v>
      </c>
      <c r="B1034">
        <v>52239</v>
      </c>
      <c r="C1034">
        <v>24</v>
      </c>
      <c r="D1034" t="s">
        <v>3625</v>
      </c>
    </row>
    <row r="1035" spans="1:4" x14ac:dyDescent="0.35">
      <c r="A1035">
        <v>4709</v>
      </c>
      <c r="B1035">
        <v>38421</v>
      </c>
      <c r="C1035">
        <v>24</v>
      </c>
      <c r="D1035" t="s">
        <v>3626</v>
      </c>
    </row>
    <row r="1036" spans="1:4" x14ac:dyDescent="0.35">
      <c r="A1036">
        <v>4710</v>
      </c>
      <c r="B1036">
        <v>48254</v>
      </c>
      <c r="C1036">
        <v>24</v>
      </c>
      <c r="D1036" t="s">
        <v>3646</v>
      </c>
    </row>
    <row r="1037" spans="1:4" x14ac:dyDescent="0.35">
      <c r="A1037">
        <v>4711</v>
      </c>
      <c r="B1037">
        <v>23464</v>
      </c>
      <c r="C1037">
        <v>24</v>
      </c>
      <c r="D1037" t="s">
        <v>3647</v>
      </c>
    </row>
    <row r="1038" spans="1:4" x14ac:dyDescent="0.35">
      <c r="A1038">
        <v>4712</v>
      </c>
      <c r="B1038">
        <v>53386</v>
      </c>
      <c r="C1038">
        <v>24</v>
      </c>
      <c r="D1038" t="s">
        <v>3649</v>
      </c>
    </row>
    <row r="1039" spans="1:4" x14ac:dyDescent="0.35">
      <c r="A1039">
        <v>4713</v>
      </c>
      <c r="B1039">
        <v>53390</v>
      </c>
      <c r="C1039">
        <v>24</v>
      </c>
      <c r="D1039" t="s">
        <v>3650</v>
      </c>
    </row>
    <row r="1040" spans="1:4" x14ac:dyDescent="0.35">
      <c r="A1040">
        <v>4714</v>
      </c>
      <c r="B1040">
        <v>35376</v>
      </c>
      <c r="C1040">
        <v>24</v>
      </c>
      <c r="D1040" t="s">
        <v>3664</v>
      </c>
    </row>
    <row r="1041" spans="1:4" x14ac:dyDescent="0.35">
      <c r="A1041">
        <v>4715</v>
      </c>
      <c r="B1041">
        <v>24582</v>
      </c>
      <c r="C1041">
        <v>24</v>
      </c>
      <c r="D1041" t="s">
        <v>3668</v>
      </c>
    </row>
    <row r="1042" spans="1:4" x14ac:dyDescent="0.35">
      <c r="A1042">
        <v>4716</v>
      </c>
      <c r="B1042" t="s">
        <v>3674</v>
      </c>
      <c r="C1042">
        <v>24</v>
      </c>
      <c r="D1042" t="s">
        <v>3674</v>
      </c>
    </row>
    <row r="1043" spans="1:4" x14ac:dyDescent="0.35">
      <c r="A1043">
        <v>4717</v>
      </c>
      <c r="B1043" t="s">
        <v>4509</v>
      </c>
      <c r="C1043">
        <v>24</v>
      </c>
      <c r="D1043" t="s">
        <v>3676</v>
      </c>
    </row>
    <row r="1044" spans="1:4" x14ac:dyDescent="0.35">
      <c r="A1044">
        <v>4718</v>
      </c>
      <c r="B1044">
        <v>61393</v>
      </c>
      <c r="C1044">
        <v>24</v>
      </c>
      <c r="D1044" t="s">
        <v>3688</v>
      </c>
    </row>
    <row r="1045" spans="1:4" x14ac:dyDescent="0.35">
      <c r="A1045">
        <v>4719</v>
      </c>
      <c r="B1045">
        <v>61392</v>
      </c>
      <c r="C1045">
        <v>24</v>
      </c>
      <c r="D1045" t="s">
        <v>3689</v>
      </c>
    </row>
    <row r="1046" spans="1:4" x14ac:dyDescent="0.35">
      <c r="A1046">
        <v>4720</v>
      </c>
      <c r="B1046">
        <v>49997</v>
      </c>
      <c r="C1046">
        <v>24</v>
      </c>
      <c r="D1046" t="s">
        <v>3754</v>
      </c>
    </row>
    <row r="1047" spans="1:4" x14ac:dyDescent="0.35">
      <c r="A1047">
        <v>4721</v>
      </c>
      <c r="B1047">
        <v>50546</v>
      </c>
      <c r="C1047">
        <v>24</v>
      </c>
      <c r="D1047" t="s">
        <v>3843</v>
      </c>
    </row>
    <row r="1048" spans="1:4" x14ac:dyDescent="0.35">
      <c r="A1048">
        <v>4722</v>
      </c>
      <c r="B1048">
        <v>51203</v>
      </c>
      <c r="C1048">
        <v>24</v>
      </c>
      <c r="D1048" t="s">
        <v>2473</v>
      </c>
    </row>
    <row r="1049" spans="1:4" x14ac:dyDescent="0.35">
      <c r="A1049">
        <v>4723</v>
      </c>
      <c r="B1049" t="s">
        <v>4510</v>
      </c>
      <c r="C1049">
        <v>24</v>
      </c>
      <c r="D1049" t="s">
        <v>2473</v>
      </c>
    </row>
    <row r="1050" spans="1:4" x14ac:dyDescent="0.35">
      <c r="A1050">
        <v>4724</v>
      </c>
      <c r="B1050" t="s">
        <v>4511</v>
      </c>
      <c r="C1050">
        <v>24</v>
      </c>
      <c r="D1050" t="s">
        <v>3891</v>
      </c>
    </row>
    <row r="1051" spans="1:4" x14ac:dyDescent="0.35">
      <c r="A1051">
        <v>4725</v>
      </c>
      <c r="B1051" t="s">
        <v>1118</v>
      </c>
      <c r="C1051">
        <v>24</v>
      </c>
      <c r="D1051" t="s">
        <v>256</v>
      </c>
    </row>
    <row r="1052" spans="1:4" x14ac:dyDescent="0.35">
      <c r="A1052">
        <v>4726</v>
      </c>
      <c r="B1052">
        <v>57225</v>
      </c>
      <c r="C1052">
        <v>24</v>
      </c>
      <c r="D1052" t="s">
        <v>1617</v>
      </c>
    </row>
    <row r="1053" spans="1:4" x14ac:dyDescent="0.35">
      <c r="A1053">
        <v>4727</v>
      </c>
      <c r="B1053" t="s">
        <v>1121</v>
      </c>
      <c r="C1053">
        <v>24</v>
      </c>
      <c r="D1053" t="s">
        <v>1120</v>
      </c>
    </row>
    <row r="1054" spans="1:4" x14ac:dyDescent="0.35">
      <c r="A1054">
        <v>4728</v>
      </c>
      <c r="B1054">
        <v>57226</v>
      </c>
      <c r="C1054">
        <v>24</v>
      </c>
      <c r="D1054" t="s">
        <v>1620</v>
      </c>
    </row>
    <row r="1055" spans="1:4" x14ac:dyDescent="0.35">
      <c r="A1055">
        <v>4729</v>
      </c>
      <c r="B1055">
        <v>61219</v>
      </c>
      <c r="C1055">
        <v>24</v>
      </c>
      <c r="D1055" t="s">
        <v>3104</v>
      </c>
    </row>
    <row r="1056" spans="1:4" x14ac:dyDescent="0.35">
      <c r="A1056">
        <v>4730</v>
      </c>
      <c r="B1056">
        <v>47847</v>
      </c>
      <c r="C1056">
        <v>24</v>
      </c>
      <c r="D1056" t="s">
        <v>4152</v>
      </c>
    </row>
    <row r="1057" spans="1:4" x14ac:dyDescent="0.35">
      <c r="A1057">
        <v>4731</v>
      </c>
      <c r="B1057">
        <v>47846</v>
      </c>
      <c r="C1057">
        <v>24</v>
      </c>
      <c r="D1057" t="s">
        <v>4188</v>
      </c>
    </row>
    <row r="1058" spans="1:4" x14ac:dyDescent="0.35">
      <c r="A1058">
        <v>4732</v>
      </c>
      <c r="B1058">
        <v>4118</v>
      </c>
      <c r="C1058">
        <v>25</v>
      </c>
      <c r="D1058" t="s">
        <v>3646</v>
      </c>
    </row>
    <row r="1059" spans="1:4" x14ac:dyDescent="0.35">
      <c r="A1059">
        <v>4733</v>
      </c>
      <c r="B1059">
        <v>4178</v>
      </c>
      <c r="C1059">
        <v>25</v>
      </c>
      <c r="D1059" t="s">
        <v>3647</v>
      </c>
    </row>
    <row r="1060" spans="1:4" x14ac:dyDescent="0.35">
      <c r="A1060">
        <v>4734</v>
      </c>
      <c r="B1060" t="s">
        <v>4261</v>
      </c>
      <c r="C1060">
        <v>26</v>
      </c>
      <c r="D1060" t="s">
        <v>3664</v>
      </c>
    </row>
    <row r="1061" spans="1:4" x14ac:dyDescent="0.35">
      <c r="A1061">
        <v>4735</v>
      </c>
      <c r="B1061" t="s">
        <v>3801</v>
      </c>
      <c r="C1061">
        <v>26</v>
      </c>
      <c r="D1061" t="s">
        <v>3801</v>
      </c>
    </row>
    <row r="1062" spans="1:4" x14ac:dyDescent="0.35">
      <c r="A1062">
        <v>4736</v>
      </c>
      <c r="B1062" t="s">
        <v>3844</v>
      </c>
      <c r="C1062">
        <v>27</v>
      </c>
      <c r="D1062" t="s">
        <v>3844</v>
      </c>
    </row>
    <row r="1063" spans="1:4" x14ac:dyDescent="0.35">
      <c r="A1063">
        <v>4737</v>
      </c>
      <c r="B1063" t="s">
        <v>4512</v>
      </c>
      <c r="C1063">
        <v>27</v>
      </c>
      <c r="D1063" t="s">
        <v>3845</v>
      </c>
    </row>
    <row r="1064" spans="1:4" x14ac:dyDescent="0.35">
      <c r="A1064">
        <v>4738</v>
      </c>
      <c r="B1064">
        <v>103054</v>
      </c>
      <c r="C1064">
        <v>28</v>
      </c>
      <c r="D1064" t="s">
        <v>3646</v>
      </c>
    </row>
    <row r="1065" spans="1:4" x14ac:dyDescent="0.35">
      <c r="A1065">
        <v>4739</v>
      </c>
      <c r="B1065" t="s">
        <v>3267</v>
      </c>
      <c r="C1065">
        <v>29</v>
      </c>
      <c r="D1065" t="s">
        <v>3268</v>
      </c>
    </row>
    <row r="1066" spans="1:4" x14ac:dyDescent="0.35">
      <c r="A1066">
        <v>4740</v>
      </c>
      <c r="B1066">
        <v>12186181</v>
      </c>
      <c r="C1066">
        <v>29</v>
      </c>
      <c r="D1066" t="s">
        <v>3896</v>
      </c>
    </row>
    <row r="1067" spans="1:4" x14ac:dyDescent="0.35">
      <c r="A1067">
        <v>4741</v>
      </c>
      <c r="B1067" t="s">
        <v>4513</v>
      </c>
      <c r="C1067">
        <v>29</v>
      </c>
      <c r="D1067" t="s">
        <v>3895</v>
      </c>
    </row>
    <row r="1068" spans="1:4" x14ac:dyDescent="0.35">
      <c r="A1068">
        <v>4742</v>
      </c>
      <c r="B1068">
        <v>12186176</v>
      </c>
      <c r="C1068">
        <v>29</v>
      </c>
      <c r="D1068" t="s">
        <v>1849</v>
      </c>
    </row>
    <row r="1069" spans="1:4" x14ac:dyDescent="0.35">
      <c r="A1069">
        <v>4743</v>
      </c>
      <c r="B1069">
        <v>12186334</v>
      </c>
      <c r="C1069">
        <v>29</v>
      </c>
      <c r="D1069" t="s">
        <v>3897</v>
      </c>
    </row>
    <row r="1070" spans="1:4" x14ac:dyDescent="0.35">
      <c r="A1070">
        <v>4744</v>
      </c>
      <c r="B1070" t="s">
        <v>4514</v>
      </c>
      <c r="C1070">
        <v>29</v>
      </c>
      <c r="D1070" t="s">
        <v>3897</v>
      </c>
    </row>
    <row r="1071" spans="1:4" x14ac:dyDescent="0.35">
      <c r="A1071">
        <v>4745</v>
      </c>
      <c r="B1071">
        <v>12186178</v>
      </c>
      <c r="C1071">
        <v>29</v>
      </c>
      <c r="D1071" t="s">
        <v>3893</v>
      </c>
    </row>
    <row r="1072" spans="1:4" x14ac:dyDescent="0.35">
      <c r="A1072">
        <v>4746</v>
      </c>
      <c r="B1072">
        <v>12186172</v>
      </c>
      <c r="C1072">
        <v>29</v>
      </c>
      <c r="D1072" t="s">
        <v>3892</v>
      </c>
    </row>
    <row r="1073" spans="1:4" x14ac:dyDescent="0.35">
      <c r="A1073">
        <v>4747</v>
      </c>
      <c r="B1073">
        <v>15324257</v>
      </c>
      <c r="C1073">
        <v>29</v>
      </c>
      <c r="D1073" t="s">
        <v>1677</v>
      </c>
    </row>
    <row r="1074" spans="1:4" x14ac:dyDescent="0.35">
      <c r="A1074">
        <v>4748</v>
      </c>
      <c r="B1074">
        <v>12186167</v>
      </c>
      <c r="C1074">
        <v>29</v>
      </c>
      <c r="D1074" t="s">
        <v>659</v>
      </c>
    </row>
    <row r="1075" spans="1:4" x14ac:dyDescent="0.35">
      <c r="A1075">
        <v>4749</v>
      </c>
      <c r="B1075">
        <v>13913348</v>
      </c>
      <c r="C1075">
        <v>29</v>
      </c>
      <c r="D1075" t="s">
        <v>3898</v>
      </c>
    </row>
    <row r="1076" spans="1:4" x14ac:dyDescent="0.35">
      <c r="A1076">
        <v>4750</v>
      </c>
      <c r="B1076" t="s">
        <v>4515</v>
      </c>
      <c r="C1076">
        <v>29</v>
      </c>
      <c r="D1076" t="s">
        <v>3894</v>
      </c>
    </row>
    <row r="1077" spans="1:4" x14ac:dyDescent="0.35">
      <c r="A1077">
        <v>4751</v>
      </c>
      <c r="B1077">
        <v>13799844</v>
      </c>
      <c r="C1077">
        <v>29</v>
      </c>
      <c r="D1077" t="s">
        <v>1998</v>
      </c>
    </row>
    <row r="1078" spans="1:4" x14ac:dyDescent="0.35">
      <c r="A1078">
        <v>4752</v>
      </c>
      <c r="B1078">
        <v>33292078</v>
      </c>
      <c r="C1078">
        <v>29</v>
      </c>
      <c r="D1078" t="s">
        <v>3902</v>
      </c>
    </row>
    <row r="1079" spans="1:4" x14ac:dyDescent="0.35">
      <c r="A1079">
        <v>4753</v>
      </c>
      <c r="B1079">
        <v>33260362</v>
      </c>
      <c r="C1079">
        <v>29</v>
      </c>
      <c r="D1079" t="s">
        <v>3901</v>
      </c>
    </row>
    <row r="1080" spans="1:4" x14ac:dyDescent="0.35">
      <c r="A1080">
        <v>4754</v>
      </c>
      <c r="B1080">
        <v>13799796</v>
      </c>
      <c r="C1080">
        <v>29</v>
      </c>
      <c r="D1080" t="s">
        <v>2631</v>
      </c>
    </row>
    <row r="1081" spans="1:4" x14ac:dyDescent="0.35">
      <c r="A1081">
        <v>4755</v>
      </c>
      <c r="B1081">
        <v>15396408</v>
      </c>
      <c r="C1081">
        <v>29</v>
      </c>
      <c r="D1081" t="s">
        <v>1485</v>
      </c>
    </row>
    <row r="1082" spans="1:4" x14ac:dyDescent="0.35">
      <c r="A1082">
        <v>4756</v>
      </c>
      <c r="B1082">
        <v>15543704</v>
      </c>
      <c r="C1082">
        <v>29</v>
      </c>
      <c r="D1082" t="s">
        <v>3899</v>
      </c>
    </row>
    <row r="1083" spans="1:4" x14ac:dyDescent="0.35">
      <c r="A1083">
        <v>4757</v>
      </c>
      <c r="B1083">
        <v>15543704</v>
      </c>
      <c r="C1083">
        <v>29</v>
      </c>
      <c r="D1083" t="s">
        <v>2979</v>
      </c>
    </row>
    <row r="1084" spans="1:4" x14ac:dyDescent="0.35">
      <c r="A1084">
        <v>4758</v>
      </c>
      <c r="B1084">
        <v>15324288</v>
      </c>
      <c r="C1084">
        <v>29</v>
      </c>
      <c r="D1084" t="s">
        <v>3900</v>
      </c>
    </row>
    <row r="1085" spans="1:4" x14ac:dyDescent="0.35">
      <c r="A1085">
        <v>4759</v>
      </c>
      <c r="B1085">
        <v>15324289</v>
      </c>
      <c r="C1085">
        <v>29</v>
      </c>
      <c r="D1085" t="s">
        <v>2179</v>
      </c>
    </row>
    <row r="1086" spans="1:4" x14ac:dyDescent="0.35">
      <c r="A1086">
        <v>4760</v>
      </c>
      <c r="B1086">
        <v>13799796</v>
      </c>
      <c r="C1086">
        <v>29</v>
      </c>
      <c r="D1086" t="s">
        <v>1373</v>
      </c>
    </row>
    <row r="1087" spans="1:4" x14ac:dyDescent="0.35">
      <c r="A1087">
        <v>4761</v>
      </c>
      <c r="B1087" t="s">
        <v>1187</v>
      </c>
      <c r="C1087">
        <v>29</v>
      </c>
      <c r="D1087" t="s">
        <v>917</v>
      </c>
    </row>
    <row r="1088" spans="1:4" x14ac:dyDescent="0.35">
      <c r="A1088">
        <v>4762</v>
      </c>
      <c r="B1088" t="s">
        <v>917</v>
      </c>
      <c r="C1088">
        <v>29</v>
      </c>
      <c r="D1088" t="s">
        <v>917</v>
      </c>
    </row>
    <row r="1089" spans="1:4" x14ac:dyDescent="0.35">
      <c r="A1089">
        <v>4763</v>
      </c>
      <c r="B1089">
        <v>901001</v>
      </c>
      <c r="C1089">
        <v>29</v>
      </c>
      <c r="D1089" t="s">
        <v>4022</v>
      </c>
    </row>
    <row r="1090" spans="1:4" x14ac:dyDescent="0.35">
      <c r="A1090">
        <v>4764</v>
      </c>
      <c r="B1090">
        <v>35738191</v>
      </c>
      <c r="C1090">
        <v>29</v>
      </c>
      <c r="D1090" t="s">
        <v>292</v>
      </c>
    </row>
    <row r="1091" spans="1:4" x14ac:dyDescent="0.35">
      <c r="A1091">
        <v>4765</v>
      </c>
      <c r="B1091">
        <v>35758275</v>
      </c>
      <c r="C1091">
        <v>29</v>
      </c>
      <c r="D1091" t="s">
        <v>296</v>
      </c>
    </row>
    <row r="1092" spans="1:4" x14ac:dyDescent="0.35">
      <c r="A1092">
        <v>4766</v>
      </c>
      <c r="B1092">
        <v>35738192</v>
      </c>
      <c r="C1092">
        <v>29</v>
      </c>
      <c r="D1092" t="s">
        <v>288</v>
      </c>
    </row>
    <row r="1093" spans="1:4" x14ac:dyDescent="0.35">
      <c r="A1093">
        <v>4767</v>
      </c>
      <c r="B1093">
        <v>35758264</v>
      </c>
      <c r="C1093">
        <v>29</v>
      </c>
      <c r="D1093" t="s">
        <v>416</v>
      </c>
    </row>
    <row r="1094" spans="1:4" x14ac:dyDescent="0.35">
      <c r="A1094">
        <v>4768</v>
      </c>
      <c r="B1094" t="s">
        <v>416</v>
      </c>
      <c r="C1094">
        <v>29</v>
      </c>
      <c r="D1094" t="s">
        <v>416</v>
      </c>
    </row>
    <row r="1095" spans="1:4" x14ac:dyDescent="0.35">
      <c r="A1095">
        <v>4769</v>
      </c>
      <c r="B1095">
        <v>35738194</v>
      </c>
      <c r="C1095">
        <v>29</v>
      </c>
      <c r="D1095" t="s">
        <v>336</v>
      </c>
    </row>
    <row r="1096" spans="1:4" x14ac:dyDescent="0.35">
      <c r="A1096">
        <v>4770</v>
      </c>
      <c r="B1096">
        <v>35758269</v>
      </c>
      <c r="C1096">
        <v>29</v>
      </c>
      <c r="D1096" t="s">
        <v>424</v>
      </c>
    </row>
    <row r="1097" spans="1:4" x14ac:dyDescent="0.35">
      <c r="A1097">
        <v>4771</v>
      </c>
      <c r="B1097">
        <v>35804066</v>
      </c>
      <c r="C1097">
        <v>29</v>
      </c>
      <c r="D1097" t="s">
        <v>586</v>
      </c>
    </row>
    <row r="1098" spans="1:4" x14ac:dyDescent="0.35">
      <c r="A1098">
        <v>4772</v>
      </c>
      <c r="B1098">
        <v>35758579</v>
      </c>
      <c r="C1098">
        <v>29</v>
      </c>
      <c r="D1098" t="s">
        <v>1511</v>
      </c>
    </row>
    <row r="1099" spans="1:4" x14ac:dyDescent="0.35">
      <c r="A1099">
        <v>4773</v>
      </c>
      <c r="B1099" t="s">
        <v>4516</v>
      </c>
      <c r="C1099">
        <v>29</v>
      </c>
      <c r="D1099" t="s">
        <v>4044</v>
      </c>
    </row>
    <row r="1100" spans="1:4" x14ac:dyDescent="0.35">
      <c r="A1100">
        <v>4774</v>
      </c>
      <c r="B1100" t="s">
        <v>1067</v>
      </c>
      <c r="C1100">
        <v>29</v>
      </c>
      <c r="D1100" t="s">
        <v>1068</v>
      </c>
    </row>
    <row r="1101" spans="1:4" x14ac:dyDescent="0.35">
      <c r="A1101">
        <v>4775</v>
      </c>
      <c r="B1101">
        <v>35738187</v>
      </c>
      <c r="C1101">
        <v>29</v>
      </c>
      <c r="D1101" t="s">
        <v>1498</v>
      </c>
    </row>
    <row r="1102" spans="1:4" x14ac:dyDescent="0.35">
      <c r="A1102">
        <v>4776</v>
      </c>
      <c r="B1102">
        <v>35738189</v>
      </c>
      <c r="C1102">
        <v>29</v>
      </c>
      <c r="D1102" t="s">
        <v>1740</v>
      </c>
    </row>
    <row r="1103" spans="1:4" x14ac:dyDescent="0.35">
      <c r="A1103">
        <v>4777</v>
      </c>
      <c r="B1103" t="s">
        <v>4517</v>
      </c>
      <c r="C1103">
        <v>29</v>
      </c>
      <c r="D1103" t="s">
        <v>1740</v>
      </c>
    </row>
    <row r="1104" spans="1:4" x14ac:dyDescent="0.35">
      <c r="A1104">
        <v>4778</v>
      </c>
      <c r="B1104">
        <v>35738179</v>
      </c>
      <c r="C1104">
        <v>29</v>
      </c>
      <c r="D1104" t="s">
        <v>2182</v>
      </c>
    </row>
    <row r="1105" spans="1:4" x14ac:dyDescent="0.35">
      <c r="A1105">
        <v>4779</v>
      </c>
      <c r="B1105">
        <v>35738181</v>
      </c>
      <c r="C1105">
        <v>29</v>
      </c>
      <c r="D1105" t="s">
        <v>2175</v>
      </c>
    </row>
    <row r="1106" spans="1:4" x14ac:dyDescent="0.35">
      <c r="A1106">
        <v>4780</v>
      </c>
      <c r="B1106">
        <v>35738183</v>
      </c>
      <c r="C1106">
        <v>29</v>
      </c>
      <c r="D1106" t="s">
        <v>1444</v>
      </c>
    </row>
    <row r="1107" spans="1:4" x14ac:dyDescent="0.35">
      <c r="A1107">
        <v>4781</v>
      </c>
      <c r="B1107">
        <v>35738185</v>
      </c>
      <c r="C1107">
        <v>29</v>
      </c>
      <c r="D1107" t="s">
        <v>1318</v>
      </c>
    </row>
    <row r="1108" spans="1:4" x14ac:dyDescent="0.35">
      <c r="A1108">
        <v>4782</v>
      </c>
      <c r="B1108">
        <v>35738186</v>
      </c>
      <c r="C1108">
        <v>29</v>
      </c>
      <c r="D1108" t="s">
        <v>1495</v>
      </c>
    </row>
    <row r="1109" spans="1:4" x14ac:dyDescent="0.35">
      <c r="A1109">
        <v>4783</v>
      </c>
      <c r="B1109" t="s">
        <v>4518</v>
      </c>
      <c r="C1109">
        <v>29</v>
      </c>
      <c r="D1109" t="s">
        <v>3122</v>
      </c>
    </row>
    <row r="1110" spans="1:4" x14ac:dyDescent="0.35">
      <c r="A1110">
        <v>4784</v>
      </c>
      <c r="B1110">
        <v>35738195</v>
      </c>
      <c r="C1110">
        <v>29</v>
      </c>
      <c r="D1110" t="s">
        <v>662</v>
      </c>
    </row>
    <row r="1111" spans="1:4" x14ac:dyDescent="0.35">
      <c r="A1111">
        <v>4785</v>
      </c>
      <c r="B1111">
        <v>35738172</v>
      </c>
      <c r="C1111">
        <v>29</v>
      </c>
      <c r="D1111" t="s">
        <v>2031</v>
      </c>
    </row>
    <row r="1112" spans="1:4" x14ac:dyDescent="0.35">
      <c r="A1112">
        <v>4786</v>
      </c>
      <c r="B1112">
        <v>35738172</v>
      </c>
      <c r="C1112">
        <v>29</v>
      </c>
      <c r="D1112" t="s">
        <v>1200</v>
      </c>
    </row>
    <row r="1113" spans="1:4" x14ac:dyDescent="0.35">
      <c r="A1113">
        <v>4787</v>
      </c>
      <c r="B1113">
        <v>35738174</v>
      </c>
      <c r="C1113">
        <v>29</v>
      </c>
      <c r="D1113" t="s">
        <v>1310</v>
      </c>
    </row>
    <row r="1114" spans="1:4" x14ac:dyDescent="0.35">
      <c r="A1114">
        <v>4788</v>
      </c>
      <c r="B1114">
        <v>35758207</v>
      </c>
      <c r="C1114">
        <v>29</v>
      </c>
      <c r="D1114" t="s">
        <v>3145</v>
      </c>
    </row>
    <row r="1115" spans="1:4" x14ac:dyDescent="0.35">
      <c r="A1115">
        <v>4789</v>
      </c>
      <c r="B1115">
        <v>35758214</v>
      </c>
      <c r="C1115">
        <v>29</v>
      </c>
      <c r="D1115" t="s">
        <v>2706</v>
      </c>
    </row>
    <row r="1116" spans="1:4" x14ac:dyDescent="0.35">
      <c r="A1116">
        <v>4790</v>
      </c>
      <c r="B1116">
        <v>35758221</v>
      </c>
      <c r="C1116">
        <v>29</v>
      </c>
      <c r="D1116" t="s">
        <v>1506</v>
      </c>
    </row>
    <row r="1117" spans="1:4" x14ac:dyDescent="0.35">
      <c r="A1117">
        <v>4791</v>
      </c>
      <c r="B1117">
        <v>35758225</v>
      </c>
      <c r="C1117">
        <v>29</v>
      </c>
      <c r="D1117" t="s">
        <v>3152</v>
      </c>
    </row>
    <row r="1118" spans="1:4" x14ac:dyDescent="0.35">
      <c r="A1118">
        <v>4792</v>
      </c>
      <c r="B1118">
        <v>35758230</v>
      </c>
      <c r="C1118">
        <v>29</v>
      </c>
      <c r="D1118" t="s">
        <v>3108</v>
      </c>
    </row>
    <row r="1119" spans="1:4" x14ac:dyDescent="0.35">
      <c r="A1119">
        <v>4793</v>
      </c>
      <c r="B1119">
        <v>35758237</v>
      </c>
      <c r="C1119">
        <v>29</v>
      </c>
      <c r="D1119" t="s">
        <v>3004</v>
      </c>
    </row>
    <row r="1120" spans="1:4" x14ac:dyDescent="0.35">
      <c r="A1120">
        <v>4794</v>
      </c>
      <c r="B1120">
        <v>35758243</v>
      </c>
      <c r="C1120">
        <v>29</v>
      </c>
      <c r="D1120" t="s">
        <v>1852</v>
      </c>
    </row>
    <row r="1121" spans="1:4" x14ac:dyDescent="0.35">
      <c r="A1121">
        <v>4795</v>
      </c>
      <c r="B1121">
        <v>12186589</v>
      </c>
      <c r="C1121">
        <v>29</v>
      </c>
      <c r="D1121" t="s">
        <v>1313</v>
      </c>
    </row>
    <row r="1122" spans="1:4" x14ac:dyDescent="0.35">
      <c r="A1122">
        <v>4796</v>
      </c>
      <c r="B1122">
        <v>35758255</v>
      </c>
      <c r="C1122">
        <v>29</v>
      </c>
      <c r="D1122" t="s">
        <v>1387</v>
      </c>
    </row>
    <row r="1123" spans="1:4" x14ac:dyDescent="0.35">
      <c r="A1123">
        <v>4797</v>
      </c>
      <c r="B1123">
        <v>35758256</v>
      </c>
      <c r="C1123">
        <v>29</v>
      </c>
      <c r="D1123" t="s">
        <v>1259</v>
      </c>
    </row>
    <row r="1124" spans="1:4" x14ac:dyDescent="0.35">
      <c r="A1124">
        <v>4798</v>
      </c>
      <c r="B1124">
        <v>35758262</v>
      </c>
      <c r="C1124">
        <v>29</v>
      </c>
      <c r="D1124" t="s">
        <v>1439</v>
      </c>
    </row>
    <row r="1125" spans="1:4" x14ac:dyDescent="0.35">
      <c r="A1125">
        <v>4799</v>
      </c>
      <c r="B1125">
        <v>35758263</v>
      </c>
      <c r="C1125">
        <v>29</v>
      </c>
      <c r="D1125" t="s">
        <v>1491</v>
      </c>
    </row>
    <row r="1126" spans="1:4" x14ac:dyDescent="0.35">
      <c r="A1126">
        <v>4800</v>
      </c>
      <c r="B1126">
        <v>35758276</v>
      </c>
      <c r="C1126">
        <v>29</v>
      </c>
      <c r="D1126" t="s">
        <v>1192</v>
      </c>
    </row>
    <row r="1127" spans="1:4" x14ac:dyDescent="0.35">
      <c r="A1127">
        <v>4801</v>
      </c>
      <c r="B1127">
        <v>35758281</v>
      </c>
      <c r="C1127">
        <v>29</v>
      </c>
      <c r="D1127" t="s">
        <v>1196</v>
      </c>
    </row>
    <row r="1128" spans="1:4" x14ac:dyDescent="0.35">
      <c r="A1128">
        <v>4802</v>
      </c>
      <c r="B1128">
        <v>13778227</v>
      </c>
      <c r="C1128">
        <v>29</v>
      </c>
      <c r="D1128" t="s">
        <v>938</v>
      </c>
    </row>
    <row r="1129" spans="1:4" x14ac:dyDescent="0.35">
      <c r="A1129">
        <v>4803</v>
      </c>
      <c r="B1129">
        <v>13778222</v>
      </c>
      <c r="C1129">
        <v>29</v>
      </c>
      <c r="D1129" t="s">
        <v>785</v>
      </c>
    </row>
    <row r="1130" spans="1:4" x14ac:dyDescent="0.35">
      <c r="A1130">
        <v>4804</v>
      </c>
      <c r="B1130">
        <v>33260604</v>
      </c>
      <c r="C1130">
        <v>29</v>
      </c>
      <c r="D1130" t="s">
        <v>1189</v>
      </c>
    </row>
    <row r="1131" spans="1:4" x14ac:dyDescent="0.35">
      <c r="A1131">
        <v>4805</v>
      </c>
      <c r="B1131" t="s">
        <v>1987</v>
      </c>
      <c r="C1131">
        <v>29</v>
      </c>
      <c r="D1131" t="s">
        <v>1988</v>
      </c>
    </row>
    <row r="1132" spans="1:4" x14ac:dyDescent="0.35">
      <c r="A1132">
        <v>4806</v>
      </c>
      <c r="B1132">
        <v>13927985</v>
      </c>
      <c r="C1132">
        <v>29</v>
      </c>
      <c r="D1132" t="s">
        <v>1070</v>
      </c>
    </row>
    <row r="1133" spans="1:4" x14ac:dyDescent="0.35">
      <c r="A1133">
        <v>4807</v>
      </c>
      <c r="B1133" t="s">
        <v>3135</v>
      </c>
      <c r="C1133">
        <v>29</v>
      </c>
      <c r="D1133" t="s">
        <v>2418</v>
      </c>
    </row>
    <row r="1134" spans="1:4" x14ac:dyDescent="0.35">
      <c r="A1134">
        <v>4808</v>
      </c>
      <c r="B1134" t="s">
        <v>4519</v>
      </c>
      <c r="C1134">
        <v>30</v>
      </c>
      <c r="D1134" t="s">
        <v>3646</v>
      </c>
    </row>
    <row r="1135" spans="1:4" x14ac:dyDescent="0.35">
      <c r="A1135">
        <v>4809</v>
      </c>
      <c r="B1135" t="s">
        <v>4520</v>
      </c>
      <c r="C1135">
        <v>31</v>
      </c>
      <c r="D1135" t="s">
        <v>3584</v>
      </c>
    </row>
    <row r="1136" spans="1:4" x14ac:dyDescent="0.35">
      <c r="A1136">
        <v>4810</v>
      </c>
      <c r="B1136" t="s">
        <v>4521</v>
      </c>
      <c r="C1136">
        <v>31</v>
      </c>
      <c r="D1136" t="s">
        <v>3586</v>
      </c>
    </row>
    <row r="1137" spans="1:4" x14ac:dyDescent="0.35">
      <c r="A1137">
        <v>4811</v>
      </c>
      <c r="B1137" t="s">
        <v>4522</v>
      </c>
      <c r="C1137">
        <v>31</v>
      </c>
      <c r="D1137" t="s">
        <v>3678</v>
      </c>
    </row>
    <row r="1138" spans="1:4" x14ac:dyDescent="0.35">
      <c r="A1138">
        <v>4812</v>
      </c>
      <c r="B1138" t="s">
        <v>4523</v>
      </c>
      <c r="C1138">
        <v>31</v>
      </c>
      <c r="D1138" t="s">
        <v>3811</v>
      </c>
    </row>
    <row r="1139" spans="1:4" x14ac:dyDescent="0.35">
      <c r="A1139">
        <v>4813</v>
      </c>
      <c r="B1139">
        <v>158182</v>
      </c>
      <c r="C1139">
        <v>32</v>
      </c>
      <c r="D1139" t="s">
        <v>3496</v>
      </c>
    </row>
    <row r="1140" spans="1:4" x14ac:dyDescent="0.35">
      <c r="A1140">
        <v>4814</v>
      </c>
      <c r="B1140">
        <v>160865</v>
      </c>
      <c r="C1140">
        <v>32</v>
      </c>
      <c r="D1140" t="s">
        <v>3551</v>
      </c>
    </row>
    <row r="1141" spans="1:4" x14ac:dyDescent="0.35">
      <c r="A1141">
        <v>4815</v>
      </c>
      <c r="B1141">
        <v>160095</v>
      </c>
      <c r="C1141">
        <v>32</v>
      </c>
      <c r="D1141" t="s">
        <v>3584</v>
      </c>
    </row>
    <row r="1142" spans="1:4" x14ac:dyDescent="0.35">
      <c r="A1142">
        <v>4816</v>
      </c>
      <c r="B1142">
        <v>138950</v>
      </c>
      <c r="C1142">
        <v>32</v>
      </c>
      <c r="D1142" t="s">
        <v>3598</v>
      </c>
    </row>
    <row r="1143" spans="1:4" x14ac:dyDescent="0.35">
      <c r="A1143">
        <v>4817</v>
      </c>
      <c r="B1143">
        <v>135064</v>
      </c>
      <c r="C1143">
        <v>32</v>
      </c>
      <c r="D1143" t="s">
        <v>3646</v>
      </c>
    </row>
    <row r="1144" spans="1:4" x14ac:dyDescent="0.35">
      <c r="A1144">
        <v>4818</v>
      </c>
      <c r="B1144">
        <v>131684</v>
      </c>
      <c r="C1144">
        <v>32</v>
      </c>
      <c r="D1144" t="s">
        <v>3661</v>
      </c>
    </row>
    <row r="1145" spans="1:4" x14ac:dyDescent="0.35">
      <c r="A1145">
        <v>4819</v>
      </c>
      <c r="B1145">
        <v>131665</v>
      </c>
      <c r="C1145">
        <v>32</v>
      </c>
      <c r="D1145" t="s">
        <v>3664</v>
      </c>
    </row>
    <row r="1146" spans="1:4" x14ac:dyDescent="0.35">
      <c r="A1146">
        <v>4820</v>
      </c>
      <c r="B1146">
        <v>162339</v>
      </c>
      <c r="C1146">
        <v>32</v>
      </c>
      <c r="D1146" t="s">
        <v>3668</v>
      </c>
    </row>
    <row r="1147" spans="1:4" x14ac:dyDescent="0.35">
      <c r="A1147">
        <v>4821</v>
      </c>
      <c r="B1147">
        <v>131447</v>
      </c>
      <c r="C1147">
        <v>32</v>
      </c>
      <c r="D1147" t="s">
        <v>3670</v>
      </c>
    </row>
    <row r="1148" spans="1:4" x14ac:dyDescent="0.35">
      <c r="A1148">
        <v>4822</v>
      </c>
      <c r="B1148">
        <v>131646</v>
      </c>
      <c r="C1148">
        <v>32</v>
      </c>
      <c r="D1148" t="s">
        <v>3674</v>
      </c>
    </row>
    <row r="1149" spans="1:4" x14ac:dyDescent="0.35">
      <c r="A1149">
        <v>4823</v>
      </c>
      <c r="B1149">
        <v>170113</v>
      </c>
      <c r="C1149">
        <v>32</v>
      </c>
      <c r="D1149" t="s">
        <v>3678</v>
      </c>
    </row>
    <row r="1150" spans="1:4" x14ac:dyDescent="0.35">
      <c r="A1150">
        <v>4824</v>
      </c>
      <c r="B1150">
        <v>149607</v>
      </c>
      <c r="C1150">
        <v>32</v>
      </c>
      <c r="D1150" t="s">
        <v>3702</v>
      </c>
    </row>
    <row r="1151" spans="1:4" x14ac:dyDescent="0.35">
      <c r="A1151">
        <v>4825</v>
      </c>
      <c r="B1151">
        <v>168352</v>
      </c>
      <c r="C1151">
        <v>32</v>
      </c>
      <c r="D1151" t="s">
        <v>3747</v>
      </c>
    </row>
    <row r="1152" spans="1:4" x14ac:dyDescent="0.35">
      <c r="A1152">
        <v>4826</v>
      </c>
      <c r="B1152">
        <v>158154</v>
      </c>
      <c r="C1152">
        <v>32</v>
      </c>
      <c r="D1152" t="s">
        <v>3777</v>
      </c>
    </row>
    <row r="1153" spans="1:4" x14ac:dyDescent="0.35">
      <c r="A1153">
        <v>4827</v>
      </c>
      <c r="B1153">
        <v>146820</v>
      </c>
      <c r="C1153">
        <v>32</v>
      </c>
      <c r="D1153" t="s">
        <v>3823</v>
      </c>
    </row>
    <row r="1154" spans="1:4" x14ac:dyDescent="0.35">
      <c r="A1154">
        <v>4828</v>
      </c>
      <c r="B1154">
        <v>130851</v>
      </c>
      <c r="C1154">
        <v>32</v>
      </c>
      <c r="D1154" t="s">
        <v>3843</v>
      </c>
    </row>
    <row r="1155" spans="1:4" x14ac:dyDescent="0.35">
      <c r="A1155">
        <v>4829</v>
      </c>
      <c r="B1155">
        <v>166939</v>
      </c>
      <c r="C1155">
        <v>32</v>
      </c>
      <c r="D1155" t="s">
        <v>730</v>
      </c>
    </row>
    <row r="1156" spans="1:4" x14ac:dyDescent="0.35">
      <c r="A1156">
        <v>4830</v>
      </c>
      <c r="B1156">
        <v>166940</v>
      </c>
      <c r="C1156">
        <v>32</v>
      </c>
      <c r="D1156" t="s">
        <v>622</v>
      </c>
    </row>
    <row r="1157" spans="1:4" x14ac:dyDescent="0.35">
      <c r="A1157">
        <v>4831</v>
      </c>
      <c r="B1157">
        <v>166938</v>
      </c>
      <c r="C1157">
        <v>32</v>
      </c>
      <c r="D1157" t="s">
        <v>727</v>
      </c>
    </row>
    <row r="1158" spans="1:4" x14ac:dyDescent="0.35">
      <c r="A1158">
        <v>4832</v>
      </c>
      <c r="B1158">
        <v>163497</v>
      </c>
      <c r="C1158">
        <v>32</v>
      </c>
      <c r="D1158" t="s">
        <v>4145</v>
      </c>
    </row>
    <row r="1159" spans="1:4" x14ac:dyDescent="0.35">
      <c r="A1159">
        <v>4833</v>
      </c>
      <c r="B1159">
        <v>163804</v>
      </c>
      <c r="C1159">
        <v>32</v>
      </c>
      <c r="D1159" t="s">
        <v>4146</v>
      </c>
    </row>
    <row r="1160" spans="1:4" x14ac:dyDescent="0.35">
      <c r="A1160">
        <v>4834</v>
      </c>
      <c r="B1160">
        <v>160265</v>
      </c>
      <c r="C1160">
        <v>32</v>
      </c>
      <c r="D1160" t="s">
        <v>4148</v>
      </c>
    </row>
    <row r="1161" spans="1:4" x14ac:dyDescent="0.35">
      <c r="A1161">
        <v>4835</v>
      </c>
      <c r="B1161">
        <v>165440</v>
      </c>
      <c r="C1161">
        <v>32</v>
      </c>
      <c r="D1161" t="s">
        <v>4153</v>
      </c>
    </row>
    <row r="1162" spans="1:4" x14ac:dyDescent="0.35">
      <c r="A1162">
        <v>4836</v>
      </c>
      <c r="B1162">
        <v>167739</v>
      </c>
      <c r="C1162">
        <v>32</v>
      </c>
      <c r="D1162" t="s">
        <v>4161</v>
      </c>
    </row>
    <row r="1163" spans="1:4" x14ac:dyDescent="0.35">
      <c r="A1163">
        <v>4837</v>
      </c>
      <c r="B1163">
        <v>165114</v>
      </c>
      <c r="C1163">
        <v>32</v>
      </c>
      <c r="D1163" t="s">
        <v>4170</v>
      </c>
    </row>
    <row r="1164" spans="1:4" x14ac:dyDescent="0.35">
      <c r="A1164">
        <v>4838</v>
      </c>
      <c r="B1164">
        <v>160868</v>
      </c>
      <c r="C1164">
        <v>32</v>
      </c>
      <c r="D1164" t="s">
        <v>4176</v>
      </c>
    </row>
    <row r="1165" spans="1:4" x14ac:dyDescent="0.35">
      <c r="A1165">
        <v>4840</v>
      </c>
      <c r="B1165" t="s">
        <v>4524</v>
      </c>
      <c r="C1165">
        <v>329</v>
      </c>
      <c r="D1165" t="s">
        <v>3598</v>
      </c>
    </row>
    <row r="1166" spans="1:4" x14ac:dyDescent="0.35">
      <c r="A1166">
        <v>4841</v>
      </c>
      <c r="B1166">
        <v>54.010300000000001</v>
      </c>
      <c r="C1166">
        <v>35</v>
      </c>
      <c r="D1166" t="s">
        <v>3664</v>
      </c>
    </row>
    <row r="1167" spans="1:4" x14ac:dyDescent="0.35">
      <c r="A1167">
        <v>4842</v>
      </c>
      <c r="B1167">
        <v>4640000</v>
      </c>
      <c r="C1167">
        <v>36</v>
      </c>
      <c r="D1167" t="s">
        <v>3637</v>
      </c>
    </row>
    <row r="1168" spans="1:4" x14ac:dyDescent="0.35">
      <c r="A1168">
        <v>4843</v>
      </c>
      <c r="B1168" t="s">
        <v>4525</v>
      </c>
      <c r="C1168">
        <v>37</v>
      </c>
      <c r="D1168" t="s">
        <v>3437</v>
      </c>
    </row>
    <row r="1169" spans="1:4" x14ac:dyDescent="0.35">
      <c r="A1169">
        <v>4844</v>
      </c>
      <c r="B1169" t="s">
        <v>4526</v>
      </c>
      <c r="C1169">
        <v>37</v>
      </c>
      <c r="D1169" t="s">
        <v>3496</v>
      </c>
    </row>
    <row r="1170" spans="1:4" x14ac:dyDescent="0.35">
      <c r="A1170">
        <v>4845</v>
      </c>
      <c r="B1170" t="s">
        <v>4527</v>
      </c>
      <c r="C1170">
        <v>37</v>
      </c>
      <c r="D1170" t="s">
        <v>3528</v>
      </c>
    </row>
    <row r="1171" spans="1:4" x14ac:dyDescent="0.35">
      <c r="A1171">
        <v>4846</v>
      </c>
      <c r="B1171" t="s">
        <v>4528</v>
      </c>
      <c r="C1171">
        <v>37</v>
      </c>
      <c r="D1171" t="s">
        <v>3584</v>
      </c>
    </row>
    <row r="1172" spans="1:4" x14ac:dyDescent="0.35">
      <c r="A1172">
        <v>4847</v>
      </c>
      <c r="B1172" t="s">
        <v>4529</v>
      </c>
      <c r="C1172">
        <v>37</v>
      </c>
      <c r="D1172" t="s">
        <v>3586</v>
      </c>
    </row>
    <row r="1173" spans="1:4" x14ac:dyDescent="0.35">
      <c r="A1173">
        <v>4848</v>
      </c>
      <c r="B1173" t="s">
        <v>4530</v>
      </c>
      <c r="C1173">
        <v>37</v>
      </c>
      <c r="D1173" t="s">
        <v>3624</v>
      </c>
    </row>
    <row r="1174" spans="1:4" x14ac:dyDescent="0.35">
      <c r="A1174">
        <v>4849</v>
      </c>
      <c r="B1174" t="s">
        <v>4531</v>
      </c>
      <c r="C1174">
        <v>37</v>
      </c>
      <c r="D1174" t="s">
        <v>3646</v>
      </c>
    </row>
    <row r="1175" spans="1:4" x14ac:dyDescent="0.35">
      <c r="A1175">
        <v>4850</v>
      </c>
      <c r="B1175" t="s">
        <v>4532</v>
      </c>
      <c r="C1175">
        <v>37</v>
      </c>
      <c r="D1175" t="s">
        <v>3683</v>
      </c>
    </row>
    <row r="1176" spans="1:4" x14ac:dyDescent="0.35">
      <c r="A1176">
        <v>4851</v>
      </c>
      <c r="B1176" t="s">
        <v>4533</v>
      </c>
      <c r="C1176">
        <v>37</v>
      </c>
      <c r="D1176" t="s">
        <v>3704</v>
      </c>
    </row>
    <row r="1177" spans="1:4" x14ac:dyDescent="0.35">
      <c r="A1177">
        <v>4852</v>
      </c>
      <c r="B1177" t="s">
        <v>4534</v>
      </c>
      <c r="C1177">
        <v>37</v>
      </c>
      <c r="D1177" t="s">
        <v>3785</v>
      </c>
    </row>
    <row r="1178" spans="1:4" x14ac:dyDescent="0.35">
      <c r="A1178">
        <v>4854</v>
      </c>
      <c r="B1178" t="s">
        <v>4535</v>
      </c>
      <c r="C1178">
        <v>37</v>
      </c>
      <c r="D1178" t="s">
        <v>3981</v>
      </c>
    </row>
    <row r="1179" spans="1:4" x14ac:dyDescent="0.35">
      <c r="A1179">
        <v>4855</v>
      </c>
      <c r="B1179" t="s">
        <v>4536</v>
      </c>
      <c r="C1179">
        <v>37</v>
      </c>
      <c r="D1179" t="s">
        <v>3995</v>
      </c>
    </row>
    <row r="1180" spans="1:4" x14ac:dyDescent="0.35">
      <c r="A1180">
        <v>4856</v>
      </c>
      <c r="B1180" t="s">
        <v>4537</v>
      </c>
      <c r="C1180">
        <v>37</v>
      </c>
      <c r="D1180" t="s">
        <v>3993</v>
      </c>
    </row>
    <row r="1181" spans="1:4" x14ac:dyDescent="0.35">
      <c r="A1181">
        <v>4857</v>
      </c>
      <c r="B1181" t="s">
        <v>4538</v>
      </c>
      <c r="C1181">
        <v>37</v>
      </c>
      <c r="D1181" t="s">
        <v>2423</v>
      </c>
    </row>
    <row r="1182" spans="1:4" x14ac:dyDescent="0.35">
      <c r="A1182">
        <v>4858</v>
      </c>
      <c r="B1182" t="s">
        <v>4539</v>
      </c>
      <c r="C1182">
        <v>37</v>
      </c>
      <c r="D1182" t="s">
        <v>3986</v>
      </c>
    </row>
    <row r="1183" spans="1:4" x14ac:dyDescent="0.35">
      <c r="A1183">
        <v>4859</v>
      </c>
      <c r="B1183" t="s">
        <v>4538</v>
      </c>
      <c r="C1183">
        <v>37</v>
      </c>
      <c r="D1183" t="s">
        <v>3982</v>
      </c>
    </row>
    <row r="1184" spans="1:4" x14ac:dyDescent="0.35">
      <c r="A1184">
        <v>4860</v>
      </c>
      <c r="B1184" t="s">
        <v>4540</v>
      </c>
      <c r="C1184">
        <v>37</v>
      </c>
      <c r="D1184" t="s">
        <v>3983</v>
      </c>
    </row>
    <row r="1185" spans="1:4" x14ac:dyDescent="0.35">
      <c r="A1185">
        <v>4861</v>
      </c>
      <c r="B1185" t="s">
        <v>4541</v>
      </c>
      <c r="C1185">
        <v>37</v>
      </c>
      <c r="D1185" t="s">
        <v>3985</v>
      </c>
    </row>
    <row r="1186" spans="1:4" x14ac:dyDescent="0.35">
      <c r="A1186">
        <v>4862</v>
      </c>
      <c r="B1186" t="s">
        <v>4542</v>
      </c>
      <c r="C1186">
        <v>37</v>
      </c>
      <c r="D1186" t="s">
        <v>3987</v>
      </c>
    </row>
    <row r="1187" spans="1:4" x14ac:dyDescent="0.35">
      <c r="A1187">
        <v>4863</v>
      </c>
      <c r="B1187" t="s">
        <v>4543</v>
      </c>
      <c r="C1187">
        <v>37</v>
      </c>
      <c r="D1187" t="s">
        <v>3988</v>
      </c>
    </row>
    <row r="1188" spans="1:4" x14ac:dyDescent="0.35">
      <c r="A1188">
        <v>4864</v>
      </c>
      <c r="B1188" t="s">
        <v>4544</v>
      </c>
      <c r="C1188">
        <v>37</v>
      </c>
      <c r="D1188" t="s">
        <v>3989</v>
      </c>
    </row>
    <row r="1189" spans="1:4" x14ac:dyDescent="0.35">
      <c r="A1189">
        <v>4865</v>
      </c>
      <c r="B1189" t="s">
        <v>4545</v>
      </c>
      <c r="C1189">
        <v>37</v>
      </c>
      <c r="D1189" t="s">
        <v>3990</v>
      </c>
    </row>
    <row r="1190" spans="1:4" x14ac:dyDescent="0.35">
      <c r="A1190">
        <v>4866</v>
      </c>
      <c r="B1190" t="s">
        <v>4546</v>
      </c>
      <c r="C1190">
        <v>37</v>
      </c>
      <c r="D1190" t="s">
        <v>3991</v>
      </c>
    </row>
    <row r="1191" spans="1:4" x14ac:dyDescent="0.35">
      <c r="A1191">
        <v>4867</v>
      </c>
      <c r="B1191" t="s">
        <v>4547</v>
      </c>
      <c r="C1191">
        <v>37</v>
      </c>
      <c r="D1191" t="s">
        <v>3992</v>
      </c>
    </row>
    <row r="1192" spans="1:4" x14ac:dyDescent="0.35">
      <c r="A1192">
        <v>4868</v>
      </c>
      <c r="B1192" t="s">
        <v>4548</v>
      </c>
      <c r="C1192">
        <v>37</v>
      </c>
      <c r="D1192" t="s">
        <v>3994</v>
      </c>
    </row>
    <row r="1193" spans="1:4" x14ac:dyDescent="0.35">
      <c r="A1193">
        <v>4869</v>
      </c>
      <c r="B1193" t="s">
        <v>141</v>
      </c>
      <c r="C1193">
        <v>46</v>
      </c>
      <c r="D1193" t="s">
        <v>3984</v>
      </c>
    </row>
    <row r="1194" spans="1:4" x14ac:dyDescent="0.35">
      <c r="A1194">
        <v>4870</v>
      </c>
      <c r="B1194" t="s">
        <v>4541</v>
      </c>
      <c r="C1194">
        <v>46</v>
      </c>
      <c r="D1194" t="s">
        <v>3985</v>
      </c>
    </row>
    <row r="1195" spans="1:4" x14ac:dyDescent="0.35">
      <c r="A1195">
        <v>4871</v>
      </c>
      <c r="B1195" t="s">
        <v>4543</v>
      </c>
      <c r="C1195">
        <v>46</v>
      </c>
      <c r="D1195" t="s">
        <v>3988</v>
      </c>
    </row>
    <row r="1196" spans="1:4" x14ac:dyDescent="0.35">
      <c r="A1196">
        <v>4872</v>
      </c>
      <c r="B1196" t="s">
        <v>141</v>
      </c>
      <c r="C1196">
        <v>46</v>
      </c>
      <c r="D1196" t="s">
        <v>144</v>
      </c>
    </row>
    <row r="1197" spans="1:4" x14ac:dyDescent="0.35">
      <c r="A1197">
        <v>4873</v>
      </c>
      <c r="B1197" t="s">
        <v>4525</v>
      </c>
      <c r="C1197">
        <v>47</v>
      </c>
      <c r="D1197" t="s">
        <v>3437</v>
      </c>
    </row>
    <row r="1198" spans="1:4" x14ac:dyDescent="0.35">
      <c r="A1198">
        <v>4874</v>
      </c>
      <c r="B1198" t="s">
        <v>4528</v>
      </c>
      <c r="C1198">
        <v>47</v>
      </c>
      <c r="D1198" t="s">
        <v>3584</v>
      </c>
    </row>
    <row r="1199" spans="1:4" x14ac:dyDescent="0.35">
      <c r="A1199">
        <v>4875</v>
      </c>
      <c r="B1199" t="s">
        <v>4530</v>
      </c>
      <c r="C1199">
        <v>47</v>
      </c>
      <c r="D1199" t="s">
        <v>3624</v>
      </c>
    </row>
    <row r="1200" spans="1:4" x14ac:dyDescent="0.35">
      <c r="A1200">
        <v>4876</v>
      </c>
      <c r="B1200" t="s">
        <v>4549</v>
      </c>
      <c r="C1200">
        <v>47</v>
      </c>
      <c r="D1200" t="s">
        <v>3646</v>
      </c>
    </row>
    <row r="1201" spans="1:4" x14ac:dyDescent="0.35">
      <c r="A1201">
        <v>4877</v>
      </c>
      <c r="B1201" t="s">
        <v>4550</v>
      </c>
      <c r="C1201">
        <v>47</v>
      </c>
      <c r="D1201" t="s">
        <v>3647</v>
      </c>
    </row>
    <row r="1202" spans="1:4" x14ac:dyDescent="0.35">
      <c r="A1202">
        <v>4878</v>
      </c>
      <c r="B1202" t="s">
        <v>4551</v>
      </c>
      <c r="C1202">
        <v>47</v>
      </c>
      <c r="D1202" t="s">
        <v>3664</v>
      </c>
    </row>
    <row r="1203" spans="1:4" x14ac:dyDescent="0.35">
      <c r="A1203">
        <v>4879</v>
      </c>
      <c r="B1203" t="s">
        <v>4552</v>
      </c>
      <c r="C1203">
        <v>47</v>
      </c>
      <c r="D1203" t="s">
        <v>3670</v>
      </c>
    </row>
    <row r="1204" spans="1:4" x14ac:dyDescent="0.35">
      <c r="A1204">
        <v>4880</v>
      </c>
      <c r="B1204" t="s">
        <v>4553</v>
      </c>
      <c r="C1204">
        <v>47</v>
      </c>
      <c r="D1204" t="s">
        <v>3702</v>
      </c>
    </row>
    <row r="1205" spans="1:4" x14ac:dyDescent="0.35">
      <c r="A1205">
        <v>4881</v>
      </c>
      <c r="B1205" t="s">
        <v>4533</v>
      </c>
      <c r="C1205">
        <v>47</v>
      </c>
      <c r="D1205" t="s">
        <v>3704</v>
      </c>
    </row>
    <row r="1206" spans="1:4" x14ac:dyDescent="0.35">
      <c r="A1206">
        <v>4882</v>
      </c>
      <c r="B1206" t="s">
        <v>4554</v>
      </c>
      <c r="C1206">
        <v>47</v>
      </c>
      <c r="D1206" t="s">
        <v>3785</v>
      </c>
    </row>
    <row r="1207" spans="1:4" x14ac:dyDescent="0.35">
      <c r="A1207">
        <v>4883</v>
      </c>
      <c r="B1207" t="s">
        <v>2526</v>
      </c>
      <c r="C1207">
        <v>47</v>
      </c>
      <c r="D1207" t="s">
        <v>2527</v>
      </c>
    </row>
    <row r="1208" spans="1:4" x14ac:dyDescent="0.35">
      <c r="A1208">
        <v>4884</v>
      </c>
      <c r="B1208" t="s">
        <v>1207</v>
      </c>
      <c r="C1208">
        <v>47</v>
      </c>
      <c r="D1208" t="s">
        <v>3977</v>
      </c>
    </row>
    <row r="1209" spans="1:4" x14ac:dyDescent="0.35">
      <c r="A1209">
        <v>4885</v>
      </c>
      <c r="B1209" t="s">
        <v>4539</v>
      </c>
      <c r="C1209">
        <v>47</v>
      </c>
      <c r="D1209" t="s">
        <v>3986</v>
      </c>
    </row>
    <row r="1210" spans="1:4" x14ac:dyDescent="0.35">
      <c r="A1210">
        <v>4886</v>
      </c>
      <c r="B1210" t="s">
        <v>4555</v>
      </c>
      <c r="C1210">
        <v>47</v>
      </c>
      <c r="D1210" t="s">
        <v>3979</v>
      </c>
    </row>
    <row r="1211" spans="1:4" x14ac:dyDescent="0.35">
      <c r="A1211">
        <v>4887</v>
      </c>
      <c r="B1211" t="s">
        <v>4556</v>
      </c>
      <c r="C1211">
        <v>47</v>
      </c>
      <c r="D1211" t="s">
        <v>3978</v>
      </c>
    </row>
    <row r="1212" spans="1:4" x14ac:dyDescent="0.35">
      <c r="A1212">
        <v>4888</v>
      </c>
      <c r="B1212" t="s">
        <v>2612</v>
      </c>
      <c r="C1212">
        <v>47</v>
      </c>
      <c r="D1212" t="s">
        <v>2613</v>
      </c>
    </row>
    <row r="1213" spans="1:4" x14ac:dyDescent="0.35">
      <c r="A1213">
        <v>4889</v>
      </c>
      <c r="B1213" t="s">
        <v>4557</v>
      </c>
      <c r="C1213">
        <v>47</v>
      </c>
      <c r="D1213" t="s">
        <v>3966</v>
      </c>
    </row>
    <row r="1214" spans="1:4" x14ac:dyDescent="0.35">
      <c r="A1214">
        <v>4890</v>
      </c>
      <c r="B1214" t="s">
        <v>4558</v>
      </c>
      <c r="C1214">
        <v>47</v>
      </c>
      <c r="D1214" t="s">
        <v>3973</v>
      </c>
    </row>
    <row r="1215" spans="1:4" x14ac:dyDescent="0.35">
      <c r="A1215">
        <v>4891</v>
      </c>
      <c r="B1215" t="s">
        <v>4559</v>
      </c>
      <c r="C1215">
        <v>47</v>
      </c>
      <c r="D1215" t="s">
        <v>3980</v>
      </c>
    </row>
    <row r="1216" spans="1:4" x14ac:dyDescent="0.35">
      <c r="A1216">
        <v>4892</v>
      </c>
      <c r="B1216" t="s">
        <v>2589</v>
      </c>
      <c r="C1216">
        <v>47</v>
      </c>
      <c r="D1216" t="s">
        <v>2590</v>
      </c>
    </row>
    <row r="1217" spans="1:4" x14ac:dyDescent="0.35">
      <c r="A1217">
        <v>4893</v>
      </c>
      <c r="B1217" t="s">
        <v>2688</v>
      </c>
      <c r="C1217">
        <v>47</v>
      </c>
      <c r="D1217" t="s">
        <v>2689</v>
      </c>
    </row>
    <row r="1218" spans="1:4" x14ac:dyDescent="0.35">
      <c r="A1218">
        <v>4894</v>
      </c>
      <c r="B1218" t="s">
        <v>466</v>
      </c>
      <c r="C1218">
        <v>47</v>
      </c>
      <c r="D1218" t="s">
        <v>467</v>
      </c>
    </row>
    <row r="1219" spans="1:4" x14ac:dyDescent="0.35">
      <c r="A1219">
        <v>4895</v>
      </c>
      <c r="B1219" t="s">
        <v>4551</v>
      </c>
      <c r="C1219">
        <v>48</v>
      </c>
      <c r="D1219" t="s">
        <v>3664</v>
      </c>
    </row>
    <row r="1220" spans="1:4" x14ac:dyDescent="0.35">
      <c r="A1220">
        <v>4896</v>
      </c>
      <c r="B1220" t="s">
        <v>4552</v>
      </c>
      <c r="C1220">
        <v>48</v>
      </c>
      <c r="D1220" t="s">
        <v>3670</v>
      </c>
    </row>
    <row r="1221" spans="1:4" x14ac:dyDescent="0.35">
      <c r="A1221">
        <v>4897</v>
      </c>
      <c r="B1221" t="s">
        <v>4526</v>
      </c>
      <c r="C1221">
        <v>38</v>
      </c>
      <c r="D1221" t="s">
        <v>3496</v>
      </c>
    </row>
    <row r="1222" spans="1:4" x14ac:dyDescent="0.35">
      <c r="A1222">
        <v>4899</v>
      </c>
      <c r="B1222" t="s">
        <v>4527</v>
      </c>
      <c r="C1222">
        <v>38</v>
      </c>
      <c r="D1222" t="s">
        <v>3528</v>
      </c>
    </row>
    <row r="1223" spans="1:4" x14ac:dyDescent="0.35">
      <c r="A1223">
        <v>4900</v>
      </c>
      <c r="B1223" t="s">
        <v>4560</v>
      </c>
      <c r="C1223">
        <v>38</v>
      </c>
      <c r="D1223" t="s">
        <v>3539</v>
      </c>
    </row>
    <row r="1224" spans="1:4" x14ac:dyDescent="0.35">
      <c r="A1224">
        <v>4901</v>
      </c>
      <c r="B1224" t="s">
        <v>4528</v>
      </c>
      <c r="C1224">
        <v>38</v>
      </c>
      <c r="D1224" t="s">
        <v>3584</v>
      </c>
    </row>
    <row r="1225" spans="1:4" x14ac:dyDescent="0.35">
      <c r="A1225">
        <v>4902</v>
      </c>
      <c r="B1225" t="s">
        <v>4561</v>
      </c>
      <c r="C1225">
        <v>38</v>
      </c>
      <c r="D1225" t="s">
        <v>3598</v>
      </c>
    </row>
    <row r="1226" spans="1:4" x14ac:dyDescent="0.35">
      <c r="A1226">
        <v>4903</v>
      </c>
      <c r="B1226" t="s">
        <v>4562</v>
      </c>
      <c r="C1226">
        <v>38</v>
      </c>
      <c r="D1226" t="s">
        <v>3605</v>
      </c>
    </row>
    <row r="1227" spans="1:4" x14ac:dyDescent="0.35">
      <c r="A1227">
        <v>4904</v>
      </c>
      <c r="B1227" t="s">
        <v>4563</v>
      </c>
      <c r="C1227">
        <v>38</v>
      </c>
      <c r="D1227" t="s">
        <v>3608</v>
      </c>
    </row>
    <row r="1228" spans="1:4" x14ac:dyDescent="0.35">
      <c r="A1228">
        <v>4905</v>
      </c>
      <c r="B1228" t="s">
        <v>4549</v>
      </c>
      <c r="C1228">
        <v>38</v>
      </c>
      <c r="D1228" t="s">
        <v>3646</v>
      </c>
    </row>
    <row r="1229" spans="1:4" x14ac:dyDescent="0.35">
      <c r="A1229">
        <v>4906</v>
      </c>
      <c r="B1229" t="s">
        <v>4564</v>
      </c>
      <c r="C1229">
        <v>38</v>
      </c>
      <c r="D1229" t="s">
        <v>3647</v>
      </c>
    </row>
    <row r="1230" spans="1:4" x14ac:dyDescent="0.35">
      <c r="A1230">
        <v>4907</v>
      </c>
      <c r="B1230" t="s">
        <v>4565</v>
      </c>
      <c r="C1230">
        <v>38</v>
      </c>
      <c r="D1230" t="s">
        <v>3664</v>
      </c>
    </row>
    <row r="1231" spans="1:4" x14ac:dyDescent="0.35">
      <c r="A1231">
        <v>4908</v>
      </c>
      <c r="B1231" t="s">
        <v>4552</v>
      </c>
      <c r="C1231">
        <v>38</v>
      </c>
      <c r="D1231" t="s">
        <v>3670</v>
      </c>
    </row>
    <row r="1232" spans="1:4" x14ac:dyDescent="0.35">
      <c r="A1232">
        <v>4909</v>
      </c>
      <c r="B1232" t="s">
        <v>4566</v>
      </c>
      <c r="C1232">
        <v>38</v>
      </c>
      <c r="D1232" t="s">
        <v>3682</v>
      </c>
    </row>
    <row r="1233" spans="1:4" x14ac:dyDescent="0.35">
      <c r="A1233">
        <v>4910</v>
      </c>
      <c r="B1233" t="s">
        <v>4532</v>
      </c>
      <c r="C1233">
        <v>38</v>
      </c>
      <c r="D1233" t="s">
        <v>3683</v>
      </c>
    </row>
    <row r="1234" spans="1:4" x14ac:dyDescent="0.35">
      <c r="A1234">
        <v>4911</v>
      </c>
      <c r="B1234" t="s">
        <v>4567</v>
      </c>
      <c r="C1234">
        <v>38</v>
      </c>
      <c r="D1234" t="s">
        <v>3687</v>
      </c>
    </row>
    <row r="1235" spans="1:4" x14ac:dyDescent="0.35">
      <c r="A1235">
        <v>4912</v>
      </c>
      <c r="B1235" t="s">
        <v>4568</v>
      </c>
      <c r="C1235">
        <v>38</v>
      </c>
      <c r="D1235" t="s">
        <v>3777</v>
      </c>
    </row>
    <row r="1236" spans="1:4" x14ac:dyDescent="0.35">
      <c r="A1236">
        <v>4913</v>
      </c>
      <c r="B1236" t="s">
        <v>4554</v>
      </c>
      <c r="C1236">
        <v>38</v>
      </c>
      <c r="D1236" t="s">
        <v>3785</v>
      </c>
    </row>
    <row r="1237" spans="1:4" x14ac:dyDescent="0.35">
      <c r="A1237">
        <v>4914</v>
      </c>
      <c r="B1237" t="s">
        <v>4569</v>
      </c>
      <c r="C1237">
        <v>38</v>
      </c>
      <c r="D1237" t="s">
        <v>3820</v>
      </c>
    </row>
    <row r="1238" spans="1:4" x14ac:dyDescent="0.35">
      <c r="A1238">
        <v>4915</v>
      </c>
      <c r="B1238" t="s">
        <v>4570</v>
      </c>
      <c r="C1238">
        <v>38</v>
      </c>
      <c r="D1238" t="s">
        <v>3843</v>
      </c>
    </row>
    <row r="1239" spans="1:4" x14ac:dyDescent="0.35">
      <c r="A1239">
        <v>4916</v>
      </c>
      <c r="B1239" t="s">
        <v>4535</v>
      </c>
      <c r="C1239">
        <v>38</v>
      </c>
      <c r="D1239" t="s">
        <v>3981</v>
      </c>
    </row>
    <row r="1240" spans="1:4" x14ac:dyDescent="0.35">
      <c r="A1240">
        <v>4917</v>
      </c>
      <c r="B1240" t="s">
        <v>4537</v>
      </c>
      <c r="C1240">
        <v>38</v>
      </c>
      <c r="D1240" t="s">
        <v>3993</v>
      </c>
    </row>
    <row r="1241" spans="1:4" x14ac:dyDescent="0.35">
      <c r="A1241">
        <v>4918</v>
      </c>
      <c r="B1241" t="s">
        <v>3129</v>
      </c>
      <c r="C1241">
        <v>38</v>
      </c>
      <c r="D1241" t="s">
        <v>3130</v>
      </c>
    </row>
    <row r="1242" spans="1:4" x14ac:dyDescent="0.35">
      <c r="A1242">
        <v>4919</v>
      </c>
      <c r="B1242" t="s">
        <v>2526</v>
      </c>
      <c r="C1242">
        <v>38</v>
      </c>
      <c r="D1242" t="s">
        <v>2527</v>
      </c>
    </row>
    <row r="1243" spans="1:4" x14ac:dyDescent="0.35">
      <c r="A1243">
        <v>4920</v>
      </c>
      <c r="B1243" t="s">
        <v>1207</v>
      </c>
      <c r="C1243">
        <v>38</v>
      </c>
      <c r="D1243" t="s">
        <v>3977</v>
      </c>
    </row>
    <row r="1244" spans="1:4" x14ac:dyDescent="0.35">
      <c r="A1244">
        <v>4921</v>
      </c>
      <c r="B1244" t="s">
        <v>4571</v>
      </c>
      <c r="C1244">
        <v>38</v>
      </c>
      <c r="D1244" t="s">
        <v>3971</v>
      </c>
    </row>
    <row r="1245" spans="1:4" x14ac:dyDescent="0.35">
      <c r="A1245">
        <v>4922</v>
      </c>
      <c r="B1245" t="s">
        <v>4555</v>
      </c>
      <c r="C1245">
        <v>38</v>
      </c>
      <c r="D1245" t="s">
        <v>3979</v>
      </c>
    </row>
    <row r="1246" spans="1:4" x14ac:dyDescent="0.35">
      <c r="A1246">
        <v>4923</v>
      </c>
      <c r="B1246" t="s">
        <v>4572</v>
      </c>
      <c r="C1246">
        <v>38</v>
      </c>
      <c r="D1246" t="s">
        <v>3972</v>
      </c>
    </row>
    <row r="1247" spans="1:4" x14ac:dyDescent="0.35">
      <c r="A1247">
        <v>4924</v>
      </c>
      <c r="B1247" t="s">
        <v>4573</v>
      </c>
      <c r="C1247">
        <v>38</v>
      </c>
      <c r="D1247" t="s">
        <v>3970</v>
      </c>
    </row>
    <row r="1248" spans="1:4" x14ac:dyDescent="0.35">
      <c r="A1248">
        <v>4925</v>
      </c>
      <c r="B1248" t="s">
        <v>4556</v>
      </c>
      <c r="C1248">
        <v>38</v>
      </c>
      <c r="D1248" t="s">
        <v>3978</v>
      </c>
    </row>
    <row r="1249" spans="1:4" x14ac:dyDescent="0.35">
      <c r="A1249">
        <v>4926</v>
      </c>
      <c r="B1249" t="s">
        <v>2612</v>
      </c>
      <c r="C1249">
        <v>38</v>
      </c>
      <c r="D1249" t="s">
        <v>2613</v>
      </c>
    </row>
    <row r="1250" spans="1:4" x14ac:dyDescent="0.35">
      <c r="A1250">
        <v>4927</v>
      </c>
      <c r="B1250" t="s">
        <v>4557</v>
      </c>
      <c r="C1250">
        <v>38</v>
      </c>
      <c r="D1250" t="s">
        <v>3966</v>
      </c>
    </row>
    <row r="1251" spans="1:4" x14ac:dyDescent="0.35">
      <c r="A1251">
        <v>4928</v>
      </c>
      <c r="B1251" t="s">
        <v>4574</v>
      </c>
      <c r="C1251">
        <v>38</v>
      </c>
      <c r="D1251" t="s">
        <v>3967</v>
      </c>
    </row>
    <row r="1252" spans="1:4" x14ac:dyDescent="0.35">
      <c r="A1252">
        <v>4929</v>
      </c>
      <c r="B1252" t="s">
        <v>4575</v>
      </c>
      <c r="C1252">
        <v>38</v>
      </c>
      <c r="D1252" t="s">
        <v>3968</v>
      </c>
    </row>
    <row r="1253" spans="1:4" x14ac:dyDescent="0.35">
      <c r="A1253">
        <v>4930</v>
      </c>
      <c r="B1253" t="s">
        <v>4558</v>
      </c>
      <c r="C1253">
        <v>38</v>
      </c>
      <c r="D1253" t="s">
        <v>3973</v>
      </c>
    </row>
    <row r="1254" spans="1:4" x14ac:dyDescent="0.35">
      <c r="A1254">
        <v>4931</v>
      </c>
      <c r="B1254" t="s">
        <v>4576</v>
      </c>
      <c r="C1254">
        <v>38</v>
      </c>
      <c r="D1254" t="s">
        <v>3975</v>
      </c>
    </row>
    <row r="1255" spans="1:4" x14ac:dyDescent="0.35">
      <c r="A1255">
        <v>4932</v>
      </c>
      <c r="B1255" t="s">
        <v>4577</v>
      </c>
      <c r="C1255">
        <v>38</v>
      </c>
      <c r="D1255" t="s">
        <v>3976</v>
      </c>
    </row>
    <row r="1256" spans="1:4" x14ac:dyDescent="0.35">
      <c r="A1256">
        <v>4933</v>
      </c>
      <c r="B1256" t="s">
        <v>4559</v>
      </c>
      <c r="C1256">
        <v>38</v>
      </c>
      <c r="D1256" t="s">
        <v>3980</v>
      </c>
    </row>
    <row r="1257" spans="1:4" x14ac:dyDescent="0.35">
      <c r="A1257">
        <v>4934</v>
      </c>
      <c r="B1257" t="s">
        <v>4541</v>
      </c>
      <c r="C1257">
        <v>38</v>
      </c>
      <c r="D1257" t="s">
        <v>3985</v>
      </c>
    </row>
    <row r="1258" spans="1:4" x14ac:dyDescent="0.35">
      <c r="A1258">
        <v>4935</v>
      </c>
      <c r="B1258" t="s">
        <v>2887</v>
      </c>
      <c r="C1258">
        <v>38</v>
      </c>
      <c r="D1258" t="s">
        <v>438</v>
      </c>
    </row>
    <row r="1259" spans="1:4" x14ac:dyDescent="0.35">
      <c r="A1259">
        <v>4936</v>
      </c>
      <c r="B1259" t="s">
        <v>141</v>
      </c>
      <c r="C1259">
        <v>38</v>
      </c>
      <c r="D1259" t="s">
        <v>144</v>
      </c>
    </row>
    <row r="1260" spans="1:4" x14ac:dyDescent="0.35">
      <c r="A1260">
        <v>4937</v>
      </c>
      <c r="B1260" t="s">
        <v>463</v>
      </c>
      <c r="C1260">
        <v>38</v>
      </c>
      <c r="D1260" t="s">
        <v>224</v>
      </c>
    </row>
    <row r="1261" spans="1:4" x14ac:dyDescent="0.35">
      <c r="A1261">
        <v>4938</v>
      </c>
      <c r="B1261" t="s">
        <v>2589</v>
      </c>
      <c r="C1261">
        <v>38</v>
      </c>
      <c r="D1261" t="s">
        <v>2590</v>
      </c>
    </row>
    <row r="1262" spans="1:4" x14ac:dyDescent="0.35">
      <c r="A1262">
        <v>4939</v>
      </c>
      <c r="B1262" t="s">
        <v>2688</v>
      </c>
      <c r="C1262">
        <v>38</v>
      </c>
      <c r="D1262" t="s">
        <v>2689</v>
      </c>
    </row>
    <row r="1263" spans="1:4" x14ac:dyDescent="0.35">
      <c r="A1263">
        <v>4940</v>
      </c>
      <c r="B1263" t="s">
        <v>466</v>
      </c>
      <c r="C1263">
        <v>38</v>
      </c>
      <c r="D1263" t="s">
        <v>467</v>
      </c>
    </row>
    <row r="1264" spans="1:4" x14ac:dyDescent="0.35">
      <c r="A1264">
        <v>4941</v>
      </c>
      <c r="B1264" t="s">
        <v>463</v>
      </c>
      <c r="C1264">
        <v>38</v>
      </c>
      <c r="D1264" t="s">
        <v>4042</v>
      </c>
    </row>
    <row r="1265" spans="1:4" x14ac:dyDescent="0.35">
      <c r="A1265">
        <v>4942</v>
      </c>
      <c r="B1265" t="s">
        <v>760</v>
      </c>
      <c r="C1265">
        <v>38</v>
      </c>
      <c r="D1265" t="s">
        <v>761</v>
      </c>
    </row>
    <row r="1266" spans="1:4" x14ac:dyDescent="0.35">
      <c r="A1266">
        <v>4943</v>
      </c>
      <c r="B1266" t="s">
        <v>667</v>
      </c>
      <c r="C1266">
        <v>38</v>
      </c>
      <c r="D1266" t="s">
        <v>668</v>
      </c>
    </row>
    <row r="1267" spans="1:4" x14ac:dyDescent="0.35">
      <c r="A1267">
        <v>4944</v>
      </c>
      <c r="B1267" t="s">
        <v>764</v>
      </c>
      <c r="C1267">
        <v>38</v>
      </c>
      <c r="D1267" t="s">
        <v>765</v>
      </c>
    </row>
    <row r="1268" spans="1:4" x14ac:dyDescent="0.35">
      <c r="A1268">
        <v>4945</v>
      </c>
      <c r="B1268" t="s">
        <v>4578</v>
      </c>
      <c r="C1268">
        <v>38</v>
      </c>
      <c r="D1268" t="s">
        <v>885</v>
      </c>
    </row>
    <row r="1269" spans="1:4" x14ac:dyDescent="0.35">
      <c r="A1269">
        <v>4946</v>
      </c>
      <c r="B1269" t="s">
        <v>1361</v>
      </c>
      <c r="C1269">
        <v>38</v>
      </c>
      <c r="D1269" t="s">
        <v>1362</v>
      </c>
    </row>
    <row r="1270" spans="1:4" x14ac:dyDescent="0.35">
      <c r="A1270">
        <v>4947</v>
      </c>
      <c r="B1270" t="s">
        <v>1341</v>
      </c>
      <c r="C1270">
        <v>38</v>
      </c>
      <c r="D1270" t="s">
        <v>1342</v>
      </c>
    </row>
    <row r="1271" spans="1:4" x14ac:dyDescent="0.35">
      <c r="A1271">
        <v>4948</v>
      </c>
      <c r="B1271" t="s">
        <v>1325</v>
      </c>
      <c r="C1271">
        <v>38</v>
      </c>
      <c r="D1271" t="s">
        <v>1326</v>
      </c>
    </row>
    <row r="1272" spans="1:4" x14ac:dyDescent="0.35">
      <c r="A1272">
        <v>4949</v>
      </c>
      <c r="B1272" t="s">
        <v>1345</v>
      </c>
      <c r="C1272">
        <v>38</v>
      </c>
      <c r="D1272" t="s">
        <v>1346</v>
      </c>
    </row>
    <row r="1273" spans="1:4" x14ac:dyDescent="0.35">
      <c r="A1273">
        <v>4950</v>
      </c>
      <c r="B1273" t="s">
        <v>1329</v>
      </c>
      <c r="C1273">
        <v>38</v>
      </c>
      <c r="D1273" t="s">
        <v>1330</v>
      </c>
    </row>
    <row r="1274" spans="1:4" x14ac:dyDescent="0.35">
      <c r="A1274">
        <v>4951</v>
      </c>
      <c r="B1274" t="s">
        <v>1337</v>
      </c>
      <c r="C1274">
        <v>38</v>
      </c>
      <c r="D1274" t="s">
        <v>1338</v>
      </c>
    </row>
    <row r="1275" spans="1:4" x14ac:dyDescent="0.35">
      <c r="A1275">
        <v>4952</v>
      </c>
      <c r="B1275" t="s">
        <v>1349</v>
      </c>
      <c r="C1275">
        <v>38</v>
      </c>
      <c r="D1275" t="s">
        <v>1350</v>
      </c>
    </row>
    <row r="1276" spans="1:4" x14ac:dyDescent="0.35">
      <c r="A1276">
        <v>4953</v>
      </c>
      <c r="B1276" t="s">
        <v>1321</v>
      </c>
      <c r="C1276">
        <v>38</v>
      </c>
      <c r="D1276" t="s">
        <v>1322</v>
      </c>
    </row>
    <row r="1277" spans="1:4" x14ac:dyDescent="0.35">
      <c r="A1277">
        <v>4954</v>
      </c>
      <c r="B1277" t="s">
        <v>1333</v>
      </c>
      <c r="C1277">
        <v>38</v>
      </c>
      <c r="D1277" t="s">
        <v>1334</v>
      </c>
    </row>
    <row r="1278" spans="1:4" x14ac:dyDescent="0.35">
      <c r="A1278">
        <v>4955</v>
      </c>
      <c r="B1278" t="s">
        <v>1353</v>
      </c>
      <c r="C1278">
        <v>38</v>
      </c>
      <c r="D1278" t="s">
        <v>1354</v>
      </c>
    </row>
    <row r="1279" spans="1:4" x14ac:dyDescent="0.35">
      <c r="A1279">
        <v>4956</v>
      </c>
      <c r="B1279" t="s">
        <v>1357</v>
      </c>
      <c r="C1279">
        <v>38</v>
      </c>
      <c r="D1279" t="s">
        <v>1358</v>
      </c>
    </row>
    <row r="1280" spans="1:4" x14ac:dyDescent="0.35">
      <c r="A1280">
        <v>4957</v>
      </c>
      <c r="B1280" t="s">
        <v>1283</v>
      </c>
      <c r="C1280">
        <v>38</v>
      </c>
      <c r="D1280" t="s">
        <v>1286</v>
      </c>
    </row>
    <row r="1281" spans="1:4" x14ac:dyDescent="0.35">
      <c r="A1281">
        <v>4958</v>
      </c>
      <c r="B1281" t="s">
        <v>1290</v>
      </c>
      <c r="C1281">
        <v>38</v>
      </c>
      <c r="D1281" t="s">
        <v>1291</v>
      </c>
    </row>
    <row r="1282" spans="1:4" x14ac:dyDescent="0.35">
      <c r="A1282">
        <v>4959</v>
      </c>
      <c r="B1282" t="s">
        <v>1294</v>
      </c>
      <c r="C1282">
        <v>38</v>
      </c>
      <c r="D1282" t="s">
        <v>1295</v>
      </c>
    </row>
    <row r="1283" spans="1:4" x14ac:dyDescent="0.35">
      <c r="A1283">
        <v>4960</v>
      </c>
      <c r="B1283" t="s">
        <v>1298</v>
      </c>
      <c r="C1283">
        <v>38</v>
      </c>
      <c r="D1283" t="s">
        <v>1299</v>
      </c>
    </row>
    <row r="1284" spans="1:4" x14ac:dyDescent="0.35">
      <c r="A1284">
        <v>4961</v>
      </c>
      <c r="B1284" t="s">
        <v>4579</v>
      </c>
      <c r="C1284">
        <v>38</v>
      </c>
      <c r="D1284" t="s">
        <v>4106</v>
      </c>
    </row>
    <row r="1285" spans="1:4" x14ac:dyDescent="0.35">
      <c r="A1285">
        <v>4962</v>
      </c>
      <c r="B1285" t="s">
        <v>4525</v>
      </c>
      <c r="C1285">
        <v>39</v>
      </c>
      <c r="D1285" t="s">
        <v>3437</v>
      </c>
    </row>
    <row r="1286" spans="1:4" x14ac:dyDescent="0.35">
      <c r="A1286">
        <v>4963</v>
      </c>
      <c r="B1286" t="s">
        <v>4551</v>
      </c>
      <c r="C1286">
        <v>39</v>
      </c>
      <c r="D1286" t="s">
        <v>3664</v>
      </c>
    </row>
    <row r="1287" spans="1:4" x14ac:dyDescent="0.35">
      <c r="A1287">
        <v>4964</v>
      </c>
      <c r="B1287" t="s">
        <v>4552</v>
      </c>
      <c r="C1287">
        <v>39</v>
      </c>
      <c r="D1287" t="s">
        <v>3670</v>
      </c>
    </row>
    <row r="1288" spans="1:4" x14ac:dyDescent="0.35">
      <c r="A1288">
        <v>4965</v>
      </c>
      <c r="B1288" t="s">
        <v>4556</v>
      </c>
      <c r="C1288">
        <v>39</v>
      </c>
      <c r="D1288" t="s">
        <v>3978</v>
      </c>
    </row>
    <row r="1289" spans="1:4" x14ac:dyDescent="0.35">
      <c r="A1289">
        <v>4966</v>
      </c>
      <c r="B1289" t="s">
        <v>2612</v>
      </c>
      <c r="C1289">
        <v>39</v>
      </c>
      <c r="D1289" t="s">
        <v>2613</v>
      </c>
    </row>
    <row r="1290" spans="1:4" x14ac:dyDescent="0.35">
      <c r="A1290">
        <v>4967</v>
      </c>
      <c r="B1290" t="s">
        <v>4557</v>
      </c>
      <c r="C1290">
        <v>39</v>
      </c>
      <c r="D1290" t="s">
        <v>3966</v>
      </c>
    </row>
    <row r="1291" spans="1:4" x14ac:dyDescent="0.35">
      <c r="A1291">
        <v>4968</v>
      </c>
      <c r="B1291" t="s">
        <v>4580</v>
      </c>
      <c r="C1291">
        <v>39</v>
      </c>
      <c r="D1291" t="s">
        <v>3969</v>
      </c>
    </row>
    <row r="1292" spans="1:4" x14ac:dyDescent="0.35">
      <c r="A1292">
        <v>4969</v>
      </c>
      <c r="B1292" t="s">
        <v>4541</v>
      </c>
      <c r="C1292">
        <v>39</v>
      </c>
      <c r="D1292" t="s">
        <v>3985</v>
      </c>
    </row>
    <row r="1293" spans="1:4" x14ac:dyDescent="0.35">
      <c r="A1293">
        <v>4970</v>
      </c>
      <c r="B1293" t="s">
        <v>4529</v>
      </c>
      <c r="C1293">
        <v>40</v>
      </c>
      <c r="D1293" t="s">
        <v>3586</v>
      </c>
    </row>
    <row r="1294" spans="1:4" x14ac:dyDescent="0.35">
      <c r="A1294">
        <v>4971</v>
      </c>
      <c r="B1294" t="s">
        <v>4581</v>
      </c>
      <c r="C1294">
        <v>40</v>
      </c>
      <c r="D1294" t="s">
        <v>3639</v>
      </c>
    </row>
    <row r="1295" spans="1:4" x14ac:dyDescent="0.35">
      <c r="A1295">
        <v>4972</v>
      </c>
      <c r="B1295" t="s">
        <v>4582</v>
      </c>
      <c r="C1295">
        <v>40</v>
      </c>
      <c r="D1295" t="s">
        <v>3813</v>
      </c>
    </row>
    <row r="1296" spans="1:4" x14ac:dyDescent="0.35">
      <c r="A1296">
        <v>4973</v>
      </c>
      <c r="B1296" t="s">
        <v>4583</v>
      </c>
      <c r="C1296">
        <v>40</v>
      </c>
      <c r="D1296" t="s">
        <v>3833</v>
      </c>
    </row>
    <row r="1297" spans="1:4" x14ac:dyDescent="0.35">
      <c r="A1297">
        <v>4974</v>
      </c>
      <c r="B1297" t="s">
        <v>4584</v>
      </c>
      <c r="C1297">
        <v>40</v>
      </c>
      <c r="D1297" t="s">
        <v>3835</v>
      </c>
    </row>
    <row r="1298" spans="1:4" x14ac:dyDescent="0.35">
      <c r="A1298">
        <v>4975</v>
      </c>
      <c r="B1298" t="s">
        <v>4585</v>
      </c>
      <c r="C1298">
        <v>40</v>
      </c>
      <c r="D1298" t="s">
        <v>3967</v>
      </c>
    </row>
    <row r="1299" spans="1:4" x14ac:dyDescent="0.35">
      <c r="A1299">
        <v>4976</v>
      </c>
      <c r="B1299" t="s">
        <v>4541</v>
      </c>
      <c r="C1299">
        <v>40</v>
      </c>
      <c r="D1299" t="s">
        <v>3985</v>
      </c>
    </row>
    <row r="1300" spans="1:4" x14ac:dyDescent="0.35">
      <c r="A1300">
        <v>4977</v>
      </c>
      <c r="B1300" t="s">
        <v>4543</v>
      </c>
      <c r="C1300">
        <v>40</v>
      </c>
      <c r="D1300" t="s">
        <v>3988</v>
      </c>
    </row>
    <row r="1301" spans="1:4" x14ac:dyDescent="0.35">
      <c r="A1301">
        <v>4978</v>
      </c>
      <c r="B1301" t="s">
        <v>4544</v>
      </c>
      <c r="C1301">
        <v>40</v>
      </c>
      <c r="D1301" t="s">
        <v>3989</v>
      </c>
    </row>
    <row r="1302" spans="1:4" x14ac:dyDescent="0.35">
      <c r="A1302">
        <v>4979</v>
      </c>
      <c r="B1302" t="s">
        <v>4545</v>
      </c>
      <c r="C1302">
        <v>40</v>
      </c>
      <c r="D1302" t="s">
        <v>3990</v>
      </c>
    </row>
    <row r="1303" spans="1:4" x14ac:dyDescent="0.35">
      <c r="A1303">
        <v>4980</v>
      </c>
      <c r="B1303" t="s">
        <v>141</v>
      </c>
      <c r="C1303">
        <v>40</v>
      </c>
      <c r="D1303" t="s">
        <v>144</v>
      </c>
    </row>
    <row r="1304" spans="1:4" x14ac:dyDescent="0.35">
      <c r="A1304">
        <v>4981</v>
      </c>
      <c r="B1304" t="s">
        <v>4529</v>
      </c>
      <c r="C1304">
        <v>41</v>
      </c>
      <c r="D1304" t="s">
        <v>3586</v>
      </c>
    </row>
    <row r="1305" spans="1:4" x14ac:dyDescent="0.35">
      <c r="A1305">
        <v>4982</v>
      </c>
      <c r="B1305" t="s">
        <v>4585</v>
      </c>
      <c r="C1305">
        <v>41</v>
      </c>
      <c r="D1305" t="s">
        <v>3967</v>
      </c>
    </row>
    <row r="1306" spans="1:4" x14ac:dyDescent="0.35">
      <c r="A1306">
        <v>4983</v>
      </c>
      <c r="B1306" t="s">
        <v>2526</v>
      </c>
      <c r="C1306">
        <v>41</v>
      </c>
      <c r="D1306" t="s">
        <v>2527</v>
      </c>
    </row>
    <row r="1307" spans="1:4" x14ac:dyDescent="0.35">
      <c r="A1307">
        <v>4984</v>
      </c>
      <c r="B1307" t="s">
        <v>4573</v>
      </c>
      <c r="C1307">
        <v>41</v>
      </c>
      <c r="D1307" t="s">
        <v>3970</v>
      </c>
    </row>
    <row r="1308" spans="1:4" x14ac:dyDescent="0.35">
      <c r="A1308">
        <v>4985</v>
      </c>
      <c r="B1308" t="s">
        <v>4558</v>
      </c>
      <c r="C1308">
        <v>41</v>
      </c>
      <c r="D1308" t="s">
        <v>3973</v>
      </c>
    </row>
    <row r="1309" spans="1:4" x14ac:dyDescent="0.35">
      <c r="A1309">
        <v>4986</v>
      </c>
      <c r="B1309" t="s">
        <v>1207</v>
      </c>
      <c r="C1309">
        <v>41</v>
      </c>
      <c r="D1309" t="s">
        <v>3977</v>
      </c>
    </row>
    <row r="1310" spans="1:4" x14ac:dyDescent="0.35">
      <c r="A1310">
        <v>4987</v>
      </c>
      <c r="B1310" t="s">
        <v>4556</v>
      </c>
      <c r="C1310">
        <v>41</v>
      </c>
      <c r="D1310" t="s">
        <v>3978</v>
      </c>
    </row>
    <row r="1311" spans="1:4" x14ac:dyDescent="0.35">
      <c r="A1311">
        <v>4988</v>
      </c>
      <c r="B1311" t="s">
        <v>4535</v>
      </c>
      <c r="C1311">
        <v>41</v>
      </c>
      <c r="D1311" t="s">
        <v>3981</v>
      </c>
    </row>
    <row r="1312" spans="1:4" x14ac:dyDescent="0.35">
      <c r="A1312">
        <v>4989</v>
      </c>
      <c r="B1312" t="s">
        <v>2612</v>
      </c>
      <c r="C1312">
        <v>41</v>
      </c>
      <c r="D1312" t="s">
        <v>2613</v>
      </c>
    </row>
    <row r="1313" spans="1:4" x14ac:dyDescent="0.35">
      <c r="A1313">
        <v>4990</v>
      </c>
      <c r="B1313" t="s">
        <v>4541</v>
      </c>
      <c r="C1313">
        <v>41</v>
      </c>
      <c r="D1313" t="s">
        <v>3985</v>
      </c>
    </row>
    <row r="1314" spans="1:4" x14ac:dyDescent="0.35">
      <c r="A1314">
        <v>4991</v>
      </c>
      <c r="B1314" t="s">
        <v>4543</v>
      </c>
      <c r="C1314">
        <v>41</v>
      </c>
      <c r="D1314" t="s">
        <v>3988</v>
      </c>
    </row>
    <row r="1315" spans="1:4" x14ac:dyDescent="0.35">
      <c r="A1315">
        <v>4992</v>
      </c>
      <c r="B1315" t="s">
        <v>4545</v>
      </c>
      <c r="C1315">
        <v>41</v>
      </c>
      <c r="D1315" t="s">
        <v>3990</v>
      </c>
    </row>
    <row r="1316" spans="1:4" x14ac:dyDescent="0.35">
      <c r="A1316">
        <v>4993</v>
      </c>
      <c r="B1316" t="s">
        <v>3129</v>
      </c>
      <c r="C1316">
        <v>41</v>
      </c>
      <c r="D1316" t="s">
        <v>3130</v>
      </c>
    </row>
    <row r="1317" spans="1:4" x14ac:dyDescent="0.35">
      <c r="A1317">
        <v>4994</v>
      </c>
      <c r="B1317" t="s">
        <v>141</v>
      </c>
      <c r="C1317">
        <v>41</v>
      </c>
      <c r="D1317" t="s">
        <v>144</v>
      </c>
    </row>
    <row r="1318" spans="1:4" x14ac:dyDescent="0.35">
      <c r="A1318">
        <v>4995</v>
      </c>
      <c r="B1318" t="s">
        <v>4585</v>
      </c>
      <c r="C1318">
        <v>42</v>
      </c>
      <c r="D1318" t="s">
        <v>3967</v>
      </c>
    </row>
    <row r="1319" spans="1:4" x14ac:dyDescent="0.35">
      <c r="A1319">
        <v>4996</v>
      </c>
      <c r="B1319" t="s">
        <v>141</v>
      </c>
      <c r="C1319">
        <v>42</v>
      </c>
      <c r="D1319" t="s">
        <v>3984</v>
      </c>
    </row>
    <row r="1320" spans="1:4" x14ac:dyDescent="0.35">
      <c r="A1320">
        <v>4997</v>
      </c>
      <c r="B1320" t="s">
        <v>4541</v>
      </c>
      <c r="C1320">
        <v>42</v>
      </c>
      <c r="D1320" t="s">
        <v>3985</v>
      </c>
    </row>
    <row r="1321" spans="1:4" x14ac:dyDescent="0.35">
      <c r="A1321">
        <v>4998</v>
      </c>
      <c r="B1321" t="s">
        <v>4543</v>
      </c>
      <c r="C1321">
        <v>42</v>
      </c>
      <c r="D1321" t="s">
        <v>3988</v>
      </c>
    </row>
    <row r="1322" spans="1:4" x14ac:dyDescent="0.35">
      <c r="A1322">
        <v>4999</v>
      </c>
      <c r="B1322" t="s">
        <v>4545</v>
      </c>
      <c r="C1322">
        <v>42</v>
      </c>
      <c r="D1322" t="s">
        <v>3990</v>
      </c>
    </row>
    <row r="1323" spans="1:4" x14ac:dyDescent="0.35">
      <c r="A1323">
        <v>5000</v>
      </c>
      <c r="B1323" t="s">
        <v>141</v>
      </c>
      <c r="C1323">
        <v>42</v>
      </c>
      <c r="D1323" t="s">
        <v>144</v>
      </c>
    </row>
    <row r="1324" spans="1:4" x14ac:dyDescent="0.35">
      <c r="A1324">
        <v>5001</v>
      </c>
      <c r="B1324" t="s">
        <v>1937</v>
      </c>
      <c r="C1324">
        <v>42</v>
      </c>
      <c r="D1324" t="s">
        <v>1940</v>
      </c>
    </row>
    <row r="1325" spans="1:4" x14ac:dyDescent="0.35">
      <c r="A1325">
        <v>5002</v>
      </c>
      <c r="B1325" t="s">
        <v>4586</v>
      </c>
      <c r="C1325">
        <v>42</v>
      </c>
      <c r="D1325" t="s">
        <v>1940</v>
      </c>
    </row>
    <row r="1326" spans="1:4" x14ac:dyDescent="0.35">
      <c r="A1326">
        <v>5003</v>
      </c>
      <c r="B1326" t="s">
        <v>4585</v>
      </c>
      <c r="C1326">
        <v>43</v>
      </c>
      <c r="D1326" t="s">
        <v>3967</v>
      </c>
    </row>
    <row r="1327" spans="1:4" x14ac:dyDescent="0.35">
      <c r="A1327">
        <v>5004</v>
      </c>
      <c r="B1327" t="s">
        <v>4587</v>
      </c>
      <c r="C1327">
        <v>43</v>
      </c>
      <c r="D1327" t="s">
        <v>3968</v>
      </c>
    </row>
    <row r="1328" spans="1:4" x14ac:dyDescent="0.35">
      <c r="A1328">
        <v>5005</v>
      </c>
      <c r="B1328" t="s">
        <v>4543</v>
      </c>
      <c r="C1328">
        <v>43</v>
      </c>
      <c r="D1328" t="s">
        <v>3988</v>
      </c>
    </row>
    <row r="1329" spans="1:4" x14ac:dyDescent="0.35">
      <c r="A1329">
        <v>5006</v>
      </c>
      <c r="B1329" t="s">
        <v>4545</v>
      </c>
      <c r="C1329">
        <v>43</v>
      </c>
      <c r="D1329" t="s">
        <v>3990</v>
      </c>
    </row>
    <row r="1330" spans="1:4" x14ac:dyDescent="0.35">
      <c r="A1330">
        <v>5007</v>
      </c>
      <c r="B1330" t="s">
        <v>4529</v>
      </c>
      <c r="C1330">
        <v>44</v>
      </c>
      <c r="D1330" t="s">
        <v>3586</v>
      </c>
    </row>
    <row r="1331" spans="1:4" x14ac:dyDescent="0.35">
      <c r="A1331">
        <v>5008</v>
      </c>
      <c r="B1331" t="s">
        <v>4584</v>
      </c>
      <c r="C1331">
        <v>44</v>
      </c>
      <c r="D1331" t="s">
        <v>3835</v>
      </c>
    </row>
    <row r="1332" spans="1:4" x14ac:dyDescent="0.35">
      <c r="A1332">
        <v>5009</v>
      </c>
      <c r="B1332" t="s">
        <v>4585</v>
      </c>
      <c r="C1332">
        <v>44</v>
      </c>
      <c r="D1332" t="s">
        <v>3967</v>
      </c>
    </row>
    <row r="1333" spans="1:4" x14ac:dyDescent="0.35">
      <c r="A1333">
        <v>5010</v>
      </c>
      <c r="B1333" t="s">
        <v>4541</v>
      </c>
      <c r="C1333">
        <v>44</v>
      </c>
      <c r="D1333" t="s">
        <v>3985</v>
      </c>
    </row>
    <row r="1334" spans="1:4" x14ac:dyDescent="0.35">
      <c r="A1334">
        <v>5011</v>
      </c>
      <c r="B1334" t="s">
        <v>4542</v>
      </c>
      <c r="C1334">
        <v>44</v>
      </c>
      <c r="D1334" t="s">
        <v>3987</v>
      </c>
    </row>
    <row r="1335" spans="1:4" x14ac:dyDescent="0.35">
      <c r="A1335">
        <v>5012</v>
      </c>
      <c r="B1335" t="s">
        <v>4543</v>
      </c>
      <c r="C1335">
        <v>44</v>
      </c>
      <c r="D1335" t="s">
        <v>3988</v>
      </c>
    </row>
    <row r="1336" spans="1:4" x14ac:dyDescent="0.35">
      <c r="A1336">
        <v>5013</v>
      </c>
      <c r="B1336" t="s">
        <v>141</v>
      </c>
      <c r="C1336">
        <v>44</v>
      </c>
      <c r="D1336" t="s">
        <v>144</v>
      </c>
    </row>
    <row r="1337" spans="1:4" x14ac:dyDescent="0.35">
      <c r="A1337">
        <v>5014</v>
      </c>
      <c r="B1337" t="s">
        <v>4525</v>
      </c>
      <c r="C1337">
        <v>45</v>
      </c>
      <c r="D1337" t="s">
        <v>3437</v>
      </c>
    </row>
    <row r="1338" spans="1:4" x14ac:dyDescent="0.35">
      <c r="A1338">
        <v>5015</v>
      </c>
      <c r="B1338" t="s">
        <v>4562</v>
      </c>
      <c r="C1338">
        <v>45</v>
      </c>
      <c r="D1338" t="s">
        <v>3605</v>
      </c>
    </row>
    <row r="1339" spans="1:4" x14ac:dyDescent="0.35">
      <c r="A1339">
        <v>5016</v>
      </c>
      <c r="B1339" t="s">
        <v>4551</v>
      </c>
      <c r="C1339">
        <v>45</v>
      </c>
      <c r="D1339" t="s">
        <v>3664</v>
      </c>
    </row>
    <row r="1340" spans="1:4" x14ac:dyDescent="0.35">
      <c r="A1340">
        <v>5017</v>
      </c>
      <c r="B1340" t="s">
        <v>4552</v>
      </c>
      <c r="C1340">
        <v>45</v>
      </c>
      <c r="D1340" t="s">
        <v>3670</v>
      </c>
    </row>
    <row r="1341" spans="1:4" x14ac:dyDescent="0.35">
      <c r="A1341">
        <v>5018</v>
      </c>
      <c r="B1341" t="s">
        <v>4553</v>
      </c>
      <c r="C1341">
        <v>45</v>
      </c>
      <c r="D1341" t="s">
        <v>3702</v>
      </c>
    </row>
    <row r="1342" spans="1:4" x14ac:dyDescent="0.35">
      <c r="A1342">
        <v>5019</v>
      </c>
      <c r="B1342" t="s">
        <v>4533</v>
      </c>
      <c r="C1342">
        <v>45</v>
      </c>
      <c r="D1342" t="s">
        <v>3704</v>
      </c>
    </row>
    <row r="1343" spans="1:4" x14ac:dyDescent="0.35">
      <c r="A1343">
        <v>5020</v>
      </c>
      <c r="B1343" t="s">
        <v>4535</v>
      </c>
      <c r="C1343">
        <v>45</v>
      </c>
      <c r="D1343" t="s">
        <v>3981</v>
      </c>
    </row>
    <row r="1344" spans="1:4" x14ac:dyDescent="0.35">
      <c r="A1344">
        <v>5021</v>
      </c>
      <c r="B1344" t="s">
        <v>3129</v>
      </c>
      <c r="C1344">
        <v>45</v>
      </c>
      <c r="D1344" t="s">
        <v>3130</v>
      </c>
    </row>
    <row r="1345" spans="1:4" x14ac:dyDescent="0.35">
      <c r="A1345">
        <v>5022</v>
      </c>
      <c r="B1345" t="s">
        <v>2526</v>
      </c>
      <c r="C1345">
        <v>45</v>
      </c>
      <c r="D1345" t="s">
        <v>2527</v>
      </c>
    </row>
    <row r="1346" spans="1:4" x14ac:dyDescent="0.35">
      <c r="A1346">
        <v>5023</v>
      </c>
      <c r="B1346" t="s">
        <v>1207</v>
      </c>
      <c r="C1346">
        <v>45</v>
      </c>
      <c r="D1346" t="s">
        <v>3977</v>
      </c>
    </row>
    <row r="1347" spans="1:4" x14ac:dyDescent="0.35">
      <c r="A1347">
        <v>5024</v>
      </c>
      <c r="B1347" t="s">
        <v>4571</v>
      </c>
      <c r="C1347">
        <v>45</v>
      </c>
      <c r="D1347" t="s">
        <v>3971</v>
      </c>
    </row>
    <row r="1348" spans="1:4" x14ac:dyDescent="0.35">
      <c r="A1348">
        <v>5025</v>
      </c>
      <c r="B1348" t="s">
        <v>4555</v>
      </c>
      <c r="C1348">
        <v>45</v>
      </c>
      <c r="D1348" t="s">
        <v>3979</v>
      </c>
    </row>
    <row r="1349" spans="1:4" x14ac:dyDescent="0.35">
      <c r="A1349">
        <v>5026</v>
      </c>
      <c r="B1349" t="s">
        <v>4572</v>
      </c>
      <c r="C1349">
        <v>45</v>
      </c>
      <c r="D1349" t="s">
        <v>3972</v>
      </c>
    </row>
    <row r="1350" spans="1:4" x14ac:dyDescent="0.35">
      <c r="A1350">
        <v>5027</v>
      </c>
      <c r="B1350" t="s">
        <v>4573</v>
      </c>
      <c r="C1350">
        <v>45</v>
      </c>
      <c r="D1350" t="s">
        <v>3970</v>
      </c>
    </row>
    <row r="1351" spans="1:4" x14ac:dyDescent="0.35">
      <c r="A1351">
        <v>5028</v>
      </c>
      <c r="B1351" t="s">
        <v>4556</v>
      </c>
      <c r="C1351">
        <v>45</v>
      </c>
      <c r="D1351" t="s">
        <v>3978</v>
      </c>
    </row>
    <row r="1352" spans="1:4" x14ac:dyDescent="0.35">
      <c r="A1352">
        <v>5029</v>
      </c>
      <c r="B1352" t="s">
        <v>2612</v>
      </c>
      <c r="C1352">
        <v>45</v>
      </c>
      <c r="D1352" t="s">
        <v>2613</v>
      </c>
    </row>
    <row r="1353" spans="1:4" x14ac:dyDescent="0.35">
      <c r="A1353">
        <v>5030</v>
      </c>
      <c r="B1353" t="s">
        <v>4588</v>
      </c>
      <c r="C1353">
        <v>45</v>
      </c>
      <c r="D1353" t="s">
        <v>3969</v>
      </c>
    </row>
    <row r="1354" spans="1:4" x14ac:dyDescent="0.35">
      <c r="A1354">
        <v>5031</v>
      </c>
      <c r="B1354" t="s">
        <v>4558</v>
      </c>
      <c r="C1354">
        <v>45</v>
      </c>
      <c r="D1354" t="s">
        <v>3973</v>
      </c>
    </row>
    <row r="1355" spans="1:4" x14ac:dyDescent="0.35">
      <c r="A1355">
        <v>5032</v>
      </c>
      <c r="B1355" t="s">
        <v>4541</v>
      </c>
      <c r="C1355">
        <v>45</v>
      </c>
      <c r="D1355" t="s">
        <v>3985</v>
      </c>
    </row>
    <row r="1356" spans="1:4" x14ac:dyDescent="0.35">
      <c r="A1356">
        <v>5033</v>
      </c>
      <c r="B1356" t="s">
        <v>2589</v>
      </c>
      <c r="C1356">
        <v>45</v>
      </c>
      <c r="D1356" t="s">
        <v>2590</v>
      </c>
    </row>
    <row r="1357" spans="1:4" x14ac:dyDescent="0.35">
      <c r="A1357">
        <v>5034</v>
      </c>
      <c r="B1357" t="s">
        <v>2688</v>
      </c>
      <c r="C1357">
        <v>45</v>
      </c>
      <c r="D1357" t="s">
        <v>2689</v>
      </c>
    </row>
    <row r="1358" spans="1:4" x14ac:dyDescent="0.35">
      <c r="A1358">
        <v>5035</v>
      </c>
      <c r="B1358" t="s">
        <v>466</v>
      </c>
      <c r="C1358">
        <v>45</v>
      </c>
      <c r="D1358" t="s">
        <v>467</v>
      </c>
    </row>
    <row r="1359" spans="1:4" x14ac:dyDescent="0.35">
      <c r="A1359">
        <v>5036</v>
      </c>
      <c r="B1359" t="s">
        <v>463</v>
      </c>
      <c r="C1359">
        <v>45</v>
      </c>
      <c r="D1359" t="s">
        <v>4042</v>
      </c>
    </row>
    <row r="1360" spans="1:4" x14ac:dyDescent="0.35">
      <c r="A1360">
        <v>5037</v>
      </c>
      <c r="B1360" t="s">
        <v>760</v>
      </c>
      <c r="C1360">
        <v>45</v>
      </c>
      <c r="D1360" t="s">
        <v>761</v>
      </c>
    </row>
    <row r="1361" spans="1:4" x14ac:dyDescent="0.35">
      <c r="A1361">
        <v>5038</v>
      </c>
      <c r="B1361" t="s">
        <v>667</v>
      </c>
      <c r="C1361">
        <v>45</v>
      </c>
      <c r="D1361" t="s">
        <v>668</v>
      </c>
    </row>
    <row r="1362" spans="1:4" x14ac:dyDescent="0.35">
      <c r="A1362">
        <v>5039</v>
      </c>
      <c r="B1362" t="s">
        <v>764</v>
      </c>
      <c r="C1362">
        <v>45</v>
      </c>
      <c r="D1362" t="s">
        <v>765</v>
      </c>
    </row>
    <row r="1363" spans="1:4" x14ac:dyDescent="0.35">
      <c r="A1363">
        <v>5040</v>
      </c>
      <c r="B1363" t="s">
        <v>4578</v>
      </c>
      <c r="C1363">
        <v>45</v>
      </c>
      <c r="D1363" t="s">
        <v>885</v>
      </c>
    </row>
    <row r="1364" spans="1:4" x14ac:dyDescent="0.35">
      <c r="A1364">
        <v>5041</v>
      </c>
      <c r="B1364" t="s">
        <v>1361</v>
      </c>
      <c r="C1364">
        <v>45</v>
      </c>
      <c r="D1364" t="s">
        <v>1362</v>
      </c>
    </row>
    <row r="1365" spans="1:4" x14ac:dyDescent="0.35">
      <c r="A1365">
        <v>5042</v>
      </c>
      <c r="B1365" t="s">
        <v>1325</v>
      </c>
      <c r="C1365">
        <v>45</v>
      </c>
      <c r="D1365" t="s">
        <v>1326</v>
      </c>
    </row>
    <row r="1366" spans="1:4" x14ac:dyDescent="0.35">
      <c r="A1366">
        <v>5043</v>
      </c>
      <c r="B1366" t="s">
        <v>1329</v>
      </c>
      <c r="C1366">
        <v>45</v>
      </c>
      <c r="D1366" t="s">
        <v>1330</v>
      </c>
    </row>
    <row r="1367" spans="1:4" x14ac:dyDescent="0.35">
      <c r="A1367">
        <v>5044</v>
      </c>
      <c r="B1367" t="s">
        <v>1321</v>
      </c>
      <c r="C1367">
        <v>45</v>
      </c>
      <c r="D1367" t="s">
        <v>1322</v>
      </c>
    </row>
    <row r="1368" spans="1:4" x14ac:dyDescent="0.35">
      <c r="A1368">
        <v>5045</v>
      </c>
      <c r="B1368" t="s">
        <v>1283</v>
      </c>
      <c r="C1368">
        <v>45</v>
      </c>
      <c r="D1368" t="s">
        <v>1286</v>
      </c>
    </row>
    <row r="1369" spans="1:4" x14ac:dyDescent="0.35">
      <c r="A1369">
        <v>5046</v>
      </c>
      <c r="B1369" t="s">
        <v>1290</v>
      </c>
      <c r="C1369">
        <v>45</v>
      </c>
      <c r="D1369" t="s">
        <v>1291</v>
      </c>
    </row>
    <row r="1370" spans="1:4" x14ac:dyDescent="0.35">
      <c r="A1370">
        <v>5047</v>
      </c>
      <c r="B1370" t="s">
        <v>1294</v>
      </c>
      <c r="C1370">
        <v>45</v>
      </c>
      <c r="D1370" t="s">
        <v>1295</v>
      </c>
    </row>
    <row r="1371" spans="1:4" x14ac:dyDescent="0.35">
      <c r="A1371">
        <v>5048</v>
      </c>
      <c r="B1371" t="s">
        <v>1298</v>
      </c>
      <c r="C1371">
        <v>45</v>
      </c>
      <c r="D1371" t="s">
        <v>1299</v>
      </c>
    </row>
    <row r="1372" spans="1:4" x14ac:dyDescent="0.35">
      <c r="A1372">
        <v>5049</v>
      </c>
      <c r="B1372" t="s">
        <v>4579</v>
      </c>
      <c r="C1372">
        <v>45</v>
      </c>
      <c r="D1372" t="s">
        <v>4106</v>
      </c>
    </row>
    <row r="1373" spans="1:4" x14ac:dyDescent="0.35">
      <c r="A1373">
        <v>5050</v>
      </c>
      <c r="B1373" t="s">
        <v>3517</v>
      </c>
      <c r="C1373">
        <v>51</v>
      </c>
      <c r="D1373" t="s">
        <v>3517</v>
      </c>
    </row>
    <row r="1374" spans="1:4" x14ac:dyDescent="0.35">
      <c r="A1374">
        <v>5051</v>
      </c>
      <c r="B1374" t="s">
        <v>3521</v>
      </c>
      <c r="C1374">
        <v>51</v>
      </c>
      <c r="D1374" t="s">
        <v>3521</v>
      </c>
    </row>
    <row r="1375" spans="1:4" x14ac:dyDescent="0.35">
      <c r="A1375">
        <v>5052</v>
      </c>
      <c r="B1375" t="s">
        <v>3526</v>
      </c>
      <c r="C1375">
        <v>51</v>
      </c>
      <c r="D1375" t="s">
        <v>3526</v>
      </c>
    </row>
    <row r="1376" spans="1:4" x14ac:dyDescent="0.35">
      <c r="A1376">
        <v>5053</v>
      </c>
      <c r="B1376" t="s">
        <v>3538</v>
      </c>
      <c r="C1376">
        <v>51</v>
      </c>
      <c r="D1376" t="s">
        <v>3538</v>
      </c>
    </row>
    <row r="1377" spans="1:4" x14ac:dyDescent="0.35">
      <c r="A1377">
        <v>5054</v>
      </c>
      <c r="B1377" t="s">
        <v>4589</v>
      </c>
      <c r="C1377">
        <v>51</v>
      </c>
      <c r="D1377" t="s">
        <v>3539</v>
      </c>
    </row>
    <row r="1378" spans="1:4" x14ac:dyDescent="0.35">
      <c r="A1378">
        <v>5055</v>
      </c>
      <c r="B1378" t="s">
        <v>3541</v>
      </c>
      <c r="C1378">
        <v>51</v>
      </c>
      <c r="D1378" t="s">
        <v>3541</v>
      </c>
    </row>
    <row r="1379" spans="1:4" x14ac:dyDescent="0.35">
      <c r="A1379">
        <v>5056</v>
      </c>
      <c r="B1379" t="s">
        <v>3584</v>
      </c>
      <c r="C1379">
        <v>51</v>
      </c>
      <c r="D1379" t="s">
        <v>3584</v>
      </c>
    </row>
    <row r="1380" spans="1:4" x14ac:dyDescent="0.35">
      <c r="A1380">
        <v>5057</v>
      </c>
      <c r="B1380" t="s">
        <v>4590</v>
      </c>
      <c r="C1380">
        <v>51</v>
      </c>
      <c r="D1380" t="s">
        <v>3605</v>
      </c>
    </row>
    <row r="1381" spans="1:4" x14ac:dyDescent="0.35">
      <c r="A1381">
        <v>5058</v>
      </c>
      <c r="B1381" t="s">
        <v>4346</v>
      </c>
      <c r="C1381">
        <v>51</v>
      </c>
      <c r="D1381" t="s">
        <v>3646</v>
      </c>
    </row>
    <row r="1382" spans="1:4" x14ac:dyDescent="0.35">
      <c r="A1382">
        <v>5059</v>
      </c>
      <c r="B1382" t="s">
        <v>4591</v>
      </c>
      <c r="C1382">
        <v>51</v>
      </c>
      <c r="D1382" t="s">
        <v>3647</v>
      </c>
    </row>
    <row r="1383" spans="1:4" x14ac:dyDescent="0.35">
      <c r="A1383">
        <v>5060</v>
      </c>
      <c r="B1383" t="s">
        <v>4261</v>
      </c>
      <c r="C1383">
        <v>51</v>
      </c>
      <c r="D1383" t="s">
        <v>3664</v>
      </c>
    </row>
    <row r="1384" spans="1:4" x14ac:dyDescent="0.35">
      <c r="A1384">
        <v>5061</v>
      </c>
      <c r="B1384" t="s">
        <v>4592</v>
      </c>
      <c r="C1384">
        <v>51</v>
      </c>
      <c r="D1384" t="s">
        <v>3702</v>
      </c>
    </row>
    <row r="1385" spans="1:4" x14ac:dyDescent="0.35">
      <c r="A1385">
        <v>5062</v>
      </c>
      <c r="B1385" t="s">
        <v>3738</v>
      </c>
      <c r="C1385">
        <v>51</v>
      </c>
      <c r="D1385" t="s">
        <v>3738</v>
      </c>
    </row>
    <row r="1386" spans="1:4" x14ac:dyDescent="0.35">
      <c r="A1386">
        <v>5063</v>
      </c>
      <c r="B1386" t="s">
        <v>4593</v>
      </c>
      <c r="C1386">
        <v>51</v>
      </c>
      <c r="D1386" t="s">
        <v>3747</v>
      </c>
    </row>
    <row r="1387" spans="1:4" x14ac:dyDescent="0.35">
      <c r="A1387">
        <v>5064</v>
      </c>
      <c r="B1387" t="s">
        <v>3748</v>
      </c>
      <c r="C1387">
        <v>51</v>
      </c>
      <c r="D1387" t="s">
        <v>3748</v>
      </c>
    </row>
    <row r="1388" spans="1:4" x14ac:dyDescent="0.35">
      <c r="A1388">
        <v>5065</v>
      </c>
      <c r="B1388" t="s">
        <v>3777</v>
      </c>
      <c r="C1388">
        <v>51</v>
      </c>
      <c r="D1388" t="s">
        <v>3777</v>
      </c>
    </row>
    <row r="1389" spans="1:4" x14ac:dyDescent="0.35">
      <c r="A1389">
        <v>5066</v>
      </c>
      <c r="B1389">
        <v>8551</v>
      </c>
      <c r="C1389">
        <v>51</v>
      </c>
      <c r="D1389" t="s">
        <v>3811</v>
      </c>
    </row>
    <row r="1390" spans="1:4" x14ac:dyDescent="0.35">
      <c r="A1390">
        <v>5067</v>
      </c>
      <c r="B1390" t="s">
        <v>3843</v>
      </c>
      <c r="C1390">
        <v>51</v>
      </c>
      <c r="D1390" t="s">
        <v>3843</v>
      </c>
    </row>
    <row r="1391" spans="1:4" x14ac:dyDescent="0.35">
      <c r="A1391">
        <v>5068</v>
      </c>
      <c r="B1391" t="s">
        <v>4393</v>
      </c>
      <c r="C1391">
        <v>54</v>
      </c>
      <c r="D1391" t="s">
        <v>3584</v>
      </c>
    </row>
    <row r="1392" spans="1:4" x14ac:dyDescent="0.35">
      <c r="A1392">
        <v>5069</v>
      </c>
      <c r="B1392" t="s">
        <v>4594</v>
      </c>
      <c r="C1392">
        <v>54</v>
      </c>
      <c r="D1392" t="s">
        <v>3646</v>
      </c>
    </row>
    <row r="1393" spans="1:4" x14ac:dyDescent="0.35">
      <c r="A1393">
        <v>5070</v>
      </c>
      <c r="B1393" t="s">
        <v>4595</v>
      </c>
      <c r="C1393">
        <v>54</v>
      </c>
      <c r="D1393" t="s">
        <v>3664</v>
      </c>
    </row>
    <row r="1394" spans="1:4" x14ac:dyDescent="0.35">
      <c r="A1394">
        <v>5071</v>
      </c>
      <c r="B1394" t="s">
        <v>4596</v>
      </c>
      <c r="C1394">
        <v>54</v>
      </c>
      <c r="D1394" t="s">
        <v>3670</v>
      </c>
    </row>
    <row r="1395" spans="1:4" x14ac:dyDescent="0.35">
      <c r="A1395">
        <v>5072</v>
      </c>
      <c r="B1395" t="s">
        <v>4597</v>
      </c>
      <c r="C1395">
        <v>54</v>
      </c>
      <c r="D1395" t="s">
        <v>3754</v>
      </c>
    </row>
    <row r="1396" spans="1:4" x14ac:dyDescent="0.35">
      <c r="A1396">
        <v>5073</v>
      </c>
      <c r="B1396" t="s">
        <v>4598</v>
      </c>
      <c r="C1396">
        <v>54</v>
      </c>
      <c r="D1396" t="s">
        <v>2452</v>
      </c>
    </row>
    <row r="1397" spans="1:4" x14ac:dyDescent="0.35">
      <c r="A1397">
        <v>5074</v>
      </c>
      <c r="B1397" t="s">
        <v>4599</v>
      </c>
      <c r="C1397">
        <v>49</v>
      </c>
      <c r="D1397" t="s">
        <v>3437</v>
      </c>
    </row>
    <row r="1398" spans="1:4" x14ac:dyDescent="0.35">
      <c r="A1398">
        <v>5075</v>
      </c>
      <c r="B1398" t="s">
        <v>4600</v>
      </c>
      <c r="C1398">
        <v>49</v>
      </c>
      <c r="D1398" t="s">
        <v>3622</v>
      </c>
    </row>
    <row r="1399" spans="1:4" x14ac:dyDescent="0.35">
      <c r="A1399">
        <v>5076</v>
      </c>
      <c r="B1399" t="s">
        <v>4601</v>
      </c>
      <c r="C1399">
        <v>49</v>
      </c>
      <c r="D1399" t="s">
        <v>3624</v>
      </c>
    </row>
    <row r="1400" spans="1:4" x14ac:dyDescent="0.35">
      <c r="A1400">
        <v>5077</v>
      </c>
      <c r="B1400" t="s">
        <v>4602</v>
      </c>
      <c r="C1400">
        <v>49</v>
      </c>
      <c r="D1400" t="s">
        <v>3664</v>
      </c>
    </row>
    <row r="1401" spans="1:4" x14ac:dyDescent="0.35">
      <c r="A1401">
        <v>5078</v>
      </c>
      <c r="B1401" t="s">
        <v>4603</v>
      </c>
      <c r="C1401">
        <v>49</v>
      </c>
      <c r="D1401" t="s">
        <v>3845</v>
      </c>
    </row>
    <row r="1402" spans="1:4" x14ac:dyDescent="0.35">
      <c r="A1402">
        <v>5079</v>
      </c>
      <c r="B1402" t="s">
        <v>4604</v>
      </c>
      <c r="C1402">
        <v>55</v>
      </c>
      <c r="D1402" t="s">
        <v>3674</v>
      </c>
    </row>
    <row r="1403" spans="1:4" x14ac:dyDescent="0.35">
      <c r="A1403">
        <v>5080</v>
      </c>
      <c r="B1403" s="57">
        <v>1835346</v>
      </c>
      <c r="C1403">
        <v>56</v>
      </c>
      <c r="D1403" t="s">
        <v>3772</v>
      </c>
    </row>
    <row r="1404" spans="1:4" x14ac:dyDescent="0.35">
      <c r="A1404">
        <v>5081</v>
      </c>
      <c r="B1404" t="s">
        <v>3781</v>
      </c>
      <c r="C1404">
        <v>56</v>
      </c>
      <c r="D1404" t="s">
        <v>3781</v>
      </c>
    </row>
    <row r="1405" spans="1:4" x14ac:dyDescent="0.35">
      <c r="A1405">
        <v>5082</v>
      </c>
      <c r="B1405" s="57">
        <v>1556666</v>
      </c>
      <c r="C1405">
        <v>56</v>
      </c>
      <c r="D1405" t="s">
        <v>3807</v>
      </c>
    </row>
    <row r="1406" spans="1:4" x14ac:dyDescent="0.35">
      <c r="A1406">
        <v>5083</v>
      </c>
      <c r="B1406" s="57">
        <v>1773619</v>
      </c>
      <c r="C1406">
        <v>56</v>
      </c>
      <c r="D1406" t="s">
        <v>3809</v>
      </c>
    </row>
    <row r="1407" spans="1:4" x14ac:dyDescent="0.35">
      <c r="A1407">
        <v>5084</v>
      </c>
      <c r="B1407" s="57">
        <v>1557031</v>
      </c>
      <c r="C1407">
        <v>56</v>
      </c>
      <c r="D1407" t="s">
        <v>3818</v>
      </c>
    </row>
    <row r="1408" spans="1:4" x14ac:dyDescent="0.35">
      <c r="A1408">
        <v>5085</v>
      </c>
      <c r="B1408" t="s">
        <v>3670</v>
      </c>
      <c r="C1408">
        <v>58</v>
      </c>
      <c r="D1408" t="s">
        <v>3670</v>
      </c>
    </row>
    <row r="1409" spans="1:4" x14ac:dyDescent="0.35">
      <c r="A1409">
        <v>5086</v>
      </c>
      <c r="B1409" t="s">
        <v>4605</v>
      </c>
      <c r="C1409">
        <v>58</v>
      </c>
      <c r="D1409" t="s">
        <v>3726</v>
      </c>
    </row>
    <row r="1410" spans="1:4" x14ac:dyDescent="0.35">
      <c r="A1410">
        <v>5087</v>
      </c>
      <c r="B1410" t="s">
        <v>4606</v>
      </c>
      <c r="C1410">
        <v>58</v>
      </c>
      <c r="D1410" t="s">
        <v>3729</v>
      </c>
    </row>
    <row r="1411" spans="1:4" x14ac:dyDescent="0.35">
      <c r="A1411">
        <v>5088</v>
      </c>
      <c r="B1411">
        <v>63316302</v>
      </c>
      <c r="C1411">
        <v>652</v>
      </c>
      <c r="D1411" t="s">
        <v>3437</v>
      </c>
    </row>
    <row r="1412" spans="1:4" x14ac:dyDescent="0.35">
      <c r="A1412">
        <v>5089</v>
      </c>
      <c r="B1412" t="s">
        <v>4607</v>
      </c>
      <c r="C1412">
        <v>652</v>
      </c>
      <c r="D1412" t="s">
        <v>3438</v>
      </c>
    </row>
    <row r="1413" spans="1:4" x14ac:dyDescent="0.35">
      <c r="A1413">
        <v>5090</v>
      </c>
      <c r="B1413">
        <v>71076600</v>
      </c>
      <c r="C1413">
        <v>652</v>
      </c>
      <c r="D1413" t="s">
        <v>3444</v>
      </c>
    </row>
    <row r="1414" spans="1:4" x14ac:dyDescent="0.35">
      <c r="A1414">
        <v>5091</v>
      </c>
      <c r="B1414" t="s">
        <v>4608</v>
      </c>
      <c r="C1414">
        <v>652</v>
      </c>
      <c r="D1414" t="s">
        <v>3454</v>
      </c>
    </row>
    <row r="1415" spans="1:4" x14ac:dyDescent="0.35">
      <c r="A1415">
        <v>5092</v>
      </c>
      <c r="B1415" t="s">
        <v>4609</v>
      </c>
      <c r="C1415">
        <v>652</v>
      </c>
      <c r="D1415" t="s">
        <v>3488</v>
      </c>
    </row>
    <row r="1416" spans="1:4" x14ac:dyDescent="0.35">
      <c r="A1416">
        <v>5093</v>
      </c>
      <c r="B1416">
        <v>6481451999</v>
      </c>
      <c r="C1416">
        <v>652</v>
      </c>
      <c r="D1416" t="s">
        <v>3496</v>
      </c>
    </row>
    <row r="1417" spans="1:4" x14ac:dyDescent="0.35">
      <c r="A1417">
        <v>5094</v>
      </c>
      <c r="B1417">
        <v>7014901900</v>
      </c>
      <c r="C1417">
        <v>652</v>
      </c>
      <c r="D1417" t="s">
        <v>3520</v>
      </c>
    </row>
    <row r="1418" spans="1:4" x14ac:dyDescent="0.35">
      <c r="A1418">
        <v>5095</v>
      </c>
      <c r="B1418">
        <v>70149901900</v>
      </c>
      <c r="C1418">
        <v>652</v>
      </c>
      <c r="D1418" t="s">
        <v>3539</v>
      </c>
    </row>
    <row r="1419" spans="1:4" x14ac:dyDescent="0.35">
      <c r="A1419">
        <v>5096</v>
      </c>
      <c r="B1419">
        <v>63442100</v>
      </c>
      <c r="C1419">
        <v>652</v>
      </c>
      <c r="D1419" t="s">
        <v>3548</v>
      </c>
    </row>
    <row r="1420" spans="1:4" x14ac:dyDescent="0.35">
      <c r="A1420">
        <v>5097</v>
      </c>
      <c r="B1420" t="s">
        <v>4610</v>
      </c>
      <c r="C1420">
        <v>652</v>
      </c>
      <c r="D1420" t="s">
        <v>3554</v>
      </c>
    </row>
    <row r="1421" spans="1:4" x14ac:dyDescent="0.35">
      <c r="A1421">
        <v>5098</v>
      </c>
      <c r="B1421">
        <v>7100651900</v>
      </c>
      <c r="C1421">
        <v>652</v>
      </c>
      <c r="D1421" t="s">
        <v>3584</v>
      </c>
    </row>
    <row r="1422" spans="1:4" x14ac:dyDescent="0.35">
      <c r="A1422">
        <v>5099</v>
      </c>
      <c r="B1422" t="s">
        <v>4611</v>
      </c>
      <c r="C1422">
        <v>652</v>
      </c>
      <c r="D1422" t="s">
        <v>3586</v>
      </c>
    </row>
    <row r="1423" spans="1:4" x14ac:dyDescent="0.35">
      <c r="A1423">
        <v>5100</v>
      </c>
      <c r="B1423">
        <v>7060611900</v>
      </c>
      <c r="C1423">
        <v>652</v>
      </c>
      <c r="D1423" t="s">
        <v>3633</v>
      </c>
    </row>
    <row r="1424" spans="1:4" x14ac:dyDescent="0.35">
      <c r="A1424">
        <v>5101</v>
      </c>
      <c r="B1424">
        <v>70995700</v>
      </c>
      <c r="C1424">
        <v>652</v>
      </c>
      <c r="D1424" t="s">
        <v>3637</v>
      </c>
    </row>
    <row r="1425" spans="1:4" x14ac:dyDescent="0.35">
      <c r="A1425">
        <v>5102</v>
      </c>
      <c r="B1425">
        <v>7075971900</v>
      </c>
      <c r="C1425">
        <v>652</v>
      </c>
      <c r="D1425" t="s">
        <v>3646</v>
      </c>
    </row>
    <row r="1426" spans="1:4" x14ac:dyDescent="0.35">
      <c r="A1426">
        <v>5103</v>
      </c>
      <c r="B1426" t="s">
        <v>4261</v>
      </c>
      <c r="C1426">
        <v>652</v>
      </c>
      <c r="D1426" t="s">
        <v>3664</v>
      </c>
    </row>
    <row r="1427" spans="1:4" x14ac:dyDescent="0.35">
      <c r="A1427">
        <v>5104</v>
      </c>
      <c r="B1427" t="s">
        <v>4612</v>
      </c>
      <c r="C1427">
        <v>652</v>
      </c>
      <c r="D1427" t="s">
        <v>3668</v>
      </c>
    </row>
    <row r="1428" spans="1:4" x14ac:dyDescent="0.35">
      <c r="A1428">
        <v>5105</v>
      </c>
      <c r="B1428" t="s">
        <v>4551</v>
      </c>
      <c r="C1428">
        <v>37</v>
      </c>
      <c r="D1428" t="s">
        <v>3664</v>
      </c>
    </row>
    <row r="1429" spans="1:4" x14ac:dyDescent="0.35">
      <c r="A1429">
        <v>5107</v>
      </c>
      <c r="B1429" t="s">
        <v>1970</v>
      </c>
      <c r="C1429">
        <v>965</v>
      </c>
      <c r="D1429" t="s">
        <v>1709</v>
      </c>
    </row>
    <row r="1430" spans="1:4" x14ac:dyDescent="0.35">
      <c r="A1430">
        <v>5108</v>
      </c>
      <c r="B1430" t="s">
        <v>4613</v>
      </c>
      <c r="C1430">
        <v>965</v>
      </c>
      <c r="D1430" t="s">
        <v>1719</v>
      </c>
    </row>
    <row r="1431" spans="1:4" x14ac:dyDescent="0.35">
      <c r="A1431">
        <v>5109</v>
      </c>
      <c r="B1431" t="s">
        <v>4614</v>
      </c>
      <c r="C1431">
        <v>965</v>
      </c>
      <c r="D1431" t="s">
        <v>1244</v>
      </c>
    </row>
    <row r="1432" spans="1:4" x14ac:dyDescent="0.35">
      <c r="A1432">
        <v>5110</v>
      </c>
      <c r="B1432" t="s">
        <v>4615</v>
      </c>
      <c r="C1432">
        <v>965</v>
      </c>
      <c r="D1432" t="s">
        <v>1755</v>
      </c>
    </row>
    <row r="1433" spans="1:4" x14ac:dyDescent="0.35">
      <c r="A1433">
        <v>5111</v>
      </c>
      <c r="B1433" t="s">
        <v>4616</v>
      </c>
      <c r="C1433">
        <v>965</v>
      </c>
      <c r="D1433" t="s">
        <v>1975</v>
      </c>
    </row>
    <row r="1434" spans="1:4" x14ac:dyDescent="0.35">
      <c r="A1434">
        <v>5112</v>
      </c>
      <c r="B1434" t="s">
        <v>4617</v>
      </c>
      <c r="C1434">
        <v>965</v>
      </c>
      <c r="D1434" t="s">
        <v>1613</v>
      </c>
    </row>
    <row r="1435" spans="1:4" x14ac:dyDescent="0.35">
      <c r="A1435">
        <v>5113</v>
      </c>
      <c r="B1435" t="s">
        <v>4618</v>
      </c>
      <c r="C1435">
        <v>965</v>
      </c>
      <c r="D1435" t="s">
        <v>1979</v>
      </c>
    </row>
    <row r="1436" spans="1:4" x14ac:dyDescent="0.35">
      <c r="A1436">
        <v>5114</v>
      </c>
      <c r="B1436" t="s">
        <v>4619</v>
      </c>
      <c r="C1436">
        <v>965</v>
      </c>
      <c r="D1436" t="s">
        <v>1982</v>
      </c>
    </row>
    <row r="1437" spans="1:4" x14ac:dyDescent="0.35">
      <c r="A1437">
        <v>5115</v>
      </c>
      <c r="B1437" t="s">
        <v>4620</v>
      </c>
      <c r="C1437">
        <v>965</v>
      </c>
      <c r="D1437" t="s">
        <v>1200</v>
      </c>
    </row>
    <row r="1438" spans="1:4" x14ac:dyDescent="0.35">
      <c r="A1438">
        <v>5116</v>
      </c>
      <c r="B1438" t="s">
        <v>2113</v>
      </c>
      <c r="C1438">
        <v>965</v>
      </c>
      <c r="D1438" t="s">
        <v>2114</v>
      </c>
    </row>
    <row r="1439" spans="1:4" x14ac:dyDescent="0.35">
      <c r="A1439">
        <v>5117</v>
      </c>
      <c r="B1439" t="s">
        <v>2096</v>
      </c>
      <c r="C1439">
        <v>965</v>
      </c>
      <c r="D1439" t="s">
        <v>2099</v>
      </c>
    </row>
    <row r="1440" spans="1:4" x14ac:dyDescent="0.35">
      <c r="A1440">
        <v>5118</v>
      </c>
      <c r="B1440" t="s">
        <v>2118</v>
      </c>
      <c r="C1440">
        <v>965</v>
      </c>
      <c r="D1440" t="s">
        <v>2119</v>
      </c>
    </row>
    <row r="1441" spans="1:4" x14ac:dyDescent="0.35">
      <c r="A1441">
        <v>5119</v>
      </c>
      <c r="B1441" t="s">
        <v>2071</v>
      </c>
      <c r="C1441">
        <v>965</v>
      </c>
      <c r="D1441" t="s">
        <v>2072</v>
      </c>
    </row>
    <row r="1442" spans="1:4" x14ac:dyDescent="0.35">
      <c r="A1442">
        <v>5120</v>
      </c>
      <c r="B1442" t="s">
        <v>2133</v>
      </c>
      <c r="C1442">
        <v>965</v>
      </c>
      <c r="D1442" t="s">
        <v>2134</v>
      </c>
    </row>
    <row r="1443" spans="1:4" x14ac:dyDescent="0.35">
      <c r="A1443">
        <v>5121</v>
      </c>
      <c r="B1443" t="s">
        <v>2108</v>
      </c>
      <c r="C1443">
        <v>965</v>
      </c>
      <c r="D1443" t="s">
        <v>2109</v>
      </c>
    </row>
    <row r="1444" spans="1:4" x14ac:dyDescent="0.35">
      <c r="A1444">
        <v>5122</v>
      </c>
      <c r="B1444" t="s">
        <v>2398</v>
      </c>
      <c r="C1444">
        <v>965</v>
      </c>
      <c r="D1444" t="s">
        <v>1460</v>
      </c>
    </row>
    <row r="1445" spans="1:4" x14ac:dyDescent="0.35">
      <c r="A1445">
        <v>5123</v>
      </c>
      <c r="B1445" t="s">
        <v>470</v>
      </c>
      <c r="C1445">
        <v>136</v>
      </c>
      <c r="D1445" t="s">
        <v>471</v>
      </c>
    </row>
    <row r="1446" spans="1:4" x14ac:dyDescent="0.35">
      <c r="A1446">
        <v>5124</v>
      </c>
      <c r="B1446" t="s">
        <v>4621</v>
      </c>
      <c r="C1446">
        <v>136</v>
      </c>
      <c r="D1446" t="s">
        <v>479</v>
      </c>
    </row>
    <row r="1447" spans="1:4" x14ac:dyDescent="0.35">
      <c r="A1447">
        <v>5125</v>
      </c>
      <c r="B1447" t="s">
        <v>4622</v>
      </c>
      <c r="C1447">
        <v>136</v>
      </c>
      <c r="D1447" t="s">
        <v>482</v>
      </c>
    </row>
    <row r="1448" spans="1:4" x14ac:dyDescent="0.35">
      <c r="A1448">
        <v>5126</v>
      </c>
      <c r="B1448" t="s">
        <v>1604</v>
      </c>
      <c r="C1448">
        <v>136</v>
      </c>
      <c r="D1448" t="s">
        <v>488</v>
      </c>
    </row>
    <row r="1449" spans="1:4" x14ac:dyDescent="0.35">
      <c r="A1449">
        <v>5127</v>
      </c>
      <c r="B1449" t="s">
        <v>4623</v>
      </c>
      <c r="C1449">
        <v>136</v>
      </c>
      <c r="D1449" t="s">
        <v>491</v>
      </c>
    </row>
    <row r="1450" spans="1:4" x14ac:dyDescent="0.35">
      <c r="A1450">
        <v>5128</v>
      </c>
      <c r="B1450" t="s">
        <v>2085</v>
      </c>
      <c r="C1450">
        <v>136</v>
      </c>
      <c r="D1450" t="s">
        <v>496</v>
      </c>
    </row>
    <row r="1451" spans="1:4" x14ac:dyDescent="0.35">
      <c r="A1451">
        <v>5129</v>
      </c>
      <c r="B1451" t="s">
        <v>4624</v>
      </c>
      <c r="C1451">
        <v>136</v>
      </c>
      <c r="D1451" t="s">
        <v>498</v>
      </c>
    </row>
    <row r="1452" spans="1:4" x14ac:dyDescent="0.35">
      <c r="A1452">
        <v>5130</v>
      </c>
      <c r="B1452" t="s">
        <v>4625</v>
      </c>
      <c r="C1452">
        <v>136</v>
      </c>
      <c r="D1452" t="s">
        <v>502</v>
      </c>
    </row>
    <row r="1453" spans="1:4" x14ac:dyDescent="0.35">
      <c r="A1453">
        <v>5131</v>
      </c>
      <c r="B1453" t="s">
        <v>715</v>
      </c>
      <c r="C1453">
        <v>136</v>
      </c>
      <c r="D1453" t="s">
        <v>716</v>
      </c>
    </row>
    <row r="1454" spans="1:4" x14ac:dyDescent="0.35">
      <c r="A1454">
        <v>5132</v>
      </c>
      <c r="B1454" t="s">
        <v>718</v>
      </c>
      <c r="C1454">
        <v>136</v>
      </c>
      <c r="D1454" t="s">
        <v>719</v>
      </c>
    </row>
    <row r="1455" spans="1:4" x14ac:dyDescent="0.35">
      <c r="A1455">
        <v>5133</v>
      </c>
      <c r="B1455" t="s">
        <v>721</v>
      </c>
      <c r="C1455">
        <v>136</v>
      </c>
      <c r="D1455" t="s">
        <v>722</v>
      </c>
    </row>
    <row r="1456" spans="1:4" x14ac:dyDescent="0.35">
      <c r="A1456">
        <v>5134</v>
      </c>
      <c r="B1456" t="s">
        <v>2056</v>
      </c>
      <c r="C1456">
        <v>136</v>
      </c>
      <c r="D1456" t="s">
        <v>2057</v>
      </c>
    </row>
    <row r="1457" spans="1:4" x14ac:dyDescent="0.35">
      <c r="A1457">
        <v>5135</v>
      </c>
      <c r="B1457" t="s">
        <v>2476</v>
      </c>
      <c r="C1457">
        <v>136</v>
      </c>
      <c r="D1457" t="s">
        <v>2477</v>
      </c>
    </row>
    <row r="1458" spans="1:4" x14ac:dyDescent="0.35">
      <c r="A1458">
        <v>5136</v>
      </c>
      <c r="B1458" t="s">
        <v>2879</v>
      </c>
      <c r="C1458">
        <v>136</v>
      </c>
      <c r="D1458" t="s">
        <v>2880</v>
      </c>
    </row>
    <row r="1459" spans="1:4" x14ac:dyDescent="0.35">
      <c r="A1459">
        <v>5137</v>
      </c>
      <c r="B1459">
        <v>35758280</v>
      </c>
      <c r="C1459">
        <v>294</v>
      </c>
      <c r="D1459" t="s">
        <v>934</v>
      </c>
    </row>
    <row r="1460" spans="1:4" x14ac:dyDescent="0.35">
      <c r="A1460">
        <v>5138</v>
      </c>
      <c r="B1460">
        <v>35738191</v>
      </c>
      <c r="C1460">
        <v>294</v>
      </c>
      <c r="D1460" t="s">
        <v>292</v>
      </c>
    </row>
    <row r="1461" spans="1:4" x14ac:dyDescent="0.35">
      <c r="A1461">
        <v>5139</v>
      </c>
      <c r="B1461">
        <v>35738187</v>
      </c>
      <c r="C1461">
        <v>294</v>
      </c>
      <c r="D1461" t="s">
        <v>1498</v>
      </c>
    </row>
    <row r="1462" spans="1:4" x14ac:dyDescent="0.35">
      <c r="A1462">
        <v>5140</v>
      </c>
      <c r="B1462">
        <v>35738193</v>
      </c>
      <c r="C1462">
        <v>294</v>
      </c>
      <c r="D1462" t="s">
        <v>3122</v>
      </c>
    </row>
    <row r="1463" spans="1:4" x14ac:dyDescent="0.35">
      <c r="A1463">
        <v>5141</v>
      </c>
      <c r="B1463">
        <v>35738194</v>
      </c>
      <c r="C1463">
        <v>294</v>
      </c>
      <c r="D1463" t="s">
        <v>336</v>
      </c>
    </row>
    <row r="1464" spans="1:4" x14ac:dyDescent="0.35">
      <c r="A1464">
        <v>5142</v>
      </c>
      <c r="B1464">
        <v>35758201</v>
      </c>
      <c r="C1464">
        <v>294</v>
      </c>
      <c r="D1464" t="s">
        <v>1501</v>
      </c>
    </row>
    <row r="1465" spans="1:4" x14ac:dyDescent="0.35">
      <c r="A1465">
        <v>5143</v>
      </c>
      <c r="B1465">
        <v>35758211</v>
      </c>
      <c r="C1465">
        <v>294</v>
      </c>
      <c r="D1465" t="s">
        <v>3406</v>
      </c>
    </row>
    <row r="1466" spans="1:4" x14ac:dyDescent="0.35">
      <c r="A1466">
        <v>5144</v>
      </c>
      <c r="B1466">
        <v>35758221</v>
      </c>
      <c r="C1466">
        <v>294</v>
      </c>
      <c r="D1466" t="s">
        <v>1506</v>
      </c>
    </row>
    <row r="1467" spans="1:4" x14ac:dyDescent="0.35">
      <c r="A1467">
        <v>5145</v>
      </c>
      <c r="B1467">
        <v>35758275</v>
      </c>
      <c r="C1467">
        <v>294</v>
      </c>
      <c r="D1467" t="s">
        <v>296</v>
      </c>
    </row>
    <row r="1468" spans="1:4" x14ac:dyDescent="0.35">
      <c r="A1468">
        <v>5146</v>
      </c>
      <c r="B1468">
        <v>35758259</v>
      </c>
      <c r="C1468">
        <v>294</v>
      </c>
      <c r="D1468" t="s">
        <v>2441</v>
      </c>
    </row>
    <row r="1469" spans="1:4" x14ac:dyDescent="0.35">
      <c r="A1469">
        <v>5147</v>
      </c>
      <c r="B1469">
        <v>35738176</v>
      </c>
      <c r="C1469">
        <v>294</v>
      </c>
      <c r="D1469" t="s">
        <v>1796</v>
      </c>
    </row>
    <row r="1470" spans="1:4" x14ac:dyDescent="0.35">
      <c r="A1470">
        <v>5148</v>
      </c>
      <c r="B1470">
        <v>35758276</v>
      </c>
      <c r="C1470">
        <v>294</v>
      </c>
      <c r="D1470" t="s">
        <v>1192</v>
      </c>
    </row>
    <row r="1471" spans="1:4" x14ac:dyDescent="0.35">
      <c r="A1471">
        <v>5149</v>
      </c>
      <c r="B1471">
        <v>35758271</v>
      </c>
      <c r="C1471">
        <v>294</v>
      </c>
      <c r="D1471" t="s">
        <v>2948</v>
      </c>
    </row>
    <row r="1472" spans="1:4" x14ac:dyDescent="0.35">
      <c r="A1472">
        <v>5150</v>
      </c>
      <c r="B1472">
        <v>35758273</v>
      </c>
      <c r="C1472">
        <v>294</v>
      </c>
      <c r="D1472" t="s">
        <v>3088</v>
      </c>
    </row>
    <row r="1473" spans="1:4" x14ac:dyDescent="0.35">
      <c r="A1473">
        <v>5151</v>
      </c>
      <c r="B1473">
        <v>35758190</v>
      </c>
      <c r="C1473">
        <v>294</v>
      </c>
      <c r="D1473" t="s">
        <v>3093</v>
      </c>
    </row>
    <row r="1474" spans="1:4" x14ac:dyDescent="0.35">
      <c r="A1474">
        <v>5152</v>
      </c>
      <c r="B1474">
        <v>35758215</v>
      </c>
      <c r="C1474">
        <v>294</v>
      </c>
      <c r="D1474" t="s">
        <v>1709</v>
      </c>
    </row>
    <row r="1475" spans="1:4" x14ac:dyDescent="0.35">
      <c r="A1475">
        <v>5153</v>
      </c>
      <c r="B1475">
        <v>35738192</v>
      </c>
      <c r="C1475">
        <v>294</v>
      </c>
      <c r="D1475" t="s">
        <v>288</v>
      </c>
    </row>
    <row r="1476" spans="1:4" x14ac:dyDescent="0.35">
      <c r="A1476">
        <v>5154</v>
      </c>
      <c r="B1476">
        <v>35738188</v>
      </c>
      <c r="C1476">
        <v>294</v>
      </c>
      <c r="D1476" t="s">
        <v>1732</v>
      </c>
    </row>
    <row r="1477" spans="1:4" x14ac:dyDescent="0.35">
      <c r="A1477">
        <v>5155</v>
      </c>
      <c r="B1477">
        <v>35758207</v>
      </c>
      <c r="C1477">
        <v>294</v>
      </c>
      <c r="D1477" t="s">
        <v>3145</v>
      </c>
    </row>
    <row r="1478" spans="1:4" x14ac:dyDescent="0.35">
      <c r="A1478">
        <v>5156</v>
      </c>
      <c r="B1478">
        <v>35758214</v>
      </c>
      <c r="C1478">
        <v>294</v>
      </c>
      <c r="D1478" t="s">
        <v>2706</v>
      </c>
    </row>
    <row r="1479" spans="1:4" x14ac:dyDescent="0.35">
      <c r="A1479">
        <v>5157</v>
      </c>
      <c r="B1479">
        <v>35758225</v>
      </c>
      <c r="C1479">
        <v>294</v>
      </c>
      <c r="D1479" t="s">
        <v>3152</v>
      </c>
    </row>
    <row r="1480" spans="1:4" x14ac:dyDescent="0.35">
      <c r="A1480">
        <v>5158</v>
      </c>
      <c r="B1480">
        <v>35758209</v>
      </c>
      <c r="C1480">
        <v>294</v>
      </c>
      <c r="D1480" t="s">
        <v>1755</v>
      </c>
    </row>
    <row r="1481" spans="1:4" x14ac:dyDescent="0.35">
      <c r="A1481">
        <v>5159</v>
      </c>
      <c r="B1481">
        <v>35758237</v>
      </c>
      <c r="C1481">
        <v>294</v>
      </c>
      <c r="D1481" t="s">
        <v>3004</v>
      </c>
    </row>
    <row r="1482" spans="1:4" x14ac:dyDescent="0.35">
      <c r="A1482">
        <v>5160</v>
      </c>
      <c r="B1482">
        <v>35738190</v>
      </c>
      <c r="C1482">
        <v>294</v>
      </c>
      <c r="D1482" t="s">
        <v>1760</v>
      </c>
    </row>
    <row r="1483" spans="1:4" x14ac:dyDescent="0.35">
      <c r="A1483">
        <v>5161</v>
      </c>
      <c r="B1483">
        <v>35758202</v>
      </c>
      <c r="C1483">
        <v>294</v>
      </c>
      <c r="D1483" t="s">
        <v>1244</v>
      </c>
    </row>
    <row r="1484" spans="1:4" x14ac:dyDescent="0.35">
      <c r="A1484">
        <v>5162</v>
      </c>
      <c r="B1484">
        <v>35758196</v>
      </c>
      <c r="C1484">
        <v>294</v>
      </c>
      <c r="D1484" t="s">
        <v>2063</v>
      </c>
    </row>
    <row r="1485" spans="1:4" x14ac:dyDescent="0.35">
      <c r="A1485">
        <v>5163</v>
      </c>
      <c r="B1485">
        <v>35758212</v>
      </c>
      <c r="C1485">
        <v>294</v>
      </c>
      <c r="D1485" t="s">
        <v>2067</v>
      </c>
    </row>
    <row r="1486" spans="1:4" x14ac:dyDescent="0.35">
      <c r="A1486">
        <v>5164</v>
      </c>
      <c r="B1486" t="s">
        <v>642</v>
      </c>
      <c r="C1486">
        <v>389</v>
      </c>
      <c r="D1486" t="s">
        <v>643</v>
      </c>
    </row>
    <row r="1487" spans="1:4" x14ac:dyDescent="0.35">
      <c r="A1487">
        <v>5165</v>
      </c>
      <c r="B1487" t="s">
        <v>1226</v>
      </c>
      <c r="C1487">
        <v>389</v>
      </c>
      <c r="D1487" t="s">
        <v>1104</v>
      </c>
    </row>
    <row r="1488" spans="1:4" x14ac:dyDescent="0.35">
      <c r="A1488">
        <v>5166</v>
      </c>
      <c r="B1488" t="s">
        <v>1233</v>
      </c>
      <c r="C1488">
        <v>389</v>
      </c>
      <c r="D1488" t="s">
        <v>546</v>
      </c>
    </row>
    <row r="1489" spans="1:4" x14ac:dyDescent="0.35">
      <c r="A1489">
        <v>5167</v>
      </c>
      <c r="B1489">
        <v>55592</v>
      </c>
      <c r="C1489">
        <v>24</v>
      </c>
      <c r="D1489" t="s">
        <v>256</v>
      </c>
    </row>
    <row r="1490" spans="1:4" x14ac:dyDescent="0.35">
      <c r="A1490">
        <v>5168</v>
      </c>
      <c r="B1490">
        <v>55593</v>
      </c>
      <c r="C1490">
        <v>24</v>
      </c>
      <c r="D1490" t="s">
        <v>1120</v>
      </c>
    </row>
    <row r="1491" spans="1:4" x14ac:dyDescent="0.35">
      <c r="A1491">
        <v>5169</v>
      </c>
      <c r="B1491" t="s">
        <v>2145</v>
      </c>
      <c r="C1491">
        <v>1063</v>
      </c>
      <c r="D1491" t="s">
        <v>2148</v>
      </c>
    </row>
    <row r="1492" spans="1:4" x14ac:dyDescent="0.35">
      <c r="A1492">
        <v>5170</v>
      </c>
      <c r="B1492">
        <v>713516</v>
      </c>
      <c r="C1492">
        <v>663</v>
      </c>
      <c r="D1492" t="s">
        <v>769</v>
      </c>
    </row>
    <row r="1493" spans="1:4" x14ac:dyDescent="0.35">
      <c r="A1493">
        <v>5171</v>
      </c>
      <c r="B1493">
        <v>35758254</v>
      </c>
      <c r="C1493">
        <v>29</v>
      </c>
      <c r="D1493" t="s">
        <v>1313</v>
      </c>
    </row>
    <row r="1494" spans="1:4" x14ac:dyDescent="0.35">
      <c r="A1494">
        <v>5172</v>
      </c>
      <c r="B1494" t="s">
        <v>3113</v>
      </c>
      <c r="C1494">
        <v>380</v>
      </c>
      <c r="D1494" t="s">
        <v>3114</v>
      </c>
    </row>
    <row r="1495" spans="1:4" x14ac:dyDescent="0.35">
      <c r="A1495">
        <v>5173</v>
      </c>
      <c r="B1495" t="s">
        <v>141</v>
      </c>
      <c r="C1495">
        <v>36</v>
      </c>
      <c r="D1495" t="s">
        <v>144</v>
      </c>
    </row>
    <row r="1496" spans="1:4" x14ac:dyDescent="0.35">
      <c r="A1496">
        <v>5174</v>
      </c>
      <c r="B1496" t="s">
        <v>667</v>
      </c>
      <c r="C1496">
        <v>36</v>
      </c>
      <c r="D1496" t="s">
        <v>668</v>
      </c>
    </row>
    <row r="1497" spans="1:4" x14ac:dyDescent="0.35">
      <c r="A1497">
        <v>5175</v>
      </c>
      <c r="B1497" t="s">
        <v>760</v>
      </c>
      <c r="C1497">
        <v>36</v>
      </c>
      <c r="D1497" t="s">
        <v>761</v>
      </c>
    </row>
    <row r="1498" spans="1:4" x14ac:dyDescent="0.35">
      <c r="A1498">
        <v>5176</v>
      </c>
      <c r="B1498" t="s">
        <v>764</v>
      </c>
      <c r="C1498">
        <v>36</v>
      </c>
      <c r="D1498" t="s">
        <v>765</v>
      </c>
    </row>
    <row r="1499" spans="1:4" x14ac:dyDescent="0.35">
      <c r="A1499">
        <v>5177</v>
      </c>
      <c r="B1499" t="s">
        <v>463</v>
      </c>
      <c r="C1499">
        <v>36</v>
      </c>
      <c r="D1499" t="s">
        <v>224</v>
      </c>
    </row>
    <row r="1500" spans="1:4" x14ac:dyDescent="0.35">
      <c r="A1500">
        <v>5178</v>
      </c>
      <c r="B1500" t="s">
        <v>466</v>
      </c>
      <c r="C1500">
        <v>36</v>
      </c>
      <c r="D1500" t="s">
        <v>467</v>
      </c>
    </row>
    <row r="1501" spans="1:4" x14ac:dyDescent="0.35">
      <c r="A1501">
        <v>5179</v>
      </c>
      <c r="B1501" t="s">
        <v>1283</v>
      </c>
      <c r="C1501">
        <v>36</v>
      </c>
      <c r="D1501" t="s">
        <v>1286</v>
      </c>
    </row>
    <row r="1502" spans="1:4" x14ac:dyDescent="0.35">
      <c r="A1502">
        <v>5180</v>
      </c>
      <c r="B1502" t="s">
        <v>1290</v>
      </c>
      <c r="C1502">
        <v>36</v>
      </c>
      <c r="D1502" t="s">
        <v>1291</v>
      </c>
    </row>
    <row r="1503" spans="1:4" x14ac:dyDescent="0.35">
      <c r="A1503">
        <v>5181</v>
      </c>
      <c r="B1503" t="s">
        <v>1294</v>
      </c>
      <c r="C1503">
        <v>36</v>
      </c>
      <c r="D1503" t="s">
        <v>1295</v>
      </c>
    </row>
    <row r="1504" spans="1:4" x14ac:dyDescent="0.35">
      <c r="A1504">
        <v>5182</v>
      </c>
      <c r="B1504" t="s">
        <v>1298</v>
      </c>
      <c r="C1504">
        <v>36</v>
      </c>
      <c r="D1504" t="s">
        <v>1299</v>
      </c>
    </row>
    <row r="1505" spans="1:4" x14ac:dyDescent="0.35">
      <c r="A1505">
        <v>5183</v>
      </c>
      <c r="B1505" t="s">
        <v>1321</v>
      </c>
      <c r="C1505">
        <v>36</v>
      </c>
      <c r="D1505" t="s">
        <v>1322</v>
      </c>
    </row>
    <row r="1506" spans="1:4" x14ac:dyDescent="0.35">
      <c r="A1506">
        <v>5184</v>
      </c>
      <c r="B1506" t="s">
        <v>1325</v>
      </c>
      <c r="C1506">
        <v>36</v>
      </c>
      <c r="D1506" t="s">
        <v>1326</v>
      </c>
    </row>
    <row r="1507" spans="1:4" x14ac:dyDescent="0.35">
      <c r="A1507">
        <v>5185</v>
      </c>
      <c r="B1507" t="s">
        <v>1329</v>
      </c>
      <c r="C1507">
        <v>36</v>
      </c>
      <c r="D1507" t="s">
        <v>1330</v>
      </c>
    </row>
    <row r="1508" spans="1:4" x14ac:dyDescent="0.35">
      <c r="A1508">
        <v>5186</v>
      </c>
      <c r="B1508" t="s">
        <v>1333</v>
      </c>
      <c r="C1508">
        <v>36</v>
      </c>
      <c r="D1508" t="s">
        <v>1334</v>
      </c>
    </row>
    <row r="1509" spans="1:4" x14ac:dyDescent="0.35">
      <c r="A1509">
        <v>5187</v>
      </c>
      <c r="B1509" t="s">
        <v>1337</v>
      </c>
      <c r="C1509">
        <v>36</v>
      </c>
      <c r="D1509" t="s">
        <v>1338</v>
      </c>
    </row>
    <row r="1510" spans="1:4" x14ac:dyDescent="0.35">
      <c r="A1510">
        <v>5188</v>
      </c>
      <c r="B1510" t="s">
        <v>1341</v>
      </c>
      <c r="C1510">
        <v>36</v>
      </c>
      <c r="D1510" t="s">
        <v>1342</v>
      </c>
    </row>
    <row r="1511" spans="1:4" x14ac:dyDescent="0.35">
      <c r="A1511">
        <v>5189</v>
      </c>
      <c r="B1511" t="s">
        <v>1345</v>
      </c>
      <c r="C1511">
        <v>36</v>
      </c>
      <c r="D1511" t="s">
        <v>1346</v>
      </c>
    </row>
    <row r="1512" spans="1:4" x14ac:dyDescent="0.35">
      <c r="A1512">
        <v>5190</v>
      </c>
      <c r="B1512" t="s">
        <v>1349</v>
      </c>
      <c r="C1512">
        <v>36</v>
      </c>
      <c r="D1512" t="s">
        <v>1350</v>
      </c>
    </row>
    <row r="1513" spans="1:4" x14ac:dyDescent="0.35">
      <c r="A1513">
        <v>5191</v>
      </c>
      <c r="B1513" t="s">
        <v>1353</v>
      </c>
      <c r="C1513">
        <v>36</v>
      </c>
      <c r="D1513" t="s">
        <v>1354</v>
      </c>
    </row>
    <row r="1514" spans="1:4" x14ac:dyDescent="0.35">
      <c r="A1514">
        <v>5192</v>
      </c>
      <c r="B1514" t="s">
        <v>1357</v>
      </c>
      <c r="C1514">
        <v>36</v>
      </c>
      <c r="D1514" t="s">
        <v>1358</v>
      </c>
    </row>
    <row r="1515" spans="1:4" x14ac:dyDescent="0.35">
      <c r="A1515">
        <v>5193</v>
      </c>
      <c r="B1515" t="s">
        <v>1361</v>
      </c>
      <c r="C1515">
        <v>36</v>
      </c>
      <c r="D1515" t="s">
        <v>1362</v>
      </c>
    </row>
    <row r="1516" spans="1:4" x14ac:dyDescent="0.35">
      <c r="A1516">
        <v>5194</v>
      </c>
      <c r="B1516" t="s">
        <v>1937</v>
      </c>
      <c r="C1516">
        <v>36</v>
      </c>
      <c r="D1516" t="s">
        <v>1940</v>
      </c>
    </row>
    <row r="1517" spans="1:4" x14ac:dyDescent="0.35">
      <c r="A1517">
        <v>5195</v>
      </c>
      <c r="B1517" t="s">
        <v>2526</v>
      </c>
      <c r="C1517">
        <v>36</v>
      </c>
      <c r="D1517" t="s">
        <v>2527</v>
      </c>
    </row>
    <row r="1518" spans="1:4" x14ac:dyDescent="0.35">
      <c r="A1518">
        <v>5196</v>
      </c>
      <c r="B1518" t="s">
        <v>2589</v>
      </c>
      <c r="C1518">
        <v>36</v>
      </c>
      <c r="D1518" t="s">
        <v>2590</v>
      </c>
    </row>
    <row r="1519" spans="1:4" x14ac:dyDescent="0.35">
      <c r="A1519">
        <v>5197</v>
      </c>
      <c r="B1519" t="s">
        <v>2612</v>
      </c>
      <c r="C1519">
        <v>36</v>
      </c>
      <c r="D1519" t="s">
        <v>2613</v>
      </c>
    </row>
    <row r="1520" spans="1:4" x14ac:dyDescent="0.35">
      <c r="A1520">
        <v>5198</v>
      </c>
      <c r="B1520" t="s">
        <v>2688</v>
      </c>
      <c r="C1520">
        <v>36</v>
      </c>
      <c r="D1520" t="s">
        <v>2689</v>
      </c>
    </row>
    <row r="1521" spans="1:4" x14ac:dyDescent="0.35">
      <c r="A1521">
        <v>5199</v>
      </c>
      <c r="B1521" t="s">
        <v>2887</v>
      </c>
      <c r="C1521">
        <v>36</v>
      </c>
      <c r="D1521" t="s">
        <v>438</v>
      </c>
    </row>
    <row r="1522" spans="1:4" x14ac:dyDescent="0.35">
      <c r="A1522">
        <v>5200</v>
      </c>
      <c r="B1522" t="s">
        <v>3129</v>
      </c>
      <c r="C1522">
        <v>36</v>
      </c>
      <c r="D1522" t="s">
        <v>3130</v>
      </c>
    </row>
    <row r="1523" spans="1:4" x14ac:dyDescent="0.35">
      <c r="A1523">
        <v>5201</v>
      </c>
      <c r="B1523" t="s">
        <v>4495</v>
      </c>
      <c r="C1523">
        <v>1050</v>
      </c>
      <c r="D1523" t="s">
        <v>2903</v>
      </c>
    </row>
    <row r="1524" spans="1:4" x14ac:dyDescent="0.35">
      <c r="A1524">
        <v>5202</v>
      </c>
      <c r="B1524" t="s">
        <v>4494</v>
      </c>
      <c r="C1524">
        <v>1050</v>
      </c>
      <c r="D1524" t="s">
        <v>2982</v>
      </c>
    </row>
    <row r="1525" spans="1:4" x14ac:dyDescent="0.35">
      <c r="A1525">
        <v>5203</v>
      </c>
      <c r="B1525" t="s">
        <v>2988</v>
      </c>
      <c r="C1525">
        <v>1050</v>
      </c>
      <c r="D1525" t="s">
        <v>2989</v>
      </c>
    </row>
    <row r="1526" spans="1:4" x14ac:dyDescent="0.35">
      <c r="A1526">
        <v>5204</v>
      </c>
      <c r="B1526" t="s">
        <v>2992</v>
      </c>
      <c r="C1526">
        <v>1050</v>
      </c>
      <c r="D1526" t="s">
        <v>2993</v>
      </c>
    </row>
    <row r="1527" spans="1:4" x14ac:dyDescent="0.35">
      <c r="A1527">
        <v>5205</v>
      </c>
      <c r="B1527" t="s">
        <v>2996</v>
      </c>
      <c r="C1527">
        <v>1050</v>
      </c>
      <c r="D1527" t="s">
        <v>2997</v>
      </c>
    </row>
    <row r="1528" spans="1:4" x14ac:dyDescent="0.35">
      <c r="A1528">
        <v>5206</v>
      </c>
      <c r="B1528" t="s">
        <v>3000</v>
      </c>
      <c r="C1528">
        <v>1050</v>
      </c>
      <c r="D1528" t="s">
        <v>3001</v>
      </c>
    </row>
    <row r="1529" spans="1:4" x14ac:dyDescent="0.35">
      <c r="A1529">
        <v>5207</v>
      </c>
      <c r="B1529" t="s">
        <v>4493</v>
      </c>
      <c r="C1529">
        <v>1050</v>
      </c>
      <c r="D1529" t="s">
        <v>2985</v>
      </c>
    </row>
    <row r="1530" spans="1:4" x14ac:dyDescent="0.35">
      <c r="A1530">
        <v>5208</v>
      </c>
      <c r="B1530" t="s">
        <v>4496</v>
      </c>
      <c r="C1530">
        <v>1050</v>
      </c>
      <c r="D1530" t="s">
        <v>3008</v>
      </c>
    </row>
    <row r="1531" spans="1:4" x14ac:dyDescent="0.35">
      <c r="A1531">
        <v>5209</v>
      </c>
      <c r="B1531" t="s">
        <v>4492</v>
      </c>
      <c r="C1531">
        <v>1050</v>
      </c>
      <c r="D1531" t="s">
        <v>3011</v>
      </c>
    </row>
    <row r="1532" spans="1:4" x14ac:dyDescent="0.35">
      <c r="A1532">
        <v>5210</v>
      </c>
      <c r="B1532" t="s">
        <v>3017</v>
      </c>
      <c r="C1532">
        <v>1050</v>
      </c>
      <c r="D1532" t="s">
        <v>3018</v>
      </c>
    </row>
    <row r="1533" spans="1:4" x14ac:dyDescent="0.35">
      <c r="A1533">
        <v>5211</v>
      </c>
      <c r="B1533" t="s">
        <v>3021</v>
      </c>
      <c r="C1533">
        <v>1050</v>
      </c>
      <c r="D1533" t="s">
        <v>3022</v>
      </c>
    </row>
    <row r="1534" spans="1:4" x14ac:dyDescent="0.35">
      <c r="A1534">
        <v>5212</v>
      </c>
      <c r="B1534" t="s">
        <v>3025</v>
      </c>
      <c r="C1534">
        <v>1050</v>
      </c>
      <c r="D1534" t="s">
        <v>3026</v>
      </c>
    </row>
    <row r="1535" spans="1:4" x14ac:dyDescent="0.35">
      <c r="A1535">
        <v>5213</v>
      </c>
      <c r="B1535" t="s">
        <v>3029</v>
      </c>
      <c r="C1535">
        <v>1050</v>
      </c>
      <c r="D1535" t="s">
        <v>3030</v>
      </c>
    </row>
    <row r="1536" spans="1:4" x14ac:dyDescent="0.35">
      <c r="A1536">
        <v>5214</v>
      </c>
      <c r="B1536" t="s">
        <v>3033</v>
      </c>
      <c r="C1536">
        <v>1050</v>
      </c>
      <c r="D1536" t="s">
        <v>3034</v>
      </c>
    </row>
    <row r="1537" spans="1:4" x14ac:dyDescent="0.35">
      <c r="A1537">
        <v>5215</v>
      </c>
      <c r="B1537" t="s">
        <v>3037</v>
      </c>
      <c r="C1537">
        <v>1050</v>
      </c>
      <c r="D1537" t="s">
        <v>3038</v>
      </c>
    </row>
    <row r="1538" spans="1:4" x14ac:dyDescent="0.35">
      <c r="A1538">
        <v>5216</v>
      </c>
      <c r="B1538" t="s">
        <v>4486</v>
      </c>
      <c r="C1538">
        <v>1050</v>
      </c>
      <c r="D1538" t="s">
        <v>3014</v>
      </c>
    </row>
    <row r="1539" spans="1:4" x14ac:dyDescent="0.35">
      <c r="A1539">
        <v>5217</v>
      </c>
      <c r="B1539" t="s">
        <v>4489</v>
      </c>
      <c r="C1539">
        <v>1050</v>
      </c>
      <c r="D1539" t="s">
        <v>3041</v>
      </c>
    </row>
    <row r="1540" spans="1:4" x14ac:dyDescent="0.35">
      <c r="A1540">
        <v>5218</v>
      </c>
      <c r="B1540" t="s">
        <v>4487</v>
      </c>
      <c r="C1540">
        <v>1050</v>
      </c>
      <c r="D1540" t="s">
        <v>3044</v>
      </c>
    </row>
    <row r="1541" spans="1:4" x14ac:dyDescent="0.35">
      <c r="A1541">
        <v>5219</v>
      </c>
      <c r="B1541" t="s">
        <v>3053</v>
      </c>
      <c r="C1541">
        <v>1050</v>
      </c>
      <c r="D1541" t="s">
        <v>3054</v>
      </c>
    </row>
    <row r="1542" spans="1:4" x14ac:dyDescent="0.35">
      <c r="A1542">
        <v>5220</v>
      </c>
      <c r="B1542">
        <v>3013462</v>
      </c>
      <c r="C1542">
        <v>1050</v>
      </c>
      <c r="D1542" t="s">
        <v>2903</v>
      </c>
    </row>
    <row r="1543" spans="1:4" x14ac:dyDescent="0.35">
      <c r="A1543">
        <v>5221</v>
      </c>
      <c r="B1543">
        <v>3013442</v>
      </c>
      <c r="C1543">
        <v>1050</v>
      </c>
      <c r="D1543" t="s">
        <v>3011</v>
      </c>
    </row>
    <row r="1544" spans="1:4" x14ac:dyDescent="0.35">
      <c r="A1544">
        <v>5222</v>
      </c>
      <c r="B1544">
        <v>3013582</v>
      </c>
      <c r="C1544">
        <v>1050</v>
      </c>
      <c r="D1544" t="s">
        <v>3041</v>
      </c>
    </row>
    <row r="1545" spans="1:4" x14ac:dyDescent="0.35">
      <c r="A1545">
        <v>5223</v>
      </c>
      <c r="B1545">
        <v>3013388</v>
      </c>
      <c r="C1545">
        <v>1050</v>
      </c>
      <c r="D1545" t="s">
        <v>3014</v>
      </c>
    </row>
    <row r="1546" spans="1:4" x14ac:dyDescent="0.35">
      <c r="A1546">
        <v>5224</v>
      </c>
      <c r="B1546">
        <v>3013433</v>
      </c>
      <c r="C1546">
        <v>1050</v>
      </c>
      <c r="D1546" t="s">
        <v>2985</v>
      </c>
    </row>
    <row r="1547" spans="1:4" x14ac:dyDescent="0.35">
      <c r="A1547">
        <v>5225</v>
      </c>
      <c r="B1547">
        <v>3013430</v>
      </c>
      <c r="C1547">
        <v>1050</v>
      </c>
      <c r="D1547" t="s">
        <v>3008</v>
      </c>
    </row>
    <row r="1548" spans="1:4" x14ac:dyDescent="0.35">
      <c r="A1548">
        <v>5226</v>
      </c>
      <c r="B1548">
        <v>711977</v>
      </c>
      <c r="C1548">
        <v>651</v>
      </c>
      <c r="D1548" t="s">
        <v>648</v>
      </c>
    </row>
    <row r="1549" spans="1:4" x14ac:dyDescent="0.35">
      <c r="A1549">
        <v>5227</v>
      </c>
      <c r="B1549" t="s">
        <v>745</v>
      </c>
      <c r="C1549">
        <v>652</v>
      </c>
      <c r="D1549" t="s">
        <v>214</v>
      </c>
    </row>
    <row r="1550" spans="1:4" x14ac:dyDescent="0.35">
      <c r="A1550">
        <v>5228</v>
      </c>
      <c r="B1550" t="s">
        <v>1406</v>
      </c>
      <c r="C1550">
        <v>652</v>
      </c>
      <c r="D1550" t="s">
        <v>1407</v>
      </c>
    </row>
    <row r="1551" spans="1:4" x14ac:dyDescent="0.35">
      <c r="A1551">
        <v>5230</v>
      </c>
      <c r="B1551" t="s">
        <v>1481</v>
      </c>
      <c r="C1551">
        <v>652</v>
      </c>
      <c r="D1551" t="s">
        <v>1482</v>
      </c>
    </row>
    <row r="1552" spans="1:4" x14ac:dyDescent="0.35">
      <c r="A1552">
        <v>5231</v>
      </c>
      <c r="B1552" t="s">
        <v>1563</v>
      </c>
      <c r="C1552">
        <v>652</v>
      </c>
      <c r="D1552" t="s">
        <v>272</v>
      </c>
    </row>
    <row r="1553" spans="1:4" x14ac:dyDescent="0.35">
      <c r="A1553">
        <v>5232</v>
      </c>
      <c r="B1553" t="s">
        <v>1933</v>
      </c>
      <c r="C1553">
        <v>652</v>
      </c>
      <c r="D1553" t="s">
        <v>2718</v>
      </c>
    </row>
    <row r="1554" spans="1:4" x14ac:dyDescent="0.35">
      <c r="A1554">
        <v>5234</v>
      </c>
      <c r="B1554" t="s">
        <v>94</v>
      </c>
      <c r="C1554">
        <v>177</v>
      </c>
      <c r="D1554" t="s">
        <v>97</v>
      </c>
    </row>
    <row r="1555" spans="1:4" x14ac:dyDescent="0.35">
      <c r="A1555">
        <v>5236</v>
      </c>
      <c r="B1555" t="s">
        <v>107</v>
      </c>
      <c r="C1555">
        <v>177</v>
      </c>
      <c r="D1555" t="s">
        <v>110</v>
      </c>
    </row>
    <row r="1556" spans="1:4" x14ac:dyDescent="0.35">
      <c r="A1556">
        <v>5238</v>
      </c>
      <c r="B1556" t="s">
        <v>113</v>
      </c>
      <c r="C1556">
        <v>177</v>
      </c>
      <c r="D1556" t="s">
        <v>114</v>
      </c>
    </row>
    <row r="1557" spans="1:4" x14ac:dyDescent="0.35">
      <c r="A1557">
        <v>5239</v>
      </c>
      <c r="B1557" t="s">
        <v>1101</v>
      </c>
      <c r="C1557">
        <v>177</v>
      </c>
      <c r="D1557" t="s">
        <v>459</v>
      </c>
    </row>
    <row r="1558" spans="1:4" x14ac:dyDescent="0.35">
      <c r="A1558">
        <v>5241</v>
      </c>
      <c r="B1558" t="s">
        <v>86</v>
      </c>
      <c r="C1558">
        <v>1057</v>
      </c>
      <c r="D1558" t="s">
        <v>89</v>
      </c>
    </row>
    <row r="1559" spans="1:4" x14ac:dyDescent="0.35">
      <c r="A1559">
        <v>5243</v>
      </c>
      <c r="B1559" t="s">
        <v>117</v>
      </c>
      <c r="C1559">
        <v>1057</v>
      </c>
      <c r="D1559" t="s">
        <v>118</v>
      </c>
    </row>
    <row r="1560" spans="1:4" x14ac:dyDescent="0.35">
      <c r="A1560">
        <v>5244</v>
      </c>
      <c r="B1560" t="s">
        <v>157</v>
      </c>
      <c r="C1560">
        <v>146</v>
      </c>
      <c r="D1560" t="s">
        <v>160</v>
      </c>
    </row>
    <row r="1561" spans="1:4" x14ac:dyDescent="0.35">
      <c r="A1561">
        <v>5245</v>
      </c>
      <c r="B1561" t="s">
        <v>163</v>
      </c>
      <c r="C1561">
        <v>146</v>
      </c>
      <c r="D1561" t="s">
        <v>164</v>
      </c>
    </row>
    <row r="1562" spans="1:4" x14ac:dyDescent="0.35">
      <c r="A1562">
        <v>5246</v>
      </c>
      <c r="B1562" t="s">
        <v>167</v>
      </c>
      <c r="C1562">
        <v>146</v>
      </c>
      <c r="D1562" t="s">
        <v>168</v>
      </c>
    </row>
    <row r="1563" spans="1:4" x14ac:dyDescent="0.35">
      <c r="A1563">
        <v>5247</v>
      </c>
      <c r="B1563" t="s">
        <v>86</v>
      </c>
      <c r="C1563">
        <v>1057</v>
      </c>
      <c r="D1563" t="s">
        <v>89</v>
      </c>
    </row>
    <row r="1564" spans="1:4" x14ac:dyDescent="0.35">
      <c r="A1564">
        <v>5248</v>
      </c>
      <c r="B1564" t="s">
        <v>117</v>
      </c>
      <c r="C1564">
        <v>1057</v>
      </c>
      <c r="D1564" t="s">
        <v>118</v>
      </c>
    </row>
    <row r="1565" spans="1:4" x14ac:dyDescent="0.35">
      <c r="A1565">
        <v>5249</v>
      </c>
      <c r="B1565" t="s">
        <v>171</v>
      </c>
      <c r="C1565">
        <v>146</v>
      </c>
      <c r="D1565" t="s">
        <v>172</v>
      </c>
    </row>
    <row r="1566" spans="1:4" x14ac:dyDescent="0.35">
      <c r="A1566">
        <v>5250</v>
      </c>
      <c r="B1566" t="s">
        <v>175</v>
      </c>
      <c r="C1566">
        <v>146</v>
      </c>
      <c r="D1566" t="s">
        <v>178</v>
      </c>
    </row>
    <row r="1567" spans="1:4" x14ac:dyDescent="0.35">
      <c r="A1567">
        <v>5251</v>
      </c>
      <c r="B1567" t="s">
        <v>181</v>
      </c>
      <c r="C1567">
        <v>146</v>
      </c>
      <c r="D1567" t="s">
        <v>182</v>
      </c>
    </row>
    <row r="1568" spans="1:4" x14ac:dyDescent="0.35">
      <c r="A1568">
        <v>5252</v>
      </c>
      <c r="B1568" t="s">
        <v>185</v>
      </c>
      <c r="C1568">
        <v>146</v>
      </c>
      <c r="D1568" t="s">
        <v>186</v>
      </c>
    </row>
    <row r="1569" spans="1:4" x14ac:dyDescent="0.35">
      <c r="A1569">
        <v>5253</v>
      </c>
      <c r="B1569" t="s">
        <v>189</v>
      </c>
      <c r="C1569">
        <v>146</v>
      </c>
      <c r="D1569" t="s">
        <v>190</v>
      </c>
    </row>
    <row r="1570" spans="1:4" x14ac:dyDescent="0.35">
      <c r="A1570">
        <v>5254</v>
      </c>
      <c r="B1570" t="s">
        <v>193</v>
      </c>
      <c r="C1570">
        <v>146</v>
      </c>
      <c r="D1570" t="s">
        <v>194</v>
      </c>
    </row>
    <row r="1571" spans="1:4" x14ac:dyDescent="0.35">
      <c r="A1571">
        <v>5255</v>
      </c>
      <c r="B1571" t="s">
        <v>197</v>
      </c>
      <c r="C1571">
        <v>146</v>
      </c>
      <c r="D1571" t="s">
        <v>200</v>
      </c>
    </row>
    <row r="1572" spans="1:4" x14ac:dyDescent="0.35">
      <c r="A1572">
        <v>5256</v>
      </c>
      <c r="B1572" t="s">
        <v>203</v>
      </c>
      <c r="C1572">
        <v>146</v>
      </c>
      <c r="D1572" t="s">
        <v>204</v>
      </c>
    </row>
    <row r="1573" spans="1:4" x14ac:dyDescent="0.35">
      <c r="A1573">
        <v>5257</v>
      </c>
      <c r="B1573" t="s">
        <v>207</v>
      </c>
      <c r="C1573">
        <v>146</v>
      </c>
      <c r="D1573" t="s">
        <v>210</v>
      </c>
    </row>
    <row r="1574" spans="1:4" x14ac:dyDescent="0.35">
      <c r="A1574">
        <v>5258</v>
      </c>
      <c r="B1574" t="s">
        <v>213</v>
      </c>
      <c r="C1574">
        <v>146</v>
      </c>
      <c r="D1574" t="s">
        <v>214</v>
      </c>
    </row>
    <row r="1575" spans="1:4" x14ac:dyDescent="0.35">
      <c r="A1575">
        <v>5259</v>
      </c>
      <c r="B1575" t="s">
        <v>217</v>
      </c>
      <c r="C1575">
        <v>146</v>
      </c>
      <c r="D1575" t="s">
        <v>220</v>
      </c>
    </row>
    <row r="1576" spans="1:4" x14ac:dyDescent="0.35">
      <c r="A1576">
        <v>5260</v>
      </c>
      <c r="B1576" t="s">
        <v>223</v>
      </c>
      <c r="C1576">
        <v>146</v>
      </c>
      <c r="D1576" t="s">
        <v>224</v>
      </c>
    </row>
    <row r="1577" spans="1:4" x14ac:dyDescent="0.35">
      <c r="A1577">
        <v>5261</v>
      </c>
      <c r="B1577" t="s">
        <v>227</v>
      </c>
      <c r="C1577">
        <v>146</v>
      </c>
      <c r="D1577" t="s">
        <v>228</v>
      </c>
    </row>
    <row r="1578" spans="1:4" x14ac:dyDescent="0.35">
      <c r="A1578">
        <v>5262</v>
      </c>
      <c r="B1578" t="s">
        <v>231</v>
      </c>
      <c r="C1578">
        <v>146</v>
      </c>
      <c r="D1578" t="s">
        <v>232</v>
      </c>
    </row>
    <row r="1579" spans="1:4" x14ac:dyDescent="0.35">
      <c r="A1579">
        <v>5263</v>
      </c>
      <c r="B1579" t="s">
        <v>235</v>
      </c>
      <c r="C1579">
        <v>146</v>
      </c>
      <c r="D1579" t="s">
        <v>236</v>
      </c>
    </row>
    <row r="1580" spans="1:4" x14ac:dyDescent="0.35">
      <c r="A1580">
        <v>5264</v>
      </c>
      <c r="B1580" t="s">
        <v>239</v>
      </c>
      <c r="C1580">
        <v>146</v>
      </c>
      <c r="D1580" t="s">
        <v>240</v>
      </c>
    </row>
    <row r="1581" spans="1:4" x14ac:dyDescent="0.35">
      <c r="A1581">
        <v>5265</v>
      </c>
      <c r="B1581" t="s">
        <v>243</v>
      </c>
      <c r="C1581">
        <v>146</v>
      </c>
      <c r="D1581" t="s">
        <v>244</v>
      </c>
    </row>
    <row r="1582" spans="1:4" x14ac:dyDescent="0.35">
      <c r="A1582">
        <v>5266</v>
      </c>
      <c r="B1582" t="s">
        <v>247</v>
      </c>
      <c r="C1582">
        <v>146</v>
      </c>
      <c r="D1582" t="s">
        <v>248</v>
      </c>
    </row>
    <row r="1583" spans="1:4" x14ac:dyDescent="0.35">
      <c r="A1583">
        <v>5267</v>
      </c>
      <c r="B1583" t="s">
        <v>251</v>
      </c>
      <c r="C1583">
        <v>146</v>
      </c>
      <c r="D1583" t="s">
        <v>252</v>
      </c>
    </row>
    <row r="1584" spans="1:4" x14ac:dyDescent="0.35">
      <c r="A1584">
        <v>5268</v>
      </c>
      <c r="B1584" t="s">
        <v>255</v>
      </c>
      <c r="C1584">
        <v>146</v>
      </c>
      <c r="D1584" t="s">
        <v>256</v>
      </c>
    </row>
    <row r="1585" spans="1:4" x14ac:dyDescent="0.35">
      <c r="A1585">
        <v>5269</v>
      </c>
      <c r="B1585" t="s">
        <v>259</v>
      </c>
      <c r="C1585">
        <v>146</v>
      </c>
      <c r="D1585" t="s">
        <v>260</v>
      </c>
    </row>
    <row r="1586" spans="1:4" x14ac:dyDescent="0.35">
      <c r="A1586">
        <v>5270</v>
      </c>
      <c r="B1586" t="s">
        <v>263</v>
      </c>
      <c r="C1586">
        <v>146</v>
      </c>
      <c r="D1586" t="s">
        <v>264</v>
      </c>
    </row>
    <row r="1587" spans="1:4" x14ac:dyDescent="0.35">
      <c r="A1587">
        <v>5271</v>
      </c>
      <c r="B1587" t="s">
        <v>267</v>
      </c>
      <c r="C1587">
        <v>146</v>
      </c>
      <c r="D1587" t="s">
        <v>268</v>
      </c>
    </row>
    <row r="1588" spans="1:4" x14ac:dyDescent="0.35">
      <c r="A1588">
        <v>5272</v>
      </c>
      <c r="B1588" t="s">
        <v>271</v>
      </c>
      <c r="C1588">
        <v>146</v>
      </c>
      <c r="D1588" t="s">
        <v>272</v>
      </c>
    </row>
    <row r="1589" spans="1:4" x14ac:dyDescent="0.35">
      <c r="A1589">
        <v>5273</v>
      </c>
      <c r="B1589" t="s">
        <v>275</v>
      </c>
      <c r="C1589">
        <v>146</v>
      </c>
      <c r="D1589" t="s">
        <v>276</v>
      </c>
    </row>
    <row r="1590" spans="1:4" x14ac:dyDescent="0.35">
      <c r="A1590">
        <v>5275</v>
      </c>
      <c r="B1590" t="s">
        <v>283</v>
      </c>
      <c r="C1590">
        <v>146</v>
      </c>
      <c r="D1590" t="s">
        <v>284</v>
      </c>
    </row>
    <row r="1591" spans="1:4" x14ac:dyDescent="0.35">
      <c r="A1591">
        <v>5276</v>
      </c>
      <c r="B1591" t="s">
        <v>287</v>
      </c>
      <c r="C1591">
        <v>146</v>
      </c>
      <c r="D1591" t="s">
        <v>288</v>
      </c>
    </row>
    <row r="1592" spans="1:4" x14ac:dyDescent="0.35">
      <c r="A1592">
        <v>5277</v>
      </c>
      <c r="B1592" t="s">
        <v>291</v>
      </c>
      <c r="C1592">
        <v>146</v>
      </c>
      <c r="D1592" t="s">
        <v>292</v>
      </c>
    </row>
    <row r="1593" spans="1:4" x14ac:dyDescent="0.35">
      <c r="A1593">
        <v>5278</v>
      </c>
      <c r="B1593" t="s">
        <v>295</v>
      </c>
      <c r="C1593">
        <v>146</v>
      </c>
      <c r="D1593" t="s">
        <v>296</v>
      </c>
    </row>
    <row r="1594" spans="1:4" x14ac:dyDescent="0.35">
      <c r="A1594">
        <v>5279</v>
      </c>
      <c r="B1594" t="s">
        <v>335</v>
      </c>
      <c r="C1594">
        <v>146</v>
      </c>
      <c r="D1594" t="s">
        <v>336</v>
      </c>
    </row>
    <row r="1595" spans="1:4" x14ac:dyDescent="0.35">
      <c r="A1595">
        <v>5280</v>
      </c>
      <c r="B1595" t="s">
        <v>339</v>
      </c>
      <c r="C1595">
        <v>146</v>
      </c>
      <c r="D1595" t="s">
        <v>342</v>
      </c>
    </row>
    <row r="1596" spans="1:4" x14ac:dyDescent="0.35">
      <c r="A1596">
        <v>5281</v>
      </c>
      <c r="B1596" t="s">
        <v>369</v>
      </c>
      <c r="C1596">
        <v>146</v>
      </c>
      <c r="D1596" t="s">
        <v>370</v>
      </c>
    </row>
    <row r="1597" spans="1:4" x14ac:dyDescent="0.35">
      <c r="A1597">
        <v>5282</v>
      </c>
      <c r="B1597" t="s">
        <v>373</v>
      </c>
      <c r="C1597">
        <v>146</v>
      </c>
      <c r="D1597" t="s">
        <v>374</v>
      </c>
    </row>
    <row r="1598" spans="1:4" x14ac:dyDescent="0.35">
      <c r="A1598">
        <v>5283</v>
      </c>
      <c r="B1598" t="s">
        <v>377</v>
      </c>
      <c r="C1598">
        <v>146</v>
      </c>
      <c r="D1598" t="s">
        <v>378</v>
      </c>
    </row>
    <row r="1599" spans="1:4" x14ac:dyDescent="0.35">
      <c r="A1599">
        <v>5284</v>
      </c>
      <c r="B1599" t="s">
        <v>381</v>
      </c>
      <c r="C1599">
        <v>146</v>
      </c>
      <c r="D1599" t="s">
        <v>382</v>
      </c>
    </row>
    <row r="1600" spans="1:4" x14ac:dyDescent="0.35">
      <c r="A1600">
        <v>5285</v>
      </c>
      <c r="B1600" t="s">
        <v>385</v>
      </c>
      <c r="C1600">
        <v>146</v>
      </c>
      <c r="D1600" t="s">
        <v>386</v>
      </c>
    </row>
    <row r="1601" spans="1:4" x14ac:dyDescent="0.35">
      <c r="A1601">
        <v>5286</v>
      </c>
      <c r="B1601" t="s">
        <v>389</v>
      </c>
      <c r="C1601">
        <v>146</v>
      </c>
      <c r="D1601" t="s">
        <v>390</v>
      </c>
    </row>
    <row r="1602" spans="1:4" x14ac:dyDescent="0.35">
      <c r="A1602">
        <v>5287</v>
      </c>
      <c r="B1602" t="s">
        <v>393</v>
      </c>
      <c r="C1602">
        <v>146</v>
      </c>
      <c r="D1602" t="s">
        <v>394</v>
      </c>
    </row>
    <row r="1603" spans="1:4" x14ac:dyDescent="0.35">
      <c r="A1603">
        <v>5288</v>
      </c>
      <c r="B1603" t="s">
        <v>397</v>
      </c>
      <c r="C1603">
        <v>146</v>
      </c>
      <c r="D1603" t="s">
        <v>398</v>
      </c>
    </row>
    <row r="1604" spans="1:4" x14ac:dyDescent="0.35">
      <c r="A1604">
        <v>5289</v>
      </c>
      <c r="B1604" t="s">
        <v>401</v>
      </c>
      <c r="C1604">
        <v>146</v>
      </c>
      <c r="D1604" t="s">
        <v>404</v>
      </c>
    </row>
    <row r="1605" spans="1:4" x14ac:dyDescent="0.35">
      <c r="A1605">
        <v>5290</v>
      </c>
      <c r="B1605" t="s">
        <v>407</v>
      </c>
      <c r="C1605">
        <v>146</v>
      </c>
      <c r="D1605" t="s">
        <v>408</v>
      </c>
    </row>
    <row r="1606" spans="1:4" x14ac:dyDescent="0.35">
      <c r="A1606">
        <v>5291</v>
      </c>
      <c r="B1606" t="s">
        <v>411</v>
      </c>
      <c r="C1606">
        <v>146</v>
      </c>
      <c r="D1606" t="s">
        <v>412</v>
      </c>
    </row>
    <row r="1607" spans="1:4" x14ac:dyDescent="0.35">
      <c r="A1607">
        <v>5292</v>
      </c>
      <c r="B1607" t="s">
        <v>415</v>
      </c>
      <c r="C1607">
        <v>146</v>
      </c>
      <c r="D1607" t="s">
        <v>416</v>
      </c>
    </row>
    <row r="1608" spans="1:4" x14ac:dyDescent="0.35">
      <c r="A1608">
        <v>5293</v>
      </c>
      <c r="B1608" t="s">
        <v>419</v>
      </c>
      <c r="C1608">
        <v>146</v>
      </c>
      <c r="D1608" t="s">
        <v>420</v>
      </c>
    </row>
    <row r="1609" spans="1:4" x14ac:dyDescent="0.35">
      <c r="A1609">
        <v>5294</v>
      </c>
      <c r="B1609" t="s">
        <v>423</v>
      </c>
      <c r="C1609">
        <v>146</v>
      </c>
      <c r="D1609" t="s">
        <v>424</v>
      </c>
    </row>
    <row r="1610" spans="1:4" x14ac:dyDescent="0.35">
      <c r="A1610">
        <v>5295</v>
      </c>
      <c r="B1610" t="s">
        <v>437</v>
      </c>
      <c r="C1610">
        <v>146</v>
      </c>
      <c r="D1610" t="s">
        <v>438</v>
      </c>
    </row>
    <row r="1611" spans="1:4" x14ac:dyDescent="0.35">
      <c r="A1611">
        <v>5296</v>
      </c>
      <c r="B1611" t="s">
        <v>327</v>
      </c>
      <c r="C1611">
        <v>1057</v>
      </c>
      <c r="D1611" t="s">
        <v>149</v>
      </c>
    </row>
    <row r="1612" spans="1:4" x14ac:dyDescent="0.35">
      <c r="A1612">
        <v>5297</v>
      </c>
      <c r="B1612" t="s">
        <v>571</v>
      </c>
      <c r="C1612">
        <v>146</v>
      </c>
      <c r="D1612" t="s">
        <v>488</v>
      </c>
    </row>
    <row r="1613" spans="1:4" x14ac:dyDescent="0.35">
      <c r="A1613">
        <v>5298</v>
      </c>
      <c r="B1613" t="s">
        <v>373</v>
      </c>
      <c r="C1613">
        <v>146</v>
      </c>
      <c r="D1613" t="s">
        <v>374</v>
      </c>
    </row>
    <row r="1614" spans="1:4" x14ac:dyDescent="0.35">
      <c r="A1614">
        <v>5299</v>
      </c>
      <c r="B1614" t="s">
        <v>815</v>
      </c>
      <c r="C1614">
        <v>146</v>
      </c>
      <c r="D1614" t="s">
        <v>816</v>
      </c>
    </row>
    <row r="1615" spans="1:4" x14ac:dyDescent="0.35">
      <c r="A1615">
        <v>5300</v>
      </c>
      <c r="B1615" t="s">
        <v>231</v>
      </c>
      <c r="C1615">
        <v>146</v>
      </c>
      <c r="D1615" t="s">
        <v>232</v>
      </c>
    </row>
    <row r="1616" spans="1:4" x14ac:dyDescent="0.35">
      <c r="A1616">
        <v>5301</v>
      </c>
      <c r="B1616" t="s">
        <v>3216</v>
      </c>
      <c r="C1616">
        <v>146</v>
      </c>
      <c r="D1616" t="s">
        <v>3217</v>
      </c>
    </row>
    <row r="1617" spans="1:4" x14ac:dyDescent="0.35">
      <c r="A1617">
        <v>5302</v>
      </c>
      <c r="B1617" t="s">
        <v>881</v>
      </c>
      <c r="C1617">
        <v>146</v>
      </c>
      <c r="D1617" t="s">
        <v>467</v>
      </c>
    </row>
    <row r="1618" spans="1:4" x14ac:dyDescent="0.35">
      <c r="A1618">
        <v>5303</v>
      </c>
      <c r="B1618" t="s">
        <v>884</v>
      </c>
      <c r="C1618">
        <v>146</v>
      </c>
      <c r="D1618" t="s">
        <v>885</v>
      </c>
    </row>
    <row r="1619" spans="1:4" x14ac:dyDescent="0.35">
      <c r="A1619">
        <v>5306</v>
      </c>
      <c r="B1619" t="s">
        <v>571</v>
      </c>
      <c r="C1619">
        <v>146</v>
      </c>
      <c r="D1619" t="s">
        <v>488</v>
      </c>
    </row>
    <row r="1620" spans="1:4" x14ac:dyDescent="0.35">
      <c r="A1620">
        <v>5309</v>
      </c>
      <c r="B1620" t="s">
        <v>1107</v>
      </c>
      <c r="C1620">
        <v>146</v>
      </c>
      <c r="D1620" t="s">
        <v>1108</v>
      </c>
    </row>
    <row r="1621" spans="1:4" x14ac:dyDescent="0.35">
      <c r="A1621">
        <v>5312</v>
      </c>
      <c r="B1621" t="s">
        <v>1181</v>
      </c>
      <c r="C1621">
        <v>146</v>
      </c>
      <c r="D1621" t="s">
        <v>1182</v>
      </c>
    </row>
    <row r="1622" spans="1:4" x14ac:dyDescent="0.35">
      <c r="A1622">
        <v>5315</v>
      </c>
      <c r="B1622" t="s">
        <v>697</v>
      </c>
      <c r="C1622">
        <v>146</v>
      </c>
      <c r="D1622" t="s">
        <v>491</v>
      </c>
    </row>
    <row r="1623" spans="1:4" x14ac:dyDescent="0.35">
      <c r="A1623">
        <v>5317</v>
      </c>
      <c r="B1623" t="s">
        <v>373</v>
      </c>
      <c r="C1623">
        <v>146</v>
      </c>
      <c r="D1623" t="s">
        <v>374</v>
      </c>
    </row>
    <row r="1624" spans="1:4" x14ac:dyDescent="0.35">
      <c r="A1624">
        <v>5318</v>
      </c>
      <c r="B1624" t="s">
        <v>267</v>
      </c>
      <c r="C1624">
        <v>146</v>
      </c>
      <c r="D1624" t="s">
        <v>268</v>
      </c>
    </row>
    <row r="1625" spans="1:4" x14ac:dyDescent="0.35">
      <c r="A1625">
        <v>5321</v>
      </c>
      <c r="B1625" t="s">
        <v>1517</v>
      </c>
      <c r="C1625">
        <v>146</v>
      </c>
      <c r="D1625" t="s">
        <v>1518</v>
      </c>
    </row>
    <row r="1626" spans="1:4" x14ac:dyDescent="0.35">
      <c r="A1626">
        <v>5324</v>
      </c>
      <c r="B1626" t="s">
        <v>1522</v>
      </c>
      <c r="C1626">
        <v>146</v>
      </c>
      <c r="D1626" t="s">
        <v>502</v>
      </c>
    </row>
    <row r="1627" spans="1:4" x14ac:dyDescent="0.35">
      <c r="A1627">
        <v>5327</v>
      </c>
      <c r="B1627" t="s">
        <v>1528</v>
      </c>
      <c r="C1627">
        <v>146</v>
      </c>
      <c r="D1627" t="s">
        <v>1529</v>
      </c>
    </row>
    <row r="1628" spans="1:4" x14ac:dyDescent="0.35">
      <c r="A1628">
        <v>5329</v>
      </c>
      <c r="B1628" t="s">
        <v>815</v>
      </c>
      <c r="C1628">
        <v>146</v>
      </c>
      <c r="D1628" t="s">
        <v>816</v>
      </c>
    </row>
    <row r="1629" spans="1:4" x14ac:dyDescent="0.35">
      <c r="A1629">
        <v>5332</v>
      </c>
      <c r="B1629" t="s">
        <v>419</v>
      </c>
      <c r="C1629">
        <v>146</v>
      </c>
      <c r="D1629" t="s">
        <v>420</v>
      </c>
    </row>
    <row r="1630" spans="1:4" x14ac:dyDescent="0.35">
      <c r="A1630">
        <v>5335</v>
      </c>
      <c r="B1630" t="s">
        <v>625</v>
      </c>
      <c r="C1630">
        <v>146</v>
      </c>
      <c r="D1630" t="s">
        <v>496</v>
      </c>
    </row>
    <row r="1631" spans="1:4" x14ac:dyDescent="0.35">
      <c r="A1631">
        <v>5337</v>
      </c>
      <c r="B1631" t="s">
        <v>207</v>
      </c>
      <c r="C1631">
        <v>146</v>
      </c>
      <c r="D1631" t="s">
        <v>210</v>
      </c>
    </row>
    <row r="1632" spans="1:4" x14ac:dyDescent="0.35">
      <c r="A1632">
        <v>5339</v>
      </c>
      <c r="B1632" t="s">
        <v>1551</v>
      </c>
      <c r="C1632">
        <v>146</v>
      </c>
      <c r="D1632" t="s">
        <v>1552</v>
      </c>
    </row>
    <row r="1633" spans="1:4" x14ac:dyDescent="0.35">
      <c r="A1633">
        <v>5340</v>
      </c>
      <c r="B1633" t="s">
        <v>1598</v>
      </c>
      <c r="C1633">
        <v>146</v>
      </c>
      <c r="D1633" t="s">
        <v>1599</v>
      </c>
    </row>
    <row r="1634" spans="1:4" x14ac:dyDescent="0.35">
      <c r="A1634">
        <v>5341</v>
      </c>
      <c r="B1634" t="s">
        <v>1598</v>
      </c>
      <c r="C1634">
        <v>146</v>
      </c>
      <c r="D1634" t="s">
        <v>1599</v>
      </c>
    </row>
    <row r="1635" spans="1:4" x14ac:dyDescent="0.35">
      <c r="A1635">
        <v>5342</v>
      </c>
      <c r="B1635" t="s">
        <v>197</v>
      </c>
      <c r="C1635">
        <v>146</v>
      </c>
      <c r="D1635" t="s">
        <v>200</v>
      </c>
    </row>
    <row r="1636" spans="1:4" x14ac:dyDescent="0.35">
      <c r="A1636">
        <v>5345</v>
      </c>
      <c r="B1636" t="s">
        <v>259</v>
      </c>
      <c r="C1636">
        <v>146</v>
      </c>
      <c r="D1636" t="s">
        <v>260</v>
      </c>
    </row>
    <row r="1637" spans="1:4" x14ac:dyDescent="0.35">
      <c r="A1637">
        <v>5348</v>
      </c>
      <c r="B1637" t="s">
        <v>239</v>
      </c>
      <c r="C1637">
        <v>146</v>
      </c>
      <c r="D1637" t="s">
        <v>240</v>
      </c>
    </row>
    <row r="1638" spans="1:4" x14ac:dyDescent="0.35">
      <c r="A1638">
        <v>5350</v>
      </c>
      <c r="B1638" t="s">
        <v>271</v>
      </c>
      <c r="C1638">
        <v>146</v>
      </c>
      <c r="D1638" t="s">
        <v>272</v>
      </c>
    </row>
    <row r="1639" spans="1:4" x14ac:dyDescent="0.35">
      <c r="A1639">
        <v>5351</v>
      </c>
      <c r="B1639" t="s">
        <v>283</v>
      </c>
      <c r="C1639">
        <v>146</v>
      </c>
      <c r="D1639" t="s">
        <v>284</v>
      </c>
    </row>
    <row r="1640" spans="1:4" x14ac:dyDescent="0.35">
      <c r="A1640">
        <v>5353</v>
      </c>
      <c r="B1640" t="s">
        <v>291</v>
      </c>
      <c r="C1640">
        <v>146</v>
      </c>
      <c r="D1640" t="s">
        <v>292</v>
      </c>
    </row>
    <row r="1641" spans="1:4" x14ac:dyDescent="0.35">
      <c r="A1641">
        <v>5354</v>
      </c>
      <c r="B1641" t="s">
        <v>385</v>
      </c>
      <c r="C1641">
        <v>146</v>
      </c>
      <c r="D1641" t="s">
        <v>386</v>
      </c>
    </row>
    <row r="1642" spans="1:4" x14ac:dyDescent="0.35">
      <c r="A1642">
        <v>5357</v>
      </c>
      <c r="B1642" t="s">
        <v>393</v>
      </c>
      <c r="C1642">
        <v>146</v>
      </c>
      <c r="D1642" t="s">
        <v>394</v>
      </c>
    </row>
    <row r="1643" spans="1:4" x14ac:dyDescent="0.35">
      <c r="A1643">
        <v>5360</v>
      </c>
      <c r="B1643" t="s">
        <v>251</v>
      </c>
      <c r="C1643">
        <v>146</v>
      </c>
      <c r="D1643" t="s">
        <v>252</v>
      </c>
    </row>
    <row r="1644" spans="1:4" x14ac:dyDescent="0.35">
      <c r="A1644">
        <v>5363</v>
      </c>
      <c r="B1644" t="s">
        <v>255</v>
      </c>
      <c r="C1644">
        <v>146</v>
      </c>
      <c r="D1644" t="s">
        <v>256</v>
      </c>
    </row>
    <row r="1645" spans="1:4" x14ac:dyDescent="0.35">
      <c r="A1645">
        <v>5366</v>
      </c>
      <c r="B1645" t="s">
        <v>397</v>
      </c>
      <c r="C1645">
        <v>146</v>
      </c>
      <c r="D1645" t="s">
        <v>398</v>
      </c>
    </row>
    <row r="1646" spans="1:4" x14ac:dyDescent="0.35">
      <c r="A1646">
        <v>5368</v>
      </c>
      <c r="B1646" t="s">
        <v>381</v>
      </c>
      <c r="C1646">
        <v>146</v>
      </c>
      <c r="D1646" t="s">
        <v>382</v>
      </c>
    </row>
    <row r="1647" spans="1:4" x14ac:dyDescent="0.35">
      <c r="A1647">
        <v>5369</v>
      </c>
      <c r="B1647" t="s">
        <v>385</v>
      </c>
      <c r="C1647">
        <v>146</v>
      </c>
      <c r="D1647" t="s">
        <v>386</v>
      </c>
    </row>
    <row r="1648" spans="1:4" x14ac:dyDescent="0.35">
      <c r="A1648">
        <v>5372</v>
      </c>
      <c r="B1648" t="s">
        <v>389</v>
      </c>
      <c r="C1648">
        <v>146</v>
      </c>
      <c r="D1648" t="s">
        <v>390</v>
      </c>
    </row>
    <row r="1649" spans="1:4" x14ac:dyDescent="0.35">
      <c r="A1649">
        <v>5373</v>
      </c>
      <c r="B1649" t="s">
        <v>401</v>
      </c>
      <c r="C1649">
        <v>146</v>
      </c>
      <c r="D1649" t="s">
        <v>404</v>
      </c>
    </row>
    <row r="1650" spans="1:4" x14ac:dyDescent="0.35">
      <c r="A1650">
        <v>5375</v>
      </c>
      <c r="B1650" t="s">
        <v>2198</v>
      </c>
      <c r="C1650">
        <v>146</v>
      </c>
      <c r="D1650" t="s">
        <v>2199</v>
      </c>
    </row>
    <row r="1651" spans="1:4" x14ac:dyDescent="0.35">
      <c r="A1651">
        <v>5376</v>
      </c>
      <c r="B1651" t="s">
        <v>407</v>
      </c>
      <c r="C1651">
        <v>146</v>
      </c>
      <c r="D1651" t="s">
        <v>408</v>
      </c>
    </row>
    <row r="1652" spans="1:4" x14ac:dyDescent="0.35">
      <c r="A1652">
        <v>5377</v>
      </c>
      <c r="B1652" t="s">
        <v>335</v>
      </c>
      <c r="C1652">
        <v>146</v>
      </c>
      <c r="D1652" t="s">
        <v>336</v>
      </c>
    </row>
    <row r="1653" spans="1:4" x14ac:dyDescent="0.35">
      <c r="A1653">
        <v>5378</v>
      </c>
      <c r="B1653" t="s">
        <v>213</v>
      </c>
      <c r="C1653">
        <v>146</v>
      </c>
      <c r="D1653" t="s">
        <v>214</v>
      </c>
    </row>
    <row r="1654" spans="1:4" x14ac:dyDescent="0.35">
      <c r="A1654">
        <v>5380</v>
      </c>
      <c r="B1654" t="s">
        <v>263</v>
      </c>
      <c r="C1654">
        <v>146</v>
      </c>
      <c r="D1654" t="s">
        <v>264</v>
      </c>
    </row>
    <row r="1655" spans="1:4" x14ac:dyDescent="0.35">
      <c r="A1655">
        <v>5381</v>
      </c>
      <c r="B1655" t="s">
        <v>369</v>
      </c>
      <c r="C1655">
        <v>146</v>
      </c>
      <c r="D1655" t="s">
        <v>370</v>
      </c>
    </row>
    <row r="1656" spans="1:4" x14ac:dyDescent="0.35">
      <c r="A1656">
        <v>5383</v>
      </c>
      <c r="B1656" t="s">
        <v>227</v>
      </c>
      <c r="C1656">
        <v>146</v>
      </c>
      <c r="D1656" t="s">
        <v>228</v>
      </c>
    </row>
    <row r="1657" spans="1:4" x14ac:dyDescent="0.35">
      <c r="A1657">
        <v>5385</v>
      </c>
      <c r="B1657" t="s">
        <v>217</v>
      </c>
      <c r="C1657">
        <v>146</v>
      </c>
      <c r="D1657" t="s">
        <v>220</v>
      </c>
    </row>
    <row r="1658" spans="1:4" x14ac:dyDescent="0.35">
      <c r="A1658">
        <v>5387</v>
      </c>
      <c r="B1658" t="s">
        <v>287</v>
      </c>
      <c r="C1658">
        <v>146</v>
      </c>
      <c r="D1658" t="s">
        <v>288</v>
      </c>
    </row>
    <row r="1659" spans="1:4" x14ac:dyDescent="0.35">
      <c r="A1659">
        <v>5388</v>
      </c>
      <c r="B1659" t="s">
        <v>377</v>
      </c>
      <c r="C1659">
        <v>146</v>
      </c>
      <c r="D1659" t="s">
        <v>378</v>
      </c>
    </row>
    <row r="1660" spans="1:4" x14ac:dyDescent="0.35">
      <c r="A1660">
        <v>5389</v>
      </c>
      <c r="B1660" t="s">
        <v>339</v>
      </c>
      <c r="C1660">
        <v>146</v>
      </c>
      <c r="D1660" t="s">
        <v>342</v>
      </c>
    </row>
    <row r="1661" spans="1:4" x14ac:dyDescent="0.35">
      <c r="A1661">
        <v>5390</v>
      </c>
      <c r="B1661" t="s">
        <v>231</v>
      </c>
      <c r="C1661">
        <v>146</v>
      </c>
      <c r="D1661" t="s">
        <v>232</v>
      </c>
    </row>
    <row r="1662" spans="1:4" x14ac:dyDescent="0.35">
      <c r="A1662">
        <v>5391</v>
      </c>
      <c r="B1662" t="s">
        <v>235</v>
      </c>
      <c r="C1662">
        <v>146</v>
      </c>
      <c r="D1662" t="s">
        <v>236</v>
      </c>
    </row>
    <row r="1663" spans="1:4" x14ac:dyDescent="0.35">
      <c r="A1663">
        <v>5393</v>
      </c>
      <c r="B1663" t="s">
        <v>2486</v>
      </c>
      <c r="C1663">
        <v>146</v>
      </c>
      <c r="D1663" t="s">
        <v>2487</v>
      </c>
    </row>
    <row r="1664" spans="1:4" x14ac:dyDescent="0.35">
      <c r="A1664">
        <v>5395</v>
      </c>
      <c r="B1664" t="s">
        <v>2495</v>
      </c>
      <c r="C1664">
        <v>146</v>
      </c>
      <c r="D1664" t="s">
        <v>2496</v>
      </c>
    </row>
    <row r="1665" spans="1:4" x14ac:dyDescent="0.35">
      <c r="A1665">
        <v>5397</v>
      </c>
      <c r="B1665" t="s">
        <v>193</v>
      </c>
      <c r="C1665">
        <v>146</v>
      </c>
      <c r="D1665" t="s">
        <v>194</v>
      </c>
    </row>
    <row r="1666" spans="1:4" x14ac:dyDescent="0.35">
      <c r="A1666">
        <v>5398</v>
      </c>
      <c r="B1666" t="s">
        <v>189</v>
      </c>
      <c r="C1666">
        <v>146</v>
      </c>
      <c r="D1666" t="s">
        <v>190</v>
      </c>
    </row>
    <row r="1667" spans="1:4" x14ac:dyDescent="0.35">
      <c r="A1667">
        <v>5400</v>
      </c>
      <c r="B1667" t="s">
        <v>203</v>
      </c>
      <c r="C1667">
        <v>146</v>
      </c>
      <c r="D1667" t="s">
        <v>204</v>
      </c>
    </row>
    <row r="1668" spans="1:4" x14ac:dyDescent="0.35">
      <c r="A1668">
        <v>5403</v>
      </c>
      <c r="B1668" t="s">
        <v>2508</v>
      </c>
      <c r="C1668">
        <v>146</v>
      </c>
      <c r="D1668" t="s">
        <v>2509</v>
      </c>
    </row>
    <row r="1669" spans="1:4" x14ac:dyDescent="0.35">
      <c r="A1669">
        <v>5405</v>
      </c>
      <c r="B1669" t="s">
        <v>2557</v>
      </c>
      <c r="C1669">
        <v>146</v>
      </c>
      <c r="D1669" t="s">
        <v>2558</v>
      </c>
    </row>
    <row r="1670" spans="1:4" x14ac:dyDescent="0.35">
      <c r="A1670">
        <v>5407</v>
      </c>
      <c r="B1670" t="s">
        <v>2562</v>
      </c>
      <c r="C1670">
        <v>146</v>
      </c>
      <c r="D1670" t="s">
        <v>2563</v>
      </c>
    </row>
    <row r="1671" spans="1:4" x14ac:dyDescent="0.35">
      <c r="A1671">
        <v>5409</v>
      </c>
      <c r="B1671" t="s">
        <v>2692</v>
      </c>
      <c r="C1671">
        <v>146</v>
      </c>
      <c r="D1671" t="s">
        <v>2182</v>
      </c>
    </row>
    <row r="1672" spans="1:4" x14ac:dyDescent="0.35">
      <c r="A1672">
        <v>5411</v>
      </c>
      <c r="B1672" t="s">
        <v>2871</v>
      </c>
      <c r="C1672">
        <v>146</v>
      </c>
      <c r="D1672" t="s">
        <v>2872</v>
      </c>
    </row>
    <row r="1673" spans="1:4" x14ac:dyDescent="0.35">
      <c r="A1673">
        <v>5413</v>
      </c>
      <c r="B1673" t="s">
        <v>2953</v>
      </c>
      <c r="C1673">
        <v>146</v>
      </c>
      <c r="D1673" t="s">
        <v>1444</v>
      </c>
    </row>
    <row r="1674" spans="1:4" x14ac:dyDescent="0.35">
      <c r="A1674">
        <v>5414</v>
      </c>
      <c r="B1674" t="s">
        <v>3216</v>
      </c>
      <c r="C1674">
        <v>146</v>
      </c>
      <c r="D1674" t="s">
        <v>3217</v>
      </c>
    </row>
    <row r="1675" spans="1:4" x14ac:dyDescent="0.35">
      <c r="A1675">
        <v>5416</v>
      </c>
      <c r="B1675" t="s">
        <v>3221</v>
      </c>
      <c r="C1675">
        <v>146</v>
      </c>
      <c r="D1675" t="s">
        <v>3222</v>
      </c>
    </row>
    <row r="1676" spans="1:4" x14ac:dyDescent="0.35">
      <c r="A1676">
        <v>5417</v>
      </c>
      <c r="B1676" t="s">
        <v>893</v>
      </c>
      <c r="C1676">
        <v>146</v>
      </c>
      <c r="D1676" t="s">
        <v>894</v>
      </c>
    </row>
    <row r="1677" spans="1:4" x14ac:dyDescent="0.35">
      <c r="A1677">
        <v>5418</v>
      </c>
      <c r="B1677" t="s">
        <v>2409</v>
      </c>
      <c r="C1677">
        <v>146</v>
      </c>
      <c r="D1677" t="s">
        <v>2410</v>
      </c>
    </row>
    <row r="1678" spans="1:4" x14ac:dyDescent="0.35">
      <c r="A1678">
        <v>5419</v>
      </c>
      <c r="B1678" t="s">
        <v>3281</v>
      </c>
      <c r="C1678">
        <v>146</v>
      </c>
      <c r="D1678" t="s">
        <v>3282</v>
      </c>
    </row>
    <row r="1679" spans="1:4" x14ac:dyDescent="0.35">
      <c r="A1679">
        <v>5420</v>
      </c>
      <c r="B1679" t="s">
        <v>2405</v>
      </c>
      <c r="C1679">
        <v>146</v>
      </c>
      <c r="D1679" t="s">
        <v>2406</v>
      </c>
    </row>
    <row r="1680" spans="1:4" x14ac:dyDescent="0.35">
      <c r="A1680">
        <v>5422</v>
      </c>
      <c r="B1680" t="s">
        <v>415</v>
      </c>
      <c r="C1680">
        <v>146</v>
      </c>
      <c r="D1680" t="s">
        <v>416</v>
      </c>
    </row>
    <row r="1681" spans="1:4" x14ac:dyDescent="0.35">
      <c r="A1681">
        <v>5423</v>
      </c>
      <c r="B1681" t="s">
        <v>291</v>
      </c>
      <c r="C1681">
        <v>146</v>
      </c>
      <c r="D1681" t="s">
        <v>292</v>
      </c>
    </row>
    <row r="1682" spans="1:4" x14ac:dyDescent="0.35">
      <c r="A1682">
        <v>5424</v>
      </c>
      <c r="B1682" t="s">
        <v>231</v>
      </c>
      <c r="C1682">
        <v>146</v>
      </c>
      <c r="D1682" t="s">
        <v>232</v>
      </c>
    </row>
    <row r="1683" spans="1:4" x14ac:dyDescent="0.35">
      <c r="A1683">
        <v>5425</v>
      </c>
      <c r="B1683" t="s">
        <v>585</v>
      </c>
      <c r="C1683">
        <v>146</v>
      </c>
      <c r="D1683" t="s">
        <v>586</v>
      </c>
    </row>
    <row r="1684" spans="1:4" x14ac:dyDescent="0.35">
      <c r="A1684">
        <v>5427</v>
      </c>
      <c r="B1684" t="s">
        <v>295</v>
      </c>
      <c r="C1684">
        <v>146</v>
      </c>
      <c r="D1684" t="s">
        <v>296</v>
      </c>
    </row>
    <row r="1685" spans="1:4" x14ac:dyDescent="0.35">
      <c r="A1685">
        <v>5428</v>
      </c>
      <c r="B1685" t="s">
        <v>287</v>
      </c>
      <c r="C1685">
        <v>146</v>
      </c>
      <c r="D1685" t="s">
        <v>288</v>
      </c>
    </row>
    <row r="1686" spans="1:4" x14ac:dyDescent="0.35">
      <c r="A1686">
        <v>5429</v>
      </c>
      <c r="B1686" t="s">
        <v>594</v>
      </c>
      <c r="C1686">
        <v>146</v>
      </c>
      <c r="D1686" t="s">
        <v>595</v>
      </c>
    </row>
    <row r="1687" spans="1:4" x14ac:dyDescent="0.35">
      <c r="A1687">
        <v>5431</v>
      </c>
      <c r="B1687" t="s">
        <v>598</v>
      </c>
      <c r="C1687">
        <v>146</v>
      </c>
      <c r="D1687" t="s">
        <v>471</v>
      </c>
    </row>
    <row r="1688" spans="1:4" x14ac:dyDescent="0.35">
      <c r="A1688">
        <v>5433</v>
      </c>
      <c r="B1688" t="s">
        <v>601</v>
      </c>
      <c r="C1688">
        <v>146</v>
      </c>
      <c r="D1688" t="s">
        <v>602</v>
      </c>
    </row>
    <row r="1689" spans="1:4" x14ac:dyDescent="0.35">
      <c r="A1689">
        <v>5434</v>
      </c>
      <c r="B1689" t="s">
        <v>605</v>
      </c>
      <c r="C1689">
        <v>146</v>
      </c>
      <c r="D1689" t="s">
        <v>606</v>
      </c>
    </row>
    <row r="1690" spans="1:4" x14ac:dyDescent="0.35">
      <c r="A1690">
        <v>5436</v>
      </c>
      <c r="B1690" t="s">
        <v>609</v>
      </c>
      <c r="C1690">
        <v>146</v>
      </c>
      <c r="D1690" t="s">
        <v>610</v>
      </c>
    </row>
    <row r="1691" spans="1:4" x14ac:dyDescent="0.35">
      <c r="A1691">
        <v>5438</v>
      </c>
      <c r="B1691" t="s">
        <v>613</v>
      </c>
      <c r="C1691">
        <v>146</v>
      </c>
      <c r="D1691" t="s">
        <v>614</v>
      </c>
    </row>
    <row r="1692" spans="1:4" x14ac:dyDescent="0.35">
      <c r="A1692">
        <v>5439</v>
      </c>
      <c r="B1692" t="s">
        <v>617</v>
      </c>
      <c r="C1692">
        <v>146</v>
      </c>
      <c r="D1692" t="s">
        <v>618</v>
      </c>
    </row>
    <row r="1693" spans="1:4" x14ac:dyDescent="0.35">
      <c r="A1693">
        <v>5440</v>
      </c>
      <c r="B1693" t="s">
        <v>621</v>
      </c>
      <c r="C1693">
        <v>146</v>
      </c>
      <c r="D1693" t="s">
        <v>622</v>
      </c>
    </row>
    <row r="1694" spans="1:4" x14ac:dyDescent="0.35">
      <c r="A1694">
        <v>5441</v>
      </c>
      <c r="B1694" t="s">
        <v>625</v>
      </c>
      <c r="C1694">
        <v>146</v>
      </c>
      <c r="D1694" t="s">
        <v>496</v>
      </c>
    </row>
    <row r="1695" spans="1:4" x14ac:dyDescent="0.35">
      <c r="A1695">
        <v>5442</v>
      </c>
      <c r="B1695" t="s">
        <v>167</v>
      </c>
      <c r="C1695">
        <v>146</v>
      </c>
      <c r="D1695" t="s">
        <v>168</v>
      </c>
    </row>
    <row r="1696" spans="1:4" x14ac:dyDescent="0.35">
      <c r="A1696">
        <v>5443</v>
      </c>
      <c r="B1696" t="s">
        <v>163</v>
      </c>
      <c r="C1696">
        <v>146</v>
      </c>
      <c r="D1696" t="s">
        <v>164</v>
      </c>
    </row>
    <row r="1697" spans="1:4" x14ac:dyDescent="0.35">
      <c r="A1697">
        <v>5444</v>
      </c>
      <c r="B1697" t="s">
        <v>223</v>
      </c>
      <c r="C1697">
        <v>146</v>
      </c>
      <c r="D1697" t="s">
        <v>224</v>
      </c>
    </row>
    <row r="1698" spans="1:4" x14ac:dyDescent="0.35">
      <c r="A1698">
        <v>5445</v>
      </c>
      <c r="B1698" t="s">
        <v>437</v>
      </c>
      <c r="C1698">
        <v>146</v>
      </c>
      <c r="D1698" t="s">
        <v>438</v>
      </c>
    </row>
    <row r="1699" spans="1:4" x14ac:dyDescent="0.35">
      <c r="A1699">
        <v>5446</v>
      </c>
      <c r="B1699" t="s">
        <v>689</v>
      </c>
      <c r="C1699">
        <v>146</v>
      </c>
      <c r="D1699" t="s">
        <v>690</v>
      </c>
    </row>
    <row r="1700" spans="1:4" x14ac:dyDescent="0.35">
      <c r="A1700">
        <v>5448</v>
      </c>
      <c r="B1700" t="s">
        <v>697</v>
      </c>
      <c r="C1700">
        <v>146</v>
      </c>
      <c r="D1700" t="s">
        <v>491</v>
      </c>
    </row>
    <row r="1701" spans="1:4" x14ac:dyDescent="0.35">
      <c r="A1701">
        <v>5450</v>
      </c>
      <c r="B1701" t="s">
        <v>700</v>
      </c>
      <c r="C1701">
        <v>146</v>
      </c>
      <c r="D1701" t="s">
        <v>498</v>
      </c>
    </row>
    <row r="1702" spans="1:4" x14ac:dyDescent="0.35">
      <c r="A1702">
        <v>5452</v>
      </c>
      <c r="B1702" t="s">
        <v>703</v>
      </c>
      <c r="C1702">
        <v>146</v>
      </c>
      <c r="D1702" t="s">
        <v>704</v>
      </c>
    </row>
    <row r="1703" spans="1:4" x14ac:dyDescent="0.35">
      <c r="A1703">
        <v>5454</v>
      </c>
      <c r="B1703" t="s">
        <v>707</v>
      </c>
      <c r="C1703">
        <v>146</v>
      </c>
      <c r="D1703" t="s">
        <v>708</v>
      </c>
    </row>
    <row r="1704" spans="1:4" x14ac:dyDescent="0.35">
      <c r="A1704">
        <v>5456</v>
      </c>
      <c r="B1704" t="s">
        <v>711</v>
      </c>
      <c r="C1704">
        <v>146</v>
      </c>
      <c r="D1704" t="s">
        <v>712</v>
      </c>
    </row>
    <row r="1705" spans="1:4" x14ac:dyDescent="0.35">
      <c r="A1705">
        <v>5457</v>
      </c>
      <c r="B1705" t="s">
        <v>893</v>
      </c>
      <c r="C1705">
        <v>146</v>
      </c>
      <c r="D1705" t="s">
        <v>894</v>
      </c>
    </row>
    <row r="1706" spans="1:4" x14ac:dyDescent="0.35">
      <c r="A1706">
        <v>5458</v>
      </c>
      <c r="B1706" t="s">
        <v>373</v>
      </c>
      <c r="C1706">
        <v>146</v>
      </c>
      <c r="D1706" t="s">
        <v>374</v>
      </c>
    </row>
    <row r="1707" spans="1:4" x14ac:dyDescent="0.35">
      <c r="A1707">
        <v>5459</v>
      </c>
      <c r="B1707" t="s">
        <v>243</v>
      </c>
      <c r="C1707">
        <v>146</v>
      </c>
      <c r="D1707" t="s">
        <v>244</v>
      </c>
    </row>
    <row r="1708" spans="1:4" x14ac:dyDescent="0.35">
      <c r="A1708">
        <v>5460</v>
      </c>
      <c r="B1708" t="s">
        <v>247</v>
      </c>
      <c r="C1708">
        <v>146</v>
      </c>
      <c r="D1708" t="s">
        <v>248</v>
      </c>
    </row>
    <row r="1709" spans="1:4" x14ac:dyDescent="0.35">
      <c r="A1709">
        <v>5461</v>
      </c>
      <c r="B1709" t="s">
        <v>2457</v>
      </c>
      <c r="C1709">
        <v>146</v>
      </c>
      <c r="D1709" t="s">
        <v>2458</v>
      </c>
    </row>
    <row r="1710" spans="1:4" x14ac:dyDescent="0.35">
      <c r="A1710">
        <v>5462</v>
      </c>
      <c r="B1710" t="s">
        <v>401</v>
      </c>
      <c r="C1710">
        <v>146</v>
      </c>
      <c r="D1710" t="s">
        <v>404</v>
      </c>
    </row>
    <row r="1711" spans="1:4" x14ac:dyDescent="0.35">
      <c r="A1711">
        <v>5463</v>
      </c>
      <c r="B1711" t="s">
        <v>948</v>
      </c>
      <c r="C1711">
        <v>1057</v>
      </c>
      <c r="D1711" t="s">
        <v>949</v>
      </c>
    </row>
    <row r="1712" spans="1:4" x14ac:dyDescent="0.35">
      <c r="A1712">
        <v>5464</v>
      </c>
      <c r="B1712" t="s">
        <v>1021</v>
      </c>
      <c r="C1712">
        <v>1057</v>
      </c>
      <c r="D1712" t="s">
        <v>1022</v>
      </c>
    </row>
    <row r="1713" spans="1:4" x14ac:dyDescent="0.35">
      <c r="A1713">
        <v>5465</v>
      </c>
      <c r="B1713" t="s">
        <v>1030</v>
      </c>
      <c r="C1713">
        <v>1057</v>
      </c>
      <c r="D1713" t="s">
        <v>1031</v>
      </c>
    </row>
    <row r="1714" spans="1:4" x14ac:dyDescent="0.35">
      <c r="A1714">
        <v>5466</v>
      </c>
      <c r="B1714" t="s">
        <v>1050</v>
      </c>
      <c r="C1714">
        <v>1057</v>
      </c>
      <c r="D1714" t="s">
        <v>1051</v>
      </c>
    </row>
    <row r="1715" spans="1:4" x14ac:dyDescent="0.35">
      <c r="A1715">
        <v>5467</v>
      </c>
      <c r="B1715" t="s">
        <v>711</v>
      </c>
      <c r="C1715">
        <v>1057</v>
      </c>
      <c r="D1715" t="s">
        <v>712</v>
      </c>
    </row>
    <row r="1716" spans="1:4" x14ac:dyDescent="0.35">
      <c r="A1716">
        <v>5468</v>
      </c>
      <c r="B1716" t="s">
        <v>267</v>
      </c>
      <c r="C1716">
        <v>146</v>
      </c>
      <c r="D1716" t="s">
        <v>268</v>
      </c>
    </row>
    <row r="1717" spans="1:4" x14ac:dyDescent="0.35">
      <c r="A1717">
        <v>5469</v>
      </c>
      <c r="B1717" t="s">
        <v>871</v>
      </c>
      <c r="C1717">
        <v>146</v>
      </c>
      <c r="D1717" t="s">
        <v>872</v>
      </c>
    </row>
    <row r="1718" spans="1:4" x14ac:dyDescent="0.35">
      <c r="A1718">
        <v>5470</v>
      </c>
      <c r="B1718" t="s">
        <v>267</v>
      </c>
      <c r="C1718">
        <v>146</v>
      </c>
      <c r="D1718" t="s">
        <v>268</v>
      </c>
    </row>
    <row r="1719" spans="1:4" x14ac:dyDescent="0.35">
      <c r="A1719">
        <v>5472</v>
      </c>
      <c r="B1719" t="s">
        <v>2957</v>
      </c>
      <c r="C1719">
        <v>146</v>
      </c>
      <c r="D1719" t="s">
        <v>2958</v>
      </c>
    </row>
    <row r="1720" spans="1:4" x14ac:dyDescent="0.35">
      <c r="A1720">
        <v>5474</v>
      </c>
      <c r="B1720" t="s">
        <v>2978</v>
      </c>
      <c r="C1720">
        <v>146</v>
      </c>
      <c r="D1720" t="s">
        <v>2979</v>
      </c>
    </row>
    <row r="1721" spans="1:4" x14ac:dyDescent="0.35">
      <c r="A1721">
        <v>5475</v>
      </c>
      <c r="B1721" t="s">
        <v>871</v>
      </c>
      <c r="C1721">
        <v>146</v>
      </c>
      <c r="D1721" t="s">
        <v>872</v>
      </c>
    </row>
    <row r="1722" spans="1:4" x14ac:dyDescent="0.35">
      <c r="A1722">
        <v>5476</v>
      </c>
      <c r="B1722" t="s">
        <v>3364</v>
      </c>
      <c r="C1722">
        <v>146</v>
      </c>
      <c r="D1722" t="s">
        <v>3365</v>
      </c>
    </row>
    <row r="1723" spans="1:4" x14ac:dyDescent="0.35">
      <c r="A1723">
        <v>5477</v>
      </c>
      <c r="B1723" t="s">
        <v>3368</v>
      </c>
      <c r="C1723">
        <v>146</v>
      </c>
      <c r="D1723" t="s">
        <v>3369</v>
      </c>
    </row>
    <row r="1724" spans="1:4" x14ac:dyDescent="0.35">
      <c r="A1724">
        <v>5478</v>
      </c>
      <c r="B1724" t="s">
        <v>826</v>
      </c>
      <c r="C1724">
        <v>1057</v>
      </c>
      <c r="D1724" t="s">
        <v>827</v>
      </c>
    </row>
    <row r="1725" spans="1:4" x14ac:dyDescent="0.35">
      <c r="A1725">
        <v>5479</v>
      </c>
      <c r="B1725" t="s">
        <v>838</v>
      </c>
      <c r="C1725">
        <v>1057</v>
      </c>
      <c r="D1725" t="s">
        <v>482</v>
      </c>
    </row>
    <row r="1726" spans="1:4" x14ac:dyDescent="0.35">
      <c r="A1726">
        <v>5481</v>
      </c>
      <c r="B1726" t="s">
        <v>594</v>
      </c>
      <c r="C1726">
        <v>1057</v>
      </c>
      <c r="D1726" t="s">
        <v>595</v>
      </c>
    </row>
    <row r="1727" spans="1:4" x14ac:dyDescent="0.35">
      <c r="A1727">
        <v>5483</v>
      </c>
      <c r="B1727" t="s">
        <v>703</v>
      </c>
      <c r="C1727">
        <v>1057</v>
      </c>
      <c r="D1727" t="s">
        <v>704</v>
      </c>
    </row>
    <row r="1728" spans="1:4" x14ac:dyDescent="0.35">
      <c r="A1728">
        <v>5485</v>
      </c>
      <c r="B1728" t="s">
        <v>848</v>
      </c>
      <c r="C1728">
        <v>1057</v>
      </c>
      <c r="D1728" t="s">
        <v>851</v>
      </c>
    </row>
    <row r="1729" spans="1:4" x14ac:dyDescent="0.35">
      <c r="A1729">
        <v>5487</v>
      </c>
      <c r="B1729" t="s">
        <v>854</v>
      </c>
      <c r="C1729">
        <v>1057</v>
      </c>
      <c r="D1729" t="s">
        <v>855</v>
      </c>
    </row>
    <row r="1730" spans="1:4" x14ac:dyDescent="0.35">
      <c r="A1730">
        <v>5489</v>
      </c>
      <c r="B1730" t="s">
        <v>689</v>
      </c>
      <c r="C1730">
        <v>1057</v>
      </c>
      <c r="D1730" t="s">
        <v>690</v>
      </c>
    </row>
    <row r="1731" spans="1:4" x14ac:dyDescent="0.35">
      <c r="A1731">
        <v>5491</v>
      </c>
      <c r="B1731" t="s">
        <v>859</v>
      </c>
      <c r="C1731">
        <v>1057</v>
      </c>
      <c r="D1731" t="s">
        <v>860</v>
      </c>
    </row>
    <row r="1732" spans="1:4" x14ac:dyDescent="0.35">
      <c r="A1732">
        <v>5493</v>
      </c>
      <c r="B1732" t="s">
        <v>697</v>
      </c>
      <c r="C1732">
        <v>1057</v>
      </c>
      <c r="D1732" t="s">
        <v>491</v>
      </c>
    </row>
    <row r="1733" spans="1:4" x14ac:dyDescent="0.35">
      <c r="A1733">
        <v>5494</v>
      </c>
      <c r="B1733" t="s">
        <v>707</v>
      </c>
      <c r="C1733">
        <v>1057</v>
      </c>
      <c r="D1733" t="s">
        <v>708</v>
      </c>
    </row>
    <row r="1734" spans="1:4" x14ac:dyDescent="0.35">
      <c r="A1734">
        <v>5495</v>
      </c>
      <c r="B1734" t="s">
        <v>899</v>
      </c>
      <c r="C1734">
        <v>1057</v>
      </c>
      <c r="D1734" t="s">
        <v>900</v>
      </c>
    </row>
    <row r="1735" spans="1:4" x14ac:dyDescent="0.35">
      <c r="A1735">
        <v>5496</v>
      </c>
      <c r="B1735" t="s">
        <v>217</v>
      </c>
      <c r="C1735">
        <v>1057</v>
      </c>
      <c r="D1735" t="s">
        <v>220</v>
      </c>
    </row>
    <row r="1736" spans="1:4" x14ac:dyDescent="0.35">
      <c r="A1736">
        <v>5497</v>
      </c>
      <c r="B1736" t="s">
        <v>1673</v>
      </c>
      <c r="C1736">
        <v>1057</v>
      </c>
      <c r="D1736" t="s">
        <v>1373</v>
      </c>
    </row>
    <row r="1737" spans="1:4" x14ac:dyDescent="0.35">
      <c r="A1737">
        <v>5498</v>
      </c>
      <c r="B1737" t="s">
        <v>2405</v>
      </c>
      <c r="C1737">
        <v>1057</v>
      </c>
      <c r="D1737" t="s">
        <v>2406</v>
      </c>
    </row>
    <row r="1738" spans="1:4" x14ac:dyDescent="0.35">
      <c r="A1738">
        <v>5499</v>
      </c>
      <c r="B1738" t="s">
        <v>2409</v>
      </c>
      <c r="C1738">
        <v>1057</v>
      </c>
      <c r="D1738" t="s">
        <v>2410</v>
      </c>
    </row>
    <row r="1739" spans="1:4" x14ac:dyDescent="0.35">
      <c r="A1739">
        <v>5500</v>
      </c>
      <c r="B1739" t="s">
        <v>3097</v>
      </c>
      <c r="C1739">
        <v>1057</v>
      </c>
      <c r="D1739" t="s">
        <v>3098</v>
      </c>
    </row>
    <row r="1740" spans="1:4" x14ac:dyDescent="0.35">
      <c r="A1740">
        <v>5501</v>
      </c>
      <c r="B1740" t="s">
        <v>1303</v>
      </c>
      <c r="C1740">
        <v>1030</v>
      </c>
      <c r="D1740" t="s">
        <v>1306</v>
      </c>
    </row>
    <row r="1741" spans="1:4" x14ac:dyDescent="0.35">
      <c r="A1741">
        <v>5502</v>
      </c>
      <c r="B1741" t="s">
        <v>3272</v>
      </c>
      <c r="C1741">
        <v>77</v>
      </c>
      <c r="D1741" t="s">
        <v>164</v>
      </c>
    </row>
    <row r="1742" spans="1:4" x14ac:dyDescent="0.35">
      <c r="A1742">
        <v>5503</v>
      </c>
      <c r="B1742" t="s">
        <v>2222</v>
      </c>
      <c r="C1742">
        <v>77</v>
      </c>
      <c r="D1742" t="s">
        <v>2223</v>
      </c>
    </row>
    <row r="1743" spans="1:4" x14ac:dyDescent="0.35">
      <c r="A1743">
        <v>5504</v>
      </c>
      <c r="B1743" t="s">
        <v>2602</v>
      </c>
      <c r="C1743">
        <v>77</v>
      </c>
      <c r="D1743" t="s">
        <v>2603</v>
      </c>
    </row>
    <row r="1744" spans="1:4" x14ac:dyDescent="0.35">
      <c r="A1744">
        <v>5505</v>
      </c>
      <c r="B1744" t="s">
        <v>3230</v>
      </c>
      <c r="C1744">
        <v>92</v>
      </c>
      <c r="D1744" t="s">
        <v>3230</v>
      </c>
    </row>
    <row r="1745" spans="1:4" x14ac:dyDescent="0.35">
      <c r="A1745">
        <v>5506</v>
      </c>
      <c r="B1745" t="s">
        <v>860</v>
      </c>
      <c r="C1745">
        <v>92</v>
      </c>
      <c r="D1745" t="s">
        <v>860</v>
      </c>
    </row>
    <row r="1746" spans="1:4" x14ac:dyDescent="0.35">
      <c r="A1746">
        <v>5507</v>
      </c>
      <c r="B1746" t="s">
        <v>855</v>
      </c>
      <c r="C1746">
        <v>92</v>
      </c>
      <c r="D1746" t="s">
        <v>855</v>
      </c>
    </row>
    <row r="1747" spans="1:4" x14ac:dyDescent="0.35">
      <c r="A1747">
        <v>5508</v>
      </c>
      <c r="B1747" t="s">
        <v>1372</v>
      </c>
      <c r="C1747">
        <v>92</v>
      </c>
      <c r="D1747" t="s">
        <v>1373</v>
      </c>
    </row>
    <row r="1748" spans="1:4" x14ac:dyDescent="0.35">
      <c r="A1748">
        <v>5509</v>
      </c>
      <c r="B1748" t="s">
        <v>1376</v>
      </c>
      <c r="C1748">
        <v>92</v>
      </c>
      <c r="D1748" t="s">
        <v>1377</v>
      </c>
    </row>
    <row r="1749" spans="1:4" x14ac:dyDescent="0.35">
      <c r="A1749">
        <v>5510</v>
      </c>
      <c r="B1749" t="s">
        <v>1380</v>
      </c>
      <c r="C1749">
        <v>92</v>
      </c>
      <c r="D1749" t="s">
        <v>1381</v>
      </c>
    </row>
    <row r="1750" spans="1:4" x14ac:dyDescent="0.35">
      <c r="A1750">
        <v>5511</v>
      </c>
      <c r="B1750" t="s">
        <v>1464</v>
      </c>
      <c r="C1750">
        <v>92</v>
      </c>
      <c r="D1750" t="s">
        <v>1465</v>
      </c>
    </row>
    <row r="1751" spans="1:4" x14ac:dyDescent="0.35">
      <c r="A1751">
        <v>5512</v>
      </c>
      <c r="B1751" t="s">
        <v>781</v>
      </c>
      <c r="C1751">
        <v>92</v>
      </c>
      <c r="D1751" t="s">
        <v>781</v>
      </c>
    </row>
    <row r="1752" spans="1:4" x14ac:dyDescent="0.35">
      <c r="A1752">
        <v>5513</v>
      </c>
      <c r="B1752" t="s">
        <v>1682</v>
      </c>
      <c r="C1752">
        <v>92</v>
      </c>
      <c r="D1752" t="s">
        <v>1682</v>
      </c>
    </row>
    <row r="1753" spans="1:4" x14ac:dyDescent="0.35">
      <c r="A1753">
        <v>5514</v>
      </c>
      <c r="B1753" t="s">
        <v>1685</v>
      </c>
      <c r="C1753">
        <v>92</v>
      </c>
      <c r="D1753" t="s">
        <v>1685</v>
      </c>
    </row>
    <row r="1754" spans="1:4" x14ac:dyDescent="0.35">
      <c r="A1754">
        <v>5515</v>
      </c>
      <c r="B1754" t="s">
        <v>1688</v>
      </c>
      <c r="C1754">
        <v>92</v>
      </c>
      <c r="D1754" t="s">
        <v>1688</v>
      </c>
    </row>
    <row r="1755" spans="1:4" x14ac:dyDescent="0.35">
      <c r="A1755">
        <v>5516</v>
      </c>
      <c r="B1755" t="s">
        <v>1691</v>
      </c>
      <c r="C1755">
        <v>92</v>
      </c>
      <c r="D1755" t="s">
        <v>1691</v>
      </c>
    </row>
    <row r="1756" spans="1:4" x14ac:dyDescent="0.35">
      <c r="A1756">
        <v>5517</v>
      </c>
      <c r="B1756" t="s">
        <v>1694</v>
      </c>
      <c r="C1756">
        <v>92</v>
      </c>
      <c r="D1756" t="s">
        <v>1695</v>
      </c>
    </row>
    <row r="1757" spans="1:4" x14ac:dyDescent="0.35">
      <c r="A1757">
        <v>5519</v>
      </c>
      <c r="B1757" t="s">
        <v>1948</v>
      </c>
      <c r="C1757">
        <v>92</v>
      </c>
      <c r="D1757" t="s">
        <v>1949</v>
      </c>
    </row>
    <row r="1758" spans="1:4" x14ac:dyDescent="0.35">
      <c r="A1758">
        <v>5520</v>
      </c>
      <c r="B1758" t="s">
        <v>2464</v>
      </c>
      <c r="C1758">
        <v>92</v>
      </c>
      <c r="D1758" t="s">
        <v>2465</v>
      </c>
    </row>
    <row r="1759" spans="1:4" x14ac:dyDescent="0.35">
      <c r="A1759">
        <v>5521</v>
      </c>
      <c r="B1759" t="s">
        <v>2422</v>
      </c>
      <c r="C1759">
        <v>92</v>
      </c>
      <c r="D1759" t="s">
        <v>2423</v>
      </c>
    </row>
    <row r="1760" spans="1:4" x14ac:dyDescent="0.35">
      <c r="A1760">
        <v>5522</v>
      </c>
      <c r="B1760" t="s">
        <v>2426</v>
      </c>
      <c r="C1760">
        <v>92</v>
      </c>
      <c r="D1760" t="s">
        <v>2427</v>
      </c>
    </row>
    <row r="1761" spans="1:4" x14ac:dyDescent="0.35">
      <c r="A1761">
        <v>5523</v>
      </c>
      <c r="B1761" t="s">
        <v>2469</v>
      </c>
      <c r="C1761">
        <v>92</v>
      </c>
      <c r="D1761" t="s">
        <v>2470</v>
      </c>
    </row>
    <row r="1762" spans="1:4" x14ac:dyDescent="0.35">
      <c r="A1762">
        <v>5524</v>
      </c>
      <c r="B1762" t="s">
        <v>2435</v>
      </c>
      <c r="C1762">
        <v>92</v>
      </c>
      <c r="D1762" t="s">
        <v>2436</v>
      </c>
    </row>
    <row r="1763" spans="1:4" x14ac:dyDescent="0.35">
      <c r="A1763">
        <v>5525</v>
      </c>
      <c r="B1763" t="s">
        <v>2445</v>
      </c>
      <c r="C1763">
        <v>92</v>
      </c>
      <c r="D1763" t="s">
        <v>2446</v>
      </c>
    </row>
    <row r="1764" spans="1:4" x14ac:dyDescent="0.35">
      <c r="A1764">
        <v>5526</v>
      </c>
      <c r="B1764" t="s">
        <v>1376</v>
      </c>
      <c r="C1764">
        <v>92</v>
      </c>
      <c r="D1764" t="s">
        <v>1377</v>
      </c>
    </row>
    <row r="1765" spans="1:4" x14ac:dyDescent="0.35">
      <c r="A1765">
        <v>5527</v>
      </c>
      <c r="B1765" t="s">
        <v>2451</v>
      </c>
      <c r="C1765">
        <v>92</v>
      </c>
      <c r="D1765" t="s">
        <v>2452</v>
      </c>
    </row>
    <row r="1766" spans="1:4" x14ac:dyDescent="0.35">
      <c r="A1766">
        <v>5528</v>
      </c>
      <c r="B1766" t="s">
        <v>2542</v>
      </c>
      <c r="C1766">
        <v>92</v>
      </c>
      <c r="D1766" t="s">
        <v>2543</v>
      </c>
    </row>
    <row r="1767" spans="1:4" x14ac:dyDescent="0.35">
      <c r="A1767">
        <v>5529</v>
      </c>
      <c r="B1767" t="s">
        <v>2547</v>
      </c>
      <c r="C1767">
        <v>92</v>
      </c>
      <c r="D1767" t="s">
        <v>2548</v>
      </c>
    </row>
    <row r="1768" spans="1:4" x14ac:dyDescent="0.35">
      <c r="A1768">
        <v>5530</v>
      </c>
      <c r="B1768" t="s">
        <v>2551</v>
      </c>
      <c r="C1768">
        <v>92</v>
      </c>
      <c r="D1768" t="s">
        <v>2552</v>
      </c>
    </row>
    <row r="1769" spans="1:4" x14ac:dyDescent="0.35">
      <c r="A1769">
        <v>5531</v>
      </c>
      <c r="B1769" t="s">
        <v>2520</v>
      </c>
      <c r="C1769">
        <v>92</v>
      </c>
      <c r="D1769" t="s">
        <v>2521</v>
      </c>
    </row>
    <row r="1770" spans="1:4" x14ac:dyDescent="0.35">
      <c r="A1770">
        <v>5532</v>
      </c>
      <c r="B1770" t="s">
        <v>2531</v>
      </c>
      <c r="C1770">
        <v>92</v>
      </c>
      <c r="D1770" t="s">
        <v>2532</v>
      </c>
    </row>
    <row r="1771" spans="1:4" x14ac:dyDescent="0.35">
      <c r="A1771">
        <v>5534</v>
      </c>
      <c r="B1771" t="s">
        <v>2571</v>
      </c>
      <c r="C1771">
        <v>92</v>
      </c>
      <c r="D1771" t="s">
        <v>2572</v>
      </c>
    </row>
    <row r="1772" spans="1:4" x14ac:dyDescent="0.35">
      <c r="A1772">
        <v>5535</v>
      </c>
      <c r="B1772" t="s">
        <v>2576</v>
      </c>
      <c r="C1772">
        <v>92</v>
      </c>
      <c r="D1772" t="s">
        <v>2577</v>
      </c>
    </row>
    <row r="1773" spans="1:4" x14ac:dyDescent="0.35">
      <c r="A1773">
        <v>5536</v>
      </c>
      <c r="B1773" t="s">
        <v>2581</v>
      </c>
      <c r="C1773">
        <v>92</v>
      </c>
      <c r="D1773" t="s">
        <v>2582</v>
      </c>
    </row>
    <row r="1774" spans="1:4" x14ac:dyDescent="0.35">
      <c r="A1774">
        <v>5537</v>
      </c>
      <c r="B1774" t="s">
        <v>2585</v>
      </c>
      <c r="C1774">
        <v>92</v>
      </c>
      <c r="D1774" t="s">
        <v>2586</v>
      </c>
    </row>
    <row r="1775" spans="1:4" x14ac:dyDescent="0.35">
      <c r="A1775">
        <v>5538</v>
      </c>
      <c r="B1775" t="s">
        <v>2624</v>
      </c>
      <c r="C1775">
        <v>92</v>
      </c>
      <c r="D1775" t="s">
        <v>2625</v>
      </c>
    </row>
    <row r="1776" spans="1:4" x14ac:dyDescent="0.35">
      <c r="A1776">
        <v>5539</v>
      </c>
      <c r="B1776" t="s">
        <v>2616</v>
      </c>
      <c r="C1776">
        <v>92</v>
      </c>
      <c r="D1776" t="s">
        <v>2617</v>
      </c>
    </row>
    <row r="1777" spans="1:4" x14ac:dyDescent="0.35">
      <c r="A1777">
        <v>5540</v>
      </c>
      <c r="B1777" t="s">
        <v>2620</v>
      </c>
      <c r="C1777">
        <v>92</v>
      </c>
      <c r="D1777" t="s">
        <v>2621</v>
      </c>
    </row>
    <row r="1778" spans="1:4" x14ac:dyDescent="0.35">
      <c r="A1778">
        <v>5541</v>
      </c>
      <c r="B1778" t="s">
        <v>2634</v>
      </c>
      <c r="C1778">
        <v>92</v>
      </c>
      <c r="D1778" t="s">
        <v>2635</v>
      </c>
    </row>
    <row r="1779" spans="1:4" x14ac:dyDescent="0.35">
      <c r="A1779">
        <v>5542</v>
      </c>
      <c r="B1779" t="s">
        <v>2650</v>
      </c>
      <c r="C1779">
        <v>92</v>
      </c>
      <c r="D1779" t="s">
        <v>2651</v>
      </c>
    </row>
    <row r="1780" spans="1:4" x14ac:dyDescent="0.35">
      <c r="A1780">
        <v>5543</v>
      </c>
      <c r="B1780" t="s">
        <v>2669</v>
      </c>
      <c r="C1780">
        <v>92</v>
      </c>
      <c r="D1780" t="s">
        <v>2670</v>
      </c>
    </row>
    <row r="1781" spans="1:4" x14ac:dyDescent="0.35">
      <c r="A1781">
        <v>5544</v>
      </c>
      <c r="B1781" t="s">
        <v>1380</v>
      </c>
      <c r="C1781">
        <v>92</v>
      </c>
      <c r="D1781" t="s">
        <v>1381</v>
      </c>
    </row>
    <row r="1782" spans="1:4" x14ac:dyDescent="0.35">
      <c r="A1782">
        <v>5545</v>
      </c>
      <c r="B1782" t="s">
        <v>2883</v>
      </c>
      <c r="C1782">
        <v>92</v>
      </c>
      <c r="D1782" t="s">
        <v>2884</v>
      </c>
    </row>
    <row r="1783" spans="1:4" x14ac:dyDescent="0.35">
      <c r="A1783">
        <v>5546</v>
      </c>
      <c r="B1783" t="s">
        <v>1464</v>
      </c>
      <c r="C1783">
        <v>92</v>
      </c>
      <c r="D1783" t="s">
        <v>1465</v>
      </c>
    </row>
    <row r="1784" spans="1:4" x14ac:dyDescent="0.35">
      <c r="A1784">
        <v>5547</v>
      </c>
      <c r="B1784" t="s">
        <v>491</v>
      </c>
      <c r="C1784">
        <v>92</v>
      </c>
      <c r="D1784" t="s">
        <v>491</v>
      </c>
    </row>
    <row r="1785" spans="1:4" x14ac:dyDescent="0.35">
      <c r="A1785">
        <v>5548</v>
      </c>
      <c r="B1785" t="s">
        <v>3239</v>
      </c>
      <c r="C1785">
        <v>92</v>
      </c>
      <c r="D1785" t="s">
        <v>3239</v>
      </c>
    </row>
    <row r="1786" spans="1:4" x14ac:dyDescent="0.35">
      <c r="A1786">
        <v>5549</v>
      </c>
      <c r="B1786" t="s">
        <v>3242</v>
      </c>
      <c r="C1786">
        <v>92</v>
      </c>
      <c r="D1786" t="s">
        <v>3242</v>
      </c>
    </row>
    <row r="1787" spans="1:4" x14ac:dyDescent="0.35">
      <c r="A1787">
        <v>5550</v>
      </c>
      <c r="B1787" t="s">
        <v>3245</v>
      </c>
      <c r="C1787">
        <v>92</v>
      </c>
      <c r="D1787" t="s">
        <v>3245</v>
      </c>
    </row>
    <row r="1788" spans="1:4" x14ac:dyDescent="0.35">
      <c r="A1788">
        <v>5552</v>
      </c>
      <c r="B1788" t="s">
        <v>103</v>
      </c>
      <c r="C1788">
        <v>1076</v>
      </c>
      <c r="D1788" t="s">
        <v>104</v>
      </c>
    </row>
    <row r="1789" spans="1:4" x14ac:dyDescent="0.35">
      <c r="A1789">
        <v>5554</v>
      </c>
      <c r="B1789">
        <v>2851121</v>
      </c>
      <c r="C1789">
        <v>1076</v>
      </c>
      <c r="D1789" t="s">
        <v>350</v>
      </c>
    </row>
    <row r="1790" spans="1:4" x14ac:dyDescent="0.35">
      <c r="A1790">
        <v>5556</v>
      </c>
      <c r="B1790">
        <v>2851122</v>
      </c>
      <c r="C1790">
        <v>1076</v>
      </c>
      <c r="D1790" t="s">
        <v>353</v>
      </c>
    </row>
    <row r="1791" spans="1:4" x14ac:dyDescent="0.35">
      <c r="A1791">
        <v>5558</v>
      </c>
      <c r="B1791" t="s">
        <v>132</v>
      </c>
      <c r="C1791">
        <v>1076</v>
      </c>
      <c r="D1791" t="s">
        <v>135</v>
      </c>
    </row>
    <row r="1792" spans="1:4" x14ac:dyDescent="0.35">
      <c r="A1792">
        <v>5559</v>
      </c>
      <c r="B1792" t="s">
        <v>300</v>
      </c>
      <c r="C1792">
        <v>1076</v>
      </c>
      <c r="D1792" t="s">
        <v>302</v>
      </c>
    </row>
    <row r="1793" spans="1:4" x14ac:dyDescent="0.35">
      <c r="A1793">
        <v>5560</v>
      </c>
      <c r="B1793" t="s">
        <v>305</v>
      </c>
      <c r="C1793">
        <v>1076</v>
      </c>
      <c r="D1793" t="s">
        <v>306</v>
      </c>
    </row>
    <row r="1794" spans="1:4" x14ac:dyDescent="0.35">
      <c r="A1794">
        <v>5561</v>
      </c>
      <c r="B1794" t="s">
        <v>309</v>
      </c>
      <c r="C1794">
        <v>1076</v>
      </c>
      <c r="D1794" t="s">
        <v>310</v>
      </c>
    </row>
    <row r="1795" spans="1:4" x14ac:dyDescent="0.35">
      <c r="A1795">
        <v>5565</v>
      </c>
      <c r="B1795" t="s">
        <v>427</v>
      </c>
      <c r="C1795">
        <v>1076</v>
      </c>
      <c r="D1795" t="s">
        <v>430</v>
      </c>
    </row>
    <row r="1796" spans="1:4" x14ac:dyDescent="0.35">
      <c r="A1796">
        <v>5566</v>
      </c>
      <c r="B1796" t="s">
        <v>433</v>
      </c>
      <c r="C1796">
        <v>1076</v>
      </c>
      <c r="D1796" t="s">
        <v>164</v>
      </c>
    </row>
    <row r="1797" spans="1:4" x14ac:dyDescent="0.35">
      <c r="A1797">
        <v>5567</v>
      </c>
      <c r="B1797" t="s">
        <v>541</v>
      </c>
      <c r="C1797">
        <v>1076</v>
      </c>
      <c r="D1797" t="s">
        <v>3297</v>
      </c>
    </row>
    <row r="1798" spans="1:4" x14ac:dyDescent="0.35">
      <c r="A1798">
        <v>5568</v>
      </c>
      <c r="B1798" t="s">
        <v>748</v>
      </c>
      <c r="C1798">
        <v>1076</v>
      </c>
      <c r="D1798" t="s">
        <v>3309</v>
      </c>
    </row>
    <row r="1799" spans="1:4" x14ac:dyDescent="0.35">
      <c r="A1799">
        <v>5569</v>
      </c>
      <c r="B1799" t="s">
        <v>820</v>
      </c>
      <c r="C1799">
        <v>1076</v>
      </c>
      <c r="D1799" t="s">
        <v>3293</v>
      </c>
    </row>
    <row r="1800" spans="1:4" x14ac:dyDescent="0.35">
      <c r="A1800">
        <v>5570</v>
      </c>
      <c r="B1800" t="s">
        <v>549</v>
      </c>
      <c r="C1800">
        <v>1076</v>
      </c>
      <c r="D1800" t="s">
        <v>3301</v>
      </c>
    </row>
    <row r="1801" spans="1:4" x14ac:dyDescent="0.35">
      <c r="A1801">
        <v>5571</v>
      </c>
      <c r="B1801" t="s">
        <v>671</v>
      </c>
      <c r="C1801">
        <v>1076</v>
      </c>
      <c r="D1801" t="s">
        <v>3289</v>
      </c>
    </row>
    <row r="1802" spans="1:4" x14ac:dyDescent="0.35">
      <c r="A1802">
        <v>5572</v>
      </c>
      <c r="B1802" t="s">
        <v>889</v>
      </c>
      <c r="C1802">
        <v>1076</v>
      </c>
      <c r="D1802" t="s">
        <v>3305</v>
      </c>
    </row>
    <row r="1803" spans="1:4" x14ac:dyDescent="0.35">
      <c r="A1803">
        <v>5574</v>
      </c>
      <c r="B1803" t="s">
        <v>433</v>
      </c>
      <c r="C1803">
        <v>1076</v>
      </c>
      <c r="D1803" t="s">
        <v>3276</v>
      </c>
    </row>
    <row r="1804" spans="1:4" x14ac:dyDescent="0.35">
      <c r="A1804">
        <v>5575</v>
      </c>
      <c r="B1804" t="s">
        <v>427</v>
      </c>
      <c r="C1804">
        <v>1076</v>
      </c>
      <c r="D1804" t="s">
        <v>3286</v>
      </c>
    </row>
    <row r="1805" spans="1:4" x14ac:dyDescent="0.35">
      <c r="A1805">
        <v>5576</v>
      </c>
      <c r="B1805" t="s">
        <v>561</v>
      </c>
      <c r="C1805">
        <v>1076</v>
      </c>
      <c r="D1805" t="s">
        <v>128</v>
      </c>
    </row>
    <row r="1806" spans="1:4" x14ac:dyDescent="0.35">
      <c r="A1806">
        <v>5577</v>
      </c>
      <c r="B1806" t="s">
        <v>889</v>
      </c>
      <c r="C1806">
        <v>1076</v>
      </c>
      <c r="D1806" t="s">
        <v>890</v>
      </c>
    </row>
    <row r="1807" spans="1:4" x14ac:dyDescent="0.35">
      <c r="A1807">
        <v>5578</v>
      </c>
      <c r="B1807" t="s">
        <v>916</v>
      </c>
      <c r="C1807">
        <v>1076</v>
      </c>
      <c r="D1807" t="s">
        <v>917</v>
      </c>
    </row>
    <row r="1808" spans="1:4" x14ac:dyDescent="0.35">
      <c r="A1808">
        <v>5579</v>
      </c>
      <c r="B1808" t="s">
        <v>1397</v>
      </c>
      <c r="C1808">
        <v>1076</v>
      </c>
      <c r="D1808" t="s">
        <v>1398</v>
      </c>
    </row>
    <row r="1809" spans="1:4" x14ac:dyDescent="0.35">
      <c r="A1809">
        <v>5580</v>
      </c>
      <c r="B1809" t="s">
        <v>1665</v>
      </c>
      <c r="C1809">
        <v>1076</v>
      </c>
      <c r="D1809" t="s">
        <v>1666</v>
      </c>
    </row>
    <row r="1810" spans="1:4" x14ac:dyDescent="0.35">
      <c r="A1810">
        <v>5581</v>
      </c>
      <c r="B1810">
        <v>92063</v>
      </c>
      <c r="C1810">
        <v>773</v>
      </c>
      <c r="D1810" t="s">
        <v>3316</v>
      </c>
    </row>
    <row r="1811" spans="1:4" x14ac:dyDescent="0.35">
      <c r="A1811">
        <v>5582</v>
      </c>
      <c r="B1811">
        <v>92065</v>
      </c>
      <c r="C1811">
        <v>773</v>
      </c>
      <c r="D1811" t="s">
        <v>3320</v>
      </c>
    </row>
    <row r="1812" spans="1:4" x14ac:dyDescent="0.35">
      <c r="A1812">
        <v>5583</v>
      </c>
      <c r="B1812">
        <v>92067</v>
      </c>
      <c r="C1812">
        <v>773</v>
      </c>
      <c r="D1812" t="s">
        <v>3324</v>
      </c>
    </row>
    <row r="1813" spans="1:4" x14ac:dyDescent="0.35">
      <c r="A1813">
        <v>5584</v>
      </c>
      <c r="B1813">
        <v>92068</v>
      </c>
      <c r="C1813">
        <v>773</v>
      </c>
      <c r="D1813" t="s">
        <v>3328</v>
      </c>
    </row>
    <row r="1814" spans="1:4" x14ac:dyDescent="0.35">
      <c r="A1814">
        <v>5585</v>
      </c>
      <c r="B1814">
        <v>92069</v>
      </c>
      <c r="C1814">
        <v>773</v>
      </c>
      <c r="D1814" t="s">
        <v>3332</v>
      </c>
    </row>
    <row r="1815" spans="1:4" x14ac:dyDescent="0.35">
      <c r="A1815">
        <v>5586</v>
      </c>
      <c r="B1815">
        <v>92072</v>
      </c>
      <c r="C1815">
        <v>773</v>
      </c>
      <c r="D1815" t="s">
        <v>3336</v>
      </c>
    </row>
    <row r="1816" spans="1:4" x14ac:dyDescent="0.35">
      <c r="A1816">
        <v>5587</v>
      </c>
      <c r="B1816">
        <v>92073</v>
      </c>
      <c r="C1816">
        <v>773</v>
      </c>
      <c r="D1816" t="s">
        <v>3340</v>
      </c>
    </row>
    <row r="1817" spans="1:4" x14ac:dyDescent="0.35">
      <c r="A1817">
        <v>5588</v>
      </c>
      <c r="B1817">
        <v>92075</v>
      </c>
      <c r="C1817">
        <v>773</v>
      </c>
      <c r="D1817" t="s">
        <v>3344</v>
      </c>
    </row>
    <row r="1818" spans="1:4" x14ac:dyDescent="0.35">
      <c r="A1818">
        <v>5589</v>
      </c>
      <c r="B1818">
        <v>92076</v>
      </c>
      <c r="C1818">
        <v>773</v>
      </c>
      <c r="D1818" t="s">
        <v>3348</v>
      </c>
    </row>
    <row r="1819" spans="1:4" x14ac:dyDescent="0.35">
      <c r="A1819">
        <v>5590</v>
      </c>
      <c r="B1819">
        <v>142337</v>
      </c>
      <c r="C1819">
        <v>773</v>
      </c>
      <c r="D1819" t="s">
        <v>1868</v>
      </c>
    </row>
    <row r="1820" spans="1:4" x14ac:dyDescent="0.35">
      <c r="A1820">
        <v>5591</v>
      </c>
      <c r="B1820">
        <v>125657</v>
      </c>
      <c r="C1820">
        <v>773</v>
      </c>
      <c r="D1820" t="s">
        <v>1880</v>
      </c>
    </row>
    <row r="1821" spans="1:4" x14ac:dyDescent="0.35">
      <c r="A1821">
        <v>5594</v>
      </c>
      <c r="B1821">
        <v>69321134</v>
      </c>
      <c r="C1821">
        <v>115</v>
      </c>
      <c r="D1821" t="s">
        <v>509</v>
      </c>
    </row>
    <row r="1822" spans="1:4" x14ac:dyDescent="0.35">
      <c r="A1822">
        <v>5597</v>
      </c>
      <c r="B1822">
        <v>69321135</v>
      </c>
      <c r="C1822">
        <v>115</v>
      </c>
      <c r="D1822" t="s">
        <v>513</v>
      </c>
    </row>
    <row r="1823" spans="1:4" x14ac:dyDescent="0.35">
      <c r="A1823">
        <v>5600</v>
      </c>
      <c r="B1823">
        <v>69321136</v>
      </c>
      <c r="C1823">
        <v>115</v>
      </c>
      <c r="D1823" t="s">
        <v>516</v>
      </c>
    </row>
    <row r="1824" spans="1:4" x14ac:dyDescent="0.35">
      <c r="A1824">
        <v>5603</v>
      </c>
      <c r="B1824">
        <v>69321137</v>
      </c>
      <c r="C1824">
        <v>115</v>
      </c>
      <c r="D1824" t="s">
        <v>520</v>
      </c>
    </row>
    <row r="1825" spans="1:4" x14ac:dyDescent="0.35">
      <c r="A1825">
        <v>5605</v>
      </c>
      <c r="B1825">
        <v>69321288</v>
      </c>
      <c r="C1825">
        <v>115</v>
      </c>
      <c r="D1825" t="s">
        <v>523</v>
      </c>
    </row>
    <row r="1826" spans="1:4" x14ac:dyDescent="0.35">
      <c r="A1826">
        <v>5607</v>
      </c>
      <c r="B1826">
        <v>69321289</v>
      </c>
      <c r="C1826">
        <v>115</v>
      </c>
      <c r="D1826" t="s">
        <v>526</v>
      </c>
    </row>
    <row r="1827" spans="1:4" x14ac:dyDescent="0.35">
      <c r="A1827">
        <v>5609</v>
      </c>
      <c r="B1827">
        <v>69321130</v>
      </c>
      <c r="C1827">
        <v>115</v>
      </c>
      <c r="D1827" t="s">
        <v>531</v>
      </c>
    </row>
    <row r="1828" spans="1:4" x14ac:dyDescent="0.35">
      <c r="A1828">
        <v>5611</v>
      </c>
      <c r="B1828">
        <v>69321129</v>
      </c>
      <c r="C1828">
        <v>115</v>
      </c>
      <c r="D1828" t="s">
        <v>655</v>
      </c>
    </row>
    <row r="1829" spans="1:4" x14ac:dyDescent="0.35">
      <c r="A1829">
        <v>5613</v>
      </c>
      <c r="B1829">
        <v>69321138</v>
      </c>
      <c r="C1829">
        <v>115</v>
      </c>
      <c r="D1829" t="s">
        <v>827</v>
      </c>
    </row>
    <row r="1830" spans="1:4" x14ac:dyDescent="0.35">
      <c r="A1830">
        <v>5615</v>
      </c>
      <c r="B1830">
        <v>69321141</v>
      </c>
      <c r="C1830">
        <v>115</v>
      </c>
      <c r="D1830" t="s">
        <v>1077</v>
      </c>
    </row>
    <row r="1831" spans="1:4" x14ac:dyDescent="0.35">
      <c r="A1831">
        <v>5616</v>
      </c>
      <c r="B1831">
        <v>69321142</v>
      </c>
      <c r="C1831">
        <v>115</v>
      </c>
      <c r="D1831" t="s">
        <v>1112</v>
      </c>
    </row>
    <row r="1832" spans="1:4" x14ac:dyDescent="0.35">
      <c r="A1832">
        <v>5617</v>
      </c>
      <c r="B1832">
        <v>69321144</v>
      </c>
      <c r="C1832">
        <v>115</v>
      </c>
      <c r="D1832" t="s">
        <v>595</v>
      </c>
    </row>
    <row r="1833" spans="1:4" x14ac:dyDescent="0.35">
      <c r="A1833">
        <v>5618</v>
      </c>
      <c r="B1833">
        <v>69227220</v>
      </c>
      <c r="C1833">
        <v>115</v>
      </c>
      <c r="D1833" t="s">
        <v>1138</v>
      </c>
    </row>
    <row r="1834" spans="1:4" x14ac:dyDescent="0.35">
      <c r="A1834">
        <v>5620</v>
      </c>
      <c r="B1834">
        <v>69229870</v>
      </c>
      <c r="C1834">
        <v>115</v>
      </c>
      <c r="D1834" t="s">
        <v>1141</v>
      </c>
    </row>
    <row r="1835" spans="1:4" x14ac:dyDescent="0.35">
      <c r="A1835">
        <v>5621</v>
      </c>
      <c r="B1835">
        <v>69229872</v>
      </c>
      <c r="C1835">
        <v>115</v>
      </c>
      <c r="D1835" t="s">
        <v>1144</v>
      </c>
    </row>
    <row r="1836" spans="1:4" x14ac:dyDescent="0.35">
      <c r="A1836">
        <v>5622</v>
      </c>
      <c r="B1836">
        <v>69320365</v>
      </c>
      <c r="C1836">
        <v>115</v>
      </c>
      <c r="D1836" t="s">
        <v>1147</v>
      </c>
    </row>
    <row r="1837" spans="1:4" x14ac:dyDescent="0.35">
      <c r="A1837">
        <v>5623</v>
      </c>
      <c r="B1837">
        <v>69229871</v>
      </c>
      <c r="C1837">
        <v>115</v>
      </c>
      <c r="D1837" t="s">
        <v>1150</v>
      </c>
    </row>
    <row r="1838" spans="1:4" x14ac:dyDescent="0.35">
      <c r="A1838">
        <v>5624</v>
      </c>
      <c r="B1838">
        <v>69320538</v>
      </c>
      <c r="C1838">
        <v>115</v>
      </c>
      <c r="D1838" t="s">
        <v>1153</v>
      </c>
    </row>
    <row r="1839" spans="1:4" x14ac:dyDescent="0.35">
      <c r="A1839">
        <v>5625</v>
      </c>
      <c r="B1839">
        <v>69320539</v>
      </c>
      <c r="C1839">
        <v>115</v>
      </c>
      <c r="D1839" t="s">
        <v>1156</v>
      </c>
    </row>
    <row r="1840" spans="1:4" x14ac:dyDescent="0.35">
      <c r="A1840">
        <v>5626</v>
      </c>
      <c r="B1840">
        <v>69320540</v>
      </c>
      <c r="C1840">
        <v>115</v>
      </c>
      <c r="D1840" t="s">
        <v>1159</v>
      </c>
    </row>
    <row r="1841" spans="1:4" x14ac:dyDescent="0.35">
      <c r="A1841">
        <v>5627</v>
      </c>
      <c r="B1841">
        <v>69320541</v>
      </c>
      <c r="C1841">
        <v>115</v>
      </c>
      <c r="D1841" t="s">
        <v>1162</v>
      </c>
    </row>
    <row r="1842" spans="1:4" x14ac:dyDescent="0.35">
      <c r="A1842">
        <v>5628</v>
      </c>
      <c r="B1842">
        <v>69320542</v>
      </c>
      <c r="C1842">
        <v>115</v>
      </c>
      <c r="D1842" t="s">
        <v>1165</v>
      </c>
    </row>
    <row r="1843" spans="1:4" x14ac:dyDescent="0.35">
      <c r="A1843">
        <v>5629</v>
      </c>
      <c r="B1843">
        <v>69320543</v>
      </c>
      <c r="C1843">
        <v>115</v>
      </c>
      <c r="D1843" t="s">
        <v>1168</v>
      </c>
    </row>
    <row r="1844" spans="1:4" x14ac:dyDescent="0.35">
      <c r="A1844">
        <v>5630</v>
      </c>
      <c r="B1844">
        <v>69320544</v>
      </c>
      <c r="C1844">
        <v>115</v>
      </c>
      <c r="D1844" t="s">
        <v>1171</v>
      </c>
    </row>
    <row r="1845" spans="1:4" x14ac:dyDescent="0.35">
      <c r="A1845">
        <v>5631</v>
      </c>
      <c r="B1845">
        <v>69320545</v>
      </c>
      <c r="C1845">
        <v>115</v>
      </c>
      <c r="D1845" t="s">
        <v>1174</v>
      </c>
    </row>
    <row r="1846" spans="1:4" x14ac:dyDescent="0.35">
      <c r="A1846">
        <v>5632</v>
      </c>
      <c r="B1846">
        <v>69320546</v>
      </c>
      <c r="C1846">
        <v>115</v>
      </c>
      <c r="D1846" t="s">
        <v>1177</v>
      </c>
    </row>
    <row r="1847" spans="1:4" x14ac:dyDescent="0.35">
      <c r="A1847">
        <v>5633</v>
      </c>
      <c r="B1847">
        <v>69321290</v>
      </c>
      <c r="C1847">
        <v>115</v>
      </c>
      <c r="D1847" t="s">
        <v>606</v>
      </c>
    </row>
    <row r="1848" spans="1:4" x14ac:dyDescent="0.35">
      <c r="A1848">
        <v>5634</v>
      </c>
      <c r="B1848">
        <v>69321291</v>
      </c>
      <c r="C1848">
        <v>115</v>
      </c>
      <c r="D1848" t="s">
        <v>1449</v>
      </c>
    </row>
    <row r="1849" spans="1:4" x14ac:dyDescent="0.35">
      <c r="A1849">
        <v>5635</v>
      </c>
      <c r="B1849">
        <v>69321468</v>
      </c>
      <c r="C1849">
        <v>115</v>
      </c>
      <c r="D1849" t="s">
        <v>1452</v>
      </c>
    </row>
    <row r="1850" spans="1:4" x14ac:dyDescent="0.35">
      <c r="A1850">
        <v>5636</v>
      </c>
      <c r="B1850">
        <v>69321469</v>
      </c>
      <c r="C1850">
        <v>115</v>
      </c>
      <c r="D1850" t="s">
        <v>1456</v>
      </c>
    </row>
    <row r="1851" spans="1:4" x14ac:dyDescent="0.35">
      <c r="A1851">
        <v>5637</v>
      </c>
      <c r="B1851">
        <v>69321471</v>
      </c>
      <c r="C1851">
        <v>115</v>
      </c>
      <c r="D1851" t="s">
        <v>1460</v>
      </c>
    </row>
    <row r="1852" spans="1:4" x14ac:dyDescent="0.35">
      <c r="A1852">
        <v>5638</v>
      </c>
      <c r="B1852">
        <v>69321476</v>
      </c>
      <c r="C1852">
        <v>115</v>
      </c>
      <c r="D1852" t="s">
        <v>1470</v>
      </c>
    </row>
    <row r="1853" spans="1:4" x14ac:dyDescent="0.35">
      <c r="A1853">
        <v>5639</v>
      </c>
      <c r="B1853">
        <v>69321145</v>
      </c>
      <c r="C1853">
        <v>115</v>
      </c>
      <c r="D1853" t="s">
        <v>1477</v>
      </c>
    </row>
    <row r="1854" spans="1:4" x14ac:dyDescent="0.35">
      <c r="A1854">
        <v>5640</v>
      </c>
      <c r="B1854">
        <v>69321131</v>
      </c>
      <c r="C1854">
        <v>115</v>
      </c>
      <c r="D1854" t="s">
        <v>1474</v>
      </c>
    </row>
    <row r="1855" spans="1:4" x14ac:dyDescent="0.35">
      <c r="A1855">
        <v>5642</v>
      </c>
      <c r="B1855">
        <v>69321269</v>
      </c>
      <c r="C1855">
        <v>115</v>
      </c>
      <c r="D1855" t="s">
        <v>1590</v>
      </c>
    </row>
    <row r="1856" spans="1:4" x14ac:dyDescent="0.35">
      <c r="A1856">
        <v>5644</v>
      </c>
      <c r="B1856">
        <v>69321257</v>
      </c>
      <c r="C1856">
        <v>115</v>
      </c>
      <c r="D1856" t="s">
        <v>1594</v>
      </c>
    </row>
    <row r="1857" spans="1:4" x14ac:dyDescent="0.35">
      <c r="A1857">
        <v>5646</v>
      </c>
      <c r="B1857">
        <v>69321264</v>
      </c>
      <c r="C1857">
        <v>115</v>
      </c>
      <c r="D1857" t="s">
        <v>1624</v>
      </c>
    </row>
    <row r="1858" spans="1:4" x14ac:dyDescent="0.35">
      <c r="A1858">
        <v>5648</v>
      </c>
      <c r="B1858">
        <v>69321271</v>
      </c>
      <c r="C1858">
        <v>115</v>
      </c>
      <c r="D1858" t="s">
        <v>1627</v>
      </c>
    </row>
    <row r="1859" spans="1:4" x14ac:dyDescent="0.35">
      <c r="A1859">
        <v>5649</v>
      </c>
      <c r="B1859">
        <v>69321579</v>
      </c>
      <c r="C1859">
        <v>115</v>
      </c>
      <c r="D1859" t="s">
        <v>1670</v>
      </c>
    </row>
    <row r="1860" spans="1:4" x14ac:dyDescent="0.35">
      <c r="A1860">
        <v>5650</v>
      </c>
      <c r="B1860">
        <v>69322037</v>
      </c>
      <c r="C1860">
        <v>115</v>
      </c>
      <c r="D1860" t="s">
        <v>1855</v>
      </c>
    </row>
    <row r="1861" spans="1:4" x14ac:dyDescent="0.35">
      <c r="A1861">
        <v>5651</v>
      </c>
      <c r="B1861">
        <v>69227221</v>
      </c>
      <c r="C1861">
        <v>115</v>
      </c>
      <c r="D1861" t="s">
        <v>1927</v>
      </c>
    </row>
    <row r="1862" spans="1:4" x14ac:dyDescent="0.35">
      <c r="A1862">
        <v>5652</v>
      </c>
      <c r="B1862">
        <v>69227222</v>
      </c>
      <c r="C1862">
        <v>115</v>
      </c>
      <c r="D1862" t="s">
        <v>1930</v>
      </c>
    </row>
    <row r="1863" spans="1:4" x14ac:dyDescent="0.35">
      <c r="A1863">
        <v>5653</v>
      </c>
      <c r="B1863">
        <v>69321143</v>
      </c>
      <c r="C1863">
        <v>115</v>
      </c>
      <c r="D1863" t="s">
        <v>2026</v>
      </c>
    </row>
    <row r="1864" spans="1:4" x14ac:dyDescent="0.35">
      <c r="A1864">
        <v>5654</v>
      </c>
      <c r="B1864">
        <v>69321272</v>
      </c>
      <c r="C1864">
        <v>115</v>
      </c>
      <c r="D1864" t="s">
        <v>2237</v>
      </c>
    </row>
    <row r="1865" spans="1:4" x14ac:dyDescent="0.35">
      <c r="A1865">
        <v>5655</v>
      </c>
      <c r="B1865">
        <v>69321278</v>
      </c>
      <c r="C1865">
        <v>115</v>
      </c>
      <c r="D1865" t="s">
        <v>2240</v>
      </c>
    </row>
    <row r="1866" spans="1:4" x14ac:dyDescent="0.35">
      <c r="A1866">
        <v>5656</v>
      </c>
      <c r="B1866">
        <v>69321285</v>
      </c>
      <c r="C1866">
        <v>115</v>
      </c>
      <c r="D1866" t="s">
        <v>2243</v>
      </c>
    </row>
    <row r="1867" spans="1:4" x14ac:dyDescent="0.35">
      <c r="A1867">
        <v>5657</v>
      </c>
      <c r="B1867">
        <v>69321582</v>
      </c>
      <c r="C1867">
        <v>115</v>
      </c>
      <c r="D1867" t="s">
        <v>2246</v>
      </c>
    </row>
    <row r="1868" spans="1:4" x14ac:dyDescent="0.35">
      <c r="A1868">
        <v>5658</v>
      </c>
      <c r="B1868">
        <v>69321147</v>
      </c>
      <c r="C1868">
        <v>115</v>
      </c>
      <c r="D1868" t="s">
        <v>2645</v>
      </c>
    </row>
    <row r="1869" spans="1:4" x14ac:dyDescent="0.35">
      <c r="A1869">
        <v>5659</v>
      </c>
      <c r="B1869">
        <v>69322222</v>
      </c>
      <c r="C1869">
        <v>115</v>
      </c>
      <c r="D1869" t="s">
        <v>1620</v>
      </c>
    </row>
    <row r="1870" spans="1:4" x14ac:dyDescent="0.35">
      <c r="A1870">
        <v>5660</v>
      </c>
      <c r="B1870" t="s">
        <v>2701</v>
      </c>
      <c r="C1870">
        <v>1131</v>
      </c>
      <c r="D1870" t="s">
        <v>1244</v>
      </c>
    </row>
    <row r="1871" spans="1:4" x14ac:dyDescent="0.35">
      <c r="A1871">
        <v>5661</v>
      </c>
      <c r="B1871" t="s">
        <v>2705</v>
      </c>
      <c r="C1871">
        <v>1131</v>
      </c>
      <c r="D1871" t="s">
        <v>2706</v>
      </c>
    </row>
    <row r="1872" spans="1:4" x14ac:dyDescent="0.35">
      <c r="A1872">
        <v>5662</v>
      </c>
      <c r="B1872" t="s">
        <v>2715</v>
      </c>
      <c r="C1872">
        <v>1131</v>
      </c>
      <c r="D1872" t="s">
        <v>1745</v>
      </c>
    </row>
    <row r="1873" spans="1:4" x14ac:dyDescent="0.35">
      <c r="A1873">
        <v>5663</v>
      </c>
      <c r="B1873" t="s">
        <v>2698</v>
      </c>
      <c r="C1873">
        <v>1131</v>
      </c>
      <c r="D1873" t="s">
        <v>1719</v>
      </c>
    </row>
    <row r="1874" spans="1:4" x14ac:dyDescent="0.35">
      <c r="A1874">
        <v>5664</v>
      </c>
      <c r="B1874" t="s">
        <v>1699</v>
      </c>
      <c r="C1874">
        <v>1086</v>
      </c>
      <c r="D1874" t="s">
        <v>1700</v>
      </c>
    </row>
    <row r="1875" spans="1:4" x14ac:dyDescent="0.35">
      <c r="A1875">
        <v>5665</v>
      </c>
      <c r="B1875" t="s">
        <v>1704</v>
      </c>
      <c r="C1875">
        <v>1086</v>
      </c>
      <c r="D1875" t="s">
        <v>1318</v>
      </c>
    </row>
    <row r="1876" spans="1:4" x14ac:dyDescent="0.35">
      <c r="A1876">
        <v>5666</v>
      </c>
      <c r="B1876" t="s">
        <v>1708</v>
      </c>
      <c r="C1876">
        <v>1086</v>
      </c>
      <c r="D1876" t="s">
        <v>1709</v>
      </c>
    </row>
    <row r="1877" spans="1:4" x14ac:dyDescent="0.35">
      <c r="A1877">
        <v>5667</v>
      </c>
      <c r="B1877" t="s">
        <v>1714</v>
      </c>
      <c r="C1877">
        <v>1086</v>
      </c>
      <c r="D1877" t="s">
        <v>1495</v>
      </c>
    </row>
    <row r="1878" spans="1:4" x14ac:dyDescent="0.35">
      <c r="A1878">
        <v>5668</v>
      </c>
      <c r="B1878" t="s">
        <v>1718</v>
      </c>
      <c r="C1878">
        <v>1086</v>
      </c>
      <c r="D1878" t="s">
        <v>1719</v>
      </c>
    </row>
    <row r="1879" spans="1:4" x14ac:dyDescent="0.35">
      <c r="A1879">
        <v>5669</v>
      </c>
      <c r="B1879" t="s">
        <v>1723</v>
      </c>
      <c r="C1879">
        <v>1086</v>
      </c>
      <c r="D1879" t="s">
        <v>1498</v>
      </c>
    </row>
    <row r="1880" spans="1:4" x14ac:dyDescent="0.35">
      <c r="A1880">
        <v>5670</v>
      </c>
      <c r="B1880" t="s">
        <v>1726</v>
      </c>
      <c r="C1880">
        <v>1086</v>
      </c>
      <c r="D1880" t="s">
        <v>1727</v>
      </c>
    </row>
    <row r="1881" spans="1:4" x14ac:dyDescent="0.35">
      <c r="A1881">
        <v>5671</v>
      </c>
      <c r="B1881" t="s">
        <v>1731</v>
      </c>
      <c r="C1881">
        <v>1086</v>
      </c>
      <c r="D1881" t="s">
        <v>1732</v>
      </c>
    </row>
    <row r="1882" spans="1:4" x14ac:dyDescent="0.35">
      <c r="A1882">
        <v>5672</v>
      </c>
      <c r="B1882" t="s">
        <v>1736</v>
      </c>
      <c r="C1882">
        <v>1086</v>
      </c>
      <c r="D1882" t="s">
        <v>1244</v>
      </c>
    </row>
    <row r="1883" spans="1:4" x14ac:dyDescent="0.35">
      <c r="A1883">
        <v>5673</v>
      </c>
      <c r="B1883" t="s">
        <v>1739</v>
      </c>
      <c r="C1883">
        <v>1086</v>
      </c>
      <c r="D1883" t="s">
        <v>1740</v>
      </c>
    </row>
    <row r="1884" spans="1:4" x14ac:dyDescent="0.35">
      <c r="A1884">
        <v>5674</v>
      </c>
      <c r="B1884" t="s">
        <v>1744</v>
      </c>
      <c r="C1884">
        <v>1086</v>
      </c>
      <c r="D1884" t="s">
        <v>1745</v>
      </c>
    </row>
    <row r="1885" spans="1:4" x14ac:dyDescent="0.35">
      <c r="A1885">
        <v>5675</v>
      </c>
      <c r="B1885" t="s">
        <v>1749</v>
      </c>
      <c r="C1885">
        <v>1086</v>
      </c>
      <c r="D1885" t="s">
        <v>1750</v>
      </c>
    </row>
    <row r="1886" spans="1:4" x14ac:dyDescent="0.35">
      <c r="A1886">
        <v>5676</v>
      </c>
      <c r="B1886" t="s">
        <v>1754</v>
      </c>
      <c r="C1886">
        <v>1086</v>
      </c>
      <c r="D1886" t="s">
        <v>1755</v>
      </c>
    </row>
    <row r="1887" spans="1:4" x14ac:dyDescent="0.35">
      <c r="A1887">
        <v>5677</v>
      </c>
      <c r="B1887" t="s">
        <v>1759</v>
      </c>
      <c r="C1887">
        <v>1086</v>
      </c>
      <c r="D1887" t="s">
        <v>1760</v>
      </c>
    </row>
    <row r="1888" spans="1:4" x14ac:dyDescent="0.35">
      <c r="A1888">
        <v>5678</v>
      </c>
      <c r="B1888" t="s">
        <v>1764</v>
      </c>
      <c r="C1888">
        <v>1086</v>
      </c>
      <c r="D1888" t="s">
        <v>655</v>
      </c>
    </row>
    <row r="1889" spans="1:4" x14ac:dyDescent="0.35">
      <c r="A1889">
        <v>5679</v>
      </c>
      <c r="B1889" t="s">
        <v>1768</v>
      </c>
      <c r="C1889">
        <v>1086</v>
      </c>
      <c r="D1889" t="s">
        <v>531</v>
      </c>
    </row>
    <row r="1890" spans="1:4" x14ac:dyDescent="0.35">
      <c r="A1890">
        <v>5680</v>
      </c>
      <c r="B1890" t="s">
        <v>1772</v>
      </c>
      <c r="C1890">
        <v>1086</v>
      </c>
      <c r="D1890" t="s">
        <v>1773</v>
      </c>
    </row>
    <row r="1891" spans="1:4" x14ac:dyDescent="0.35">
      <c r="A1891">
        <v>5681</v>
      </c>
      <c r="B1891" t="s">
        <v>1777</v>
      </c>
      <c r="C1891">
        <v>1086</v>
      </c>
      <c r="D1891" t="s">
        <v>1200</v>
      </c>
    </row>
    <row r="1892" spans="1:4" x14ac:dyDescent="0.35">
      <c r="A1892">
        <v>5682</v>
      </c>
      <c r="B1892" t="s">
        <v>1781</v>
      </c>
      <c r="C1892">
        <v>1086</v>
      </c>
      <c r="D1892" t="s">
        <v>1310</v>
      </c>
    </row>
    <row r="1893" spans="1:4" x14ac:dyDescent="0.35">
      <c r="A1893">
        <v>5683</v>
      </c>
      <c r="B1893" t="s">
        <v>1785</v>
      </c>
      <c r="C1893">
        <v>1086</v>
      </c>
      <c r="D1893" t="s">
        <v>1786</v>
      </c>
    </row>
    <row r="1894" spans="1:4" x14ac:dyDescent="0.35">
      <c r="A1894">
        <v>5684</v>
      </c>
      <c r="B1894" t="s">
        <v>1795</v>
      </c>
      <c r="C1894">
        <v>1086</v>
      </c>
      <c r="D1894" t="s">
        <v>1796</v>
      </c>
    </row>
    <row r="1895" spans="1:4" x14ac:dyDescent="0.35">
      <c r="A1895">
        <v>5685</v>
      </c>
      <c r="B1895" t="s">
        <v>1800</v>
      </c>
      <c r="C1895">
        <v>1086</v>
      </c>
      <c r="D1895" t="s">
        <v>1642</v>
      </c>
    </row>
    <row r="1896" spans="1:4" x14ac:dyDescent="0.35">
      <c r="A1896">
        <v>5686</v>
      </c>
      <c r="B1896" t="s">
        <v>1803</v>
      </c>
      <c r="C1896">
        <v>1086</v>
      </c>
      <c r="D1896" t="s">
        <v>1804</v>
      </c>
    </row>
    <row r="1897" spans="1:4" x14ac:dyDescent="0.35">
      <c r="A1897">
        <v>5687</v>
      </c>
      <c r="B1897" t="s">
        <v>1808</v>
      </c>
      <c r="C1897">
        <v>1086</v>
      </c>
      <c r="D1897" t="s">
        <v>1809</v>
      </c>
    </row>
    <row r="1898" spans="1:4" x14ac:dyDescent="0.35">
      <c r="A1898">
        <v>5688</v>
      </c>
      <c r="B1898" t="s">
        <v>1813</v>
      </c>
      <c r="C1898">
        <v>1086</v>
      </c>
      <c r="D1898" t="s">
        <v>1814</v>
      </c>
    </row>
    <row r="1899" spans="1:4" x14ac:dyDescent="0.35">
      <c r="A1899">
        <v>5689</v>
      </c>
      <c r="B1899" t="s">
        <v>1818</v>
      </c>
      <c r="C1899">
        <v>1086</v>
      </c>
      <c r="D1899" t="s">
        <v>1452</v>
      </c>
    </row>
    <row r="1900" spans="1:4" x14ac:dyDescent="0.35">
      <c r="A1900">
        <v>5690</v>
      </c>
      <c r="B1900">
        <v>7094177330</v>
      </c>
      <c r="C1900">
        <v>1086</v>
      </c>
      <c r="D1900" t="s">
        <v>1456</v>
      </c>
    </row>
    <row r="1901" spans="1:4" x14ac:dyDescent="0.35">
      <c r="A1901">
        <v>5691</v>
      </c>
      <c r="B1901" t="s">
        <v>1825</v>
      </c>
      <c r="C1901">
        <v>1086</v>
      </c>
      <c r="D1901" t="s">
        <v>1826</v>
      </c>
    </row>
    <row r="1902" spans="1:4" x14ac:dyDescent="0.35">
      <c r="A1902">
        <v>5692</v>
      </c>
      <c r="B1902" t="s">
        <v>1830</v>
      </c>
      <c r="C1902">
        <v>1086</v>
      </c>
      <c r="D1902" t="s">
        <v>1460</v>
      </c>
    </row>
    <row r="1903" spans="1:4" x14ac:dyDescent="0.35">
      <c r="A1903">
        <v>5693</v>
      </c>
      <c r="B1903" t="s">
        <v>1834</v>
      </c>
      <c r="C1903">
        <v>1086</v>
      </c>
      <c r="D1903" t="s">
        <v>1835</v>
      </c>
    </row>
    <row r="1904" spans="1:4" x14ac:dyDescent="0.35">
      <c r="A1904">
        <v>5694</v>
      </c>
      <c r="B1904" t="s">
        <v>1839</v>
      </c>
      <c r="C1904">
        <v>1086</v>
      </c>
      <c r="D1904" t="s">
        <v>1840</v>
      </c>
    </row>
    <row r="1905" spans="1:4" x14ac:dyDescent="0.35">
      <c r="A1905">
        <v>5695</v>
      </c>
      <c r="B1905">
        <v>7094171430</v>
      </c>
      <c r="C1905">
        <v>835</v>
      </c>
      <c r="D1905" t="s">
        <v>1719</v>
      </c>
    </row>
    <row r="1906" spans="1:4" x14ac:dyDescent="0.35">
      <c r="A1906">
        <v>5696</v>
      </c>
      <c r="B1906">
        <v>7094176630</v>
      </c>
      <c r="C1906">
        <v>835</v>
      </c>
      <c r="D1906" t="s">
        <v>2161</v>
      </c>
    </row>
    <row r="1907" spans="1:4" x14ac:dyDescent="0.35">
      <c r="A1907">
        <v>5697</v>
      </c>
      <c r="B1907" t="s">
        <v>2351</v>
      </c>
      <c r="C1907">
        <v>835</v>
      </c>
      <c r="D1907" t="s">
        <v>1804</v>
      </c>
    </row>
    <row r="1908" spans="1:4" x14ac:dyDescent="0.35">
      <c r="A1908">
        <v>5698</v>
      </c>
      <c r="B1908" t="s">
        <v>2354</v>
      </c>
      <c r="C1908">
        <v>835</v>
      </c>
      <c r="D1908" t="s">
        <v>1786</v>
      </c>
    </row>
    <row r="1909" spans="1:4" x14ac:dyDescent="0.35">
      <c r="A1909">
        <v>5699</v>
      </c>
      <c r="B1909" t="s">
        <v>2357</v>
      </c>
      <c r="C1909">
        <v>835</v>
      </c>
      <c r="D1909" t="s">
        <v>1796</v>
      </c>
    </row>
    <row r="1910" spans="1:4" x14ac:dyDescent="0.35">
      <c r="A1910">
        <v>5700</v>
      </c>
      <c r="B1910">
        <v>7094171830</v>
      </c>
      <c r="C1910">
        <v>835</v>
      </c>
      <c r="D1910" t="s">
        <v>1709</v>
      </c>
    </row>
    <row r="1911" spans="1:4" x14ac:dyDescent="0.35">
      <c r="A1911">
        <v>5701</v>
      </c>
      <c r="B1911">
        <v>7094175930</v>
      </c>
      <c r="C1911">
        <v>835</v>
      </c>
      <c r="D1911" t="s">
        <v>1755</v>
      </c>
    </row>
    <row r="1912" spans="1:4" x14ac:dyDescent="0.35">
      <c r="A1912">
        <v>5702</v>
      </c>
      <c r="B1912" t="s">
        <v>2628</v>
      </c>
      <c r="C1912">
        <v>835</v>
      </c>
      <c r="D1912" t="s">
        <v>1814</v>
      </c>
    </row>
    <row r="1913" spans="1:4" x14ac:dyDescent="0.35">
      <c r="A1913">
        <v>5703</v>
      </c>
      <c r="B1913">
        <v>7094171330</v>
      </c>
      <c r="C1913">
        <v>835</v>
      </c>
      <c r="D1913" t="s">
        <v>1244</v>
      </c>
    </row>
    <row r="1914" spans="1:4" x14ac:dyDescent="0.35">
      <c r="A1914">
        <v>5704</v>
      </c>
      <c r="B1914" t="s">
        <v>2008</v>
      </c>
      <c r="C1914">
        <v>780</v>
      </c>
      <c r="D1914" t="s">
        <v>1975</v>
      </c>
    </row>
    <row r="1915" spans="1:4" x14ac:dyDescent="0.35">
      <c r="A1915">
        <v>5705</v>
      </c>
      <c r="B1915" t="s">
        <v>2011</v>
      </c>
      <c r="C1915">
        <v>780</v>
      </c>
      <c r="D1915" t="s">
        <v>1979</v>
      </c>
    </row>
    <row r="1916" spans="1:4" x14ac:dyDescent="0.35">
      <c r="A1916">
        <v>5706</v>
      </c>
      <c r="B1916" t="s">
        <v>2014</v>
      </c>
      <c r="C1916">
        <v>780</v>
      </c>
      <c r="D1916" t="s">
        <v>1982</v>
      </c>
    </row>
    <row r="1917" spans="1:4" x14ac:dyDescent="0.35">
      <c r="A1917">
        <v>5707</v>
      </c>
      <c r="B1917" t="s">
        <v>2017</v>
      </c>
      <c r="C1917">
        <v>780</v>
      </c>
      <c r="D1917" t="s">
        <v>1613</v>
      </c>
    </row>
    <row r="1918" spans="1:4" x14ac:dyDescent="0.35">
      <c r="A1918">
        <v>5708</v>
      </c>
      <c r="B1918">
        <v>7090200030</v>
      </c>
      <c r="C1918">
        <v>1056</v>
      </c>
      <c r="D1918" t="s">
        <v>2723</v>
      </c>
    </row>
    <row r="1919" spans="1:4" x14ac:dyDescent="0.35">
      <c r="A1919">
        <v>5709</v>
      </c>
      <c r="B1919">
        <v>7094176230</v>
      </c>
      <c r="C1919">
        <v>1056</v>
      </c>
      <c r="D1919" t="s">
        <v>1975</v>
      </c>
    </row>
    <row r="1920" spans="1:4" x14ac:dyDescent="0.35">
      <c r="A1920">
        <v>5710</v>
      </c>
      <c r="B1920">
        <v>7094176530</v>
      </c>
      <c r="C1920">
        <v>1056</v>
      </c>
      <c r="D1920" t="s">
        <v>1982</v>
      </c>
    </row>
    <row r="1921" spans="1:4" x14ac:dyDescent="0.35">
      <c r="A1921">
        <v>5711</v>
      </c>
      <c r="B1921">
        <v>7094175930</v>
      </c>
      <c r="C1921">
        <v>1056</v>
      </c>
      <c r="D1921" t="s">
        <v>1755</v>
      </c>
    </row>
    <row r="1922" spans="1:4" x14ac:dyDescent="0.35">
      <c r="A1922">
        <v>5712</v>
      </c>
      <c r="B1922">
        <v>7094177730</v>
      </c>
      <c r="C1922">
        <v>1056</v>
      </c>
      <c r="D1922" t="s">
        <v>1840</v>
      </c>
    </row>
    <row r="1923" spans="1:4" x14ac:dyDescent="0.35">
      <c r="A1923">
        <v>5713</v>
      </c>
      <c r="B1923">
        <v>7094171430</v>
      </c>
      <c r="C1923">
        <v>835</v>
      </c>
      <c r="D1923" t="s">
        <v>1719</v>
      </c>
    </row>
    <row r="1924" spans="1:4" x14ac:dyDescent="0.35">
      <c r="A1924">
        <v>5714</v>
      </c>
      <c r="B1924">
        <v>7094174030</v>
      </c>
      <c r="C1924">
        <v>835</v>
      </c>
      <c r="D1924" t="s">
        <v>655</v>
      </c>
    </row>
    <row r="1925" spans="1:4" x14ac:dyDescent="0.35">
      <c r="A1925">
        <v>5715</v>
      </c>
      <c r="B1925">
        <v>7094201130</v>
      </c>
      <c r="C1925">
        <v>1056</v>
      </c>
      <c r="D1925" t="s">
        <v>2734</v>
      </c>
    </row>
    <row r="1926" spans="1:4" x14ac:dyDescent="0.35">
      <c r="A1926">
        <v>5716</v>
      </c>
      <c r="B1926">
        <v>7094200530</v>
      </c>
      <c r="C1926">
        <v>1056</v>
      </c>
      <c r="D1926" t="s">
        <v>2738</v>
      </c>
    </row>
    <row r="1927" spans="1:4" x14ac:dyDescent="0.35">
      <c r="A1927">
        <v>5717</v>
      </c>
      <c r="B1927">
        <v>7094200830</v>
      </c>
      <c r="C1927">
        <v>1056</v>
      </c>
      <c r="D1927" t="s">
        <v>2742</v>
      </c>
    </row>
    <row r="1928" spans="1:4" x14ac:dyDescent="0.35">
      <c r="A1928">
        <v>5718</v>
      </c>
      <c r="B1928">
        <v>7094200330</v>
      </c>
      <c r="C1928">
        <v>1056</v>
      </c>
      <c r="D1928" t="s">
        <v>2786</v>
      </c>
    </row>
    <row r="1929" spans="1:4" x14ac:dyDescent="0.35">
      <c r="A1929">
        <v>5719</v>
      </c>
      <c r="B1929">
        <v>7094200730</v>
      </c>
      <c r="C1929">
        <v>1056</v>
      </c>
      <c r="D1929" t="s">
        <v>2790</v>
      </c>
    </row>
    <row r="1930" spans="1:4" x14ac:dyDescent="0.35">
      <c r="A1930">
        <v>5720</v>
      </c>
      <c r="B1930">
        <v>7094200230</v>
      </c>
      <c r="C1930">
        <v>1056</v>
      </c>
      <c r="D1930" t="s">
        <v>2794</v>
      </c>
    </row>
    <row r="1931" spans="1:4" x14ac:dyDescent="0.35">
      <c r="A1931">
        <v>5721</v>
      </c>
      <c r="B1931">
        <v>7094200630</v>
      </c>
      <c r="C1931">
        <v>1056</v>
      </c>
      <c r="D1931" t="s">
        <v>2798</v>
      </c>
    </row>
    <row r="1932" spans="1:4" x14ac:dyDescent="0.35">
      <c r="A1932">
        <v>5722</v>
      </c>
      <c r="B1932">
        <v>7094201430</v>
      </c>
      <c r="C1932">
        <v>1056</v>
      </c>
      <c r="D1932" t="s">
        <v>2802</v>
      </c>
    </row>
    <row r="1933" spans="1:4" x14ac:dyDescent="0.35">
      <c r="A1933">
        <v>5723</v>
      </c>
      <c r="B1933" t="s">
        <v>2806</v>
      </c>
      <c r="C1933">
        <v>1056</v>
      </c>
      <c r="D1933" t="s">
        <v>1022</v>
      </c>
    </row>
    <row r="1934" spans="1:4" x14ac:dyDescent="0.35">
      <c r="A1934">
        <v>5724</v>
      </c>
      <c r="B1934" t="s">
        <v>2810</v>
      </c>
      <c r="C1934">
        <v>1056</v>
      </c>
      <c r="D1934" t="s">
        <v>851</v>
      </c>
    </row>
    <row r="1935" spans="1:4" x14ac:dyDescent="0.35">
      <c r="A1935">
        <v>5725</v>
      </c>
      <c r="B1935" t="s">
        <v>2814</v>
      </c>
      <c r="C1935">
        <v>1056</v>
      </c>
      <c r="D1935" t="s">
        <v>1031</v>
      </c>
    </row>
    <row r="1936" spans="1:4" x14ac:dyDescent="0.35">
      <c r="A1936">
        <v>5726</v>
      </c>
      <c r="B1936" t="s">
        <v>2818</v>
      </c>
      <c r="C1936">
        <v>1056</v>
      </c>
      <c r="D1936" t="s">
        <v>949</v>
      </c>
    </row>
    <row r="1937" spans="1:4" x14ac:dyDescent="0.35">
      <c r="A1937">
        <v>5727</v>
      </c>
      <c r="B1937" t="s">
        <v>2764</v>
      </c>
      <c r="C1937">
        <v>1056</v>
      </c>
      <c r="D1937" t="s">
        <v>2767</v>
      </c>
    </row>
    <row r="1938" spans="1:4" x14ac:dyDescent="0.35">
      <c r="A1938">
        <v>5728</v>
      </c>
      <c r="B1938" t="s">
        <v>2840</v>
      </c>
      <c r="C1938">
        <v>1056</v>
      </c>
      <c r="D1938" t="s">
        <v>2841</v>
      </c>
    </row>
    <row r="1939" spans="1:4" x14ac:dyDescent="0.35">
      <c r="A1939">
        <v>5729</v>
      </c>
      <c r="B1939">
        <v>7094202050</v>
      </c>
      <c r="C1939">
        <v>1056</v>
      </c>
      <c r="D1939" t="s">
        <v>2866</v>
      </c>
    </row>
    <row r="1940" spans="1:4" x14ac:dyDescent="0.35">
      <c r="A1940">
        <v>5730</v>
      </c>
      <c r="B1940">
        <v>7094171830</v>
      </c>
      <c r="C1940">
        <v>1056</v>
      </c>
      <c r="D1940" t="s">
        <v>1709</v>
      </c>
    </row>
    <row r="1941" spans="1:4" x14ac:dyDescent="0.35">
      <c r="A1941">
        <v>5731</v>
      </c>
      <c r="B1941">
        <v>7094171430</v>
      </c>
      <c r="C1941">
        <v>1056</v>
      </c>
      <c r="D1941" t="s">
        <v>1719</v>
      </c>
    </row>
    <row r="1942" spans="1:4" x14ac:dyDescent="0.35">
      <c r="A1942">
        <v>5732</v>
      </c>
      <c r="B1942">
        <v>7094175630</v>
      </c>
      <c r="C1942">
        <v>1056</v>
      </c>
      <c r="D1942" t="s">
        <v>1740</v>
      </c>
    </row>
    <row r="1943" spans="1:4" x14ac:dyDescent="0.35">
      <c r="A1943">
        <v>5733</v>
      </c>
      <c r="B1943">
        <v>7094176930</v>
      </c>
      <c r="C1943">
        <v>1056</v>
      </c>
      <c r="D1943" t="s">
        <v>2822</v>
      </c>
    </row>
    <row r="1944" spans="1:4" x14ac:dyDescent="0.35">
      <c r="A1944">
        <v>5734</v>
      </c>
      <c r="B1944">
        <v>7094176830</v>
      </c>
      <c r="C1944">
        <v>1056</v>
      </c>
      <c r="D1944" t="s">
        <v>2826</v>
      </c>
    </row>
    <row r="1945" spans="1:4" x14ac:dyDescent="0.35">
      <c r="A1945">
        <v>5735</v>
      </c>
      <c r="B1945">
        <v>7094171730</v>
      </c>
      <c r="C1945">
        <v>1056</v>
      </c>
      <c r="D1945" t="s">
        <v>2845</v>
      </c>
    </row>
    <row r="1946" spans="1:4" x14ac:dyDescent="0.35">
      <c r="A1946">
        <v>5736</v>
      </c>
      <c r="B1946">
        <v>7173811880</v>
      </c>
      <c r="C1946">
        <v>1056</v>
      </c>
      <c r="D1946" t="s">
        <v>2857</v>
      </c>
    </row>
    <row r="1947" spans="1:4" x14ac:dyDescent="0.35">
      <c r="A1947">
        <v>5737</v>
      </c>
      <c r="B1947">
        <v>7173811980</v>
      </c>
      <c r="C1947">
        <v>1056</v>
      </c>
      <c r="D1947" t="s">
        <v>2861</v>
      </c>
    </row>
    <row r="1948" spans="1:4" x14ac:dyDescent="0.35">
      <c r="A1948">
        <v>5738</v>
      </c>
      <c r="B1948" t="s">
        <v>3410</v>
      </c>
      <c r="C1948">
        <v>146</v>
      </c>
      <c r="D1948" t="s">
        <v>3411</v>
      </c>
    </row>
    <row r="1949" spans="1:4" x14ac:dyDescent="0.35">
      <c r="A1949">
        <v>5739</v>
      </c>
      <c r="B1949" t="s">
        <v>3414</v>
      </c>
      <c r="C1949">
        <v>146</v>
      </c>
      <c r="D1949" t="s">
        <v>1574</v>
      </c>
    </row>
    <row r="1950" spans="1:4" x14ac:dyDescent="0.35">
      <c r="A1950">
        <v>5740</v>
      </c>
      <c r="B1950" t="s">
        <v>3416</v>
      </c>
      <c r="C1950">
        <v>146</v>
      </c>
      <c r="D1950" t="s">
        <v>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Andrade</dc:creator>
  <cp:lastModifiedBy>Santiago Andrade</cp:lastModifiedBy>
  <dcterms:created xsi:type="dcterms:W3CDTF">2025-12-18T23:40:35Z</dcterms:created>
  <dcterms:modified xsi:type="dcterms:W3CDTF">2025-12-19T03:39:01Z</dcterms:modified>
</cp:coreProperties>
</file>