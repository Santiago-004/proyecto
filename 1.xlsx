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13_ncr:1_{D4AE6F47-3839-4394-BA97-5F9DC7192348}" xr6:coauthVersionLast="47" xr6:coauthVersionMax="47" xr10:uidLastSave="{00000000-0000-0000-0000-000000000000}"/>
  <bookViews>
    <workbookView xWindow="28680" yWindow="-120" windowWidth="29040" windowHeight="15720" tabRatio="664" activeTab="1" xr2:uid="{E9F52F04-CA37-44F4-880E-1AB220853177}"/>
  </bookViews>
  <sheets>
    <sheet name="STATUS" sheetId="12" r:id="rId1"/>
    <sheet name="MASTER LIST" sheetId="11" r:id="rId2"/>
    <sheet name="CODES OF CUSTOMERS" sheetId="4" r:id="rId3"/>
    <sheet name="list of outsource" sheetId="14" r:id="rId4"/>
  </sheets>
  <definedNames>
    <definedName name="_xlnm._FilterDatabase" localSheetId="2" hidden="1">'CODES OF CUSTOMERS'!$B$1:$D$89</definedName>
    <definedName name="_xlnm._FilterDatabase" localSheetId="1" hidden="1">'MASTER LIST'!$A$3:$Z$1114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2" l="1" a="1"/>
  <c r="J25" i="12" s="1"/>
  <c r="J24" i="12" a="1"/>
  <c r="J24" i="12" s="1"/>
  <c r="J23" i="12" a="1"/>
  <c r="J23" i="12" s="1"/>
  <c r="J22" i="12" a="1"/>
  <c r="J22" i="12" s="1"/>
  <c r="J21" i="12" a="1"/>
  <c r="J21" i="12" s="1"/>
  <c r="J20" i="12" a="1"/>
  <c r="J20" i="12" s="1"/>
  <c r="J19" i="12" a="1"/>
  <c r="J19" i="12" s="1"/>
  <c r="J18" i="12" a="1"/>
  <c r="J18" i="12" s="1"/>
  <c r="J17" i="12" a="1"/>
  <c r="J17" i="12" s="1"/>
  <c r="J16" i="12" a="1"/>
  <c r="J16" i="12" s="1"/>
  <c r="J15" i="12" a="1"/>
  <c r="J15" i="12" s="1"/>
  <c r="J14" i="12" a="1"/>
  <c r="J14" i="12" s="1"/>
  <c r="J13" i="12" a="1"/>
  <c r="J13" i="12" s="1"/>
  <c r="J12" i="12" a="1"/>
  <c r="J12" i="12" s="1"/>
  <c r="J11" i="12" a="1"/>
  <c r="J11" i="12" s="1"/>
  <c r="J10" i="12" a="1"/>
  <c r="J10" i="12" s="1"/>
  <c r="J5" i="12" a="1"/>
  <c r="J5" i="12" s="1"/>
  <c r="K298" i="11"/>
  <c r="K86" i="11"/>
  <c r="K302" i="11"/>
  <c r="K600" i="11"/>
  <c r="K96" i="11"/>
  <c r="K559" i="11"/>
  <c r="K277" i="11"/>
  <c r="K314" i="11"/>
  <c r="K85" i="11"/>
  <c r="K84" i="11"/>
  <c r="K1113" i="11"/>
  <c r="K136" i="11"/>
  <c r="K137" i="11"/>
  <c r="J9" i="12" s="1" a="1"/>
  <c r="J9" i="12" s="1"/>
  <c r="K787" i="11"/>
  <c r="K49" i="11"/>
  <c r="K312" i="11"/>
  <c r="K89" i="11"/>
  <c r="K88" i="11"/>
  <c r="K791" i="11"/>
  <c r="K789" i="11"/>
  <c r="K786" i="11"/>
  <c r="K788" i="11"/>
  <c r="K790" i="11"/>
  <c r="K794" i="11"/>
  <c r="K305" i="11"/>
  <c r="K303" i="11"/>
  <c r="K560" i="11"/>
  <c r="K793" i="11"/>
  <c r="K98" i="11"/>
  <c r="K265" i="11"/>
  <c r="K260" i="11"/>
  <c r="K257" i="11"/>
  <c r="K604" i="11"/>
  <c r="K319" i="11"/>
  <c r="K857" i="11"/>
  <c r="K808" i="11"/>
  <c r="K807" i="11"/>
  <c r="K806" i="11"/>
  <c r="K805" i="11"/>
  <c r="K804" i="11"/>
  <c r="K266" i="11"/>
  <c r="K803" i="11"/>
  <c r="K87" i="11"/>
  <c r="K802" i="11"/>
  <c r="K801" i="11"/>
  <c r="K800" i="11"/>
  <c r="K605" i="11"/>
  <c r="K406" i="11"/>
  <c r="K395" i="11"/>
  <c r="K1090" i="11"/>
  <c r="K1089" i="11"/>
  <c r="K1061" i="11"/>
  <c r="K734" i="11"/>
  <c r="K733" i="11"/>
  <c r="K732" i="11"/>
  <c r="K731" i="11"/>
  <c r="K656" i="11"/>
  <c r="K655" i="11"/>
  <c r="K654" i="11"/>
  <c r="K546" i="11"/>
  <c r="K383" i="11"/>
  <c r="K380" i="11"/>
  <c r="K141" i="11"/>
  <c r="K275" i="11"/>
  <c r="K274" i="11"/>
  <c r="K272" i="11"/>
  <c r="K271" i="11"/>
  <c r="K269" i="11"/>
  <c r="K792" i="11"/>
  <c r="K273" i="11"/>
  <c r="K276" i="11"/>
  <c r="K270" i="11"/>
  <c r="K268" i="11"/>
  <c r="K267" i="11"/>
  <c r="K123" i="11"/>
  <c r="K652" i="11"/>
  <c r="K278" i="11"/>
  <c r="K83" i="11"/>
  <c r="K82" i="11"/>
  <c r="K81" i="11"/>
  <c r="K80" i="11"/>
  <c r="K79" i="11"/>
  <c r="K296" i="11"/>
  <c r="K294" i="11"/>
  <c r="K54" i="11"/>
  <c r="K78" i="11"/>
  <c r="K77" i="11"/>
  <c r="K61" i="11"/>
  <c r="K131" i="11"/>
  <c r="K1088" i="11"/>
  <c r="K651" i="11"/>
  <c r="K730" i="11"/>
  <c r="K76" i="11"/>
  <c r="K772" i="11"/>
  <c r="K598" i="11"/>
  <c r="K284" i="11"/>
  <c r="K75" i="11"/>
  <c r="K1074" i="11"/>
  <c r="K1034" i="11"/>
  <c r="K1033" i="11"/>
  <c r="K1032" i="11"/>
  <c r="K1031" i="11"/>
  <c r="K1030" i="11"/>
  <c r="K1029" i="11"/>
  <c r="K1028" i="11"/>
  <c r="K1027" i="11"/>
  <c r="K130" i="11"/>
  <c r="K1105" i="11"/>
  <c r="K129" i="11"/>
  <c r="K1019" i="11"/>
  <c r="K1018" i="11"/>
  <c r="K1017" i="11"/>
  <c r="K178" i="11"/>
  <c r="K177" i="11"/>
  <c r="K176" i="11"/>
  <c r="K174" i="11"/>
  <c r="K168" i="11"/>
  <c r="K167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52" i="11"/>
  <c r="K650" i="11"/>
  <c r="K551" i="11"/>
  <c r="K343" i="11"/>
  <c r="K835" i="11"/>
  <c r="K542" i="11"/>
  <c r="K329" i="11"/>
  <c r="K62" i="11"/>
  <c r="K843" i="11"/>
  <c r="K841" i="11"/>
  <c r="K839" i="11"/>
  <c r="K837" i="11"/>
  <c r="K151" i="11"/>
  <c r="K149" i="11"/>
  <c r="K146" i="11"/>
  <c r="K135" i="11"/>
  <c r="K134" i="11"/>
  <c r="K133" i="11"/>
  <c r="K728" i="11"/>
  <c r="K729" i="11"/>
  <c r="K1084" i="11"/>
  <c r="K1083" i="11"/>
  <c r="K1080" i="11"/>
  <c r="K1079" i="11"/>
  <c r="K1078" i="11"/>
  <c r="K1077" i="11"/>
  <c r="K1076" i="11"/>
  <c r="K1082" i="11"/>
  <c r="K1081" i="11"/>
  <c r="K1086" i="11"/>
  <c r="K1085" i="11"/>
  <c r="K41" i="11"/>
  <c r="K196" i="11"/>
  <c r="K337" i="11"/>
  <c r="K320" i="11"/>
  <c r="K368" i="11"/>
  <c r="K318" i="11"/>
  <c r="K357" i="11"/>
  <c r="K362" i="11"/>
  <c r="K74" i="11"/>
  <c r="K73" i="11"/>
  <c r="K72" i="11"/>
  <c r="K687" i="11"/>
  <c r="K686" i="11"/>
  <c r="K685" i="11"/>
  <c r="K778" i="11"/>
  <c r="K776" i="11"/>
  <c r="K822" i="11"/>
  <c r="K819" i="11"/>
  <c r="K483" i="11"/>
  <c r="K816" i="11"/>
  <c r="K813" i="11"/>
  <c r="K506" i="11"/>
  <c r="K709" i="11"/>
  <c r="K727" i="11"/>
  <c r="K122" i="11"/>
  <c r="K121" i="11"/>
  <c r="K726" i="11"/>
  <c r="K365" i="11"/>
  <c r="K713" i="11"/>
  <c r="K1114" i="11"/>
  <c r="K1112" i="11"/>
  <c r="K621" i="11"/>
  <c r="K684" i="11"/>
  <c r="K1070" i="11"/>
  <c r="K1075" i="11"/>
  <c r="K1111" i="11"/>
  <c r="K1104" i="11"/>
  <c r="K1087" i="11"/>
  <c r="K1026" i="11"/>
  <c r="K1063" i="11"/>
  <c r="K1110" i="11"/>
  <c r="K1109" i="11"/>
  <c r="K1102" i="11"/>
  <c r="K1101" i="11"/>
  <c r="K1100" i="11"/>
  <c r="K1099" i="11"/>
  <c r="K1098" i="11"/>
  <c r="K1097" i="11"/>
  <c r="K1096" i="11"/>
  <c r="K1095" i="11"/>
  <c r="K1094" i="11"/>
  <c r="K1043" i="11"/>
  <c r="K1025" i="11"/>
  <c r="K1042" i="11"/>
  <c r="K1073" i="11"/>
  <c r="K1066" i="11"/>
  <c r="K1103" i="11"/>
  <c r="K1041" i="11"/>
  <c r="K970" i="11"/>
  <c r="K1022" i="11"/>
  <c r="K1065" i="11"/>
  <c r="K969" i="11"/>
  <c r="K968" i="11"/>
  <c r="K1064" i="11"/>
  <c r="K1062" i="11"/>
  <c r="K1059" i="11"/>
  <c r="K1040" i="11"/>
  <c r="K1093" i="11"/>
  <c r="K1092" i="11"/>
  <c r="K1091" i="11"/>
  <c r="K1108" i="11"/>
  <c r="K1107" i="11"/>
  <c r="K1106" i="11"/>
  <c r="K1072" i="11"/>
  <c r="K1035" i="11"/>
  <c r="K127" i="11"/>
  <c r="K856" i="11"/>
  <c r="K971" i="11"/>
  <c r="K467" i="11"/>
  <c r="K120" i="11"/>
  <c r="K465" i="11"/>
  <c r="K724" i="11"/>
  <c r="K716" i="11"/>
  <c r="K715" i="11"/>
  <c r="K128" i="11"/>
  <c r="K1016" i="11"/>
  <c r="K712" i="11"/>
  <c r="K711" i="11"/>
  <c r="K710" i="11"/>
  <c r="K701" i="11"/>
  <c r="K680" i="11"/>
  <c r="K679" i="11"/>
  <c r="K678" i="11"/>
  <c r="K568" i="11"/>
  <c r="K966" i="11"/>
  <c r="K649" i="11"/>
  <c r="K504" i="11"/>
  <c r="K501" i="11"/>
  <c r="K498" i="11"/>
  <c r="K494" i="11"/>
  <c r="K489" i="11"/>
  <c r="K507" i="11"/>
  <c r="K567" i="11"/>
  <c r="K487" i="11"/>
  <c r="K486" i="11"/>
  <c r="K485" i="11"/>
  <c r="K565" i="11"/>
  <c r="K563" i="11"/>
  <c r="K449" i="11"/>
  <c r="K447" i="11"/>
  <c r="K673" i="11"/>
  <c r="K670" i="11"/>
  <c r="K967" i="11"/>
  <c r="K1057" i="11"/>
  <c r="K459" i="11"/>
  <c r="K453" i="11"/>
  <c r="K452" i="11"/>
  <c r="K254" i="11"/>
  <c r="K1060" i="11"/>
  <c r="K171" i="11"/>
  <c r="K1058" i="11"/>
  <c r="K166" i="11"/>
  <c r="K591" i="11"/>
  <c r="K589" i="11"/>
  <c r="K587" i="11"/>
  <c r="K584" i="11"/>
  <c r="K576" i="11"/>
  <c r="K574" i="11"/>
  <c r="K435" i="11"/>
  <c r="K433" i="11"/>
  <c r="K572" i="11"/>
  <c r="K475" i="11"/>
  <c r="K430" i="11"/>
  <c r="K441" i="11"/>
  <c r="K392" i="11"/>
  <c r="K404" i="11"/>
  <c r="K353" i="11"/>
  <c r="K341" i="11"/>
  <c r="K547" i="11"/>
  <c r="K545" i="11"/>
  <c r="K348" i="11"/>
  <c r="K855" i="11"/>
  <c r="K698" i="11"/>
  <c r="K126" i="11"/>
  <c r="K697" i="11"/>
  <c r="K40" i="11"/>
  <c r="K779" i="11"/>
  <c r="K473" i="11"/>
  <c r="K469" i="11"/>
  <c r="K677" i="11"/>
  <c r="K676" i="11"/>
  <c r="K675" i="11"/>
  <c r="K647" i="11"/>
  <c r="K458" i="11"/>
  <c r="K439" i="11"/>
  <c r="K388" i="11"/>
  <c r="K331" i="11"/>
  <c r="K346" i="11"/>
  <c r="K416" i="11"/>
  <c r="K410" i="11"/>
  <c r="K484" i="11"/>
  <c r="K421" i="11"/>
  <c r="K401" i="11"/>
  <c r="K725" i="11"/>
  <c r="K929" i="11"/>
  <c r="K648" i="11"/>
  <c r="K323" i="11"/>
  <c r="K186" i="11"/>
  <c r="K1015" i="11"/>
  <c r="K184" i="11"/>
  <c r="K182" i="11"/>
  <c r="K180" i="11"/>
  <c r="K674" i="11"/>
  <c r="K672" i="11"/>
  <c r="K671" i="11"/>
  <c r="K669" i="11"/>
  <c r="K597" i="11"/>
  <c r="K351" i="11"/>
  <c r="K596" i="11"/>
  <c r="K595" i="11"/>
  <c r="K963" i="11"/>
  <c r="K462" i="11"/>
  <c r="K925" i="11"/>
  <c r="K923" i="11"/>
  <c r="K921" i="11"/>
  <c r="K919" i="11"/>
  <c r="K917" i="11"/>
  <c r="K915" i="11"/>
  <c r="K286" i="11"/>
  <c r="K290" i="11"/>
  <c r="K288" i="11"/>
  <c r="K280" i="11"/>
  <c r="K471" i="11"/>
  <c r="K985" i="11"/>
  <c r="K646" i="11"/>
  <c r="K480" i="11"/>
  <c r="K607" i="11"/>
  <c r="K71" i="11"/>
  <c r="K1000" i="11"/>
  <c r="K999" i="11"/>
  <c r="K998" i="11"/>
  <c r="K997" i="11"/>
  <c r="K996" i="11"/>
  <c r="K995" i="11"/>
  <c r="K538" i="11"/>
  <c r="K425" i="11"/>
  <c r="K911" i="11"/>
  <c r="K910" i="11"/>
  <c r="K194" i="11"/>
  <c r="K601" i="11"/>
  <c r="K1009" i="11"/>
  <c r="K1008" i="11"/>
  <c r="K1007" i="11"/>
  <c r="K994" i="11"/>
  <c r="K912" i="11"/>
  <c r="K965" i="11"/>
  <c r="K964" i="11"/>
  <c r="K913" i="11"/>
  <c r="K907" i="11"/>
  <c r="K897" i="11"/>
  <c r="K895" i="11"/>
  <c r="K893" i="11"/>
  <c r="K891" i="11"/>
  <c r="K1006" i="11"/>
  <c r="K1005" i="11"/>
  <c r="K1004" i="11"/>
  <c r="K1003" i="11"/>
  <c r="K1002" i="11"/>
  <c r="K1001" i="11"/>
  <c r="K424" i="11"/>
  <c r="K438" i="11"/>
  <c r="K993" i="11"/>
  <c r="K784" i="11"/>
  <c r="K783" i="11"/>
  <c r="K781" i="11"/>
  <c r="K868" i="11"/>
  <c r="K315" i="11"/>
  <c r="K1013" i="11"/>
  <c r="K1056" i="11"/>
  <c r="K1055" i="11"/>
  <c r="K1054" i="11"/>
  <c r="K478" i="11"/>
  <c r="K1012" i="11"/>
  <c r="K1011" i="11"/>
  <c r="K1010" i="11"/>
  <c r="K863" i="11"/>
  <c r="K861" i="11"/>
  <c r="K992" i="11"/>
  <c r="K991" i="11"/>
  <c r="K830" i="11"/>
  <c r="K990" i="11"/>
  <c r="K989" i="11"/>
  <c r="K500" i="11"/>
  <c r="K645" i="11"/>
  <c r="K644" i="11"/>
  <c r="K398" i="11"/>
  <c r="K370" i="11"/>
  <c r="K643" i="11"/>
  <c r="K723" i="11"/>
  <c r="K962" i="11"/>
  <c r="K961" i="11"/>
  <c r="K722" i="11"/>
  <c r="K721" i="11"/>
  <c r="K642" i="11"/>
  <c r="K641" i="11"/>
  <c r="K640" i="11"/>
  <c r="K536" i="11"/>
  <c r="K534" i="11"/>
  <c r="K526" i="11"/>
  <c r="K524" i="11"/>
  <c r="K522" i="11"/>
  <c r="K520" i="11"/>
  <c r="K60" i="11"/>
  <c r="K405" i="11"/>
  <c r="K394" i="11"/>
  <c r="K382" i="11"/>
  <c r="K326" i="11"/>
  <c r="K1053" i="11"/>
  <c r="K983" i="11"/>
  <c r="K982" i="11"/>
  <c r="K95" i="11"/>
  <c r="K379" i="11"/>
  <c r="K359" i="11"/>
  <c r="K957" i="11"/>
  <c r="K958" i="11"/>
  <c r="K948" i="11"/>
  <c r="K953" i="11"/>
  <c r="K954" i="11"/>
  <c r="K951" i="11"/>
  <c r="K959" i="11"/>
  <c r="K955" i="11"/>
  <c r="K952" i="11"/>
  <c r="K947" i="11"/>
  <c r="K945" i="11"/>
  <c r="K946" i="11"/>
  <c r="K949" i="11"/>
  <c r="K950" i="11"/>
  <c r="K956" i="11"/>
  <c r="K720" i="11"/>
  <c r="K719" i="11"/>
  <c r="K53" i="11"/>
  <c r="K376" i="11"/>
  <c r="K39" i="11"/>
  <c r="K908" i="11"/>
  <c r="K372" i="11"/>
  <c r="K342" i="11"/>
  <c r="K639" i="11"/>
  <c r="K847" i="11"/>
  <c r="K944" i="11"/>
  <c r="K943" i="11"/>
  <c r="K173" i="11"/>
  <c r="K860" i="11"/>
  <c r="K859" i="11"/>
  <c r="K718" i="11"/>
  <c r="K904" i="11"/>
  <c r="K367" i="11"/>
  <c r="K361" i="11"/>
  <c r="K356" i="11"/>
  <c r="K854" i="11"/>
  <c r="K1071" i="11"/>
  <c r="K1069" i="11"/>
  <c r="K1068" i="11"/>
  <c r="K1067" i="11"/>
  <c r="K960" i="11"/>
  <c r="K717" i="11"/>
  <c r="K638" i="11"/>
  <c r="K1052" i="11"/>
  <c r="K364" i="11"/>
  <c r="K187" i="11"/>
  <c r="K637" i="11"/>
  <c r="K375" i="11"/>
  <c r="K938" i="11"/>
  <c r="K937" i="11"/>
  <c r="K936" i="11"/>
  <c r="K935" i="11"/>
  <c r="K934" i="11"/>
  <c r="K933" i="11"/>
  <c r="K932" i="11"/>
  <c r="K931" i="11"/>
  <c r="K930" i="11"/>
  <c r="K942" i="11"/>
  <c r="K941" i="11"/>
  <c r="K940" i="11"/>
  <c r="K939" i="11"/>
  <c r="K668" i="11"/>
  <c r="K543" i="11"/>
  <c r="K482" i="11"/>
  <c r="K125" i="11"/>
  <c r="K544" i="11"/>
  <c r="K901" i="11"/>
  <c r="K900" i="11"/>
  <c r="K828" i="11"/>
  <c r="K826" i="11"/>
  <c r="K824" i="11"/>
  <c r="K821" i="11"/>
  <c r="K818" i="11"/>
  <c r="K815" i="11"/>
  <c r="K812" i="11"/>
  <c r="K333" i="11"/>
  <c r="K336" i="11"/>
  <c r="K928" i="11"/>
  <c r="K927" i="11"/>
  <c r="K926" i="11"/>
  <c r="K476" i="11"/>
  <c r="K636" i="11"/>
  <c r="K924" i="11"/>
  <c r="K922" i="11"/>
  <c r="K920" i="11"/>
  <c r="K918" i="11"/>
  <c r="K916" i="11"/>
  <c r="K914" i="11"/>
  <c r="K909" i="11"/>
  <c r="K810" i="11"/>
  <c r="K906" i="11"/>
  <c r="K905" i="11"/>
  <c r="K809" i="11"/>
  <c r="K903" i="11"/>
  <c r="K902" i="11"/>
  <c r="K899" i="11"/>
  <c r="K635" i="11"/>
  <c r="K634" i="11"/>
  <c r="K566" i="11"/>
  <c r="K564" i="11"/>
  <c r="K562" i="11"/>
  <c r="K561" i="11"/>
  <c r="K355" i="11"/>
  <c r="K1051" i="11"/>
  <c r="K1050" i="11"/>
  <c r="K1049" i="11"/>
  <c r="K1048" i="11"/>
  <c r="K1047" i="11"/>
  <c r="K1046" i="11"/>
  <c r="K1045" i="11"/>
  <c r="K1044" i="11"/>
  <c r="K1039" i="11"/>
  <c r="K1038" i="11"/>
  <c r="K1037" i="11"/>
  <c r="K881" i="11"/>
  <c r="K1036" i="11"/>
  <c r="K1024" i="11"/>
  <c r="K1023" i="11"/>
  <c r="K1021" i="11"/>
  <c r="K1020" i="11"/>
  <c r="K1014" i="11"/>
  <c r="K988" i="11"/>
  <c r="K987" i="11"/>
  <c r="K986" i="11"/>
  <c r="K984" i="11"/>
  <c r="K981" i="11"/>
  <c r="K980" i="11"/>
  <c r="K979" i="11"/>
  <c r="K978" i="11"/>
  <c r="K977" i="11"/>
  <c r="K976" i="11"/>
  <c r="K975" i="11"/>
  <c r="K974" i="11"/>
  <c r="K973" i="11"/>
  <c r="K972" i="11"/>
  <c r="K667" i="11"/>
  <c r="K666" i="11"/>
  <c r="K665" i="11"/>
  <c r="K664" i="11"/>
  <c r="K663" i="11"/>
  <c r="K662" i="11"/>
  <c r="K633" i="11"/>
  <c r="K632" i="11"/>
  <c r="K330" i="11"/>
  <c r="K898" i="11"/>
  <c r="K799" i="11"/>
  <c r="K474" i="11"/>
  <c r="K472" i="11"/>
  <c r="K468" i="11"/>
  <c r="K466" i="11"/>
  <c r="K463" i="11"/>
  <c r="K461" i="11"/>
  <c r="K456" i="11"/>
  <c r="K451" i="11"/>
  <c r="K426" i="11"/>
  <c r="K415" i="11"/>
  <c r="K409" i="11"/>
  <c r="K420" i="11"/>
  <c r="K391" i="11"/>
  <c r="K400" i="11"/>
  <c r="K385" i="11"/>
  <c r="K340" i="11"/>
  <c r="K853" i="11"/>
  <c r="K852" i="11"/>
  <c r="K350" i="11"/>
  <c r="K481" i="11"/>
  <c r="K310" i="11"/>
  <c r="K322" i="11"/>
  <c r="K631" i="11"/>
  <c r="K70" i="11"/>
  <c r="K896" i="11"/>
  <c r="K894" i="11"/>
  <c r="K777" i="11"/>
  <c r="K775" i="11"/>
  <c r="K858" i="11"/>
  <c r="K317" i="11"/>
  <c r="K630" i="11"/>
  <c r="K541" i="11"/>
  <c r="K479" i="11"/>
  <c r="K69" i="11"/>
  <c r="K309" i="11"/>
  <c r="K477" i="11"/>
  <c r="K892" i="11"/>
  <c r="K890" i="11"/>
  <c r="K844" i="11"/>
  <c r="K851" i="11"/>
  <c r="K850" i="11"/>
  <c r="K849" i="11"/>
  <c r="K848" i="11"/>
  <c r="K846" i="11"/>
  <c r="K845" i="11"/>
  <c r="K531" i="11"/>
  <c r="K714" i="11"/>
  <c r="K540" i="11"/>
  <c r="K539" i="11"/>
  <c r="K195" i="11"/>
  <c r="K537" i="11"/>
  <c r="K470" i="11"/>
  <c r="K145" i="11"/>
  <c r="K603" i="11"/>
  <c r="K460" i="11"/>
  <c r="K143" i="11"/>
  <c r="K313" i="11"/>
  <c r="K454" i="11"/>
  <c r="K450" i="11"/>
  <c r="K448" i="11"/>
  <c r="K464" i="11"/>
  <c r="K446" i="11"/>
  <c r="K445" i="11"/>
  <c r="K444" i="11"/>
  <c r="K443" i="11"/>
  <c r="K457" i="11"/>
  <c r="K442" i="11"/>
  <c r="K455" i="11"/>
  <c r="K436" i="11"/>
  <c r="K434" i="11"/>
  <c r="K412" i="11"/>
  <c r="K423" i="11"/>
  <c r="K403" i="11"/>
  <c r="K175" i="11"/>
  <c r="J8" i="12" s="1" a="1"/>
  <c r="J8" i="12" s="1"/>
  <c r="K432" i="11"/>
  <c r="K431" i="11"/>
  <c r="K429" i="11"/>
  <c r="K428" i="11"/>
  <c r="K427" i="11"/>
  <c r="K440" i="11"/>
  <c r="K328" i="11"/>
  <c r="K68" i="11"/>
  <c r="K67" i="11"/>
  <c r="K66" i="11"/>
  <c r="K65" i="11"/>
  <c r="K64" i="11"/>
  <c r="K708" i="11"/>
  <c r="K707" i="11"/>
  <c r="K706" i="11"/>
  <c r="K705" i="11"/>
  <c r="K704" i="11"/>
  <c r="K629" i="11"/>
  <c r="K193" i="11"/>
  <c r="K140" i="11"/>
  <c r="K437" i="11"/>
  <c r="K888" i="11"/>
  <c r="K889" i="11"/>
  <c r="K887" i="11"/>
  <c r="K418" i="11"/>
  <c r="K661" i="11"/>
  <c r="K886" i="11"/>
  <c r="K885" i="11"/>
  <c r="K884" i="11"/>
  <c r="K883" i="11"/>
  <c r="K882" i="11"/>
  <c r="K628" i="11"/>
  <c r="K627" i="11"/>
  <c r="K842" i="11"/>
  <c r="K840" i="11"/>
  <c r="K838" i="11"/>
  <c r="K836" i="11"/>
  <c r="K308" i="11"/>
  <c r="K307" i="11"/>
  <c r="K192" i="11"/>
  <c r="K417" i="11"/>
  <c r="K626" i="11"/>
  <c r="K306" i="11"/>
  <c r="K798" i="11"/>
  <c r="K414" i="11"/>
  <c r="K413" i="11"/>
  <c r="K411" i="11"/>
  <c r="K407" i="11"/>
  <c r="K422" i="11"/>
  <c r="K419" i="11"/>
  <c r="K703" i="11"/>
  <c r="K702" i="11"/>
  <c r="K660" i="11"/>
  <c r="K659" i="11"/>
  <c r="K658" i="11"/>
  <c r="K390" i="11"/>
  <c r="K389" i="11"/>
  <c r="K696" i="11"/>
  <c r="K124" i="11"/>
  <c r="K118" i="11"/>
  <c r="K117" i="11"/>
  <c r="K116" i="11"/>
  <c r="K115" i="11"/>
  <c r="K114" i="11"/>
  <c r="K113" i="11"/>
  <c r="K112" i="11"/>
  <c r="K111" i="11"/>
  <c r="K110" i="11"/>
  <c r="K109" i="11"/>
  <c r="K44" i="11"/>
  <c r="K625" i="11"/>
  <c r="K624" i="11"/>
  <c r="K623" i="11"/>
  <c r="K599" i="11"/>
  <c r="K108" i="11"/>
  <c r="K107" i="11"/>
  <c r="K106" i="11"/>
  <c r="K325" i="11"/>
  <c r="K105" i="11"/>
  <c r="K833" i="11"/>
  <c r="K832" i="11"/>
  <c r="K831" i="11"/>
  <c r="K387" i="11"/>
  <c r="K386" i="11"/>
  <c r="K402" i="11"/>
  <c r="K622" i="11"/>
  <c r="K399" i="11"/>
  <c r="K183" i="11"/>
  <c r="K185" i="11"/>
  <c r="K181" i="11"/>
  <c r="K179" i="11"/>
  <c r="K700" i="11"/>
  <c r="K397" i="11"/>
  <c r="K52" i="11"/>
  <c r="K384" i="11"/>
  <c r="K554" i="11"/>
  <c r="K92" i="11"/>
  <c r="K552" i="11"/>
  <c r="K91" i="11"/>
  <c r="K550" i="11"/>
  <c r="K549" i="11"/>
  <c r="K548" i="11"/>
  <c r="K699" i="11"/>
  <c r="K381" i="11"/>
  <c r="K378" i="11"/>
  <c r="K396" i="11"/>
  <c r="K393" i="11"/>
  <c r="K408" i="11"/>
  <c r="K97" i="11"/>
  <c r="K620" i="11"/>
  <c r="K619" i="11"/>
  <c r="K618" i="11"/>
  <c r="K617" i="11"/>
  <c r="K616" i="11"/>
  <c r="K615" i="11"/>
  <c r="K377" i="11"/>
  <c r="K373" i="11"/>
  <c r="K371" i="11"/>
  <c r="K880" i="11"/>
  <c r="K879" i="11"/>
  <c r="K878" i="11"/>
  <c r="K877" i="11"/>
  <c r="K876" i="11"/>
  <c r="K875" i="11"/>
  <c r="K874" i="11"/>
  <c r="K873" i="11"/>
  <c r="K872" i="11"/>
  <c r="K871" i="11"/>
  <c r="K870" i="11"/>
  <c r="K869" i="11"/>
  <c r="K867" i="11"/>
  <c r="K866" i="11"/>
  <c r="K304" i="11"/>
  <c r="K782" i="11"/>
  <c r="K780" i="11"/>
  <c r="K299" i="11"/>
  <c r="K94" i="11"/>
  <c r="K93" i="11"/>
  <c r="K594" i="11"/>
  <c r="K864" i="11"/>
  <c r="K369" i="11"/>
  <c r="K289" i="11"/>
  <c r="K203" i="11"/>
  <c r="K865" i="11"/>
  <c r="K43" i="11"/>
  <c r="K530" i="11"/>
  <c r="K533" i="11"/>
  <c r="K532" i="11"/>
  <c r="K529" i="11"/>
  <c r="K528" i="11"/>
  <c r="K366" i="11"/>
  <c r="K614" i="11"/>
  <c r="K771" i="11"/>
  <c r="K862" i="11"/>
  <c r="K834" i="11"/>
  <c r="K172" i="11"/>
  <c r="K613" i="11"/>
  <c r="K612" i="11"/>
  <c r="K558" i="11"/>
  <c r="K769" i="11"/>
  <c r="K768" i="11"/>
  <c r="K765" i="11"/>
  <c r="K557" i="11"/>
  <c r="K762" i="11"/>
  <c r="K761" i="11"/>
  <c r="K760" i="11"/>
  <c r="K556" i="11"/>
  <c r="K756" i="11"/>
  <c r="K555" i="11"/>
  <c r="K754" i="11"/>
  <c r="K753" i="11"/>
  <c r="K752" i="11"/>
  <c r="K751" i="11"/>
  <c r="K750" i="11"/>
  <c r="K749" i="11"/>
  <c r="K748" i="11"/>
  <c r="K747" i="11"/>
  <c r="K764" i="11"/>
  <c r="K746" i="11"/>
  <c r="K745" i="11"/>
  <c r="K744" i="11"/>
  <c r="K743" i="11"/>
  <c r="K759" i="11"/>
  <c r="K758" i="11"/>
  <c r="K553" i="11"/>
  <c r="K741" i="11"/>
  <c r="K611" i="11"/>
  <c r="K610" i="11"/>
  <c r="K42" i="11"/>
  <c r="K657" i="11"/>
  <c r="K695" i="11"/>
  <c r="K694" i="11"/>
  <c r="K363" i="11"/>
  <c r="K797" i="11"/>
  <c r="K358" i="11"/>
  <c r="K344" i="11"/>
  <c r="K338" i="11"/>
  <c r="K335" i="11"/>
  <c r="K374" i="11"/>
  <c r="K170" i="11"/>
  <c r="K169" i="11"/>
  <c r="K593" i="11"/>
  <c r="K592" i="11"/>
  <c r="K360" i="11"/>
  <c r="K535" i="11"/>
  <c r="K796" i="11"/>
  <c r="K334" i="11"/>
  <c r="K332" i="11"/>
  <c r="K354" i="11"/>
  <c r="K352" i="11"/>
  <c r="K349" i="11"/>
  <c r="K347" i="11"/>
  <c r="K165" i="11"/>
  <c r="K590" i="11"/>
  <c r="K588" i="11"/>
  <c r="K586" i="11"/>
  <c r="K578" i="11"/>
  <c r="K575" i="11"/>
  <c r="K573" i="11"/>
  <c r="K571" i="11"/>
  <c r="K150" i="11"/>
  <c r="K570" i="11"/>
  <c r="K148" i="11"/>
  <c r="K147" i="11"/>
  <c r="K569" i="11"/>
  <c r="K345" i="11"/>
  <c r="K297" i="11"/>
  <c r="K324" i="11"/>
  <c r="K339" i="11"/>
  <c r="K59" i="11"/>
  <c r="K282" i="11"/>
  <c r="K279" i="11"/>
  <c r="K287" i="11"/>
  <c r="K285" i="11"/>
  <c r="K692" i="11"/>
  <c r="K609" i="11"/>
  <c r="K691" i="11"/>
  <c r="K690" i="11"/>
  <c r="K689" i="11"/>
  <c r="K688" i="11"/>
  <c r="K102" i="11"/>
  <c r="K101" i="11"/>
  <c r="K693" i="11"/>
  <c r="K321" i="11"/>
  <c r="K292" i="11"/>
  <c r="K191" i="11"/>
  <c r="K316" i="11"/>
  <c r="K301" i="11"/>
  <c r="K683" i="11"/>
  <c r="K682" i="11"/>
  <c r="K681" i="11"/>
  <c r="K38" i="11"/>
  <c r="K37" i="11"/>
  <c r="K36" i="11"/>
  <c r="K527" i="11"/>
  <c r="K525" i="11"/>
  <c r="K523" i="11"/>
  <c r="K521" i="11"/>
  <c r="K519" i="11"/>
  <c r="K585" i="11"/>
  <c r="K517" i="11"/>
  <c r="K583" i="11"/>
  <c r="K582" i="11"/>
  <c r="K581" i="11"/>
  <c r="K580" i="11"/>
  <c r="K262" i="11"/>
  <c r="K100" i="11"/>
  <c r="K608" i="11"/>
  <c r="K606" i="11"/>
  <c r="K829" i="11"/>
  <c r="K602" i="11"/>
  <c r="K190" i="11"/>
  <c r="K90" i="11"/>
  <c r="K579" i="11"/>
  <c r="K516" i="11"/>
  <c r="K577" i="11"/>
  <c r="K515" i="11"/>
  <c r="K514" i="11"/>
  <c r="K513" i="11"/>
  <c r="K511" i="11"/>
  <c r="K510" i="11"/>
  <c r="K508" i="11"/>
  <c r="K505" i="11"/>
  <c r="K503" i="11"/>
  <c r="K502" i="11"/>
  <c r="K499" i="11"/>
  <c r="K497" i="11"/>
  <c r="K496" i="11"/>
  <c r="K495" i="11"/>
  <c r="K493" i="11"/>
  <c r="K492" i="11"/>
  <c r="K491" i="11"/>
  <c r="K490" i="11"/>
  <c r="K488" i="11"/>
  <c r="K311" i="11"/>
  <c r="K327" i="11"/>
  <c r="K795" i="11"/>
  <c r="K144" i="11"/>
  <c r="K142" i="11"/>
  <c r="K300" i="11"/>
  <c r="K291" i="11"/>
  <c r="K281" i="11"/>
  <c r="K653" i="11"/>
  <c r="K139" i="11"/>
  <c r="K827" i="11"/>
  <c r="K825" i="11"/>
  <c r="K823" i="11"/>
  <c r="K820" i="11"/>
  <c r="K817" i="11"/>
  <c r="K814" i="11"/>
  <c r="K811" i="11"/>
  <c r="K518" i="11"/>
  <c r="K35" i="11"/>
  <c r="K34" i="11"/>
  <c r="K33" i="11"/>
  <c r="K32" i="11"/>
  <c r="K21" i="11"/>
  <c r="K512" i="11"/>
  <c r="K20" i="11"/>
  <c r="K19" i="11"/>
  <c r="K509" i="11"/>
  <c r="K18" i="11"/>
  <c r="K104" i="11"/>
  <c r="K103" i="11"/>
  <c r="K283" i="11"/>
  <c r="K295" i="11"/>
  <c r="K293" i="11"/>
  <c r="K189" i="11"/>
  <c r="K188" i="11"/>
  <c r="K263" i="11"/>
  <c r="K119" i="11"/>
  <c r="K261" i="11"/>
  <c r="K259" i="11"/>
  <c r="K211" i="11"/>
  <c r="J7" i="12" s="1" a="1"/>
  <c r="J7" i="12" s="1"/>
  <c r="K58" i="11"/>
  <c r="K56" i="11"/>
  <c r="K51" i="11"/>
  <c r="K755" i="11"/>
  <c r="K48" i="11"/>
  <c r="K46" i="11"/>
  <c r="K138" i="11"/>
  <c r="K132" i="11"/>
  <c r="K264" i="11"/>
  <c r="K785" i="11"/>
  <c r="K774" i="11"/>
  <c r="K773" i="11"/>
  <c r="K770" i="11"/>
  <c r="K767" i="11"/>
  <c r="K766" i="11"/>
  <c r="K763" i="11"/>
  <c r="K757" i="11"/>
  <c r="K258" i="11"/>
  <c r="K256" i="11"/>
  <c r="K255" i="11"/>
  <c r="K253" i="11"/>
  <c r="K252" i="11"/>
  <c r="K251" i="11"/>
  <c r="K250" i="11"/>
  <c r="K249" i="11"/>
  <c r="K248" i="11"/>
  <c r="K247" i="11"/>
  <c r="K246" i="11"/>
  <c r="K245" i="11"/>
  <c r="K244" i="11"/>
  <c r="K243" i="11"/>
  <c r="K242" i="11"/>
  <c r="K241" i="11"/>
  <c r="K240" i="11"/>
  <c r="K239" i="11"/>
  <c r="K238" i="11"/>
  <c r="K237" i="11"/>
  <c r="K236" i="11"/>
  <c r="K235" i="11"/>
  <c r="K234" i="11"/>
  <c r="K233" i="11"/>
  <c r="K232" i="11"/>
  <c r="K231" i="11"/>
  <c r="K230" i="11"/>
  <c r="K229" i="11"/>
  <c r="K228" i="11"/>
  <c r="K227" i="11"/>
  <c r="K226" i="11"/>
  <c r="K225" i="11"/>
  <c r="K224" i="11"/>
  <c r="K223" i="11"/>
  <c r="K222" i="11"/>
  <c r="K221" i="11"/>
  <c r="K220" i="11"/>
  <c r="K219" i="11"/>
  <c r="K218" i="11"/>
  <c r="K217" i="11"/>
  <c r="K216" i="11"/>
  <c r="K215" i="11"/>
  <c r="K214" i="11"/>
  <c r="K213" i="11"/>
  <c r="K212" i="11"/>
  <c r="K210" i="11"/>
  <c r="K63" i="11"/>
  <c r="K202" i="11"/>
  <c r="K200" i="11"/>
  <c r="K740" i="11"/>
  <c r="K198" i="11"/>
  <c r="K209" i="11"/>
  <c r="K208" i="11"/>
  <c r="K207" i="11"/>
  <c r="K17" i="11"/>
  <c r="K15" i="11"/>
  <c r="K13" i="11"/>
  <c r="K11" i="11"/>
  <c r="K9" i="11"/>
  <c r="K7" i="11"/>
  <c r="K5" i="11"/>
  <c r="K205" i="11"/>
  <c r="J6" i="12" s="1" a="1"/>
  <c r="J6" i="12" s="1"/>
  <c r="K738" i="11"/>
  <c r="K736" i="11"/>
  <c r="K31" i="11"/>
  <c r="K29" i="11"/>
  <c r="K27" i="11"/>
  <c r="K25" i="11"/>
  <c r="K23" i="11"/>
  <c r="K99" i="11"/>
  <c r="K742" i="11"/>
  <c r="K57" i="11"/>
  <c r="K55" i="11"/>
  <c r="K50" i="11"/>
  <c r="K47" i="11"/>
  <c r="K45" i="11"/>
  <c r="K739" i="11"/>
  <c r="K206" i="11"/>
  <c r="K201" i="11"/>
  <c r="K199" i="11"/>
  <c r="K737" i="11"/>
  <c r="K735" i="11"/>
  <c r="K197" i="11"/>
  <c r="K204" i="11"/>
  <c r="K16" i="11"/>
  <c r="K14" i="11"/>
  <c r="K12" i="11"/>
  <c r="K10" i="11"/>
  <c r="K8" i="11"/>
  <c r="K6" i="11"/>
  <c r="K4" i="11"/>
  <c r="K30" i="11"/>
  <c r="K28" i="11"/>
  <c r="K26" i="11"/>
  <c r="K24" i="11"/>
  <c r="K22" i="11"/>
  <c r="A298" i="11"/>
  <c r="A86" i="11"/>
  <c r="A302" i="11"/>
  <c r="A600" i="11"/>
  <c r="A96" i="11"/>
  <c r="A559" i="11" l="1"/>
  <c r="A277" i="11"/>
  <c r="A314" i="11"/>
  <c r="A85" i="11"/>
  <c r="A84" i="11"/>
  <c r="A560" i="11" l="1"/>
  <c r="A857" i="11"/>
  <c r="A136" i="11" l="1"/>
  <c r="A137" i="11"/>
  <c r="A266" i="11"/>
  <c r="A1113" i="11" l="1"/>
  <c r="A808" i="11" l="1"/>
  <c r="A807" i="11"/>
  <c r="A806" i="11"/>
  <c r="A805" i="11"/>
  <c r="A804" i="11"/>
  <c r="A803" i="11"/>
  <c r="A802" i="11"/>
  <c r="A801" i="11"/>
  <c r="A800" i="11"/>
  <c r="A604" i="11"/>
  <c r="A787" i="11"/>
  <c r="A791" i="11"/>
  <c r="A789" i="11"/>
  <c r="A786" i="11"/>
  <c r="A788" i="11"/>
  <c r="A790" i="11"/>
  <c r="A794" i="11"/>
  <c r="A319" i="11"/>
  <c r="A305" i="11"/>
  <c r="A303" i="11"/>
  <c r="A793" i="11"/>
  <c r="A49" i="11"/>
  <c r="A1088" i="11"/>
  <c r="A98" i="11" l="1"/>
  <c r="A605" i="11"/>
  <c r="A257" i="11"/>
  <c r="A265" i="11"/>
  <c r="A260" i="11"/>
  <c r="A312" i="11" l="1"/>
  <c r="A406" i="11"/>
  <c r="A395" i="11"/>
  <c r="A734" i="11"/>
  <c r="A733" i="11"/>
  <c r="A732" i="11"/>
  <c r="A731" i="11"/>
  <c r="A656" i="11"/>
  <c r="A655" i="11"/>
  <c r="A654" i="11"/>
  <c r="A1090" i="11"/>
  <c r="A1089" i="11"/>
  <c r="A1061" i="11"/>
  <c r="A546" i="11" l="1"/>
  <c r="A380" i="11"/>
  <c r="A278" i="11"/>
  <c r="A383" i="11"/>
  <c r="A276" i="11"/>
  <c r="A275" i="11"/>
  <c r="A274" i="11"/>
  <c r="A273" i="11"/>
  <c r="A272" i="11"/>
  <c r="A271" i="11"/>
  <c r="A270" i="11"/>
  <c r="A269" i="11"/>
  <c r="A268" i="11"/>
  <c r="A267" i="11"/>
  <c r="A792" i="11"/>
  <c r="A83" i="11"/>
  <c r="A82" i="11"/>
  <c r="A81" i="11"/>
  <c r="A80" i="11"/>
  <c r="A123" i="11"/>
  <c r="A141" i="11" l="1"/>
  <c r="A652" i="11" l="1"/>
  <c r="A79" i="11"/>
  <c r="A131" i="11"/>
  <c r="A296" i="11"/>
  <c r="A294" i="11"/>
  <c r="A65" i="11" l="1"/>
  <c r="A54" i="11"/>
  <c r="A730" i="11" l="1"/>
  <c r="A78" i="11" l="1"/>
  <c r="A542" i="11" l="1"/>
  <c r="A651" i="11" l="1"/>
  <c r="A772" i="11"/>
  <c r="A77" i="11" l="1"/>
  <c r="A76" i="11"/>
  <c r="A598" i="11" l="1"/>
  <c r="A551" i="11" l="1"/>
  <c r="A650" i="11" l="1"/>
  <c r="A1074" i="11" l="1"/>
  <c r="A1034" i="11"/>
  <c r="A1033" i="11"/>
  <c r="A1032" i="11"/>
  <c r="A1031" i="11"/>
  <c r="A1030" i="11"/>
  <c r="A1029" i="11"/>
  <c r="A1028" i="11"/>
  <c r="A1027" i="11"/>
  <c r="A164" i="11"/>
  <c r="A163" i="11"/>
  <c r="A162" i="11"/>
  <c r="A161" i="11"/>
  <c r="A160" i="11"/>
  <c r="A178" i="11"/>
  <c r="A177" i="11"/>
  <c r="A176" i="11"/>
  <c r="A174" i="11"/>
  <c r="A168" i="11"/>
  <c r="A167" i="11"/>
  <c r="A159" i="11"/>
  <c r="A158" i="11"/>
  <c r="A157" i="11"/>
  <c r="A156" i="11"/>
  <c r="A155" i="11"/>
  <c r="A154" i="11"/>
  <c r="A153" i="11"/>
  <c r="A152" i="11"/>
  <c r="A151" i="11"/>
  <c r="A149" i="11"/>
  <c r="A146" i="11"/>
  <c r="A135" i="11"/>
  <c r="A134" i="11"/>
  <c r="A133" i="11"/>
  <c r="A343" i="11"/>
  <c r="A329" i="11" l="1"/>
  <c r="A337" i="11"/>
  <c r="A835" i="11" l="1"/>
  <c r="A62" i="11"/>
  <c r="A61" i="11"/>
  <c r="A843" i="11" l="1"/>
  <c r="A841" i="11"/>
  <c r="A839" i="11"/>
  <c r="A837" i="11"/>
  <c r="A368" i="11"/>
  <c r="A778" i="11"/>
  <c r="A776" i="11"/>
  <c r="A318" i="11"/>
  <c r="A357" i="11" l="1"/>
  <c r="A1084" i="11"/>
  <c r="A1083" i="11"/>
  <c r="A1082" i="11"/>
  <c r="A1081" i="11"/>
  <c r="A1080" i="11"/>
  <c r="A1086" i="11"/>
  <c r="A1079" i="11"/>
  <c r="A1078" i="11"/>
  <c r="A1085" i="11"/>
  <c r="A1077" i="11"/>
  <c r="A1076" i="11"/>
  <c r="A362" i="11" l="1"/>
  <c r="A75" i="11"/>
  <c r="A74" i="11"/>
  <c r="A73" i="11"/>
  <c r="A687" i="11"/>
  <c r="A686" i="11"/>
  <c r="A685" i="11"/>
  <c r="A684" i="11" l="1"/>
  <c r="A822" i="11" l="1"/>
  <c r="A819" i="11"/>
  <c r="A816" i="11"/>
  <c r="A813" i="11"/>
  <c r="A728" i="11"/>
  <c r="A729" i="11"/>
  <c r="A41" i="11"/>
  <c r="A130" i="11"/>
  <c r="A365" i="11" l="1"/>
  <c r="A1025" i="11" l="1"/>
  <c r="A1075" i="11"/>
  <c r="A1026" i="11"/>
  <c r="A1087" i="11"/>
  <c r="A1070" i="11"/>
  <c r="A1111" i="11"/>
  <c r="A1112" i="11"/>
  <c r="A1114" i="11"/>
  <c r="A1099" i="11"/>
  <c r="A1100" i="11"/>
  <c r="A1101" i="11"/>
  <c r="A1102" i="11"/>
  <c r="A1103" i="11"/>
  <c r="A1104" i="11"/>
  <c r="A1105" i="11"/>
  <c r="A1106" i="11"/>
  <c r="A1107" i="11"/>
  <c r="A1108" i="11"/>
  <c r="A1059" i="11"/>
  <c r="A1109" i="11"/>
  <c r="A1110" i="11"/>
  <c r="A1062" i="11"/>
  <c r="A1063" i="11"/>
  <c r="A1064" i="11"/>
  <c r="A1065" i="11"/>
  <c r="A1066" i="11"/>
  <c r="A1073" i="11"/>
  <c r="A1035" i="11"/>
  <c r="A1091" i="11"/>
  <c r="A1072" i="11"/>
  <c r="A1092" i="11"/>
  <c r="A1093" i="11"/>
  <c r="A1040" i="11"/>
  <c r="A1041" i="11"/>
  <c r="A1042" i="11"/>
  <c r="A1043" i="11"/>
  <c r="A1094" i="11"/>
  <c r="A1095" i="11"/>
  <c r="A1096" i="11"/>
  <c r="A1097" i="11"/>
  <c r="A1098" i="11"/>
  <c r="A320" i="11" l="1"/>
  <c r="A196" i="11" l="1"/>
  <c r="A1037" i="11"/>
  <c r="A970" i="11"/>
  <c r="A968" i="11"/>
  <c r="A971" i="11"/>
  <c r="A969" i="11"/>
  <c r="A1022" i="11"/>
  <c r="A709" i="11" l="1"/>
  <c r="A483" i="11"/>
  <c r="A129" i="11"/>
  <c r="A1019" i="11"/>
  <c r="A1018" i="11"/>
  <c r="A1017" i="11"/>
  <c r="A122" i="11"/>
  <c r="A121" i="11"/>
  <c r="A120" i="11"/>
  <c r="A727" i="11"/>
  <c r="A726" i="11" l="1"/>
  <c r="A967" i="11" l="1"/>
  <c r="A254" i="11"/>
  <c r="A966" i="11"/>
  <c r="A649" i="11" l="1"/>
  <c r="A1060" i="11" l="1"/>
  <c r="A724" i="11" l="1"/>
  <c r="A171" i="11"/>
  <c r="A589" i="11"/>
  <c r="A166" i="11"/>
  <c r="A587" i="11"/>
  <c r="A574" i="11"/>
  <c r="A584" i="11"/>
  <c r="A591" i="11"/>
  <c r="A572" i="11"/>
  <c r="A576" i="11"/>
  <c r="A128" i="11"/>
  <c r="A716" i="11"/>
  <c r="A715" i="11"/>
  <c r="A713" i="11"/>
  <c r="A498" i="11" l="1"/>
  <c r="A504" i="11"/>
  <c r="A506" i="11"/>
  <c r="A489" i="11"/>
  <c r="A494" i="11"/>
  <c r="A501" i="11"/>
  <c r="A621" i="11"/>
  <c r="A127" i="11" l="1"/>
  <c r="A507" i="11"/>
  <c r="A712" i="11"/>
  <c r="A711" i="11"/>
  <c r="A710" i="11"/>
  <c r="A701" i="11"/>
  <c r="A856" i="11" l="1"/>
  <c r="A473" i="11"/>
  <c r="A475" i="11"/>
  <c r="A1016" i="11"/>
  <c r="A465" i="11"/>
  <c r="A469" i="11"/>
  <c r="A467" i="11"/>
  <c r="A126" i="11"/>
  <c r="A698" i="11"/>
  <c r="A697" i="11"/>
  <c r="A680" i="11"/>
  <c r="A679" i="11"/>
  <c r="A678" i="11"/>
  <c r="A1058" i="11"/>
  <c r="A1057" i="11"/>
  <c r="A568" i="11" l="1"/>
  <c r="A567" i="11"/>
  <c r="A563" i="11"/>
  <c r="A487" i="11"/>
  <c r="A486" i="11"/>
  <c r="A485" i="11"/>
  <c r="A447" i="11"/>
  <c r="A449" i="11"/>
  <c r="A565" i="11"/>
  <c r="A341" i="11" l="1"/>
  <c r="A353" i="11"/>
  <c r="A404" i="11"/>
  <c r="B5" i="12" a="1"/>
  <c r="B5" i="12" s="1"/>
  <c r="B6" i="12" a="1"/>
  <c r="B6" i="12" s="1"/>
  <c r="A453" i="11"/>
  <c r="A441" i="11"/>
  <c r="A459" i="11"/>
  <c r="A433" i="11"/>
  <c r="A435" i="11"/>
  <c r="A452" i="11"/>
  <c r="A430" i="11"/>
  <c r="A439" i="11"/>
  <c r="A388" i="11"/>
  <c r="A458" i="11"/>
  <c r="A392" i="11"/>
  <c r="A331" i="11"/>
  <c r="A40" i="11" l="1"/>
  <c r="A779" i="11"/>
  <c r="A484" i="11" l="1"/>
  <c r="A547" i="11" l="1"/>
  <c r="A545" i="11"/>
  <c r="B9" i="12" a="1"/>
  <c r="B9" i="12" s="1"/>
  <c r="A677" i="11"/>
  <c r="A676" i="11"/>
  <c r="A675" i="11"/>
  <c r="A72" i="11"/>
  <c r="A348" i="11"/>
  <c r="A346" i="11" l="1"/>
  <c r="A674" i="11"/>
  <c r="A673" i="11"/>
  <c r="A672" i="11"/>
  <c r="A671" i="11"/>
  <c r="A669" i="11"/>
  <c r="A855" i="11"/>
  <c r="B10" i="12" a="1"/>
  <c r="B10" i="12" s="1"/>
  <c r="A929" i="11" l="1"/>
  <c r="A648" i="11"/>
  <c r="A647" i="11"/>
  <c r="A597" i="11" l="1"/>
  <c r="A596" i="11"/>
  <c r="A295" i="11" l="1"/>
  <c r="A69" i="11"/>
  <c r="A67" i="11"/>
  <c r="A66" i="11"/>
  <c r="A144" i="11"/>
  <c r="A142" i="11"/>
  <c r="A139" i="11"/>
  <c r="A795" i="11"/>
  <c r="B7" i="12" a="1"/>
  <c r="B7" i="12" s="1"/>
  <c r="B8" i="12" l="1" a="1"/>
  <c r="B8" i="12" s="1"/>
  <c r="A293" i="11"/>
  <c r="A283" i="11"/>
  <c r="A670" i="11"/>
  <c r="A1015" i="11"/>
  <c r="A963" i="11"/>
  <c r="A595" i="11"/>
  <c r="A462" i="11" l="1"/>
  <c r="A416" i="11"/>
  <c r="A410" i="11"/>
  <c r="A421" i="11"/>
  <c r="A401" i="11"/>
  <c r="A323" i="11"/>
  <c r="A985" i="11"/>
  <c r="A186" i="11"/>
  <c r="A13" i="11" l="1"/>
  <c r="A15" i="11"/>
  <c r="A17" i="11"/>
  <c r="A205" i="11"/>
  <c r="A211" i="11"/>
  <c r="A207" i="11"/>
  <c r="A212" i="11"/>
  <c r="A23" i="11"/>
  <c r="A25" i="11"/>
  <c r="A27" i="11"/>
  <c r="A29" i="11"/>
  <c r="A46" i="11"/>
  <c r="A31" i="11"/>
  <c r="A48" i="11"/>
  <c r="A198" i="11"/>
  <c r="A736" i="11"/>
  <c r="A738" i="11"/>
  <c r="A740" i="11"/>
  <c r="A755" i="11"/>
  <c r="A200" i="11"/>
  <c r="A202" i="11"/>
  <c r="A51" i="11"/>
  <c r="A56" i="11"/>
  <c r="A58" i="11"/>
  <c r="A63" i="11"/>
  <c r="A99" i="11"/>
  <c r="A208" i="11"/>
  <c r="A209" i="11"/>
  <c r="A210" i="11"/>
  <c r="A213" i="11"/>
  <c r="A224" i="11"/>
  <c r="A235" i="11"/>
  <c r="A246" i="11"/>
  <c r="A256" i="11"/>
  <c r="A258" i="11"/>
  <c r="A259" i="11"/>
  <c r="A261" i="11"/>
  <c r="A263" i="11"/>
  <c r="A214" i="11"/>
  <c r="A215" i="11"/>
  <c r="A216" i="11"/>
  <c r="A217" i="11"/>
  <c r="A218" i="11"/>
  <c r="A219" i="11"/>
  <c r="A220" i="11"/>
  <c r="A221" i="11"/>
  <c r="A222" i="11"/>
  <c r="A223" i="11"/>
  <c r="A225" i="11"/>
  <c r="A226" i="11"/>
  <c r="A227" i="11"/>
  <c r="A228" i="11"/>
  <c r="A229" i="11"/>
  <c r="A230" i="11"/>
  <c r="A231" i="11"/>
  <c r="A232" i="11"/>
  <c r="A233" i="11"/>
  <c r="A234" i="11"/>
  <c r="A236" i="11"/>
  <c r="A237" i="11"/>
  <c r="A238" i="11"/>
  <c r="A239" i="11"/>
  <c r="A240" i="11"/>
  <c r="A241" i="11"/>
  <c r="A242" i="11"/>
  <c r="A243" i="11"/>
  <c r="A244" i="11"/>
  <c r="A245" i="11"/>
  <c r="A247" i="11"/>
  <c r="A248" i="11"/>
  <c r="A249" i="11"/>
  <c r="A250" i="11"/>
  <c r="A251" i="11"/>
  <c r="A252" i="11"/>
  <c r="A253" i="11"/>
  <c r="A255" i="11"/>
  <c r="A119" i="11"/>
  <c r="A757" i="11"/>
  <c r="A763" i="11"/>
  <c r="A766" i="11"/>
  <c r="A767" i="11"/>
  <c r="A770" i="11"/>
  <c r="A773" i="11"/>
  <c r="A774" i="11"/>
  <c r="A785" i="11"/>
  <c r="A264" i="11"/>
  <c r="A132" i="11"/>
  <c r="A138" i="11"/>
  <c r="A188" i="11"/>
  <c r="A189" i="11"/>
  <c r="A103" i="11"/>
  <c r="A104" i="11"/>
  <c r="A18" i="11"/>
  <c r="A509" i="11"/>
  <c r="A19" i="11"/>
  <c r="A20" i="11"/>
  <c r="A512" i="11"/>
  <c r="A21" i="11"/>
  <c r="A32" i="11"/>
  <c r="A33" i="11"/>
  <c r="A34" i="11"/>
  <c r="A35" i="11"/>
  <c r="A518" i="11"/>
  <c r="A811" i="11"/>
  <c r="A814" i="11"/>
  <c r="A817" i="11"/>
  <c r="A820" i="11"/>
  <c r="A823" i="11"/>
  <c r="A825" i="11"/>
  <c r="A827" i="11"/>
  <c r="A653" i="11"/>
  <c r="A281" i="11"/>
  <c r="A291" i="11"/>
  <c r="A300" i="11"/>
  <c r="A327" i="11"/>
  <c r="A311" i="11"/>
  <c r="A488" i="11"/>
  <c r="A490" i="11"/>
  <c r="A491" i="11"/>
  <c r="A492" i="11"/>
  <c r="A493" i="11"/>
  <c r="A495" i="11"/>
  <c r="A496" i="11"/>
  <c r="A497" i="11"/>
  <c r="A499" i="11"/>
  <c r="A502" i="11"/>
  <c r="A503" i="11"/>
  <c r="A505" i="11"/>
  <c r="A508" i="11"/>
  <c r="A510" i="11"/>
  <c r="A511" i="11"/>
  <c r="A513" i="11"/>
  <c r="A514" i="11"/>
  <c r="A515" i="11"/>
  <c r="A577" i="11"/>
  <c r="A516" i="11"/>
  <c r="A579" i="11"/>
  <c r="A190" i="11"/>
  <c r="A90" i="11"/>
  <c r="A829" i="11"/>
  <c r="A602" i="11"/>
  <c r="A606" i="11"/>
  <c r="A608" i="11"/>
  <c r="A100" i="11"/>
  <c r="A262" i="11"/>
  <c r="A580" i="11"/>
  <c r="A581" i="11"/>
  <c r="A582" i="11"/>
  <c r="A583" i="11"/>
  <c r="A517" i="11"/>
  <c r="A585" i="11"/>
  <c r="A519" i="11"/>
  <c r="A521" i="11"/>
  <c r="A523" i="11"/>
  <c r="A525" i="11"/>
  <c r="A527" i="11"/>
  <c r="A36" i="11"/>
  <c r="A37" i="11"/>
  <c r="A38" i="11"/>
  <c r="A681" i="11"/>
  <c r="A682" i="11"/>
  <c r="A683" i="11"/>
  <c r="A316" i="11"/>
  <c r="A301" i="11"/>
  <c r="A191" i="11"/>
  <c r="A292" i="11"/>
  <c r="A321" i="11"/>
  <c r="A693" i="11"/>
  <c r="A101" i="11"/>
  <c r="A102" i="11"/>
  <c r="A609" i="11"/>
  <c r="A688" i="11"/>
  <c r="A689" i="11"/>
  <c r="A690" i="11"/>
  <c r="A691" i="11"/>
  <c r="A692" i="11"/>
  <c r="A279" i="11"/>
  <c r="A282" i="11"/>
  <c r="A285" i="11"/>
  <c r="A287" i="11"/>
  <c r="A59" i="11"/>
  <c r="A339" i="11"/>
  <c r="A324" i="11"/>
  <c r="A297" i="11"/>
  <c r="A345" i="11"/>
  <c r="A569" i="11"/>
  <c r="A147" i="11"/>
  <c r="A148" i="11"/>
  <c r="A570" i="11"/>
  <c r="A150" i="11"/>
  <c r="A571" i="11"/>
  <c r="A573" i="11"/>
  <c r="A575" i="11"/>
  <c r="A578" i="11"/>
  <c r="A586" i="11"/>
  <c r="A437" i="11"/>
  <c r="A588" i="11"/>
  <c r="A590" i="11"/>
  <c r="A165" i="11"/>
  <c r="A347" i="11"/>
  <c r="A349" i="11"/>
  <c r="A352" i="11"/>
  <c r="A354" i="11"/>
  <c r="A332" i="11"/>
  <c r="A334" i="11"/>
  <c r="A535" i="11"/>
  <c r="A796" i="11"/>
  <c r="A360" i="11"/>
  <c r="A592" i="11"/>
  <c r="A593" i="11"/>
  <c r="A169" i="11"/>
  <c r="A170" i="11"/>
  <c r="A374" i="11"/>
  <c r="A335" i="11"/>
  <c r="A338" i="11"/>
  <c r="A344" i="11"/>
  <c r="A358" i="11"/>
  <c r="A363" i="11"/>
  <c r="A797" i="11"/>
  <c r="A694" i="11"/>
  <c r="A695" i="11"/>
  <c r="A657" i="11"/>
  <c r="A42" i="11"/>
  <c r="A610" i="11"/>
  <c r="A611" i="11"/>
  <c r="A612" i="11"/>
  <c r="A613" i="11"/>
  <c r="A741" i="11"/>
  <c r="A553" i="11"/>
  <c r="A743" i="11"/>
  <c r="A744" i="11"/>
  <c r="A745" i="11"/>
  <c r="A746" i="11"/>
  <c r="A747" i="11"/>
  <c r="A748" i="11"/>
  <c r="A749" i="11"/>
  <c r="A750" i="11"/>
  <c r="A751" i="11"/>
  <c r="A752" i="11"/>
  <c r="A753" i="11"/>
  <c r="A754" i="11"/>
  <c r="A555" i="11"/>
  <c r="A756" i="11"/>
  <c r="A556" i="11"/>
  <c r="A758" i="11"/>
  <c r="A759" i="11"/>
  <c r="A760" i="11"/>
  <c r="A761" i="11"/>
  <c r="A762" i="11"/>
  <c r="A557" i="11"/>
  <c r="A764" i="11"/>
  <c r="A765" i="11"/>
  <c r="A768" i="11"/>
  <c r="A769" i="11"/>
  <c r="A558" i="11"/>
  <c r="A172" i="11"/>
  <c r="A834" i="11"/>
  <c r="A862" i="11"/>
  <c r="A771" i="11"/>
  <c r="A614" i="11"/>
  <c r="A366" i="11"/>
  <c r="A528" i="11"/>
  <c r="A529" i="11"/>
  <c r="A530" i="11"/>
  <c r="A532" i="11"/>
  <c r="A533" i="11"/>
  <c r="A699" i="11"/>
  <c r="A865" i="11"/>
  <c r="A203" i="11"/>
  <c r="A289" i="11"/>
  <c r="A369" i="11"/>
  <c r="A864" i="11"/>
  <c r="A594" i="11"/>
  <c r="A93" i="11"/>
  <c r="A94" i="11"/>
  <c r="A299" i="11"/>
  <c r="A780" i="11"/>
  <c r="A782" i="11"/>
  <c r="A304" i="11"/>
  <c r="A866" i="11"/>
  <c r="A867" i="11"/>
  <c r="A869" i="11"/>
  <c r="A870" i="11"/>
  <c r="A871" i="11"/>
  <c r="A872" i="11"/>
  <c r="A873" i="11"/>
  <c r="A874" i="11"/>
  <c r="A875" i="11"/>
  <c r="A876" i="11"/>
  <c r="A877" i="11"/>
  <c r="A878" i="11"/>
  <c r="A879" i="11"/>
  <c r="A880" i="11"/>
  <c r="A371" i="11"/>
  <c r="A373" i="11"/>
  <c r="A377" i="11"/>
  <c r="A615" i="11"/>
  <c r="A616" i="11"/>
  <c r="A617" i="11"/>
  <c r="A618" i="11"/>
  <c r="A619" i="11"/>
  <c r="A620" i="11"/>
  <c r="A97" i="11"/>
  <c r="A408" i="11"/>
  <c r="A393" i="11"/>
  <c r="A396" i="11"/>
  <c r="A378" i="11"/>
  <c r="A381" i="11"/>
  <c r="A705" i="11"/>
  <c r="A548" i="11"/>
  <c r="A549" i="11"/>
  <c r="A550" i="11"/>
  <c r="A91" i="11"/>
  <c r="A552" i="11"/>
  <c r="A92" i="11"/>
  <c r="A554" i="11"/>
  <c r="A384" i="11"/>
  <c r="A397" i="11"/>
  <c r="A52" i="11"/>
  <c r="A87" i="11"/>
  <c r="A399" i="11"/>
  <c r="A179" i="11"/>
  <c r="A181" i="11"/>
  <c r="A183" i="11"/>
  <c r="A185" i="11"/>
  <c r="A622" i="11"/>
  <c r="A402" i="11"/>
  <c r="A386" i="11"/>
  <c r="A387" i="11"/>
  <c r="A831" i="11"/>
  <c r="A832" i="11"/>
  <c r="A833" i="11"/>
  <c r="A105" i="11"/>
  <c r="A325" i="11"/>
  <c r="A106" i="11"/>
  <c r="A107" i="11"/>
  <c r="A108" i="11"/>
  <c r="A623" i="11"/>
  <c r="A624" i="11"/>
  <c r="A599" i="11"/>
  <c r="A625" i="11"/>
  <c r="A706" i="11"/>
  <c r="A109" i="11"/>
  <c r="A389" i="11"/>
  <c r="A390" i="11"/>
  <c r="A110" i="11"/>
  <c r="A111" i="11"/>
  <c r="A112" i="11"/>
  <c r="A113" i="11"/>
  <c r="A114" i="11"/>
  <c r="A115" i="11"/>
  <c r="A116" i="11"/>
  <c r="A117" i="11"/>
  <c r="A118" i="11"/>
  <c r="A124" i="11"/>
  <c r="A696" i="11"/>
  <c r="A658" i="11"/>
  <c r="A659" i="11"/>
  <c r="A660" i="11"/>
  <c r="A419" i="11"/>
  <c r="A422" i="11"/>
  <c r="A707" i="11"/>
  <c r="A708" i="11"/>
  <c r="A407" i="11"/>
  <c r="A411" i="11"/>
  <c r="A413" i="11"/>
  <c r="A414" i="11"/>
  <c r="A798" i="11"/>
  <c r="A306" i="11"/>
  <c r="A626" i="11"/>
  <c r="A417" i="11"/>
  <c r="A307" i="11"/>
  <c r="A308" i="11"/>
  <c r="A192" i="11"/>
  <c r="A836" i="11"/>
  <c r="A838" i="11"/>
  <c r="A840" i="11"/>
  <c r="A842" i="11"/>
  <c r="A627" i="11"/>
  <c r="A628" i="11"/>
  <c r="A882" i="11"/>
  <c r="A883" i="11"/>
  <c r="A884" i="11"/>
  <c r="A885" i="11"/>
  <c r="A886" i="11"/>
  <c r="A661" i="11"/>
  <c r="A418" i="11"/>
  <c r="A887" i="11"/>
  <c r="A888" i="11"/>
  <c r="A889" i="11"/>
  <c r="A140" i="11"/>
  <c r="A193" i="11"/>
  <c r="A629" i="11"/>
  <c r="A44" i="11"/>
  <c r="A702" i="11"/>
  <c r="A703" i="11"/>
  <c r="A704" i="11"/>
  <c r="A64" i="11"/>
  <c r="A68" i="11"/>
  <c r="A714" i="11"/>
  <c r="A70" i="11"/>
  <c r="A717" i="11"/>
  <c r="A719" i="11"/>
  <c r="A328" i="11"/>
  <c r="A175" i="11"/>
  <c r="A440" i="11"/>
  <c r="A427" i="11"/>
  <c r="A428" i="11"/>
  <c r="A429" i="11"/>
  <c r="A431" i="11"/>
  <c r="A432" i="11"/>
  <c r="A403" i="11"/>
  <c r="A423" i="11"/>
  <c r="A412" i="11"/>
  <c r="A434" i="11"/>
  <c r="A436" i="11"/>
  <c r="A455" i="11"/>
  <c r="A442" i="11"/>
  <c r="A457" i="11"/>
  <c r="A443" i="11"/>
  <c r="A444" i="11"/>
  <c r="A445" i="11"/>
  <c r="A446" i="11"/>
  <c r="A464" i="11"/>
  <c r="A448" i="11"/>
  <c r="A450" i="11"/>
  <c r="A454" i="11"/>
  <c r="A313" i="11"/>
  <c r="A143" i="11"/>
  <c r="A460" i="11"/>
  <c r="A603" i="11"/>
  <c r="A145" i="11"/>
  <c r="A470" i="11"/>
  <c r="A537" i="11"/>
  <c r="A195" i="11"/>
  <c r="A539" i="11"/>
  <c r="A540" i="11"/>
  <c r="A720" i="11"/>
  <c r="A531" i="11"/>
  <c r="A844" i="11"/>
  <c r="A845" i="11"/>
  <c r="A846" i="11"/>
  <c r="A848" i="11"/>
  <c r="A849" i="11"/>
  <c r="A850" i="11"/>
  <c r="A851" i="11"/>
  <c r="A890" i="11"/>
  <c r="A892" i="11"/>
  <c r="A477" i="11"/>
  <c r="A309" i="11"/>
  <c r="A479" i="11"/>
  <c r="A721" i="11"/>
  <c r="A541" i="11"/>
  <c r="A630" i="11"/>
  <c r="A317" i="11"/>
  <c r="A894" i="11"/>
  <c r="A896" i="11"/>
  <c r="A775" i="11"/>
  <c r="A777" i="11"/>
  <c r="A858" i="11"/>
  <c r="A718" i="11"/>
  <c r="A631" i="11"/>
  <c r="A322" i="11"/>
  <c r="A310" i="11"/>
  <c r="A481" i="11"/>
  <c r="A350" i="11"/>
  <c r="A852" i="11"/>
  <c r="A853" i="11"/>
  <c r="A340" i="11"/>
  <c r="A385" i="11"/>
  <c r="A400" i="11"/>
  <c r="A391" i="11"/>
  <c r="A420" i="11"/>
  <c r="A409" i="11"/>
  <c r="A415" i="11"/>
  <c r="A426" i="11"/>
  <c r="A451" i="11"/>
  <c r="A456" i="11"/>
  <c r="A461" i="11"/>
  <c r="A463" i="11"/>
  <c r="A466" i="11"/>
  <c r="A468" i="11"/>
  <c r="A472" i="11"/>
  <c r="A474" i="11"/>
  <c r="A799" i="11"/>
  <c r="A898" i="11"/>
  <c r="A330" i="11"/>
  <c r="A632" i="11"/>
  <c r="A633" i="11"/>
  <c r="A662" i="11"/>
  <c r="A663" i="11"/>
  <c r="A664" i="11"/>
  <c r="A665" i="11"/>
  <c r="A666" i="11"/>
  <c r="A667" i="11"/>
  <c r="A980" i="11"/>
  <c r="A981" i="11"/>
  <c r="A984" i="11"/>
  <c r="A986" i="11"/>
  <c r="A987" i="11"/>
  <c r="A988" i="11"/>
  <c r="A972" i="11"/>
  <c r="A973" i="11"/>
  <c r="A974" i="11"/>
  <c r="A975" i="11"/>
  <c r="A976" i="11"/>
  <c r="A977" i="11"/>
  <c r="A978" i="11"/>
  <c r="A979" i="11"/>
  <c r="A1044" i="11"/>
  <c r="A1045" i="11"/>
  <c r="A1050" i="11"/>
  <c r="A1051" i="11"/>
  <c r="A1046" i="11"/>
  <c r="A1047" i="11"/>
  <c r="A1048" i="11"/>
  <c r="A1049" i="11"/>
  <c r="A881" i="11"/>
  <c r="A1038" i="11"/>
  <c r="A1039" i="11"/>
  <c r="A1014" i="11"/>
  <c r="A1020" i="11"/>
  <c r="A1021" i="11"/>
  <c r="A1023" i="11"/>
  <c r="A1024" i="11"/>
  <c r="A1036" i="11"/>
  <c r="A355" i="11"/>
  <c r="A561" i="11"/>
  <c r="A562" i="11"/>
  <c r="A564" i="11"/>
  <c r="A566" i="11"/>
  <c r="A634" i="11"/>
  <c r="A635" i="11"/>
  <c r="A899" i="11"/>
  <c r="A902" i="11"/>
  <c r="A903" i="11"/>
  <c r="A809" i="11"/>
  <c r="A905" i="11"/>
  <c r="A906" i="11"/>
  <c r="A810" i="11"/>
  <c r="A909" i="11"/>
  <c r="A914" i="11"/>
  <c r="A916" i="11"/>
  <c r="A918" i="11"/>
  <c r="A920" i="11"/>
  <c r="A922" i="11"/>
  <c r="A924" i="11"/>
  <c r="A636" i="11"/>
  <c r="A476" i="11"/>
  <c r="A926" i="11"/>
  <c r="A927" i="11"/>
  <c r="A928" i="11"/>
  <c r="A336" i="11"/>
  <c r="A333" i="11"/>
  <c r="A812" i="11"/>
  <c r="A815" i="11"/>
  <c r="A818" i="11"/>
  <c r="A821" i="11"/>
  <c r="A824" i="11"/>
  <c r="A826" i="11"/>
  <c r="A828" i="11"/>
  <c r="A900" i="11"/>
  <c r="A901" i="11"/>
  <c r="A544" i="11"/>
  <c r="A125" i="11"/>
  <c r="A482" i="11"/>
  <c r="A543" i="11"/>
  <c r="A668" i="11"/>
  <c r="A939" i="11"/>
  <c r="A940" i="11"/>
  <c r="A941" i="11"/>
  <c r="A942" i="11"/>
  <c r="A930" i="11"/>
  <c r="A931" i="11"/>
  <c r="A932" i="11"/>
  <c r="A933" i="11"/>
  <c r="A934" i="11"/>
  <c r="A935" i="11"/>
  <c r="A936" i="11"/>
  <c r="A937" i="11"/>
  <c r="A938" i="11"/>
  <c r="A375" i="11"/>
  <c r="A637" i="11"/>
  <c r="A187" i="11"/>
  <c r="A364" i="11"/>
  <c r="A1052" i="11"/>
  <c r="A638" i="11"/>
  <c r="A723" i="11"/>
  <c r="A1068" i="11"/>
  <c r="A1069" i="11"/>
  <c r="A1067" i="11"/>
  <c r="A1071" i="11"/>
  <c r="A960" i="11"/>
  <c r="A854" i="11"/>
  <c r="A356" i="11"/>
  <c r="A361" i="11"/>
  <c r="A367" i="11"/>
  <c r="A904" i="11"/>
  <c r="A722" i="11"/>
  <c r="A859" i="11"/>
  <c r="A860" i="11"/>
  <c r="A173" i="11"/>
  <c r="A943" i="11"/>
  <c r="A944" i="11"/>
  <c r="A847" i="11"/>
  <c r="A639" i="11"/>
  <c r="A342" i="11"/>
  <c r="A372" i="11"/>
  <c r="A908" i="11"/>
  <c r="A39" i="11"/>
  <c r="A376" i="11"/>
  <c r="A53" i="11"/>
  <c r="A88" i="11"/>
  <c r="A89" i="11"/>
  <c r="A956" i="11"/>
  <c r="A950" i="11"/>
  <c r="A949" i="11"/>
  <c r="A946" i="11"/>
  <c r="A945" i="11"/>
  <c r="A947" i="11"/>
  <c r="A952" i="11"/>
  <c r="A955" i="11"/>
  <c r="A959" i="11"/>
  <c r="A951" i="11"/>
  <c r="A954" i="11"/>
  <c r="A953" i="11"/>
  <c r="A948" i="11"/>
  <c r="A958" i="11"/>
  <c r="A957" i="11"/>
  <c r="A359" i="11"/>
  <c r="A379" i="11"/>
  <c r="A95" i="11"/>
  <c r="A982" i="11"/>
  <c r="A983" i="11"/>
  <c r="A1053" i="11"/>
  <c r="A326" i="11"/>
  <c r="A382" i="11"/>
  <c r="A394" i="11"/>
  <c r="A405" i="11"/>
  <c r="A60" i="11"/>
  <c r="A520" i="11"/>
  <c r="A522" i="11"/>
  <c r="A524" i="11"/>
  <c r="A526" i="11"/>
  <c r="A534" i="11"/>
  <c r="A536" i="11"/>
  <c r="A640" i="11"/>
  <c r="A641" i="11"/>
  <c r="A642" i="11"/>
  <c r="A43" i="11"/>
  <c r="A700" i="11"/>
  <c r="A961" i="11"/>
  <c r="A962" i="11"/>
  <c r="A71" i="11"/>
  <c r="A643" i="11"/>
  <c r="A370" i="11"/>
  <c r="A398" i="11"/>
  <c r="A644" i="11"/>
  <c r="A645" i="11"/>
  <c r="A500" i="11"/>
  <c r="A910" i="11"/>
  <c r="A911" i="11"/>
  <c r="A912" i="11"/>
  <c r="A601" i="11"/>
  <c r="A425" i="11"/>
  <c r="A830" i="11"/>
  <c r="A861" i="11"/>
  <c r="A863" i="11"/>
  <c r="A868" i="11"/>
  <c r="A891" i="11"/>
  <c r="A893" i="11"/>
  <c r="A895" i="11"/>
  <c r="A897" i="11"/>
  <c r="A907" i="11"/>
  <c r="A913" i="11"/>
  <c r="A964" i="11"/>
  <c r="A965" i="11"/>
  <c r="A194" i="11"/>
  <c r="A781" i="11"/>
  <c r="A783" i="11"/>
  <c r="A784" i="11"/>
  <c r="A989" i="11"/>
  <c r="A990" i="11"/>
  <c r="A991" i="11"/>
  <c r="A992" i="11"/>
  <c r="A993" i="11"/>
  <c r="A438" i="11"/>
  <c r="A538" i="11"/>
  <c r="A424" i="11"/>
  <c r="A994" i="11"/>
  <c r="A995" i="11"/>
  <c r="A996" i="11"/>
  <c r="A997" i="11"/>
  <c r="A998" i="11"/>
  <c r="A999" i="11"/>
  <c r="A1000" i="11"/>
  <c r="A1001" i="11"/>
  <c r="A1002" i="11"/>
  <c r="A1003" i="11"/>
  <c r="A1004" i="11"/>
  <c r="A1005" i="11"/>
  <c r="A1006" i="11"/>
  <c r="A1007" i="11"/>
  <c r="A1008" i="11"/>
  <c r="A1010" i="11"/>
  <c r="A1011" i="11"/>
  <c r="A1012" i="11"/>
  <c r="A1009" i="11"/>
  <c r="A478" i="11"/>
  <c r="A725" i="11"/>
  <c r="A1054" i="11"/>
  <c r="A1055" i="11"/>
  <c r="A1056" i="11"/>
  <c r="A1013" i="11"/>
  <c r="A315" i="11"/>
  <c r="A471" i="11"/>
  <c r="A607" i="11"/>
  <c r="A480" i="11"/>
  <c r="A280" i="11"/>
  <c r="A284" i="11"/>
  <c r="A286" i="11"/>
  <c r="A288" i="11"/>
  <c r="A290" i="11"/>
  <c r="A915" i="11"/>
  <c r="A917" i="11"/>
  <c r="A919" i="11"/>
  <c r="A921" i="11"/>
  <c r="A923" i="11"/>
  <c r="A925" i="11"/>
  <c r="A351" i="11"/>
  <c r="A646" i="11"/>
  <c r="A180" i="11"/>
  <c r="A182" i="11"/>
  <c r="A184" i="11"/>
  <c r="A6" i="11"/>
  <c r="A8" i="11"/>
  <c r="A10" i="11"/>
  <c r="A12" i="11"/>
  <c r="A14" i="11"/>
  <c r="A16" i="11"/>
  <c r="A204" i="11"/>
  <c r="A206" i="11"/>
  <c r="A22" i="11"/>
  <c r="A24" i="11"/>
  <c r="A26" i="11"/>
  <c r="A28" i="11"/>
  <c r="A45" i="11"/>
  <c r="A30" i="11"/>
  <c r="A47" i="11"/>
  <c r="A197" i="11"/>
  <c r="A735" i="11"/>
  <c r="A737" i="11"/>
  <c r="A739" i="11"/>
  <c r="A742" i="11"/>
  <c r="A199" i="11"/>
  <c r="A201" i="11"/>
  <c r="A50" i="11"/>
  <c r="A55" i="11"/>
  <c r="A57" i="11"/>
  <c r="A5" i="11"/>
  <c r="A7" i="11"/>
  <c r="A9" i="11"/>
  <c r="A11" i="11"/>
  <c r="A4" i="11"/>
  <c r="C5" i="12" l="1" a="1"/>
  <c r="C5" i="12" s="1"/>
  <c r="D5" i="12" a="1"/>
  <c r="D5" i="12" s="1"/>
  <c r="E5" i="12" a="1"/>
  <c r="E5" i="12" s="1"/>
  <c r="F5" i="12" a="1"/>
  <c r="F5" i="12" s="1"/>
  <c r="G5" i="12" a="1"/>
  <c r="G5" i="12" s="1"/>
  <c r="H5" i="12" a="1"/>
  <c r="H5" i="12" s="1"/>
  <c r="I5" i="12" a="1"/>
  <c r="I5" i="12" s="1"/>
  <c r="K5" i="12" a="1"/>
  <c r="K5" i="12" s="1"/>
  <c r="L5" i="12" a="1"/>
  <c r="L5" i="12" s="1"/>
  <c r="M5" i="12" a="1"/>
  <c r="M5" i="12" s="1"/>
  <c r="N5" i="12" a="1"/>
  <c r="N5" i="12" s="1"/>
  <c r="O5" i="12" a="1"/>
  <c r="O5" i="12" s="1"/>
  <c r="P5" i="12" a="1"/>
  <c r="P5" i="12" s="1"/>
  <c r="Q5" i="12" a="1"/>
  <c r="Q5" i="12" s="1"/>
  <c r="R5" i="12" a="1"/>
  <c r="R5" i="12" s="1"/>
  <c r="S5" i="12" a="1"/>
  <c r="S5" i="12" s="1"/>
  <c r="T5" i="12" a="1"/>
  <c r="T5" i="12" s="1"/>
  <c r="U5" i="12" a="1"/>
  <c r="U5" i="12" s="1"/>
  <c r="V5" i="12" a="1"/>
  <c r="V5" i="12" s="1"/>
  <c r="W5" i="12" a="1"/>
  <c r="W5" i="12" s="1"/>
  <c r="X5" i="12" a="1"/>
  <c r="X5" i="12" s="1"/>
  <c r="Y5" i="12" a="1"/>
  <c r="Y5" i="12" s="1"/>
  <c r="C6" i="12" a="1"/>
  <c r="C6" i="12" s="1"/>
  <c r="D6" i="12" a="1"/>
  <c r="D6" i="12" s="1"/>
  <c r="E6" i="12" a="1"/>
  <c r="E6" i="12" s="1"/>
  <c r="F6" i="12" a="1"/>
  <c r="F6" i="12" s="1"/>
  <c r="G6" i="12" a="1"/>
  <c r="G6" i="12" s="1"/>
  <c r="H6" i="12" a="1"/>
  <c r="H6" i="12" s="1"/>
  <c r="I6" i="12" a="1"/>
  <c r="I6" i="12" s="1"/>
  <c r="K6" i="12" a="1"/>
  <c r="K6" i="12" s="1"/>
  <c r="L6" i="12" a="1"/>
  <c r="L6" i="12" s="1"/>
  <c r="M6" i="12" a="1"/>
  <c r="M6" i="12" s="1"/>
  <c r="N6" i="12" a="1"/>
  <c r="N6" i="12" s="1"/>
  <c r="O6" i="12" a="1"/>
  <c r="O6" i="12" s="1"/>
  <c r="P6" i="12" a="1"/>
  <c r="P6" i="12" s="1"/>
  <c r="Q6" i="12" a="1"/>
  <c r="Q6" i="12" s="1"/>
  <c r="R6" i="12" a="1"/>
  <c r="R6" i="12" s="1"/>
  <c r="S6" i="12" a="1"/>
  <c r="S6" i="12" s="1"/>
  <c r="T6" i="12" a="1"/>
  <c r="T6" i="12" s="1"/>
  <c r="U6" i="12" a="1"/>
  <c r="U6" i="12" s="1"/>
  <c r="V6" i="12" a="1"/>
  <c r="V6" i="12" s="1"/>
  <c r="W6" i="12" a="1"/>
  <c r="W6" i="12" s="1"/>
  <c r="X6" i="12" a="1"/>
  <c r="X6" i="12" s="1"/>
  <c r="Y6" i="12" a="1"/>
  <c r="Y6" i="12" s="1"/>
  <c r="C7" i="12" a="1"/>
  <c r="C7" i="12" s="1"/>
  <c r="D7" i="12" a="1"/>
  <c r="D7" i="12" s="1"/>
  <c r="E7" i="12" a="1"/>
  <c r="E7" i="12" s="1"/>
  <c r="F7" i="12" a="1"/>
  <c r="F7" i="12" s="1"/>
  <c r="G7" i="12" a="1"/>
  <c r="G7" i="12" s="1"/>
  <c r="H7" i="12" a="1"/>
  <c r="H7" i="12" s="1"/>
  <c r="I7" i="12" a="1"/>
  <c r="I7" i="12" s="1"/>
  <c r="K7" i="12" a="1"/>
  <c r="K7" i="12" s="1"/>
  <c r="L7" i="12" a="1"/>
  <c r="L7" i="12" s="1"/>
  <c r="M7" i="12" a="1"/>
  <c r="M7" i="12" s="1"/>
  <c r="N7" i="12" a="1"/>
  <c r="N7" i="12" s="1"/>
  <c r="O7" i="12" a="1"/>
  <c r="O7" i="12" s="1"/>
  <c r="P7" i="12" a="1"/>
  <c r="P7" i="12" s="1"/>
  <c r="Q7" i="12" a="1"/>
  <c r="Q7" i="12" s="1"/>
  <c r="R7" i="12" a="1"/>
  <c r="R7" i="12" s="1"/>
  <c r="S7" i="12" a="1"/>
  <c r="S7" i="12" s="1"/>
  <c r="T7" i="12" a="1"/>
  <c r="T7" i="12" s="1"/>
  <c r="U7" i="12" a="1"/>
  <c r="U7" i="12" s="1"/>
  <c r="V7" i="12" a="1"/>
  <c r="V7" i="12" s="1"/>
  <c r="W7" i="12" a="1"/>
  <c r="W7" i="12" s="1"/>
  <c r="X7" i="12" a="1"/>
  <c r="X7" i="12" s="1"/>
  <c r="Y7" i="12" a="1"/>
  <c r="Y7" i="12" s="1"/>
  <c r="C8" i="12" a="1"/>
  <c r="C8" i="12" s="1"/>
  <c r="D8" i="12" a="1"/>
  <c r="D8" i="12" s="1"/>
  <c r="E8" i="12" a="1"/>
  <c r="E8" i="12" s="1"/>
  <c r="F8" i="12" a="1"/>
  <c r="F8" i="12" s="1"/>
  <c r="G8" i="12" a="1"/>
  <c r="G8" i="12" s="1"/>
  <c r="H8" i="12" a="1"/>
  <c r="H8" i="12" s="1"/>
  <c r="I8" i="12" a="1"/>
  <c r="I8" i="12" s="1"/>
  <c r="K8" i="12" a="1"/>
  <c r="K8" i="12" s="1"/>
  <c r="L8" i="12" a="1"/>
  <c r="L8" i="12" s="1"/>
  <c r="M8" i="12" a="1"/>
  <c r="M8" i="12" s="1"/>
  <c r="N8" i="12" a="1"/>
  <c r="N8" i="12" s="1"/>
  <c r="O8" i="12" a="1"/>
  <c r="O8" i="12" s="1"/>
  <c r="P8" i="12" a="1"/>
  <c r="P8" i="12" s="1"/>
  <c r="Q8" i="12" a="1"/>
  <c r="Q8" i="12" s="1"/>
  <c r="R8" i="12" a="1"/>
  <c r="R8" i="12" s="1"/>
  <c r="S8" i="12" a="1"/>
  <c r="S8" i="12" s="1"/>
  <c r="T8" i="12" a="1"/>
  <c r="T8" i="12" s="1"/>
  <c r="U8" i="12" a="1"/>
  <c r="U8" i="12" s="1"/>
  <c r="V8" i="12" a="1"/>
  <c r="V8" i="12" s="1"/>
  <c r="W8" i="12" a="1"/>
  <c r="W8" i="12" s="1"/>
  <c r="X8" i="12" a="1"/>
  <c r="X8" i="12" s="1"/>
  <c r="Y8" i="12" a="1"/>
  <c r="Y8" i="12" s="1"/>
  <c r="C9" i="12" a="1"/>
  <c r="C9" i="12" s="1"/>
  <c r="D9" i="12" a="1"/>
  <c r="D9" i="12" s="1"/>
  <c r="E9" i="12" a="1"/>
  <c r="E9" i="12" s="1"/>
  <c r="F9" i="12" a="1"/>
  <c r="F9" i="12" s="1"/>
  <c r="G9" i="12" a="1"/>
  <c r="G9" i="12" s="1"/>
  <c r="H9" i="12" a="1"/>
  <c r="H9" i="12" s="1"/>
  <c r="I9" i="12" a="1"/>
  <c r="I9" i="12" s="1"/>
  <c r="K9" i="12" a="1"/>
  <c r="K9" i="12" s="1"/>
  <c r="L9" i="12" a="1"/>
  <c r="L9" i="12" s="1"/>
  <c r="M9" i="12" a="1"/>
  <c r="M9" i="12" s="1"/>
  <c r="N9" i="12" a="1"/>
  <c r="N9" i="12" s="1"/>
  <c r="O9" i="12" a="1"/>
  <c r="O9" i="12" s="1"/>
  <c r="P9" i="12" a="1"/>
  <c r="P9" i="12" s="1"/>
  <c r="Q9" i="12" a="1"/>
  <c r="Q9" i="12" s="1"/>
  <c r="R9" i="12" a="1"/>
  <c r="R9" i="12" s="1"/>
  <c r="S9" i="12" a="1"/>
  <c r="S9" i="12" s="1"/>
  <c r="T9" i="12" a="1"/>
  <c r="T9" i="12" s="1"/>
  <c r="U9" i="12" a="1"/>
  <c r="U9" i="12" s="1"/>
  <c r="V9" i="12" a="1"/>
  <c r="V9" i="12" s="1"/>
  <c r="W9" i="12" a="1"/>
  <c r="W9" i="12" s="1"/>
  <c r="X9" i="12" a="1"/>
  <c r="X9" i="12" s="1"/>
  <c r="Y9" i="12" a="1"/>
  <c r="Y9" i="12" s="1"/>
  <c r="C10" i="12" a="1"/>
  <c r="C10" i="12" s="1"/>
  <c r="D10" i="12" a="1"/>
  <c r="D10" i="12" s="1"/>
  <c r="E10" i="12" a="1"/>
  <c r="E10" i="12" s="1"/>
  <c r="F10" i="12" a="1"/>
  <c r="F10" i="12" s="1"/>
  <c r="G10" i="12" a="1"/>
  <c r="G10" i="12" s="1"/>
  <c r="H10" i="12" a="1"/>
  <c r="H10" i="12" s="1"/>
  <c r="I10" i="12" a="1"/>
  <c r="I10" i="12" s="1"/>
  <c r="K10" i="12" a="1"/>
  <c r="K10" i="12" s="1"/>
  <c r="L10" i="12" a="1"/>
  <c r="L10" i="12" s="1"/>
  <c r="M10" i="12" a="1"/>
  <c r="M10" i="12" s="1"/>
  <c r="N10" i="12" a="1"/>
  <c r="N10" i="12" s="1"/>
  <c r="O10" i="12" a="1"/>
  <c r="O10" i="12" s="1"/>
  <c r="P10" i="12" a="1"/>
  <c r="P10" i="12" s="1"/>
  <c r="Q10" i="12" a="1"/>
  <c r="Q10" i="12" s="1"/>
  <c r="R10" i="12" a="1"/>
  <c r="R10" i="12" s="1"/>
  <c r="S10" i="12" a="1"/>
  <c r="S10" i="12" s="1"/>
  <c r="T10" i="12" a="1"/>
  <c r="T10" i="12" s="1"/>
  <c r="U10" i="12" a="1"/>
  <c r="U10" i="12" s="1"/>
  <c r="V10" i="12" a="1"/>
  <c r="V10" i="12" s="1"/>
  <c r="W10" i="12" a="1"/>
  <c r="W10" i="12" s="1"/>
  <c r="X10" i="12" a="1"/>
  <c r="X10" i="12" s="1"/>
  <c r="Y10" i="12" a="1"/>
  <c r="Y10" i="12" s="1"/>
  <c r="C11" i="12" a="1"/>
  <c r="C11" i="12" s="1"/>
  <c r="D11" i="12" a="1"/>
  <c r="D11" i="12" s="1"/>
  <c r="E11" i="12" a="1"/>
  <c r="E11" i="12" s="1"/>
  <c r="F11" i="12" a="1"/>
  <c r="F11" i="12" s="1"/>
  <c r="G11" i="12" a="1"/>
  <c r="G11" i="12" s="1"/>
  <c r="H11" i="12" a="1"/>
  <c r="H11" i="12" s="1"/>
  <c r="I11" i="12" a="1"/>
  <c r="I11" i="12" s="1"/>
  <c r="K11" i="12" a="1"/>
  <c r="K11" i="12" s="1"/>
  <c r="L11" i="12" a="1"/>
  <c r="L11" i="12" s="1"/>
  <c r="M11" i="12" a="1"/>
  <c r="M11" i="12" s="1"/>
  <c r="N11" i="12" a="1"/>
  <c r="N11" i="12" s="1"/>
  <c r="O11" i="12" a="1"/>
  <c r="O11" i="12" s="1"/>
  <c r="P11" i="12" a="1"/>
  <c r="P11" i="12" s="1"/>
  <c r="Q11" i="12" a="1"/>
  <c r="Q11" i="12" s="1"/>
  <c r="R11" i="12" a="1"/>
  <c r="R11" i="12" s="1"/>
  <c r="S11" i="12" a="1"/>
  <c r="S11" i="12" s="1"/>
  <c r="T11" i="12" a="1"/>
  <c r="T11" i="12" s="1"/>
  <c r="U11" i="12" a="1"/>
  <c r="U11" i="12" s="1"/>
  <c r="V11" i="12" a="1"/>
  <c r="V11" i="12" s="1"/>
  <c r="W11" i="12" a="1"/>
  <c r="W11" i="12" s="1"/>
  <c r="X11" i="12" a="1"/>
  <c r="X11" i="12" s="1"/>
  <c r="Y11" i="12" a="1"/>
  <c r="Y11" i="12" s="1"/>
  <c r="C12" i="12" a="1"/>
  <c r="C12" i="12" s="1"/>
  <c r="D12" i="12" a="1"/>
  <c r="D12" i="12" s="1"/>
  <c r="E12" i="12" a="1"/>
  <c r="E12" i="12" s="1"/>
  <c r="F12" i="12" a="1"/>
  <c r="F12" i="12" s="1"/>
  <c r="G12" i="12" a="1"/>
  <c r="G12" i="12" s="1"/>
  <c r="H12" i="12" a="1"/>
  <c r="H12" i="12" s="1"/>
  <c r="I12" i="12" a="1"/>
  <c r="I12" i="12" s="1"/>
  <c r="K12" i="12" a="1"/>
  <c r="K12" i="12" s="1"/>
  <c r="L12" i="12" a="1"/>
  <c r="L12" i="12" s="1"/>
  <c r="M12" i="12" a="1"/>
  <c r="M12" i="12" s="1"/>
  <c r="N12" i="12" a="1"/>
  <c r="N12" i="12" s="1"/>
  <c r="O12" i="12" a="1"/>
  <c r="O12" i="12" s="1"/>
  <c r="P12" i="12" a="1"/>
  <c r="P12" i="12" s="1"/>
  <c r="Q12" i="12" a="1"/>
  <c r="Q12" i="12" s="1"/>
  <c r="R12" i="12" a="1"/>
  <c r="R12" i="12" s="1"/>
  <c r="S12" i="12" a="1"/>
  <c r="S12" i="12" s="1"/>
  <c r="T12" i="12" a="1"/>
  <c r="T12" i="12" s="1"/>
  <c r="U12" i="12" a="1"/>
  <c r="U12" i="12" s="1"/>
  <c r="V12" i="12" a="1"/>
  <c r="V12" i="12" s="1"/>
  <c r="W12" i="12" a="1"/>
  <c r="W12" i="12" s="1"/>
  <c r="X12" i="12" a="1"/>
  <c r="X12" i="12" s="1"/>
  <c r="Y12" i="12" a="1"/>
  <c r="Y12" i="12" s="1"/>
  <c r="C13" i="12" a="1"/>
  <c r="C13" i="12" s="1"/>
  <c r="D13" i="12" a="1"/>
  <c r="D13" i="12" s="1"/>
  <c r="E13" i="12" a="1"/>
  <c r="E13" i="12" s="1"/>
  <c r="F13" i="12" a="1"/>
  <c r="F13" i="12" s="1"/>
  <c r="G13" i="12" a="1"/>
  <c r="G13" i="12" s="1"/>
  <c r="H13" i="12" a="1"/>
  <c r="H13" i="12" s="1"/>
  <c r="I13" i="12" a="1"/>
  <c r="I13" i="12" s="1"/>
  <c r="K13" i="12" a="1"/>
  <c r="K13" i="12" s="1"/>
  <c r="L13" i="12" a="1"/>
  <c r="L13" i="12" s="1"/>
  <c r="M13" i="12" a="1"/>
  <c r="M13" i="12" s="1"/>
  <c r="N13" i="12" a="1"/>
  <c r="N13" i="12" s="1"/>
  <c r="O13" i="12" a="1"/>
  <c r="O13" i="12" s="1"/>
  <c r="P13" i="12" a="1"/>
  <c r="P13" i="12" s="1"/>
  <c r="Q13" i="12" a="1"/>
  <c r="Q13" i="12" s="1"/>
  <c r="R13" i="12" a="1"/>
  <c r="R13" i="12" s="1"/>
  <c r="S13" i="12" a="1"/>
  <c r="S13" i="12" s="1"/>
  <c r="T13" i="12" a="1"/>
  <c r="T13" i="12" s="1"/>
  <c r="U13" i="12" a="1"/>
  <c r="U13" i="12" s="1"/>
  <c r="V13" i="12" a="1"/>
  <c r="V13" i="12" s="1"/>
  <c r="W13" i="12" a="1"/>
  <c r="W13" i="12" s="1"/>
  <c r="X13" i="12" a="1"/>
  <c r="X13" i="12" s="1"/>
  <c r="Y13" i="12" a="1"/>
  <c r="Y13" i="12" s="1"/>
  <c r="C14" i="12" a="1"/>
  <c r="C14" i="12" s="1"/>
  <c r="D14" i="12" a="1"/>
  <c r="D14" i="12" s="1"/>
  <c r="E14" i="12" a="1"/>
  <c r="E14" i="12" s="1"/>
  <c r="F14" i="12" a="1"/>
  <c r="F14" i="12" s="1"/>
  <c r="G14" i="12" a="1"/>
  <c r="G14" i="12" s="1"/>
  <c r="H14" i="12" a="1"/>
  <c r="H14" i="12" s="1"/>
  <c r="I14" i="12" a="1"/>
  <c r="I14" i="12" s="1"/>
  <c r="K14" i="12" a="1"/>
  <c r="K14" i="12" s="1"/>
  <c r="L14" i="12" a="1"/>
  <c r="L14" i="12" s="1"/>
  <c r="M14" i="12" a="1"/>
  <c r="M14" i="12" s="1"/>
  <c r="N14" i="12" a="1"/>
  <c r="N14" i="12" s="1"/>
  <c r="O14" i="12" a="1"/>
  <c r="O14" i="12" s="1"/>
  <c r="P14" i="12" a="1"/>
  <c r="P14" i="12" s="1"/>
  <c r="Q14" i="12" a="1"/>
  <c r="Q14" i="12" s="1"/>
  <c r="R14" i="12" a="1"/>
  <c r="R14" i="12" s="1"/>
  <c r="S14" i="12" a="1"/>
  <c r="S14" i="12" s="1"/>
  <c r="T14" i="12" a="1"/>
  <c r="T14" i="12" s="1"/>
  <c r="U14" i="12" a="1"/>
  <c r="U14" i="12" s="1"/>
  <c r="V14" i="12" a="1"/>
  <c r="V14" i="12" s="1"/>
  <c r="W14" i="12" a="1"/>
  <c r="W14" i="12" s="1"/>
  <c r="X14" i="12" a="1"/>
  <c r="X14" i="12" s="1"/>
  <c r="Y14" i="12" a="1"/>
  <c r="Y14" i="12" s="1"/>
  <c r="C15" i="12" a="1"/>
  <c r="C15" i="12" s="1"/>
  <c r="D15" i="12" a="1"/>
  <c r="D15" i="12" s="1"/>
  <c r="E15" i="12" a="1"/>
  <c r="E15" i="12" s="1"/>
  <c r="F15" i="12" a="1"/>
  <c r="F15" i="12" s="1"/>
  <c r="G15" i="12" a="1"/>
  <c r="G15" i="12" s="1"/>
  <c r="H15" i="12" a="1"/>
  <c r="H15" i="12" s="1"/>
  <c r="I15" i="12" a="1"/>
  <c r="I15" i="12" s="1"/>
  <c r="K15" i="12" a="1"/>
  <c r="K15" i="12" s="1"/>
  <c r="L15" i="12" a="1"/>
  <c r="L15" i="12" s="1"/>
  <c r="M15" i="12" a="1"/>
  <c r="M15" i="12" s="1"/>
  <c r="N15" i="12" a="1"/>
  <c r="N15" i="12" s="1"/>
  <c r="O15" i="12" a="1"/>
  <c r="O15" i="12" s="1"/>
  <c r="P15" i="12" a="1"/>
  <c r="P15" i="12" s="1"/>
  <c r="Q15" i="12" a="1"/>
  <c r="Q15" i="12" s="1"/>
  <c r="R15" i="12" a="1"/>
  <c r="R15" i="12" s="1"/>
  <c r="S15" i="12" a="1"/>
  <c r="S15" i="12" s="1"/>
  <c r="T15" i="12" a="1"/>
  <c r="T15" i="12" s="1"/>
  <c r="U15" i="12" a="1"/>
  <c r="U15" i="12" s="1"/>
  <c r="V15" i="12" a="1"/>
  <c r="V15" i="12" s="1"/>
  <c r="W15" i="12" a="1"/>
  <c r="W15" i="12" s="1"/>
  <c r="X15" i="12" a="1"/>
  <c r="X15" i="12" s="1"/>
  <c r="Y15" i="12" a="1"/>
  <c r="Y15" i="12" s="1"/>
  <c r="C16" i="12" a="1"/>
  <c r="C16" i="12" s="1"/>
  <c r="D16" i="12" a="1"/>
  <c r="D16" i="12" s="1"/>
  <c r="E16" i="12" a="1"/>
  <c r="E16" i="12" s="1"/>
  <c r="F16" i="12" a="1"/>
  <c r="F16" i="12" s="1"/>
  <c r="G16" i="12" a="1"/>
  <c r="G16" i="12" s="1"/>
  <c r="H16" i="12" a="1"/>
  <c r="H16" i="12" s="1"/>
  <c r="I16" i="12" a="1"/>
  <c r="I16" i="12" s="1"/>
  <c r="K16" i="12" a="1"/>
  <c r="K16" i="12" s="1"/>
  <c r="L16" i="12" a="1"/>
  <c r="L16" i="12" s="1"/>
  <c r="M16" i="12" a="1"/>
  <c r="M16" i="12" s="1"/>
  <c r="N16" i="12" a="1"/>
  <c r="N16" i="12" s="1"/>
  <c r="O16" i="12" a="1"/>
  <c r="O16" i="12" s="1"/>
  <c r="P16" i="12" a="1"/>
  <c r="P16" i="12" s="1"/>
  <c r="Q16" i="12" a="1"/>
  <c r="Q16" i="12" s="1"/>
  <c r="R16" i="12" a="1"/>
  <c r="R16" i="12" s="1"/>
  <c r="S16" i="12" a="1"/>
  <c r="S16" i="12" s="1"/>
  <c r="T16" i="12" a="1"/>
  <c r="T16" i="12" s="1"/>
  <c r="U16" i="12" a="1"/>
  <c r="U16" i="12" s="1"/>
  <c r="V16" i="12" a="1"/>
  <c r="V16" i="12" s="1"/>
  <c r="W16" i="12" a="1"/>
  <c r="W16" i="12" s="1"/>
  <c r="X16" i="12" a="1"/>
  <c r="X16" i="12" s="1"/>
  <c r="Y16" i="12" a="1"/>
  <c r="Y16" i="12" s="1"/>
  <c r="C17" i="12" a="1"/>
  <c r="C17" i="12" s="1"/>
  <c r="D17" i="12" a="1"/>
  <c r="D17" i="12" s="1"/>
  <c r="E17" i="12" a="1"/>
  <c r="E17" i="12" s="1"/>
  <c r="F17" i="12" a="1"/>
  <c r="F17" i="12" s="1"/>
  <c r="G17" i="12" a="1"/>
  <c r="G17" i="12" s="1"/>
  <c r="H17" i="12" a="1"/>
  <c r="H17" i="12" s="1"/>
  <c r="I17" i="12" a="1"/>
  <c r="I17" i="12" s="1"/>
  <c r="K17" i="12" a="1"/>
  <c r="K17" i="12" s="1"/>
  <c r="L17" i="12" a="1"/>
  <c r="L17" i="12" s="1"/>
  <c r="M17" i="12" a="1"/>
  <c r="M17" i="12" s="1"/>
  <c r="N17" i="12" a="1"/>
  <c r="N17" i="12" s="1"/>
  <c r="O17" i="12" a="1"/>
  <c r="O17" i="12" s="1"/>
  <c r="P17" i="12" a="1"/>
  <c r="P17" i="12" s="1"/>
  <c r="Q17" i="12" a="1"/>
  <c r="Q17" i="12" s="1"/>
  <c r="R17" i="12" a="1"/>
  <c r="R17" i="12" s="1"/>
  <c r="S17" i="12" a="1"/>
  <c r="S17" i="12" s="1"/>
  <c r="T17" i="12" a="1"/>
  <c r="T17" i="12" s="1"/>
  <c r="U17" i="12" a="1"/>
  <c r="U17" i="12" s="1"/>
  <c r="V17" i="12" a="1"/>
  <c r="V17" i="12" s="1"/>
  <c r="W17" i="12" a="1"/>
  <c r="W17" i="12" s="1"/>
  <c r="X17" i="12" a="1"/>
  <c r="X17" i="12" s="1"/>
  <c r="Y17" i="12" a="1"/>
  <c r="Y17" i="12" s="1"/>
  <c r="C18" i="12" a="1"/>
  <c r="C18" i="12" s="1"/>
  <c r="D18" i="12" a="1"/>
  <c r="D18" i="12" s="1"/>
  <c r="E18" i="12" a="1"/>
  <c r="E18" i="12" s="1"/>
  <c r="F18" i="12" a="1"/>
  <c r="F18" i="12" s="1"/>
  <c r="G18" i="12" a="1"/>
  <c r="G18" i="12" s="1"/>
  <c r="H18" i="12" a="1"/>
  <c r="H18" i="12" s="1"/>
  <c r="I18" i="12" a="1"/>
  <c r="I18" i="12" s="1"/>
  <c r="K18" i="12" a="1"/>
  <c r="K18" i="12" s="1"/>
  <c r="L18" i="12" a="1"/>
  <c r="L18" i="12" s="1"/>
  <c r="M18" i="12" a="1"/>
  <c r="M18" i="12" s="1"/>
  <c r="N18" i="12" a="1"/>
  <c r="N18" i="12" s="1"/>
  <c r="O18" i="12" a="1"/>
  <c r="O18" i="12" s="1"/>
  <c r="P18" i="12" a="1"/>
  <c r="P18" i="12" s="1"/>
  <c r="Q18" i="12" a="1"/>
  <c r="Q18" i="12" s="1"/>
  <c r="R18" i="12" a="1"/>
  <c r="R18" i="12" s="1"/>
  <c r="S18" i="12" a="1"/>
  <c r="S18" i="12" s="1"/>
  <c r="T18" i="12" a="1"/>
  <c r="T18" i="12" s="1"/>
  <c r="U18" i="12" a="1"/>
  <c r="U18" i="12" s="1"/>
  <c r="V18" i="12" a="1"/>
  <c r="V18" i="12" s="1"/>
  <c r="W18" i="12" a="1"/>
  <c r="W18" i="12" s="1"/>
  <c r="X18" i="12" a="1"/>
  <c r="X18" i="12" s="1"/>
  <c r="Y18" i="12" a="1"/>
  <c r="Y18" i="12" s="1"/>
  <c r="C19" i="12" a="1"/>
  <c r="C19" i="12" s="1"/>
  <c r="D19" i="12" a="1"/>
  <c r="D19" i="12" s="1"/>
  <c r="E19" i="12" a="1"/>
  <c r="E19" i="12" s="1"/>
  <c r="F19" i="12" a="1"/>
  <c r="F19" i="12" s="1"/>
  <c r="G19" i="12" a="1"/>
  <c r="G19" i="12" s="1"/>
  <c r="H19" i="12" a="1"/>
  <c r="H19" i="12" s="1"/>
  <c r="I19" i="12" a="1"/>
  <c r="I19" i="12" s="1"/>
  <c r="K19" i="12" a="1"/>
  <c r="K19" i="12" s="1"/>
  <c r="L19" i="12" a="1"/>
  <c r="L19" i="12" s="1"/>
  <c r="M19" i="12" a="1"/>
  <c r="M19" i="12" s="1"/>
  <c r="N19" i="12" a="1"/>
  <c r="N19" i="12" s="1"/>
  <c r="O19" i="12" a="1"/>
  <c r="O19" i="12" s="1"/>
  <c r="P19" i="12" a="1"/>
  <c r="P19" i="12" s="1"/>
  <c r="Q19" i="12" a="1"/>
  <c r="Q19" i="12" s="1"/>
  <c r="R19" i="12" a="1"/>
  <c r="R19" i="12" s="1"/>
  <c r="S19" i="12" a="1"/>
  <c r="S19" i="12" s="1"/>
  <c r="T19" i="12" a="1"/>
  <c r="T19" i="12" s="1"/>
  <c r="U19" i="12" a="1"/>
  <c r="U19" i="12" s="1"/>
  <c r="V19" i="12" a="1"/>
  <c r="V19" i="12" s="1"/>
  <c r="W19" i="12" a="1"/>
  <c r="W19" i="12" s="1"/>
  <c r="X19" i="12" a="1"/>
  <c r="X19" i="12" s="1"/>
  <c r="Y19" i="12" a="1"/>
  <c r="Y19" i="12" s="1"/>
  <c r="C20" i="12" a="1"/>
  <c r="C20" i="12" s="1"/>
  <c r="D20" i="12" a="1"/>
  <c r="D20" i="12" s="1"/>
  <c r="E20" i="12" a="1"/>
  <c r="E20" i="12" s="1"/>
  <c r="F20" i="12" a="1"/>
  <c r="F20" i="12" s="1"/>
  <c r="G20" i="12" a="1"/>
  <c r="G20" i="12" s="1"/>
  <c r="H20" i="12" a="1"/>
  <c r="H20" i="12" s="1"/>
  <c r="I20" i="12" a="1"/>
  <c r="I20" i="12" s="1"/>
  <c r="K20" i="12" a="1"/>
  <c r="K20" i="12" s="1"/>
  <c r="L20" i="12" a="1"/>
  <c r="L20" i="12" s="1"/>
  <c r="M20" i="12" a="1"/>
  <c r="M20" i="12" s="1"/>
  <c r="N20" i="12" a="1"/>
  <c r="N20" i="12" s="1"/>
  <c r="O20" i="12" a="1"/>
  <c r="O20" i="12" s="1"/>
  <c r="P20" i="12" a="1"/>
  <c r="P20" i="12" s="1"/>
  <c r="Q20" i="12" a="1"/>
  <c r="Q20" i="12" s="1"/>
  <c r="R20" i="12" a="1"/>
  <c r="R20" i="12" s="1"/>
  <c r="S20" i="12" a="1"/>
  <c r="S20" i="12" s="1"/>
  <c r="T20" i="12" a="1"/>
  <c r="T20" i="12" s="1"/>
  <c r="U20" i="12" a="1"/>
  <c r="U20" i="12" s="1"/>
  <c r="V20" i="12" a="1"/>
  <c r="V20" i="12" s="1"/>
  <c r="W20" i="12" a="1"/>
  <c r="W20" i="12" s="1"/>
  <c r="X20" i="12" a="1"/>
  <c r="X20" i="12" s="1"/>
  <c r="Y20" i="12" a="1"/>
  <c r="Y20" i="12" s="1"/>
  <c r="C21" i="12" a="1"/>
  <c r="C21" i="12" s="1"/>
  <c r="D21" i="12" a="1"/>
  <c r="D21" i="12" s="1"/>
  <c r="E21" i="12" a="1"/>
  <c r="E21" i="12" s="1"/>
  <c r="F21" i="12" a="1"/>
  <c r="F21" i="12" s="1"/>
  <c r="G21" i="12" a="1"/>
  <c r="G21" i="12" s="1"/>
  <c r="H21" i="12" a="1"/>
  <c r="H21" i="12" s="1"/>
  <c r="I21" i="12" a="1"/>
  <c r="I21" i="12" s="1"/>
  <c r="K21" i="12" a="1"/>
  <c r="K21" i="12" s="1"/>
  <c r="L21" i="12" a="1"/>
  <c r="L21" i="12" s="1"/>
  <c r="M21" i="12" a="1"/>
  <c r="M21" i="12" s="1"/>
  <c r="N21" i="12" a="1"/>
  <c r="N21" i="12" s="1"/>
  <c r="O21" i="12" a="1"/>
  <c r="O21" i="12" s="1"/>
  <c r="P21" i="12" a="1"/>
  <c r="P21" i="12" s="1"/>
  <c r="Q21" i="12" a="1"/>
  <c r="Q21" i="12" s="1"/>
  <c r="R21" i="12" a="1"/>
  <c r="R21" i="12" s="1"/>
  <c r="S21" i="12" a="1"/>
  <c r="S21" i="12" s="1"/>
  <c r="T21" i="12" a="1"/>
  <c r="T21" i="12" s="1"/>
  <c r="U21" i="12" a="1"/>
  <c r="U21" i="12" s="1"/>
  <c r="V21" i="12" a="1"/>
  <c r="V21" i="12" s="1"/>
  <c r="W21" i="12" a="1"/>
  <c r="W21" i="12" s="1"/>
  <c r="X21" i="12" a="1"/>
  <c r="X21" i="12" s="1"/>
  <c r="Y21" i="12" a="1"/>
  <c r="Y21" i="12" s="1"/>
  <c r="C22" i="12" a="1"/>
  <c r="C22" i="12" s="1"/>
  <c r="D22" i="12" a="1"/>
  <c r="D22" i="12" s="1"/>
  <c r="E22" i="12" a="1"/>
  <c r="E22" i="12" s="1"/>
  <c r="F22" i="12" a="1"/>
  <c r="F22" i="12" s="1"/>
  <c r="G22" i="12" a="1"/>
  <c r="G22" i="12" s="1"/>
  <c r="H22" i="12" a="1"/>
  <c r="H22" i="12" s="1"/>
  <c r="I22" i="12" a="1"/>
  <c r="I22" i="12" s="1"/>
  <c r="K22" i="12" a="1"/>
  <c r="K22" i="12" s="1"/>
  <c r="L22" i="12" a="1"/>
  <c r="L22" i="12" s="1"/>
  <c r="M22" i="12" a="1"/>
  <c r="M22" i="12" s="1"/>
  <c r="N22" i="12" a="1"/>
  <c r="N22" i="12" s="1"/>
  <c r="O22" i="12" a="1"/>
  <c r="O22" i="12" s="1"/>
  <c r="P22" i="12" a="1"/>
  <c r="P22" i="12" s="1"/>
  <c r="Q22" i="12" a="1"/>
  <c r="Q22" i="12" s="1"/>
  <c r="R22" i="12" a="1"/>
  <c r="R22" i="12" s="1"/>
  <c r="S22" i="12" a="1"/>
  <c r="S22" i="12" s="1"/>
  <c r="T22" i="12" a="1"/>
  <c r="T22" i="12" s="1"/>
  <c r="U22" i="12" a="1"/>
  <c r="U22" i="12" s="1"/>
  <c r="V22" i="12" a="1"/>
  <c r="V22" i="12" s="1"/>
  <c r="W22" i="12" a="1"/>
  <c r="W22" i="12" s="1"/>
  <c r="X22" i="12" a="1"/>
  <c r="X22" i="12" s="1"/>
  <c r="Y22" i="12" a="1"/>
  <c r="Y22" i="12" s="1"/>
  <c r="C23" i="12" a="1"/>
  <c r="C23" i="12" s="1"/>
  <c r="D23" i="12" a="1"/>
  <c r="D23" i="12" s="1"/>
  <c r="E23" i="12" a="1"/>
  <c r="E23" i="12" s="1"/>
  <c r="F23" i="12" a="1"/>
  <c r="F23" i="12" s="1"/>
  <c r="G23" i="12" a="1"/>
  <c r="G23" i="12" s="1"/>
  <c r="H23" i="12" a="1"/>
  <c r="H23" i="12" s="1"/>
  <c r="I23" i="12" a="1"/>
  <c r="I23" i="12" s="1"/>
  <c r="K23" i="12" a="1"/>
  <c r="K23" i="12" s="1"/>
  <c r="L23" i="12" a="1"/>
  <c r="L23" i="12" s="1"/>
  <c r="M23" i="12" a="1"/>
  <c r="M23" i="12" s="1"/>
  <c r="N23" i="12" a="1"/>
  <c r="N23" i="12" s="1"/>
  <c r="O23" i="12" a="1"/>
  <c r="O23" i="12" s="1"/>
  <c r="P23" i="12" a="1"/>
  <c r="P23" i="12" s="1"/>
  <c r="Q23" i="12" a="1"/>
  <c r="Q23" i="12" s="1"/>
  <c r="R23" i="12" a="1"/>
  <c r="R23" i="12" s="1"/>
  <c r="S23" i="12" a="1"/>
  <c r="S23" i="12" s="1"/>
  <c r="T23" i="12" a="1"/>
  <c r="T23" i="12" s="1"/>
  <c r="U23" i="12" a="1"/>
  <c r="U23" i="12" s="1"/>
  <c r="V23" i="12" a="1"/>
  <c r="V23" i="12" s="1"/>
  <c r="W23" i="12" a="1"/>
  <c r="W23" i="12" s="1"/>
  <c r="X23" i="12" a="1"/>
  <c r="X23" i="12" s="1"/>
  <c r="Y23" i="12" a="1"/>
  <c r="Y23" i="12" s="1"/>
  <c r="C24" i="12" a="1"/>
  <c r="C24" i="12" s="1"/>
  <c r="D24" i="12" a="1"/>
  <c r="D24" i="12" s="1"/>
  <c r="E24" i="12" a="1"/>
  <c r="E24" i="12" s="1"/>
  <c r="F24" i="12" a="1"/>
  <c r="F24" i="12" s="1"/>
  <c r="G24" i="12" a="1"/>
  <c r="G24" i="12" s="1"/>
  <c r="H24" i="12" a="1"/>
  <c r="H24" i="12" s="1"/>
  <c r="I24" i="12" a="1"/>
  <c r="I24" i="12" s="1"/>
  <c r="K24" i="12" a="1"/>
  <c r="K24" i="12" s="1"/>
  <c r="L24" i="12" a="1"/>
  <c r="L24" i="12" s="1"/>
  <c r="M24" i="12" a="1"/>
  <c r="M24" i="12" s="1"/>
  <c r="N24" i="12" a="1"/>
  <c r="N24" i="12" s="1"/>
  <c r="O24" i="12" a="1"/>
  <c r="O24" i="12" s="1"/>
  <c r="P24" i="12" a="1"/>
  <c r="P24" i="12" s="1"/>
  <c r="Q24" i="12" a="1"/>
  <c r="Q24" i="12" s="1"/>
  <c r="R24" i="12" a="1"/>
  <c r="R24" i="12" s="1"/>
  <c r="S24" i="12" a="1"/>
  <c r="S24" i="12" s="1"/>
  <c r="T24" i="12" a="1"/>
  <c r="T24" i="12" s="1"/>
  <c r="U24" i="12" a="1"/>
  <c r="U24" i="12" s="1"/>
  <c r="V24" i="12" a="1"/>
  <c r="V24" i="12" s="1"/>
  <c r="W24" i="12" a="1"/>
  <c r="W24" i="12" s="1"/>
  <c r="X24" i="12" a="1"/>
  <c r="X24" i="12" s="1"/>
  <c r="Y24" i="12" a="1"/>
  <c r="Y24" i="12" s="1"/>
  <c r="C25" i="12" a="1"/>
  <c r="C25" i="12" s="1"/>
  <c r="D25" i="12" a="1"/>
  <c r="D25" i="12" s="1"/>
  <c r="E25" i="12" a="1"/>
  <c r="E25" i="12" s="1"/>
  <c r="F25" i="12" a="1"/>
  <c r="F25" i="12" s="1"/>
  <c r="G25" i="12" a="1"/>
  <c r="G25" i="12" s="1"/>
  <c r="H25" i="12" a="1"/>
  <c r="H25" i="12" s="1"/>
  <c r="I25" i="12" a="1"/>
  <c r="I25" i="12" s="1"/>
  <c r="K25" i="12" a="1"/>
  <c r="K25" i="12" s="1"/>
  <c r="L25" i="12" a="1"/>
  <c r="L25" i="12" s="1"/>
  <c r="M25" i="12" a="1"/>
  <c r="M25" i="12" s="1"/>
  <c r="N25" i="12" a="1"/>
  <c r="N25" i="12" s="1"/>
  <c r="O25" i="12" a="1"/>
  <c r="O25" i="12" s="1"/>
  <c r="P25" i="12" a="1"/>
  <c r="P25" i="12" s="1"/>
  <c r="Q25" i="12" a="1"/>
  <c r="Q25" i="12" s="1"/>
  <c r="R25" i="12" a="1"/>
  <c r="R25" i="12" s="1"/>
  <c r="S25" i="12" a="1"/>
  <c r="S25" i="12" s="1"/>
  <c r="T25" i="12" a="1"/>
  <c r="T25" i="12" s="1"/>
  <c r="U25" i="12" a="1"/>
  <c r="U25" i="12" s="1"/>
  <c r="V25" i="12" a="1"/>
  <c r="V25" i="12" s="1"/>
  <c r="W25" i="12" a="1"/>
  <c r="W25" i="12" s="1"/>
  <c r="X25" i="12" a="1"/>
  <c r="X25" i="12" s="1"/>
  <c r="Y25" i="12" a="1"/>
  <c r="Y25" i="12" s="1"/>
  <c r="B11" i="12" a="1"/>
  <c r="B11" i="12" s="1"/>
  <c r="B12" i="12" a="1"/>
  <c r="B12" i="12" s="1"/>
  <c r="B13" i="12" a="1"/>
  <c r="B13" i="12" s="1"/>
  <c r="B14" i="12" a="1"/>
  <c r="B14" i="12" s="1"/>
  <c r="B15" i="12" a="1"/>
  <c r="B15" i="12" s="1"/>
  <c r="B16" i="12" a="1"/>
  <c r="B16" i="12" s="1"/>
  <c r="B17" i="12" a="1"/>
  <c r="B17" i="12" s="1"/>
  <c r="B18" i="12" a="1"/>
  <c r="B18" i="12" s="1"/>
  <c r="B19" i="12" a="1"/>
  <c r="B19" i="12" s="1"/>
  <c r="B20" i="12" a="1"/>
  <c r="B20" i="12" s="1"/>
  <c r="B21" i="12" a="1"/>
  <c r="B21" i="12" s="1"/>
  <c r="B22" i="12" a="1"/>
  <c r="B22" i="12" s="1"/>
  <c r="B23" i="12" a="1"/>
  <c r="B23" i="12" s="1"/>
  <c r="B24" i="12" a="1"/>
  <c r="B24" i="12" s="1"/>
  <c r="B25" i="12" a="1"/>
  <c r="B2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Alberto Garcia Loria</author>
  </authors>
  <commentList>
    <comment ref="N103" authorId="0" shapeId="0" xr:uid="{8A23F6ED-5CF2-4076-BD67-26F5CD3C1471}">
      <text>
        <r>
          <rPr>
            <b/>
            <sz val="9"/>
            <color indexed="81"/>
            <rFont val="Tahoma"/>
            <family val="2"/>
          </rPr>
          <t>Jorge Alberto Garcia Loria:</t>
        </r>
        <r>
          <rPr>
            <sz val="9"/>
            <color indexed="81"/>
            <rFont val="Tahoma"/>
            <family val="2"/>
          </rPr>
          <t xml:space="preserve">
Sent to customer incorrectly. For this customer part number should be P000232 (ET22-5.7/1.3-BLK-30MM)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Alberto Garcia Loria</author>
  </authors>
  <commentList>
    <comment ref="B49" authorId="0" shapeId="0" xr:uid="{B37C978A-4AA2-42D4-B9F8-C89DB28EA541}">
      <text>
        <r>
          <rPr>
            <b/>
            <sz val="9"/>
            <color indexed="81"/>
            <rFont val="Tahoma"/>
            <family val="2"/>
          </rPr>
          <t>Jorge Alberto Garcia Loria:</t>
        </r>
        <r>
          <rPr>
            <sz val="9"/>
            <color indexed="81"/>
            <rFont val="Tahoma"/>
            <family val="2"/>
          </rPr>
          <t xml:space="preserve">
Code was eliminated. Lear Honduras is approved by Lear North America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<sst xmlns="http://schemas.openxmlformats.org/spreadsheetml/2006/main" count="14481" uniqueCount="3695">
  <si>
    <t>ET part number</t>
  </si>
  <si>
    <t>PPAP Number</t>
  </si>
  <si>
    <t>PPAP Req'd by Customer</t>
  </si>
  <si>
    <t>Current Status</t>
  </si>
  <si>
    <t>PPAP/IMDS from</t>
  </si>
  <si>
    <t>CUSTOMER</t>
  </si>
  <si>
    <t>Country</t>
  </si>
  <si>
    <t>Customer PN</t>
  </si>
  <si>
    <t>ET Model</t>
  </si>
  <si>
    <t>ET Dwg</t>
  </si>
  <si>
    <t>Rev</t>
  </si>
  <si>
    <t>ET PN</t>
  </si>
  <si>
    <t>Description</t>
  </si>
  <si>
    <t>IMDS number</t>
  </si>
  <si>
    <t>IMDS Status</t>
  </si>
  <si>
    <t>PPAP docs</t>
  </si>
  <si>
    <t>Run@Rate</t>
  </si>
  <si>
    <t>Packing spec</t>
  </si>
  <si>
    <t>Feasibility report</t>
  </si>
  <si>
    <t>Level</t>
  </si>
  <si>
    <t>PPAP samples status</t>
  </si>
  <si>
    <t>Reason of Submission</t>
  </si>
  <si>
    <t>Sent to Customer</t>
  </si>
  <si>
    <t>PSW returned from Cust Signed</t>
  </si>
  <si>
    <t>P000217</t>
  </si>
  <si>
    <t>DOCUMENTATION FROM MANUFACTURER</t>
  </si>
  <si>
    <t>requested
shipped
received
approved</t>
  </si>
  <si>
    <t>DAYS TO SUBMIT</t>
  </si>
  <si>
    <t>Origin from report</t>
  </si>
  <si>
    <t>Comments</t>
  </si>
  <si>
    <t>INSPECTION REPORT NUMBER</t>
  </si>
  <si>
    <t>PP00003-1</t>
  </si>
  <si>
    <t>Approved 2020</t>
  </si>
  <si>
    <t>Nexans</t>
  </si>
  <si>
    <t>Mexico</t>
  </si>
  <si>
    <t>RO</t>
  </si>
  <si>
    <t>RO 001</t>
  </si>
  <si>
    <t>E101702</t>
  </si>
  <si>
    <t>CYG-DWT-RO(4005)-5.75-BK-75</t>
  </si>
  <si>
    <t>Initial Submission</t>
  </si>
  <si>
    <t>PP00003-2</t>
  </si>
  <si>
    <t>E101705</t>
  </si>
  <si>
    <t>CYG-DWT-RO(4005)-7.4-BK-75</t>
  </si>
  <si>
    <t>PP00003-3</t>
  </si>
  <si>
    <t>E101706</t>
  </si>
  <si>
    <t>CYG-DWT-RO(4005)-11.0-BK-75</t>
  </si>
  <si>
    <t>PP00003-4</t>
  </si>
  <si>
    <t>E101703</t>
  </si>
  <si>
    <t>CYG-DWT-RO(4005)-18.3-BK-75</t>
  </si>
  <si>
    <t>PP00003-5</t>
  </si>
  <si>
    <t>E101701</t>
  </si>
  <si>
    <t>CYG-DWT-RO(4005)-18.3-BK-150</t>
  </si>
  <si>
    <t>PP00001-1</t>
  </si>
  <si>
    <t>Program died</t>
  </si>
  <si>
    <t>Gentherm</t>
  </si>
  <si>
    <t>18052000A</t>
  </si>
  <si>
    <t>ET36</t>
  </si>
  <si>
    <t>D000017</t>
  </si>
  <si>
    <t>P000035</t>
  </si>
  <si>
    <t>ET36 SWN090-40PVV000, 4.6-800m Black</t>
  </si>
  <si>
    <t>PP00001-2</t>
  </si>
  <si>
    <t>18052001A</t>
  </si>
  <si>
    <t>P000036</t>
  </si>
  <si>
    <t>ET36 SWN090-40PVV000, 5.1-500m Black</t>
  </si>
  <si>
    <t>PP00001-3</t>
  </si>
  <si>
    <t>12000051A</t>
  </si>
  <si>
    <t>P000037</t>
  </si>
  <si>
    <t>ET36 SWN090-40PVV000, 6.0-400m Black</t>
  </si>
  <si>
    <t>PP00001-4</t>
  </si>
  <si>
    <t>18052002A</t>
  </si>
  <si>
    <t>P000038</t>
  </si>
  <si>
    <t>ET36 SWN090-40PVV000, 6.1-500m Black</t>
  </si>
  <si>
    <t>PP00001-5</t>
  </si>
  <si>
    <t>12002514A</t>
  </si>
  <si>
    <t>P000040</t>
  </si>
  <si>
    <t>ET36 SWN090-40PVV000,7.0-340m Black</t>
  </si>
  <si>
    <t>PP00001-6</t>
  </si>
  <si>
    <t>18052065A</t>
  </si>
  <si>
    <t>P000039</t>
  </si>
  <si>
    <t>ET36 SWN090-40PVV000,7.1-350m Black</t>
  </si>
  <si>
    <t>PP00001-7</t>
  </si>
  <si>
    <t>12001469A</t>
  </si>
  <si>
    <t>P000041</t>
  </si>
  <si>
    <t>ET36 SWN090-40PVV000, 10.0-150m Black</t>
  </si>
  <si>
    <t>PP00002-1</t>
  </si>
  <si>
    <t>UPM</t>
  </si>
  <si>
    <t>Lear</t>
  </si>
  <si>
    <t>Morocco</t>
  </si>
  <si>
    <t>E26424100</t>
  </si>
  <si>
    <t>ET10</t>
  </si>
  <si>
    <t>D000004</t>
  </si>
  <si>
    <t>P000042</t>
  </si>
  <si>
    <t>PP00006-1</t>
  </si>
  <si>
    <t>NO Req from Customer</t>
  </si>
  <si>
    <t>Hungary</t>
  </si>
  <si>
    <t>11039581A</t>
  </si>
  <si>
    <t>ET00</t>
  </si>
  <si>
    <t>D000002</t>
  </si>
  <si>
    <t>P100207</t>
  </si>
  <si>
    <t>ET00 SWS135-55PXV000, 19.0/9.5-Black</t>
  </si>
  <si>
    <t>PP00007-1</t>
  </si>
  <si>
    <t>Approved 2021</t>
  </si>
  <si>
    <t>PKC</t>
  </si>
  <si>
    <t>Poland</t>
  </si>
  <si>
    <t>GP078903</t>
  </si>
  <si>
    <t>P100257</t>
  </si>
  <si>
    <t>ET00 SWS135-55PXV000, 32.0/16.0-Black</t>
  </si>
  <si>
    <t>PP00008-01</t>
  </si>
  <si>
    <t>ET22</t>
  </si>
  <si>
    <t>D000030</t>
  </si>
  <si>
    <t>P000102</t>
  </si>
  <si>
    <t>ET22 DWS125-40PXYEVH, 5.7/1.3-75mm Black</t>
  </si>
  <si>
    <t>PP00010-1</t>
  </si>
  <si>
    <t>11026984A</t>
  </si>
  <si>
    <t>ET52</t>
  </si>
  <si>
    <t>D000043</t>
  </si>
  <si>
    <t>P100262</t>
  </si>
  <si>
    <t>ET52 SWS135-55PXM000, 4.8/1.6-15mm-WHT-LH</t>
  </si>
  <si>
    <t>PP00010-2</t>
  </si>
  <si>
    <t>11026985A</t>
  </si>
  <si>
    <t>P100263</t>
  </si>
  <si>
    <t>ET52 SWS135-55PXM000, 4.8/1.6-15mm-WHT-RH</t>
  </si>
  <si>
    <t>PP00002-2</t>
  </si>
  <si>
    <t>E26459700</t>
  </si>
  <si>
    <t>P000043</t>
  </si>
  <si>
    <t>PP00008-02</t>
  </si>
  <si>
    <t>P000103</t>
  </si>
  <si>
    <t>ET22 DWS125-40PXYEVH, 7.5/1.7-75mm Black</t>
  </si>
  <si>
    <t>PP00011-1</t>
  </si>
  <si>
    <t>PSW Pending Approve</t>
  </si>
  <si>
    <t>Tooling</t>
  </si>
  <si>
    <t>PP00011-2</t>
  </si>
  <si>
    <t>PP00012-01</t>
  </si>
  <si>
    <t>CEMM</t>
  </si>
  <si>
    <t>GAT125</t>
  </si>
  <si>
    <t>P000109</t>
  </si>
  <si>
    <t>ET22 DWS125-40PXYEVH, 7.5/1.7-35mm BLK</t>
  </si>
  <si>
    <t>PP00012-02</t>
  </si>
  <si>
    <t>GAT101</t>
  </si>
  <si>
    <t>P000116</t>
  </si>
  <si>
    <t>ET22 DWS125-40PXYEVH, 5.7/1.3-20mm BLK</t>
  </si>
  <si>
    <t>PP00012-03</t>
  </si>
  <si>
    <t>GAT023</t>
  </si>
  <si>
    <t>P000117</t>
  </si>
  <si>
    <t>ET22 DWS125-40PXYEVH, 5.7/1.3-35mm BLK</t>
  </si>
  <si>
    <t>Meissner</t>
  </si>
  <si>
    <t>Germany</t>
  </si>
  <si>
    <t>P000030</t>
  </si>
  <si>
    <t>PP00009-1</t>
  </si>
  <si>
    <t>Lithuania</t>
  </si>
  <si>
    <t>GP085283</t>
  </si>
  <si>
    <t>ET11</t>
  </si>
  <si>
    <t>D00005</t>
  </si>
  <si>
    <t>P000028</t>
  </si>
  <si>
    <t>ET11 DWS125-55PXTEVR, 24/6-Black</t>
  </si>
  <si>
    <t>PP00014-01</t>
  </si>
  <si>
    <t>Approved 2022</t>
  </si>
  <si>
    <t>ETC</t>
  </si>
  <si>
    <t>ECI</t>
  </si>
  <si>
    <t>HST555P78</t>
  </si>
  <si>
    <t>ET72</t>
  </si>
  <si>
    <t>D000066</t>
  </si>
  <si>
    <t>P000115</t>
  </si>
  <si>
    <t>ET72-9.5/4.8-38MM-BLK</t>
  </si>
  <si>
    <t>PP00016-1</t>
  </si>
  <si>
    <t>North America</t>
  </si>
  <si>
    <t>E33300300</t>
  </si>
  <si>
    <t>P000053</t>
  </si>
  <si>
    <t>ET22 DWS125-40PXYEVH, 18.3/4.5-50mm BLK</t>
  </si>
  <si>
    <t>PP00016-2</t>
  </si>
  <si>
    <t>E33301100</t>
  </si>
  <si>
    <t>P000106</t>
  </si>
  <si>
    <t>ET22 DWS125-40PXYEVH, 5.7/1.3-50mm BLK</t>
  </si>
  <si>
    <t>PP00013-1</t>
  </si>
  <si>
    <t>Angstrom</t>
  </si>
  <si>
    <t>ET008-50</t>
  </si>
  <si>
    <t>BluSeal</t>
  </si>
  <si>
    <t>D000069</t>
  </si>
  <si>
    <t>PP00016-3</t>
  </si>
  <si>
    <t>E34284700</t>
  </si>
  <si>
    <t>P000121</t>
  </si>
  <si>
    <t>ET22 DWS125-40PXYEVH, 7.5/1.7-50mm BLK</t>
  </si>
  <si>
    <t>PP00017-2</t>
  </si>
  <si>
    <t>Annual Validation</t>
  </si>
  <si>
    <t>PP00018-1</t>
  </si>
  <si>
    <t>E34285300</t>
  </si>
  <si>
    <t>P000124</t>
  </si>
  <si>
    <t>ET22 DWS125-40PXYEVH, 11.0/2.4-50mm- BLK</t>
  </si>
  <si>
    <t>PP00018-10</t>
  </si>
  <si>
    <t>E35081800</t>
  </si>
  <si>
    <t>ET14</t>
  </si>
  <si>
    <t>D000008</t>
  </si>
  <si>
    <t>P000049</t>
  </si>
  <si>
    <t>ET14-5.7/1.3-35MM-BLK</t>
  </si>
  <si>
    <t>PP00018-11</t>
  </si>
  <si>
    <t>E35099100</t>
  </si>
  <si>
    <t>P000150</t>
  </si>
  <si>
    <t>ET14-3.2/1.0-22MM-BLK</t>
  </si>
  <si>
    <t>PP00018-12</t>
  </si>
  <si>
    <t>E34427900</t>
  </si>
  <si>
    <t>P000126</t>
  </si>
  <si>
    <t>ET22-4.0/1.0-50MM-BLK</t>
  </si>
  <si>
    <t>PP00018-13</t>
  </si>
  <si>
    <t>E35924800</t>
  </si>
  <si>
    <t>P000233</t>
  </si>
  <si>
    <t>ET00-2.4/1.2-25MM-BLK</t>
  </si>
  <si>
    <t>PP00018-14</t>
  </si>
  <si>
    <t>E35924700</t>
  </si>
  <si>
    <t>P000234</t>
  </si>
  <si>
    <t>ET00-4.8/2.4-25MM-BLK</t>
  </si>
  <si>
    <t>PP00018-15</t>
  </si>
  <si>
    <t>E34875500</t>
  </si>
  <si>
    <t>ET17</t>
  </si>
  <si>
    <t>D000027</t>
  </si>
  <si>
    <t>P000143</t>
  </si>
  <si>
    <t>ET17-17.8/4.4-50MM-BLK</t>
  </si>
  <si>
    <t>PP00018-16</t>
  </si>
  <si>
    <t>E34991700</t>
  </si>
  <si>
    <t>P000146</t>
  </si>
  <si>
    <t>ET22-18.3/4.5-65MM-BLK</t>
  </si>
  <si>
    <t>PP00018-17</t>
  </si>
  <si>
    <t>E35099800</t>
  </si>
  <si>
    <t>ET86</t>
  </si>
  <si>
    <t>D000064</t>
  </si>
  <si>
    <t>P000160</t>
  </si>
  <si>
    <t>ET86-7.6/1.7-30MM-BLK</t>
  </si>
  <si>
    <t>PP00018-18</t>
  </si>
  <si>
    <t>E35101000</t>
  </si>
  <si>
    <t>P000167</t>
  </si>
  <si>
    <t>ET00-19.0/9.5-40MM-BLK</t>
  </si>
  <si>
    <t>PP00018-19</t>
  </si>
  <si>
    <t>E34750100</t>
  </si>
  <si>
    <t>ET15</t>
  </si>
  <si>
    <t>D000009</t>
  </si>
  <si>
    <t>P000129</t>
  </si>
  <si>
    <t>ET15-6.0/1.3-50MM-BLK</t>
  </si>
  <si>
    <t>PP00018-2</t>
  </si>
  <si>
    <t>E34427600</t>
  </si>
  <si>
    <t>P000127</t>
  </si>
  <si>
    <t>ET22 DWS125-40PXYEVH, 5.7/1.3-30mm- BLK</t>
  </si>
  <si>
    <t>PP00018-20</t>
  </si>
  <si>
    <t>E34748400</t>
  </si>
  <si>
    <t>P000131</t>
  </si>
  <si>
    <t>ET15-8.0/1.7-50MM-BLK</t>
  </si>
  <si>
    <t>PP00018-21</t>
  </si>
  <si>
    <t>E35099900</t>
  </si>
  <si>
    <t>P000161</t>
  </si>
  <si>
    <t>ET86-7.6/1.7-50MM-BLK</t>
  </si>
  <si>
    <t>PP00018-22</t>
  </si>
  <si>
    <t>E37241800</t>
  </si>
  <si>
    <t>P000249</t>
  </si>
  <si>
    <t>ET00-19.0/9.5-50MM-BLK</t>
  </si>
  <si>
    <t>PP00018-23</t>
  </si>
  <si>
    <t>E34875700</t>
  </si>
  <si>
    <t>P000140</t>
  </si>
  <si>
    <t>ET17-7.6/1.7-50MM-BLK</t>
  </si>
  <si>
    <t>PP00018-24</t>
  </si>
  <si>
    <t>E34516400</t>
  </si>
  <si>
    <t>P000138</t>
  </si>
  <si>
    <t>ET22-7.5/1.7-30MM-BLK</t>
  </si>
  <si>
    <t>PP00018-25</t>
  </si>
  <si>
    <t>E35217000</t>
  </si>
  <si>
    <t>P000107</t>
  </si>
  <si>
    <t>ET00-3.2/1.6-50MM-BLK</t>
  </si>
  <si>
    <t>PP00018-26</t>
  </si>
  <si>
    <t>E34875900</t>
  </si>
  <si>
    <t>P000142</t>
  </si>
  <si>
    <t>ET17-17.8/4.4-20MM-BLK</t>
  </si>
  <si>
    <t>PP00018-27</t>
  </si>
  <si>
    <t>E34875800</t>
  </si>
  <si>
    <t>P000144</t>
  </si>
  <si>
    <t>ET17-27.9/8.4-50MM-BLK</t>
  </si>
  <si>
    <t>PP00018-28</t>
  </si>
  <si>
    <t>E34875600</t>
  </si>
  <si>
    <t>P000141</t>
  </si>
  <si>
    <t>ET17-11.6/2.5-50MM-BLK</t>
  </si>
  <si>
    <t>PP00018-29</t>
  </si>
  <si>
    <t>E35099300</t>
  </si>
  <si>
    <t>P000151</t>
  </si>
  <si>
    <t>ET14-5.7/1.3-50MM-BLK</t>
  </si>
  <si>
    <t>PP00018-3</t>
  </si>
  <si>
    <t>E35100900</t>
  </si>
  <si>
    <t>P000147</t>
  </si>
  <si>
    <t>ET00 SWS135-55PXV000, 6.4/3.2-30mm-BLK</t>
  </si>
  <si>
    <t>PP00018-30</t>
  </si>
  <si>
    <t>E35113000</t>
  </si>
  <si>
    <t>P000156</t>
  </si>
  <si>
    <t>ET22-11.0/2.4-30MM-BLK</t>
  </si>
  <si>
    <t>PP00018-31</t>
  </si>
  <si>
    <t>E35081900</t>
  </si>
  <si>
    <t>P000125</t>
  </si>
  <si>
    <t>ET14-3.2/1.0-35MM-BLK</t>
  </si>
  <si>
    <t>PP00018-32</t>
  </si>
  <si>
    <t>E35798800</t>
  </si>
  <si>
    <t>P000192</t>
  </si>
  <si>
    <t>ET22-14.0/3.0-200MM-BLK</t>
  </si>
  <si>
    <t>PP00018-33</t>
  </si>
  <si>
    <t>E35246300</t>
  </si>
  <si>
    <t>P000170</t>
  </si>
  <si>
    <t>ET00-1.6/0.8-BLK(Spool)</t>
  </si>
  <si>
    <t>Approved 2025</t>
  </si>
  <si>
    <t>Aptiv</t>
  </si>
  <si>
    <t>ET25</t>
  </si>
  <si>
    <t>D000060</t>
  </si>
  <si>
    <t>P000337</t>
  </si>
  <si>
    <t>ET25-5.7/1.3R-BK-50mm</t>
  </si>
  <si>
    <t>1443856561 / 1</t>
  </si>
  <si>
    <t>n/a</t>
  </si>
  <si>
    <t>PP00018-35</t>
  </si>
  <si>
    <t>E35099600</t>
  </si>
  <si>
    <t>P000158</t>
  </si>
  <si>
    <t>ET86-5.0/1.3-65MM-BLK</t>
  </si>
  <si>
    <t>PP00018-36</t>
  </si>
  <si>
    <t>E35099700</t>
  </si>
  <si>
    <t>P000159</t>
  </si>
  <si>
    <t>ET86-7.6/1.7-27MM-BLK</t>
  </si>
  <si>
    <t>PP00018-37</t>
  </si>
  <si>
    <t>E35100300</t>
  </si>
  <si>
    <t>P000164</t>
  </si>
  <si>
    <t>ET86-11.5/2.5-65MM-BLK</t>
  </si>
  <si>
    <t>PP00018-38</t>
  </si>
  <si>
    <t>E35101100</t>
  </si>
  <si>
    <t>ET12</t>
  </si>
  <si>
    <t>D000006</t>
  </si>
  <si>
    <t>P000148</t>
  </si>
  <si>
    <t>ET12-5.7/1.3-25MM-CLR</t>
  </si>
  <si>
    <t>PP00018-39</t>
  </si>
  <si>
    <t>E35101200</t>
  </si>
  <si>
    <t>P000149</t>
  </si>
  <si>
    <t>ET12-11.0/2.4-25MM-CLR</t>
  </si>
  <si>
    <t>PP00018-4</t>
  </si>
  <si>
    <t>E35563000</t>
  </si>
  <si>
    <t>P000179</t>
  </si>
  <si>
    <t>ET00 SWS135-55PXV000, 6.4/3.2-50mm-BLK</t>
  </si>
  <si>
    <t>PP00018-40</t>
  </si>
  <si>
    <t>E34750200</t>
  </si>
  <si>
    <t>P000128</t>
  </si>
  <si>
    <t>ET15-6.0/1.3-30MM-BLK</t>
  </si>
  <si>
    <t>PP00018-41</t>
  </si>
  <si>
    <t>E34749800</t>
  </si>
  <si>
    <t>P000132</t>
  </si>
  <si>
    <t>ET15-12.0/3.0-30MM-BLK</t>
  </si>
  <si>
    <t>PP00018-42</t>
  </si>
  <si>
    <t>E35053200</t>
  </si>
  <si>
    <t>P000134</t>
  </si>
  <si>
    <t>ET15-18.3/4.4-40MM-BLK</t>
  </si>
  <si>
    <t>PP00018-43</t>
  </si>
  <si>
    <t>E34285100</t>
  </si>
  <si>
    <t>P000123</t>
  </si>
  <si>
    <t>ET22-11.0/2.4-35MM-BLK</t>
  </si>
  <si>
    <t>PP00018-44</t>
  </si>
  <si>
    <t>E34515200</t>
  </si>
  <si>
    <t>P000136</t>
  </si>
  <si>
    <t>ET22-5.7/1.3-35MM-BLK</t>
  </si>
  <si>
    <t>PP00018-45</t>
  </si>
  <si>
    <t>E34991600</t>
  </si>
  <si>
    <t>P000145</t>
  </si>
  <si>
    <t>ET22-7.5/1.7-27MM-BLK</t>
  </si>
  <si>
    <t>PP00018-46</t>
  </si>
  <si>
    <t>E39029300</t>
  </si>
  <si>
    <t>P000296</t>
  </si>
  <si>
    <t>ET25-14.0/3.0-50MM-BLK</t>
  </si>
  <si>
    <t>PP00018-47</t>
  </si>
  <si>
    <t>E39043100</t>
  </si>
  <si>
    <t>P000177</t>
  </si>
  <si>
    <t>ET22-7.5/1.7-65MM-BLk</t>
  </si>
  <si>
    <t>PP00018-5</t>
  </si>
  <si>
    <t>E35563100</t>
  </si>
  <si>
    <t>P000180</t>
  </si>
  <si>
    <t>ET00 SWS135-55PXV000, 9.5/4.8-50mm-BLK</t>
  </si>
  <si>
    <t>PP00018-6</t>
  </si>
  <si>
    <t>E35100200</t>
  </si>
  <si>
    <t>P000163</t>
  </si>
  <si>
    <t>ET86 DWS125-40PXYEVF, 11.5/2.5-50mm-BLK</t>
  </si>
  <si>
    <t>PP00018-7</t>
  </si>
  <si>
    <t>E35100400</t>
  </si>
  <si>
    <t>P000165</t>
  </si>
  <si>
    <t>ET86 DWS125-40PXYEVF, 17.7/4.5-40mm-BLK</t>
  </si>
  <si>
    <t>PP00020-1</t>
  </si>
  <si>
    <t>Europe</t>
  </si>
  <si>
    <t>GP088846</t>
  </si>
  <si>
    <t>D000005</t>
  </si>
  <si>
    <t>P000026</t>
  </si>
  <si>
    <t>ET11-12.0/3.0-SP-BLK</t>
  </si>
  <si>
    <t>PP00020-2</t>
  </si>
  <si>
    <t>GP089792</t>
  </si>
  <si>
    <t>P000032</t>
  </si>
  <si>
    <t>ET15-4.0/1.0-35MM-CLR</t>
  </si>
  <si>
    <t>PP00020-3</t>
  </si>
  <si>
    <t>GP089790</t>
  </si>
  <si>
    <t>P000033</t>
  </si>
  <si>
    <t>ET15-9.5/1.5-45MM-CLR</t>
  </si>
  <si>
    <t>PP00020-4</t>
  </si>
  <si>
    <t>GP089418</t>
  </si>
  <si>
    <t>ET18</t>
  </si>
  <si>
    <t>D000040</t>
  </si>
  <si>
    <t>P100360</t>
  </si>
  <si>
    <t>ET18-7.5/1.7-50MM-CLR</t>
  </si>
  <si>
    <t>PP00020-5</t>
  </si>
  <si>
    <t>GP089367</t>
  </si>
  <si>
    <t>P100362</t>
  </si>
  <si>
    <t>ET18-11.0/2.4-65MM-CLR</t>
  </si>
  <si>
    <t>PP00020-6</t>
  </si>
  <si>
    <t>GP089443</t>
  </si>
  <si>
    <t>P100364</t>
  </si>
  <si>
    <t>ET18-14.0/3.0-65MM-CLR</t>
  </si>
  <si>
    <t>PP00020-7</t>
  </si>
  <si>
    <t>GP089281</t>
  </si>
  <si>
    <t>ET21</t>
  </si>
  <si>
    <t>D000026</t>
  </si>
  <si>
    <t>P100366</t>
  </si>
  <si>
    <t>ET21-24.0/8.0-40MM-RED</t>
  </si>
  <si>
    <t>PP00020-8</t>
  </si>
  <si>
    <t>GP089412</t>
  </si>
  <si>
    <t>ET22-5.7/1.3-50MM-BLK</t>
  </si>
  <si>
    <t>PP00021-1</t>
  </si>
  <si>
    <t>E66699500</t>
  </si>
  <si>
    <t>25-Jan-23</t>
  </si>
  <si>
    <t>PP00022-1</t>
  </si>
  <si>
    <t>PP00024-01</t>
  </si>
  <si>
    <t>Lear EU</t>
  </si>
  <si>
    <t>E36091300</t>
  </si>
  <si>
    <t>P000198</t>
  </si>
  <si>
    <t>ET10-12.0/3.0-35MM-BLK</t>
  </si>
  <si>
    <t>PP00017-1</t>
  </si>
  <si>
    <t>PP00018-8</t>
  </si>
  <si>
    <t>E35100800</t>
  </si>
  <si>
    <t>P000166</t>
  </si>
  <si>
    <t>ET86 DWS125-40PXYEVF, 17.7/4.5-50mm-BLK</t>
  </si>
  <si>
    <t>PP00018-9</t>
  </si>
  <si>
    <t>E33300400</t>
  </si>
  <si>
    <t>P000052</t>
  </si>
  <si>
    <t>ET22 DWS125-40PXYEVH, 18.3/4.5-40mm- BLK</t>
  </si>
  <si>
    <t>PP00019-0001</t>
  </si>
  <si>
    <t>P000076</t>
  </si>
  <si>
    <t>ET10-32.0/8.0-100MM-BLK</t>
  </si>
  <si>
    <t>-</t>
  </si>
  <si>
    <t>PP00025-1</t>
  </si>
  <si>
    <t>Tenneco</t>
  </si>
  <si>
    <t>ZRM-982381-20</t>
  </si>
  <si>
    <t>P000110</t>
  </si>
  <si>
    <t>ET00-3.2/1.6-30MM-BLK</t>
  </si>
  <si>
    <t>PP00025-2</t>
  </si>
  <si>
    <t>ZRM-982367-17</t>
  </si>
  <si>
    <t>ET04</t>
  </si>
  <si>
    <t>D000038</t>
  </si>
  <si>
    <t>P000105</t>
  </si>
  <si>
    <t>ET04-5.7/2.4-50MM-BLK</t>
  </si>
  <si>
    <t>PP00027-10</t>
  </si>
  <si>
    <t>IMDS approved</t>
  </si>
  <si>
    <t>1137288954/2</t>
  </si>
  <si>
    <t>Only IMDS</t>
  </si>
  <si>
    <t>PP00027-11</t>
  </si>
  <si>
    <t>1137289592/2</t>
  </si>
  <si>
    <t>PP00027-04</t>
  </si>
  <si>
    <t>ET008-500</t>
  </si>
  <si>
    <t>LIQUID SEALER,BLUSEAL</t>
  </si>
  <si>
    <t>PP00036-04</t>
  </si>
  <si>
    <t>HSTP2438</t>
  </si>
  <si>
    <t>ET22-5.7/1.3-BLK-30MM</t>
  </si>
  <si>
    <t>PP00036-05</t>
  </si>
  <si>
    <t>HSTP2437</t>
  </si>
  <si>
    <t>P000231</t>
  </si>
  <si>
    <t>ET22-11.0/2.4-BLK-40MM</t>
  </si>
  <si>
    <t>28-Apr-23</t>
  </si>
  <si>
    <t>PP00029-01</t>
  </si>
  <si>
    <t>ET25-18.3/4.5-BLK-40mm</t>
  </si>
  <si>
    <t>P000252</t>
  </si>
  <si>
    <t xml:space="preserve"> ET25-18.3/4.5-BLK-40mm </t>
  </si>
  <si>
    <t>PP00029-02</t>
  </si>
  <si>
    <t>ET25-18.3/4.5-BLK-60mm</t>
  </si>
  <si>
    <t>P000477</t>
  </si>
  <si>
    <t xml:space="preserve"> ET25-18.3/4.5-BLK-60mm </t>
  </si>
  <si>
    <t>PP00029-03</t>
  </si>
  <si>
    <t xml:space="preserve"> ET25-18.3/4.5-BLK-65mm </t>
  </si>
  <si>
    <t>P000254</t>
  </si>
  <si>
    <t>PP00029-04</t>
  </si>
  <si>
    <t xml:space="preserve"> ET25-18.3/4.5-BLK-50mm </t>
  </si>
  <si>
    <t>P000253</t>
  </si>
  <si>
    <t>PP00029-05</t>
  </si>
  <si>
    <t xml:space="preserve"> ET25-18.3/4.5-BLK-75mm </t>
  </si>
  <si>
    <t>P000196</t>
  </si>
  <si>
    <t>PP00029-06</t>
  </si>
  <si>
    <t xml:space="preserve"> ET25-24.0/6.0-BLK-60mm </t>
  </si>
  <si>
    <t>P000277</t>
  </si>
  <si>
    <t>PP00029-07</t>
  </si>
  <si>
    <t xml:space="preserve"> ET25-7.4/1.7-BLK-50mm </t>
  </si>
  <si>
    <t>P000293</t>
  </si>
  <si>
    <t>PP00029-08</t>
  </si>
  <si>
    <t xml:space="preserve"> ET87-17.8/4.4-BLK-50mm </t>
  </si>
  <si>
    <t>ET87</t>
  </si>
  <si>
    <t>D000073</t>
  </si>
  <si>
    <t>P000235</t>
  </si>
  <si>
    <t>PP00029-09</t>
  </si>
  <si>
    <t xml:space="preserve"> ET25-5.7/1.3-BLK-50mm </t>
  </si>
  <si>
    <t>P000204</t>
  </si>
  <si>
    <t xml:space="preserve"> ET25-5.7/1.3-50mm-BLK </t>
  </si>
  <si>
    <t>PP00029-10</t>
  </si>
  <si>
    <t xml:space="preserve"> ET87-17.8/4.4-BLK-40mm </t>
  </si>
  <si>
    <t>P000382</t>
  </si>
  <si>
    <t>PP00029-11</t>
  </si>
  <si>
    <t>ET25-18.3/4.5-BLK-30mm</t>
  </si>
  <si>
    <t>P000476</t>
  </si>
  <si>
    <t>PP00026-01</t>
  </si>
  <si>
    <t>Approved 2023</t>
  </si>
  <si>
    <t>SEWS</t>
  </si>
  <si>
    <t>ET25-11.0/2.5-65mm BLK</t>
  </si>
  <si>
    <t>1188884297/2</t>
  </si>
  <si>
    <t>PP00026-02</t>
  </si>
  <si>
    <t>P000270</t>
  </si>
  <si>
    <t>ET25-11.0/2.5-120MM-RED</t>
  </si>
  <si>
    <t>PP00026-03</t>
  </si>
  <si>
    <t>P000274</t>
  </si>
  <si>
    <t>ET25-18.3/4.5-120MM-BLK</t>
  </si>
  <si>
    <t>1189258225 / 2</t>
  </si>
  <si>
    <t>PP00026-04</t>
  </si>
  <si>
    <t>P000276</t>
  </si>
  <si>
    <t>ET25-18.3/4.5-150MM-BLK</t>
  </si>
  <si>
    <t>PP00026-05</t>
  </si>
  <si>
    <t>P000308</t>
  </si>
  <si>
    <t>ET25-11.0/2.5-33MM-BLK</t>
  </si>
  <si>
    <t>PP00026-06</t>
  </si>
  <si>
    <t>P000311</t>
  </si>
  <si>
    <t>ET25-18.3/4.5-45MM-BLK</t>
  </si>
  <si>
    <t>PP00026-07</t>
  </si>
  <si>
    <t>ET84</t>
  </si>
  <si>
    <t>D000078</t>
  </si>
  <si>
    <t>P000263</t>
  </si>
  <si>
    <t>ET84-3.2/1.0-50MM-BLK</t>
  </si>
  <si>
    <t>PP00035-01</t>
  </si>
  <si>
    <t>013295</t>
  </si>
  <si>
    <t>ET77</t>
  </si>
  <si>
    <t>D000065</t>
  </si>
  <si>
    <t>P000321</t>
  </si>
  <si>
    <t>ET77 6.0/2.0-BLK-SP</t>
  </si>
  <si>
    <t>1201094181 / 2</t>
  </si>
  <si>
    <t>02-March-23</t>
  </si>
  <si>
    <t>PP00027-02</t>
  </si>
  <si>
    <t>GP090357</t>
  </si>
  <si>
    <t>P100354</t>
  </si>
  <si>
    <t>ET11 20.0/4.0-40MM-BLK</t>
  </si>
  <si>
    <t>PP00027-08</t>
  </si>
  <si>
    <t>GP092655</t>
  </si>
  <si>
    <t>P100356</t>
  </si>
  <si>
    <t>ET11 48.0/13.0-SP-BLK</t>
  </si>
  <si>
    <t>PP00027-15</t>
  </si>
  <si>
    <t>GP092563</t>
  </si>
  <si>
    <t>P100357</t>
  </si>
  <si>
    <t>ET11 14.5/3.0-40MM-BLK</t>
  </si>
  <si>
    <t>ok</t>
  </si>
  <si>
    <t>Annual validation</t>
  </si>
  <si>
    <t>PP00024-02</t>
  </si>
  <si>
    <t>E37679000</t>
  </si>
  <si>
    <t>P000260</t>
  </si>
  <si>
    <t>ET14-5.7/1.3-40MM-BLK</t>
  </si>
  <si>
    <t>PP00027-13</t>
  </si>
  <si>
    <t>GP089283</t>
  </si>
  <si>
    <t>ET00-3.2/1.6-SP-BLK</t>
  </si>
  <si>
    <t>PP00028-02</t>
  </si>
  <si>
    <t>E36449000</t>
  </si>
  <si>
    <t>ET25-5.7/1.3-50MM-BLK</t>
  </si>
  <si>
    <t>PP00028-03</t>
  </si>
  <si>
    <t>E39044200</t>
  </si>
  <si>
    <t>ET25-24.0/6.0-60MM-BLK</t>
  </si>
  <si>
    <t>PP00032-01</t>
  </si>
  <si>
    <t>South America</t>
  </si>
  <si>
    <t>ET86-11.5/2.5-BLK-50MM</t>
  </si>
  <si>
    <t>1200695361 / 1</t>
  </si>
  <si>
    <t>Pass</t>
  </si>
  <si>
    <t>PP00032-02</t>
  </si>
  <si>
    <t>ET86-5.0/1.3-BLK-65MM</t>
  </si>
  <si>
    <t>PP00032-03</t>
  </si>
  <si>
    <t>ET86-7.6/1.7-BLK-50MM</t>
  </si>
  <si>
    <t>PP00032-04</t>
  </si>
  <si>
    <t>E39013200</t>
  </si>
  <si>
    <t>P000183</t>
  </si>
  <si>
    <t>ET86-9.0/2.3-BLK-50MM</t>
  </si>
  <si>
    <t>PP00032-05</t>
  </si>
  <si>
    <t>ET86-7.6/1.7-BLK-27MM</t>
  </si>
  <si>
    <t>1201408694 / 1</t>
  </si>
  <si>
    <t>PP00032-06</t>
  </si>
  <si>
    <t>E35100000</t>
  </si>
  <si>
    <t>P000162</t>
  </si>
  <si>
    <t>ET86-7.6/1.7-BLK-65MM</t>
  </si>
  <si>
    <t>PP00032-07</t>
  </si>
  <si>
    <t>It's no longer necessary from customer</t>
  </si>
  <si>
    <t>E38846500</t>
  </si>
  <si>
    <t>P000269</t>
  </si>
  <si>
    <t>ET25-11.0/2.5-BLK-45MM</t>
  </si>
  <si>
    <t>PP00032-08</t>
  </si>
  <si>
    <t>E39013000</t>
  </si>
  <si>
    <t>ET25-18.3/4.5-BLK-40MM</t>
  </si>
  <si>
    <t>1201419866 / 1</t>
  </si>
  <si>
    <t>PP00032-09</t>
  </si>
  <si>
    <t>E35099400</t>
  </si>
  <si>
    <t>P000157</t>
  </si>
  <si>
    <t>ET86-5.0/1.3-BLK-30MM</t>
  </si>
  <si>
    <t>1201420648 / 1</t>
  </si>
  <si>
    <t>PP00032-10</t>
  </si>
  <si>
    <t>E39259600</t>
  </si>
  <si>
    <t>P000306</t>
  </si>
  <si>
    <t>ET25_5.7_1.3_BK-33MM</t>
  </si>
  <si>
    <t>PP00032-11</t>
  </si>
  <si>
    <t>E38846200</t>
  </si>
  <si>
    <t>P000250</t>
  </si>
  <si>
    <t>ET25-11.0/2.5-BLK-30MM</t>
  </si>
  <si>
    <t>1201792533 / 1</t>
  </si>
  <si>
    <t>approved</t>
  </si>
  <si>
    <t>PR2025015</t>
  </si>
  <si>
    <t>PP00032-12</t>
  </si>
  <si>
    <t>E35563200</t>
  </si>
  <si>
    <t>P000181</t>
  </si>
  <si>
    <t>ET00-12.7/6.4-BLK-50MM</t>
  </si>
  <si>
    <t>1201795555 / 1</t>
  </si>
  <si>
    <t>PP00032-13</t>
  </si>
  <si>
    <t>E39245900</t>
  </si>
  <si>
    <t>P000314</t>
  </si>
  <si>
    <t>ET87-17.8/4.4-BLK-70MM</t>
  </si>
  <si>
    <t>PP00032-14</t>
  </si>
  <si>
    <t>E39259400</t>
  </si>
  <si>
    <t>P000316</t>
  </si>
  <si>
    <t>ET87-9.0/2.3-BLK-50MM</t>
  </si>
  <si>
    <t>PP00032-15</t>
  </si>
  <si>
    <t>E39045200</t>
  </si>
  <si>
    <t>ET87-17.8/4.4-BLK-50MM</t>
  </si>
  <si>
    <t>PP00031-01</t>
  </si>
  <si>
    <t>AQ Wiring Systems UAB</t>
  </si>
  <si>
    <t>V60116827</t>
  </si>
  <si>
    <t>P000345</t>
  </si>
  <si>
    <t>ET11-24.0/6.0-ORG-SPL</t>
  </si>
  <si>
    <t>PP00030-01</t>
  </si>
  <si>
    <t>Flextronics</t>
  </si>
  <si>
    <t>Costa Rica</t>
  </si>
  <si>
    <t>P000328</t>
  </si>
  <si>
    <t>ET00-4.28/2.4-50mm-BLK</t>
  </si>
  <si>
    <t>PP00033-01</t>
  </si>
  <si>
    <t>Bizlink</t>
  </si>
  <si>
    <t>122G0-003086-01</t>
  </si>
  <si>
    <t>D000052</t>
  </si>
  <si>
    <t>13-Apr-23</t>
  </si>
  <si>
    <t>PP00026-09</t>
  </si>
  <si>
    <t>P000262</t>
  </si>
  <si>
    <t>ET84-3.2/1.0-BLK-35MM</t>
  </si>
  <si>
    <t>05-Apr-23</t>
  </si>
  <si>
    <t>PP00034-01</t>
  </si>
  <si>
    <t>Condumex</t>
  </si>
  <si>
    <t>P000484</t>
  </si>
  <si>
    <t>ET87-11.6/2.5-BLK-45mm</t>
  </si>
  <si>
    <t>PP00034-02</t>
  </si>
  <si>
    <t>P000483</t>
  </si>
  <si>
    <t>ET87-7.6/1.7-BLK-30mm</t>
  </si>
  <si>
    <t>PP00036-01</t>
  </si>
  <si>
    <t>HSTP2476</t>
  </si>
  <si>
    <t>P000493</t>
  </si>
  <si>
    <t>ET00-12.7/6.4-BLK-32MM</t>
  </si>
  <si>
    <t>12-Apr-23</t>
  </si>
  <si>
    <t>GP089416</t>
  </si>
  <si>
    <t>ET22-7.5/1.7-BLK-50MM</t>
  </si>
  <si>
    <t>PP00032-16</t>
  </si>
  <si>
    <t>PP00032-17</t>
  </si>
  <si>
    <t>ET22.5.7/1.3-BLK-50MM</t>
  </si>
  <si>
    <t>PP00032-18</t>
  </si>
  <si>
    <t>PP00032-19</t>
  </si>
  <si>
    <t>E35099000</t>
  </si>
  <si>
    <t>P000155</t>
  </si>
  <si>
    <t>ET21-19.0/6.0-BLK-40MM</t>
  </si>
  <si>
    <t>PP00032-20</t>
  </si>
  <si>
    <t>ET22-18.3/4.5-BLK-40MM</t>
  </si>
  <si>
    <t>PP00032-21</t>
  </si>
  <si>
    <t>ET14-5.7/1.3-BLK-40MM</t>
  </si>
  <si>
    <t>PP00032-22</t>
  </si>
  <si>
    <t>E39583300</t>
  </si>
  <si>
    <t>P000334</t>
  </si>
  <si>
    <t>ET00-1.6/0.8-BLK-110MM</t>
  </si>
  <si>
    <t>21-Apr-23</t>
  </si>
  <si>
    <t>PP00032-23</t>
  </si>
  <si>
    <t>E39583500</t>
  </si>
  <si>
    <t>P000333</t>
  </si>
  <si>
    <t>ET00-6.0/2.0-BLK-30MM</t>
  </si>
  <si>
    <t>PP00032-24</t>
  </si>
  <si>
    <t>E39583400</t>
  </si>
  <si>
    <t>P000332</t>
  </si>
  <si>
    <t>ET00-3.0/1.0-BLK-30MM</t>
  </si>
  <si>
    <t>PP00032-25</t>
  </si>
  <si>
    <t>E40278200</t>
  </si>
  <si>
    <t>P000392</t>
  </si>
  <si>
    <t>ET00-24.0/8.0-BLK-40MM</t>
  </si>
  <si>
    <t>PP00032-26</t>
  </si>
  <si>
    <t>E36449500</t>
  </si>
  <si>
    <t>P000213</t>
  </si>
  <si>
    <t>ET25-11.0/2.5-BLK-65MM</t>
  </si>
  <si>
    <t>PP00029-12</t>
  </si>
  <si>
    <t>ET25-18.3/4.5-BLK-145MM</t>
  </si>
  <si>
    <t>P000325</t>
  </si>
  <si>
    <t>18-Apr-23</t>
  </si>
  <si>
    <t>PP00029-13</t>
  </si>
  <si>
    <t>ET25-18.3/4.5-BLK-180MM</t>
  </si>
  <si>
    <t>P000326</t>
  </si>
  <si>
    <t>PP00029-14</t>
  </si>
  <si>
    <t>ET25-18.3/4.5-BLK-245MM</t>
  </si>
  <si>
    <t>P000327</t>
  </si>
  <si>
    <t>PP00037-01</t>
  </si>
  <si>
    <t>CVG</t>
  </si>
  <si>
    <t>ET100</t>
  </si>
  <si>
    <t>D000019</t>
  </si>
  <si>
    <t>P000475</t>
  </si>
  <si>
    <t>ET100-2.3/0.6-BEIGE-13MM</t>
  </si>
  <si>
    <t>PP00037-02</t>
  </si>
  <si>
    <t>P000237</t>
  </si>
  <si>
    <t>ET87-7.6/1.7-BLK-50MM</t>
  </si>
  <si>
    <t>PP00037-03</t>
  </si>
  <si>
    <t xml:space="preserve"> ET87-9.0/2.3-BLK-50MM</t>
  </si>
  <si>
    <t>PP00028-04</t>
  </si>
  <si>
    <t>E35082000</t>
  </si>
  <si>
    <t>P000152</t>
  </si>
  <si>
    <t>ET14-7.4/1.7-BLK-35mm</t>
  </si>
  <si>
    <t>QR2022067</t>
  </si>
  <si>
    <t>PP00027-17</t>
  </si>
  <si>
    <t>GP090356</t>
  </si>
  <si>
    <t>P100358</t>
  </si>
  <si>
    <t>ET11-14.5/3-BLK-30mm</t>
  </si>
  <si>
    <t>PP00030-02</t>
  </si>
  <si>
    <t>MDS submited</t>
  </si>
  <si>
    <t>USA</t>
  </si>
  <si>
    <t>747--FLX-711977-19.0-0040</t>
  </si>
  <si>
    <t>ET00-19.0/9.5-40mm-BLK</t>
  </si>
  <si>
    <t>PP00027-09</t>
  </si>
  <si>
    <t>GP096745</t>
  </si>
  <si>
    <t>P000200</t>
  </si>
  <si>
    <t>ET11-24.2/5.0-45MM-BLK</t>
  </si>
  <si>
    <t>PP00028-05</t>
  </si>
  <si>
    <t>E39278000</t>
  </si>
  <si>
    <t>P000317</t>
  </si>
  <si>
    <t>ET17-5.1/1.3-BLK-50MM</t>
  </si>
  <si>
    <t>24-Apr-23</t>
  </si>
  <si>
    <t>PP00040-01</t>
  </si>
  <si>
    <t>Brazil</t>
  </si>
  <si>
    <t>GP088847</t>
  </si>
  <si>
    <t>P000027</t>
  </si>
  <si>
    <t>ET11-16.0/4.0-SP-BLK</t>
  </si>
  <si>
    <t>11-Apr-23</t>
  </si>
  <si>
    <t>PP00036-02</t>
  </si>
  <si>
    <t>HSTP2518</t>
  </si>
  <si>
    <t>P000304</t>
  </si>
  <si>
    <t>ET22-11.0/2.4-BLK-25MM</t>
  </si>
  <si>
    <t>09-Aug-23</t>
  </si>
  <si>
    <t>PP00036-03</t>
  </si>
  <si>
    <t>HSTP2519</t>
  </si>
  <si>
    <t>P000569</t>
  </si>
  <si>
    <t>ET22-14.0/3.0-BLK-25MM</t>
  </si>
  <si>
    <t>PP00038-01</t>
  </si>
  <si>
    <t>Prysmian</t>
  </si>
  <si>
    <t>P000480</t>
  </si>
  <si>
    <t>ET25-5.7/1.3-BLK-1220MM</t>
  </si>
  <si>
    <t>1213984825 / 2</t>
  </si>
  <si>
    <t>19-Apr-23</t>
  </si>
  <si>
    <t>PP00038-02</t>
  </si>
  <si>
    <t>P000481</t>
  </si>
  <si>
    <t>ET25-7.4/1.7-BLK-1220MM</t>
  </si>
  <si>
    <t>1213987728 / 2</t>
  </si>
  <si>
    <t>PP00038-03</t>
  </si>
  <si>
    <t>P000482</t>
  </si>
  <si>
    <t>ET25-18.3/4.5-BLK-1220MM</t>
  </si>
  <si>
    <t>1213993069 / 2</t>
  </si>
  <si>
    <t>PP00038-04</t>
  </si>
  <si>
    <t>P000485</t>
  </si>
  <si>
    <t>ET87-17.8/4.4-BLK-1220MM</t>
  </si>
  <si>
    <t>1213995715 / 2</t>
  </si>
  <si>
    <t>PP00034-03</t>
  </si>
  <si>
    <t>EXP02140</t>
  </si>
  <si>
    <t>P000291</t>
  </si>
  <si>
    <t>ET25-5.7/1.3-BLK-65MM</t>
  </si>
  <si>
    <t>PP00039-01</t>
  </si>
  <si>
    <t>Pending to receive IMDS ID from customer</t>
  </si>
  <si>
    <t>Nordex Energy Spain S.A.</t>
  </si>
  <si>
    <t>Spain</t>
  </si>
  <si>
    <t>8030330-00</t>
  </si>
  <si>
    <t>ET89</t>
  </si>
  <si>
    <t>D000077</t>
  </si>
  <si>
    <t>P000393</t>
  </si>
  <si>
    <t>ET89-48.0/16.0-BLK-260MM</t>
  </si>
  <si>
    <t>PP00027-05</t>
  </si>
  <si>
    <t>ET11-16.0/4.0-BLK-SP</t>
  </si>
  <si>
    <t>PP00027-06</t>
  </si>
  <si>
    <t>ET11-24.0/6.0-BLK-SP</t>
  </si>
  <si>
    <t>PP00027-01</t>
  </si>
  <si>
    <t>GP088845</t>
  </si>
  <si>
    <t>P000025</t>
  </si>
  <si>
    <t>ET11-8.0/2.0-SP-BLK</t>
  </si>
  <si>
    <t>PR2025003</t>
  </si>
  <si>
    <t>PP00027-03</t>
  </si>
  <si>
    <t>GP088844</t>
  </si>
  <si>
    <t>P100355</t>
  </si>
  <si>
    <t>ET11-4.0/1.0-SP-BLK</t>
  </si>
  <si>
    <t>ET22-5.7/1.3-BLK-35MM</t>
  </si>
  <si>
    <t>1076160554/2</t>
  </si>
  <si>
    <t>PP00028-06</t>
  </si>
  <si>
    <t>PP00028-07</t>
  </si>
  <si>
    <t>E38926000</t>
  </si>
  <si>
    <t>ET25-7.4/1.7-BLK-50MM</t>
  </si>
  <si>
    <t>PP00027-12</t>
  </si>
  <si>
    <t>GP090353</t>
  </si>
  <si>
    <t>P100365</t>
  </si>
  <si>
    <t>ET22-11.0/2.4-BLK-65MM</t>
  </si>
  <si>
    <t>02-Aug-23</t>
  </si>
  <si>
    <t>PP00028-08</t>
  </si>
  <si>
    <t>ET22-5.7/1.3-BLK-50MM</t>
  </si>
  <si>
    <t>1125717047/2</t>
  </si>
  <si>
    <t>ET14-5.7/1.3-40mm-BLK</t>
  </si>
  <si>
    <t>PP00024-03</t>
  </si>
  <si>
    <t>E39339000</t>
  </si>
  <si>
    <t>P000318</t>
  </si>
  <si>
    <t>ET25-18.3/4.5-37MM-BLK</t>
  </si>
  <si>
    <t>PP00024-04</t>
  </si>
  <si>
    <t>E38848500</t>
  </si>
  <si>
    <t>P000215</t>
  </si>
  <si>
    <t>PP00024-05</t>
  </si>
  <si>
    <t>E38925400</t>
  </si>
  <si>
    <t>P000286</t>
  </si>
  <si>
    <t>ET25-14.0/3.0-BLK-65MM</t>
  </si>
  <si>
    <t>PP00024-06</t>
  </si>
  <si>
    <t>E38923900</t>
  </si>
  <si>
    <t>P000285</t>
  </si>
  <si>
    <t>ET25-14.0/3.0-BLK-45MM</t>
  </si>
  <si>
    <t>PP00024-07</t>
  </si>
  <si>
    <t>E38847600</t>
  </si>
  <si>
    <t>ET25-18.3/4.5-BLK-50MM</t>
  </si>
  <si>
    <t>PP00024-08</t>
  </si>
  <si>
    <t>E38847700</t>
  </si>
  <si>
    <t>P000266</t>
  </si>
  <si>
    <t>ET25-5.7/1.3-BLK-45MM</t>
  </si>
  <si>
    <t>PP00024-09</t>
  </si>
  <si>
    <t>1201418073 / 1</t>
  </si>
  <si>
    <t>PP00024-10</t>
  </si>
  <si>
    <t>E38925800</t>
  </si>
  <si>
    <t>P000289</t>
  </si>
  <si>
    <t>ET25-5.7/1.3-27MM-BLK</t>
  </si>
  <si>
    <t>1214709577 / 1</t>
  </si>
  <si>
    <t>PP00024-11</t>
  </si>
  <si>
    <t>E38923800</t>
  </si>
  <si>
    <t>ET70</t>
  </si>
  <si>
    <t>D000070</t>
  </si>
  <si>
    <t>P000294</t>
  </si>
  <si>
    <t>ET70-1.6/0.8-BLK-SP</t>
  </si>
  <si>
    <t>PP00028-09</t>
  </si>
  <si>
    <t>ET22-11.0/2.4-BLK-50MM</t>
  </si>
  <si>
    <t>1128113642/2</t>
  </si>
  <si>
    <t>08-Aug-23</t>
  </si>
  <si>
    <t>PP00028-10</t>
  </si>
  <si>
    <t>1128113771/2</t>
  </si>
  <si>
    <t>PP00028-11</t>
  </si>
  <si>
    <t>ET22-18.3/4.5-BLK-50MM</t>
  </si>
  <si>
    <t>1125702153/2</t>
  </si>
  <si>
    <t>PP00028-12</t>
  </si>
  <si>
    <t>ET00-9.5/4.8-BLK-50MM</t>
  </si>
  <si>
    <t>1128116908/1</t>
  </si>
  <si>
    <t>PP00028-13</t>
  </si>
  <si>
    <t>ET00-6.4/3.2-BLK-50MM</t>
  </si>
  <si>
    <t>1128115723/1</t>
  </si>
  <si>
    <t>PP00028-14</t>
  </si>
  <si>
    <t>ET00-6.4/3.2-BLK-30MM</t>
  </si>
  <si>
    <t>1128116087/1</t>
  </si>
  <si>
    <t>PP00032-27</t>
  </si>
  <si>
    <t>E39042500</t>
  </si>
  <si>
    <t>P000279</t>
  </si>
  <si>
    <t>ET00-9.0/3.0-BLK-30MM</t>
  </si>
  <si>
    <t>PP00027-18</t>
  </si>
  <si>
    <t>GP092724</t>
  </si>
  <si>
    <t>P000220</t>
  </si>
  <si>
    <t>ET22-18.3/4.5-BLK-75MM</t>
  </si>
  <si>
    <t>PP00028-15</t>
  </si>
  <si>
    <t>28-Aug-23</t>
  </si>
  <si>
    <t>1230226930 / 1</t>
  </si>
  <si>
    <t>PP00024-12</t>
  </si>
  <si>
    <t>E38846700</t>
  </si>
  <si>
    <t>P000251</t>
  </si>
  <si>
    <t>ET25-11.0/2.5-BLK-50MM</t>
  </si>
  <si>
    <t>1230815655 / 1</t>
  </si>
  <si>
    <t>PR2025016</t>
  </si>
  <si>
    <t>PP00024-13</t>
  </si>
  <si>
    <t>PP00028-20</t>
  </si>
  <si>
    <t>1132191059/1</t>
  </si>
  <si>
    <t>PP00028-16</t>
  </si>
  <si>
    <t>E40078000</t>
  </si>
  <si>
    <t>P000381</t>
  </si>
  <si>
    <t>ET87-5.1/1.3-RED-40MM</t>
  </si>
  <si>
    <t>PP00028-17</t>
  </si>
  <si>
    <t>E40075700</t>
  </si>
  <si>
    <t>ET87-17.8/4.4-BLK-40MM</t>
  </si>
  <si>
    <t>PP00028-18</t>
  </si>
  <si>
    <t>E40078100</t>
  </si>
  <si>
    <t>P000383</t>
  </si>
  <si>
    <t>ET87-24.0/6.0-BLK-40MM</t>
  </si>
  <si>
    <t>25-Aug-23</t>
  </si>
  <si>
    <t>PP00028-19</t>
  </si>
  <si>
    <t>E40078200</t>
  </si>
  <si>
    <t>P000384</t>
  </si>
  <si>
    <t>ET87-32.0/8.0-RED-50MM</t>
  </si>
  <si>
    <t>PP00027-19</t>
  </si>
  <si>
    <t>GP093602</t>
  </si>
  <si>
    <t>P000006</t>
  </si>
  <si>
    <t>ET00-12.7/6.4-BLK-SPL</t>
  </si>
  <si>
    <t>PP00028-21</t>
  </si>
  <si>
    <t>ET86-17.7/4.5-40mm-BLK</t>
  </si>
  <si>
    <t>1134426437/1</t>
  </si>
  <si>
    <t>PP00041-01</t>
  </si>
  <si>
    <t>Packard</t>
  </si>
  <si>
    <t>Korea</t>
  </si>
  <si>
    <t>8S3239</t>
  </si>
  <si>
    <t>ET86-17.7/4.5-BLK-40MM</t>
  </si>
  <si>
    <t>PP00041-02</t>
  </si>
  <si>
    <t>8S3240</t>
  </si>
  <si>
    <t>P000363</t>
  </si>
  <si>
    <t>ET86-17.7/4.5-BLK-65MM</t>
  </si>
  <si>
    <t>PP00036-06</t>
  </si>
  <si>
    <t>HSTP1955</t>
  </si>
  <si>
    <t>P000679</t>
  </si>
  <si>
    <t>ET11-4.8/1.6-BLK-SP</t>
  </si>
  <si>
    <t>P000554</t>
  </si>
  <si>
    <t xml:space="preserve">ET86-9.0/2.3-BLK-30MM </t>
  </si>
  <si>
    <t>PP00034-06</t>
  </si>
  <si>
    <t>P000668</t>
  </si>
  <si>
    <t>ET04-6.0/2.0-BLK-55MM</t>
  </si>
  <si>
    <t>10-Aug-23</t>
  </si>
  <si>
    <t>PP00034-07</t>
  </si>
  <si>
    <t>PP00043-01</t>
  </si>
  <si>
    <t>France</t>
  </si>
  <si>
    <t>E42302100</t>
  </si>
  <si>
    <t>ET05</t>
  </si>
  <si>
    <t>D000049</t>
  </si>
  <si>
    <t>P000604</t>
  </si>
  <si>
    <t>ET05-12.7/6.4-BLK-SPL</t>
  </si>
  <si>
    <t>PP00043-02</t>
  </si>
  <si>
    <t>E42304400</t>
  </si>
  <si>
    <t>P000623</t>
  </si>
  <si>
    <t>ET70-19.1/9.5-RED-SPL</t>
  </si>
  <si>
    <t>1261839281 / 2</t>
  </si>
  <si>
    <t>PP00043-18</t>
  </si>
  <si>
    <t>E37016700  20mm</t>
  </si>
  <si>
    <t>P000239</t>
  </si>
  <si>
    <r>
      <t>ET87-17.8/4.4-BLK-</t>
    </r>
    <r>
      <rPr>
        <sz val="10"/>
        <color theme="1"/>
        <rFont val="Calibri"/>
        <family val="2"/>
      </rPr>
      <t>1220MM (P000239 - ET87 20MM)</t>
    </r>
  </si>
  <si>
    <t>PP00043-19</t>
  </si>
  <si>
    <t>E42304200</t>
  </si>
  <si>
    <t>P000662</t>
  </si>
  <si>
    <t>ET70-3.2/1.6-27mm</t>
  </si>
  <si>
    <t>PP00043-03</t>
  </si>
  <si>
    <t>E42301900</t>
  </si>
  <si>
    <t>P000611</t>
  </si>
  <si>
    <t>ET05-6.4/3.2-BLK-20MM</t>
  </si>
  <si>
    <t>PP00043-04</t>
  </si>
  <si>
    <t>E42302300</t>
  </si>
  <si>
    <t>P000609</t>
  </si>
  <si>
    <t>ET05-19.0/9.5-RED-50MM</t>
  </si>
  <si>
    <t>PP00043-05</t>
  </si>
  <si>
    <t>E42303000</t>
  </si>
  <si>
    <t>ET28</t>
  </si>
  <si>
    <t>D000091</t>
  </si>
  <si>
    <t>P000613</t>
  </si>
  <si>
    <t>ET28-11.0/2.4-CLR-50MM</t>
  </si>
  <si>
    <t>PP00043-06</t>
  </si>
  <si>
    <t>E42301800</t>
  </si>
  <si>
    <t>P000607</t>
  </si>
  <si>
    <t>ET05-19.0/9.5-BLK-50MM</t>
  </si>
  <si>
    <t>PP00043-24</t>
  </si>
  <si>
    <t>E37017300</t>
  </si>
  <si>
    <t>P000664</t>
  </si>
  <si>
    <t>ET87-27.9/8.4-BLK-50MM</t>
  </si>
  <si>
    <t>PP00043-07</t>
  </si>
  <si>
    <t>E42303500</t>
  </si>
  <si>
    <t>P000618</t>
  </si>
  <si>
    <t>ET28-5.7/1.3- 50MM</t>
  </si>
  <si>
    <t>PP00043-08</t>
  </si>
  <si>
    <t>E42303600</t>
  </si>
  <si>
    <t>P000620</t>
  </si>
  <si>
    <t>ET28-7.5/1.7- 50MM</t>
  </si>
  <si>
    <t>PP00043-09</t>
  </si>
  <si>
    <t>E42303100</t>
  </si>
  <si>
    <t>P000614</t>
  </si>
  <si>
    <t>ET28-11.0/2.4-CLR-65MM</t>
  </si>
  <si>
    <t>PP00043-10</t>
  </si>
  <si>
    <t>E42303200</t>
  </si>
  <si>
    <t>P000615</t>
  </si>
  <si>
    <t>ET28-14.0/3.0- 65MM</t>
  </si>
  <si>
    <t>PP00043-11</t>
  </si>
  <si>
    <t>E42303900</t>
  </si>
  <si>
    <t>P000625</t>
  </si>
  <si>
    <t>ET70-6.4/3.2-BLK-SPL</t>
  </si>
  <si>
    <t>1261837854 / 2</t>
  </si>
  <si>
    <t>PP00043-12</t>
  </si>
  <si>
    <t>E42302600</t>
  </si>
  <si>
    <t>P000608</t>
  </si>
  <si>
    <t>ET05-19.0/9.5-RED-30MM</t>
  </si>
  <si>
    <t>PP00043-13</t>
  </si>
  <si>
    <t>E42303700</t>
  </si>
  <si>
    <t>P000661</t>
  </si>
  <si>
    <t>ET28-7.5/1.7- 27MM</t>
  </si>
  <si>
    <t>PP00043-14</t>
  </si>
  <si>
    <t>E42302200</t>
  </si>
  <si>
    <t>P000606</t>
  </si>
  <si>
    <t>ET05-12.7/6.4-RED-50MM</t>
  </si>
  <si>
    <t>PP00043-15</t>
  </si>
  <si>
    <t>E42304000</t>
  </si>
  <si>
    <t>P000621</t>
  </si>
  <si>
    <t>ET70-1.2/0.6-BLK-SPL</t>
  </si>
  <si>
    <t>1261838502 / 2</t>
  </si>
  <si>
    <t>PP00043-16</t>
  </si>
  <si>
    <t>E42302700</t>
  </si>
  <si>
    <t>P000612</t>
  </si>
  <si>
    <t>ET05-6.4/3.2-RED-SPL</t>
  </si>
  <si>
    <t>PP00043-17</t>
  </si>
  <si>
    <t>E42304100</t>
  </si>
  <si>
    <t>P000622</t>
  </si>
  <si>
    <t>ET70-19.1/9.5-BLK-SPL</t>
  </si>
  <si>
    <t>1261838612 / 2</t>
  </si>
  <si>
    <t>PP00043-20</t>
  </si>
  <si>
    <t>E42303300</t>
  </si>
  <si>
    <t>P000616</t>
  </si>
  <si>
    <t>ET28-18.3/4.4-30MM</t>
  </si>
  <si>
    <t>PP00043-21</t>
  </si>
  <si>
    <t>E42302900</t>
  </si>
  <si>
    <t>ET81</t>
  </si>
  <si>
    <t>D000094</t>
  </si>
  <si>
    <t>P000660</t>
  </si>
  <si>
    <t>ET81-3.0/1.0-BLK -40MM</t>
  </si>
  <si>
    <t>1262270455 / 2</t>
  </si>
  <si>
    <t>PP00043-22</t>
  </si>
  <si>
    <t>E42304500</t>
  </si>
  <si>
    <t>P000627</t>
  </si>
  <si>
    <t>ET87-11.6/2.5-BLK-1220MM</t>
  </si>
  <si>
    <t>PP00043-23</t>
  </si>
  <si>
    <t>E42304600</t>
  </si>
  <si>
    <t>P000628</t>
  </si>
  <si>
    <t>ET87-7.6/1.7-BLK-1220MM</t>
  </si>
  <si>
    <t>PP00043-25</t>
  </si>
  <si>
    <t>E42302000</t>
  </si>
  <si>
    <t>P000605</t>
  </si>
  <si>
    <t>ET05-12.7/6.4-BLK-50MM</t>
  </si>
  <si>
    <t>PP00043-28</t>
  </si>
  <si>
    <t>E42303800</t>
  </si>
  <si>
    <t>P000667</t>
  </si>
  <si>
    <t>ET28-18.3/4.4-50MM</t>
  </si>
  <si>
    <t>PP00043-29</t>
  </si>
  <si>
    <t>E42304300</t>
  </si>
  <si>
    <t>P000663</t>
  </si>
  <si>
    <t>ET70-6.4/3.2-RED-SPL</t>
  </si>
  <si>
    <t>PP00043-30</t>
  </si>
  <si>
    <t>E40089100</t>
  </si>
  <si>
    <t>P000386</t>
  </si>
  <si>
    <t>ET84-5.7/1.3-BLK-40MM</t>
  </si>
  <si>
    <t>PP00034-08</t>
  </si>
  <si>
    <t>M2038013</t>
  </si>
  <si>
    <t>PP00034-09</t>
  </si>
  <si>
    <t>P000518</t>
  </si>
  <si>
    <t>ET25-9.0/2.3-BLK-65MM</t>
  </si>
  <si>
    <t>1213677083 / 1</t>
  </si>
  <si>
    <t>PP00026-10</t>
  </si>
  <si>
    <t>11-Aug-23</t>
  </si>
  <si>
    <t>18-Aug-23</t>
  </si>
  <si>
    <t>PR2025001</t>
  </si>
  <si>
    <t>PP00026-11</t>
  </si>
  <si>
    <t>P000216</t>
  </si>
  <si>
    <t>ET25-7.4/1.7-BLK-65MM</t>
  </si>
  <si>
    <t>PP00044-01</t>
  </si>
  <si>
    <t>Nursan</t>
  </si>
  <si>
    <t>PP00028-22</t>
  </si>
  <si>
    <t>PP00034-10</t>
  </si>
  <si>
    <t>P000469</t>
  </si>
  <si>
    <t>ET86-7.6/1.7-BLK-43MM</t>
  </si>
  <si>
    <t>1247857307 / 1</t>
  </si>
  <si>
    <t>PP00030-03</t>
  </si>
  <si>
    <t>Approved 2024</t>
  </si>
  <si>
    <t>711798 11.0 050</t>
  </si>
  <si>
    <t>30-Aug-22</t>
  </si>
  <si>
    <t>PP00030-04</t>
  </si>
  <si>
    <t>711798 18.3 040</t>
  </si>
  <si>
    <t>PP00030-06</t>
  </si>
  <si>
    <t>711798 5.7 0050</t>
  </si>
  <si>
    <t>PP00030-07</t>
  </si>
  <si>
    <t>711798 7.5 0050</t>
  </si>
  <si>
    <t>PP00030-05</t>
  </si>
  <si>
    <t>711798 18.3 050</t>
  </si>
  <si>
    <t>1242955812 / 1</t>
  </si>
  <si>
    <t>PP00026-13</t>
  </si>
  <si>
    <t>PP00023-0002</t>
  </si>
  <si>
    <t>11043938A</t>
  </si>
  <si>
    <t>16-Aug-23</t>
  </si>
  <si>
    <t>29-Aug-23</t>
  </si>
  <si>
    <t>PP00027-07</t>
  </si>
  <si>
    <t>GP088848</t>
  </si>
  <si>
    <t>P000029</t>
  </si>
  <si>
    <t>ET11-32.0/8.0-BLK-SPL</t>
  </si>
  <si>
    <t>PP00028-23</t>
  </si>
  <si>
    <t>ET86-7.6/1.7-BLK-30MM</t>
  </si>
  <si>
    <t>PP00026-12</t>
  </si>
  <si>
    <t>P000267</t>
  </si>
  <si>
    <t>ET25-7.4/1.7-BLK-45MM</t>
  </si>
  <si>
    <t>PP00024-14</t>
  </si>
  <si>
    <t>E36449200</t>
  </si>
  <si>
    <t>P000214</t>
  </si>
  <si>
    <t>ET25-7.4/1.7-BLK-27MM</t>
  </si>
  <si>
    <t>PP00045-01</t>
  </si>
  <si>
    <t>Autokabel</t>
  </si>
  <si>
    <t>ET17-27.9/8.4-BLK-50MM</t>
  </si>
  <si>
    <t>PP00045-02</t>
  </si>
  <si>
    <t>P000639</t>
  </si>
  <si>
    <t>ET17-27.9/8.4-RED-50MM</t>
  </si>
  <si>
    <t>PP00027-14</t>
  </si>
  <si>
    <t>GP095936</t>
  </si>
  <si>
    <t>P000315</t>
  </si>
  <si>
    <t>ET21-24.0/8.0-RED-SPL</t>
  </si>
  <si>
    <t>PP00046-01</t>
  </si>
  <si>
    <t>ACS</t>
  </si>
  <si>
    <t>648052100A</t>
  </si>
  <si>
    <t>CYG-135F-2-22-BLK-134</t>
  </si>
  <si>
    <t>PP00046-02</t>
  </si>
  <si>
    <t>SHRINKTUBE15BLACK</t>
  </si>
  <si>
    <t>HT-15-120 : 428</t>
  </si>
  <si>
    <t>PP00027-20</t>
  </si>
  <si>
    <t>GP095704</t>
  </si>
  <si>
    <t>P000245</t>
  </si>
  <si>
    <t>ET21-32.0/8.0-RED-SPL</t>
  </si>
  <si>
    <t>PP00026-14</t>
  </si>
  <si>
    <t>E62401</t>
  </si>
  <si>
    <t>135F-2-3.2-BLK/STRIPES-50 : 624</t>
  </si>
  <si>
    <t>PP00026-15</t>
  </si>
  <si>
    <t>E62404</t>
  </si>
  <si>
    <t>DWT-RO-4-5.75-BLK/STRIPES-65 : 624</t>
  </si>
  <si>
    <t>PP00026-16</t>
  </si>
  <si>
    <t>E62406</t>
  </si>
  <si>
    <t>DWT-RO-4-11.0-BLK/STRIPES-65 : E62406</t>
  </si>
  <si>
    <t>PP00026-17</t>
  </si>
  <si>
    <t>E62407</t>
  </si>
  <si>
    <t>DWT-RO-4-18.3-BLK/STRIPES-65 : 624</t>
  </si>
  <si>
    <t>PP00026-18</t>
  </si>
  <si>
    <t>E62405</t>
  </si>
  <si>
    <t>DWT-RO-4-7.40-BLK/STRIPES-65 : 624</t>
  </si>
  <si>
    <t>PP00026-19</t>
  </si>
  <si>
    <t>E62410</t>
  </si>
  <si>
    <t>DWT-RO-4-5.75-BLK/STRIPES-50 : 624</t>
  </si>
  <si>
    <t>PP00026-20</t>
  </si>
  <si>
    <t>E62411</t>
  </si>
  <si>
    <t>DWT-RO-4-5.75-BLK/STRIPES-45 : 624</t>
  </si>
  <si>
    <t>PP00026-21</t>
  </si>
  <si>
    <t>E62408</t>
  </si>
  <si>
    <t>DWT-RO-4-7.40-BLK/STRIPES-45 : 634</t>
  </si>
  <si>
    <t>PP00026-22</t>
  </si>
  <si>
    <t>E62412</t>
  </si>
  <si>
    <t>DWT-RO-4-7.40-BLK/STRIPES-35 : 624</t>
  </si>
  <si>
    <t>PP00026-23</t>
  </si>
  <si>
    <t>E62409</t>
  </si>
  <si>
    <t xml:space="preserve">	DWT-RO-4-11.0-BLK/STRIPES-45 : 621</t>
  </si>
  <si>
    <t>PP00026-24</t>
  </si>
  <si>
    <t>E62413</t>
  </si>
  <si>
    <t xml:space="preserve">	DWT-RO-4-18.3-RED/STRIPES-50 : 627</t>
  </si>
  <si>
    <t>PP00026-25</t>
  </si>
  <si>
    <t>E62414</t>
  </si>
  <si>
    <t xml:space="preserve">	DWT-RO-4-18.3-RED/STRIPES-65 : 628</t>
  </si>
  <si>
    <t>PP00026-26</t>
  </si>
  <si>
    <t>E62415</t>
  </si>
  <si>
    <t>DWT-RO-4-18.3-RED/STRIPES-150 : 624</t>
  </si>
  <si>
    <t>PP00026-27</t>
  </si>
  <si>
    <t>E62416</t>
  </si>
  <si>
    <t xml:space="preserve">	DWT-RO-4-18.3-RED/STRIPES-33 : 624</t>
  </si>
  <si>
    <t>PP00028-24</t>
  </si>
  <si>
    <t>E34896500</t>
  </si>
  <si>
    <t>P000139</t>
  </si>
  <si>
    <t>ET17-9.0/3.0-BLK-60MM</t>
  </si>
  <si>
    <t>PP00028-25</t>
  </si>
  <si>
    <t>E35764600</t>
  </si>
  <si>
    <t>P000191</t>
  </si>
  <si>
    <t>ET22-7.5/1.7-CLR-35MM</t>
  </si>
  <si>
    <t>PP00028-26</t>
  </si>
  <si>
    <t>PP00034-11</t>
  </si>
  <si>
    <t>P000471</t>
  </si>
  <si>
    <t>ET86-9.0/2.3-BLK-40MM</t>
  </si>
  <si>
    <t>PP00034-12</t>
  </si>
  <si>
    <t>PP00034-13</t>
  </si>
  <si>
    <t>P000365</t>
  </si>
  <si>
    <t>ET84-5.7/1.3-BLK-50MM</t>
  </si>
  <si>
    <t>PP00034-14</t>
  </si>
  <si>
    <t>PP00034-15</t>
  </si>
  <si>
    <t>P000452</t>
  </si>
  <si>
    <t>ET84-5.7/1.3-CLR-50MM</t>
  </si>
  <si>
    <t>PP00034-16</t>
  </si>
  <si>
    <t>P000366</t>
  </si>
  <si>
    <t>ET84-7.4/1.7-BLK-35MM</t>
  </si>
  <si>
    <t>PP00034-17</t>
  </si>
  <si>
    <t>P000450</t>
  </si>
  <si>
    <t>ET84-10.8/2.4-BLK-40MM</t>
  </si>
  <si>
    <t>PP00028-35</t>
  </si>
  <si>
    <t>E16718500</t>
  </si>
  <si>
    <t>E74926</t>
  </si>
  <si>
    <t>CYG-DWT-RO-5.75-50</t>
  </si>
  <si>
    <t>PP00028-38</t>
  </si>
  <si>
    <t>ET17-17.8/4.4-BLK-20mm</t>
  </si>
  <si>
    <t>PP00028-39</t>
  </si>
  <si>
    <t>ET17-27.9/8.4-BLK-50mm</t>
  </si>
  <si>
    <t>PP00028-27</t>
  </si>
  <si>
    <t>ET17-11.6/2.5-BLK-50MM</t>
  </si>
  <si>
    <t>PP00028-28</t>
  </si>
  <si>
    <t>P000573</t>
  </si>
  <si>
    <t>ET00-9.0/3.0-BLK-20MM</t>
  </si>
  <si>
    <t>PP00031-02</t>
  </si>
  <si>
    <t>V20808528</t>
  </si>
  <si>
    <t>ET11-12.0/3.0-BLK-SPL</t>
  </si>
  <si>
    <t>1272489899 / 2</t>
  </si>
  <si>
    <t>PP00031-03</t>
  </si>
  <si>
    <t>V20808527</t>
  </si>
  <si>
    <t>ET11-16.0/4.0-BLK-SPL</t>
  </si>
  <si>
    <t>1272490406 / 2</t>
  </si>
  <si>
    <t>PP00031-04</t>
  </si>
  <si>
    <t>V20808526</t>
  </si>
  <si>
    <t>ET11-24.0/6.0-BLK-SPL</t>
  </si>
  <si>
    <t>1272771037 / 2</t>
  </si>
  <si>
    <t>PP00031-05</t>
  </si>
  <si>
    <t>V20808524</t>
  </si>
  <si>
    <t>1272776427 / 2</t>
  </si>
  <si>
    <t>PP00031-06</t>
  </si>
  <si>
    <t>V20808530</t>
  </si>
  <si>
    <t>ET11-4.0/1.0-BLK-SPL</t>
  </si>
  <si>
    <t>1272778364 / 2</t>
  </si>
  <si>
    <t>PP00031-07</t>
  </si>
  <si>
    <t>V20784162</t>
  </si>
  <si>
    <t>ET11-48.0/13.0-BLK-SPL</t>
  </si>
  <si>
    <t>1272782894 / 2</t>
  </si>
  <si>
    <t>PP00031-08</t>
  </si>
  <si>
    <t>V20808529</t>
  </si>
  <si>
    <t>ET11-8.0/2.0-BLK-SPL</t>
  </si>
  <si>
    <t>1272490285 / 2</t>
  </si>
  <si>
    <t>PP00028-29</t>
  </si>
  <si>
    <t>ET22-11.0/2.4-BLK-30MM</t>
  </si>
  <si>
    <t>ET22-7.5/1.7-Blk-35mm</t>
  </si>
  <si>
    <t>1076153443 / 2</t>
  </si>
  <si>
    <t>PP00028-30</t>
  </si>
  <si>
    <t>1256732125 / 1</t>
  </si>
  <si>
    <t>PP00025-01</t>
  </si>
  <si>
    <t>PP00025-02</t>
  </si>
  <si>
    <t>PP00025-04</t>
  </si>
  <si>
    <t>ZRM-98845-11</t>
  </si>
  <si>
    <t>ET00-3.2/1.6-BLK-50MM</t>
  </si>
  <si>
    <t>PR2025004</t>
  </si>
  <si>
    <t>PP00025-03</t>
  </si>
  <si>
    <t>ZRM-982319-16</t>
  </si>
  <si>
    <t>P000075</t>
  </si>
  <si>
    <t>ET04-5.7/2.4-30MM-BLK</t>
  </si>
  <si>
    <t>PP00028-31</t>
  </si>
  <si>
    <t>PP00034-18</t>
  </si>
  <si>
    <t>ET86-7.6/1.7--BLK-65MM</t>
  </si>
  <si>
    <t>PP00028-32</t>
  </si>
  <si>
    <t>PR2025008</t>
  </si>
  <si>
    <t>PP00028-33</t>
  </si>
  <si>
    <t>1171884614 / 2</t>
  </si>
  <si>
    <t>PP00034-34</t>
  </si>
  <si>
    <t>ET82</t>
  </si>
  <si>
    <t>D000068</t>
  </si>
  <si>
    <t>P000348</t>
  </si>
  <si>
    <t>ET82-7.4/1.7-BLK-65mm</t>
  </si>
  <si>
    <t>1346860713 / 1</t>
  </si>
  <si>
    <t>requested</t>
  </si>
  <si>
    <t>PP00048-01</t>
  </si>
  <si>
    <t>Kostal</t>
  </si>
  <si>
    <t>ET40</t>
  </si>
  <si>
    <t>D000033</t>
  </si>
  <si>
    <t>P000752</t>
  </si>
  <si>
    <t>ET40-6.1/0.5-BLK-SPL</t>
  </si>
  <si>
    <t>1279757461 / 3</t>
  </si>
  <si>
    <t>PP00048-02</t>
  </si>
  <si>
    <t>P000753</t>
  </si>
  <si>
    <t>ET40-9.1/0.6-BLK-SPL</t>
  </si>
  <si>
    <t>1280175389 / 3</t>
  </si>
  <si>
    <t>PP00048-03</t>
  </si>
  <si>
    <t>P000751</t>
  </si>
  <si>
    <t>ET40-7.1/0.6-BLK-SPL</t>
  </si>
  <si>
    <t>1280184796 / 3</t>
  </si>
  <si>
    <t>PP00036-07</t>
  </si>
  <si>
    <t>BRAIDP179</t>
  </si>
  <si>
    <t>ET34</t>
  </si>
  <si>
    <t>D000079</t>
  </si>
  <si>
    <t>P000754</t>
  </si>
  <si>
    <t>ET34-5-BLK-SPL</t>
  </si>
  <si>
    <t>PP00028-01</t>
  </si>
  <si>
    <t>E34749700</t>
  </si>
  <si>
    <t>P000133</t>
  </si>
  <si>
    <t>ET15-12.0/3.0-50MM-BLK</t>
  </si>
  <si>
    <t>PP00036-08</t>
  </si>
  <si>
    <t>BRAIDP187</t>
  </si>
  <si>
    <t>P000755</t>
  </si>
  <si>
    <t>ET34-19-BLK-SPL</t>
  </si>
  <si>
    <t>PP00036-09</t>
  </si>
  <si>
    <t>BRAIDP182</t>
  </si>
  <si>
    <t>P000756</t>
  </si>
  <si>
    <t>ET34-32-BLK-SPL</t>
  </si>
  <si>
    <t>PP00036-10</t>
  </si>
  <si>
    <t>BRAIDP184</t>
  </si>
  <si>
    <t>P000757</t>
  </si>
  <si>
    <t>ET34-10-BLK-SPL</t>
  </si>
  <si>
    <t>PP00049-01</t>
  </si>
  <si>
    <t>Leman</t>
  </si>
  <si>
    <t>ET73 4.3/2.0</t>
  </si>
  <si>
    <t>ET73</t>
  </si>
  <si>
    <t>D000083</t>
  </si>
  <si>
    <t>P000762</t>
  </si>
  <si>
    <t>ET73-4.3/2.0-25MM-BLK</t>
  </si>
  <si>
    <t>1280190446 / 1</t>
  </si>
  <si>
    <t>PP00034-19</t>
  </si>
  <si>
    <t>PP00034-20</t>
  </si>
  <si>
    <t>P000458</t>
  </si>
  <si>
    <t>ET86-11.5/2.5-BLK-27mm</t>
  </si>
  <si>
    <t>PP00034-21</t>
  </si>
  <si>
    <t>P000350</t>
  </si>
  <si>
    <t>ET82-11/2.4-BLK-65mm</t>
  </si>
  <si>
    <t>06</t>
  </si>
  <si>
    <t xml:space="preserve">ET86-5.0/1.3-BLK-65MM </t>
  </si>
  <si>
    <t>PP00036-11</t>
  </si>
  <si>
    <t>BRAIDP181</t>
  </si>
  <si>
    <t>P000742</t>
  </si>
  <si>
    <t>ET34-25.0-BLK</t>
  </si>
  <si>
    <t>PP00036-12</t>
  </si>
  <si>
    <t>BRAIDP185</t>
  </si>
  <si>
    <t>P000737</t>
  </si>
  <si>
    <t>ET34-13.0-BLK</t>
  </si>
  <si>
    <t>PP00036-13</t>
  </si>
  <si>
    <t>BRAIDP186</t>
  </si>
  <si>
    <t>P000739</t>
  </si>
  <si>
    <t>ET34-16.0-BLK</t>
  </si>
  <si>
    <t>PP00036-14</t>
  </si>
  <si>
    <t>BRAIDP188</t>
  </si>
  <si>
    <t>P000743</t>
  </si>
  <si>
    <t>ET34-25.0-ORG</t>
  </si>
  <si>
    <t>PP00036-15</t>
  </si>
  <si>
    <t>BRAIDP190</t>
  </si>
  <si>
    <t>P000740</t>
  </si>
  <si>
    <t>ET34-16.0-ORG</t>
  </si>
  <si>
    <t>PP00036-16</t>
  </si>
  <si>
    <t>BRAIDP191</t>
  </si>
  <si>
    <t>P000736</t>
  </si>
  <si>
    <t>ET34-8.0-ORG</t>
  </si>
  <si>
    <t>PP00036-17</t>
  </si>
  <si>
    <t>BRAIDP192</t>
  </si>
  <si>
    <t>P000738</t>
  </si>
  <si>
    <t>ET34-13.0-ORG</t>
  </si>
  <si>
    <t>PP00036-18</t>
  </si>
  <si>
    <t>BRAIDP193</t>
  </si>
  <si>
    <t>P000741</t>
  </si>
  <si>
    <t>ET34-19.0-ORG</t>
  </si>
  <si>
    <t>PP00036-19</t>
  </si>
  <si>
    <t>BRAIDP194</t>
  </si>
  <si>
    <t>P000744</t>
  </si>
  <si>
    <t>ET34-32.0-ORG</t>
  </si>
  <si>
    <t>PP00036-20</t>
  </si>
  <si>
    <t>BRAIDP195</t>
  </si>
  <si>
    <t>P000745</t>
  </si>
  <si>
    <t>ET34-38.0-ORG</t>
  </si>
  <si>
    <t>PP00036-21</t>
  </si>
  <si>
    <t>BRAIDP183</t>
  </si>
  <si>
    <t>P000735</t>
  </si>
  <si>
    <t>ET34-8.0-BLK</t>
  </si>
  <si>
    <t>PP00041-03</t>
  </si>
  <si>
    <t>8S3247</t>
  </si>
  <si>
    <t>P000463</t>
  </si>
  <si>
    <t xml:space="preserve">ET86-17.7/4.5-BLK-42MM </t>
  </si>
  <si>
    <t>PP00028-36</t>
  </si>
  <si>
    <t>PP00028-37</t>
  </si>
  <si>
    <t>PP00047-01</t>
  </si>
  <si>
    <t>MSSL</t>
  </si>
  <si>
    <t>DWT-RO-1-50MM</t>
  </si>
  <si>
    <t>DWT(RO)-4-5.75-BLK-50 : 749</t>
  </si>
  <si>
    <t>PP00047-02</t>
  </si>
  <si>
    <t>CYG-135F-1/2-50-BLK</t>
  </si>
  <si>
    <t>E58346</t>
  </si>
  <si>
    <t>135F-2-12.7-BLK-50 : 583</t>
  </si>
  <si>
    <t>PP00047-03</t>
  </si>
  <si>
    <t>CYG-MT(HX)-3X-S3-6.4-9</t>
  </si>
  <si>
    <t>E58350</t>
  </si>
  <si>
    <t>CYG-MT(HX)-3X-S3-6.4-9-19mm : 583</t>
  </si>
  <si>
    <t>P000459</t>
  </si>
  <si>
    <t xml:space="preserve">ET86-11.5/2.5-BLK-40MM </t>
  </si>
  <si>
    <t>PP00028-40</t>
  </si>
  <si>
    <t>PP00028-41</t>
  </si>
  <si>
    <t>ET86-17.7/4.5-BLK-50MM</t>
  </si>
  <si>
    <t>PP00028-42</t>
  </si>
  <si>
    <t>PP00028-43</t>
  </si>
  <si>
    <t>PP00028-44</t>
  </si>
  <si>
    <t>PP00028-45</t>
  </si>
  <si>
    <t>PP00027-21</t>
  </si>
  <si>
    <t>GP101808</t>
  </si>
  <si>
    <t>P000246</t>
  </si>
  <si>
    <t>ET21-40.0/13.0-BLK-SPL</t>
  </si>
  <si>
    <t>PP00027-22</t>
  </si>
  <si>
    <t>GP088849</t>
  </si>
  <si>
    <t>P100269</t>
  </si>
  <si>
    <t>ET11-52.0/13.0-BLK-50MM</t>
  </si>
  <si>
    <t>PP00034-22</t>
  </si>
  <si>
    <t>E47415</t>
  </si>
  <si>
    <t>DWT(RO)-4-5.75-BLK-65 : 474</t>
  </si>
  <si>
    <t>PP00028-46</t>
  </si>
  <si>
    <t>PP00030-08</t>
  </si>
  <si>
    <t>711977 19.0 40</t>
  </si>
  <si>
    <t>P000257</t>
  </si>
  <si>
    <t>ET00-19.0/9.5-BLK-SPL</t>
  </si>
  <si>
    <t>PP00027-23</t>
  </si>
  <si>
    <t>GP101858</t>
  </si>
  <si>
    <t>P000683</t>
  </si>
  <si>
    <t>ET21-12.0/4.0-RED-40MM</t>
  </si>
  <si>
    <t>PP00027-24</t>
  </si>
  <si>
    <t>GP103952</t>
  </si>
  <si>
    <t>P000777</t>
  </si>
  <si>
    <t>ET21-40.0/13.0-RED-SPL</t>
  </si>
  <si>
    <t>PP00050-01</t>
  </si>
  <si>
    <t>Ficosa</t>
  </si>
  <si>
    <t>SP0029136</t>
  </si>
  <si>
    <t>P000760</t>
  </si>
  <si>
    <t>ET77-3.4/1.5-BLK-20MM</t>
  </si>
  <si>
    <t>1287011450 / 1</t>
  </si>
  <si>
    <t>PP00050-02</t>
  </si>
  <si>
    <t>SP0029138</t>
  </si>
  <si>
    <t>P000758</t>
  </si>
  <si>
    <t>ET77-3.4/1.5-BLK-50MM</t>
  </si>
  <si>
    <t>1287011655 / 1</t>
  </si>
  <si>
    <t>PP00050-03</t>
  </si>
  <si>
    <t>SP0029139</t>
  </si>
  <si>
    <t>P000759</t>
  </si>
  <si>
    <t>ET77-4.8/2.3-BLK-20MM</t>
  </si>
  <si>
    <t>1287011745 / 1</t>
  </si>
  <si>
    <t>PP00050-04</t>
  </si>
  <si>
    <t>SP0029137</t>
  </si>
  <si>
    <t>P000761</t>
  </si>
  <si>
    <t>ET77-2.4/1.0-BLK-35MM</t>
  </si>
  <si>
    <t>1287011765 / 1</t>
  </si>
  <si>
    <t>PP00034-23</t>
  </si>
  <si>
    <t>PP00034-24</t>
  </si>
  <si>
    <t>PP00026-28</t>
  </si>
  <si>
    <t>ET25-5.7/1.3-BLK-33MM</t>
  </si>
  <si>
    <t>PP00026-29</t>
  </si>
  <si>
    <t>P000307</t>
  </si>
  <si>
    <t>ET25-7.4/1.7-BLK-33MM</t>
  </si>
  <si>
    <t>PP00026-30</t>
  </si>
  <si>
    <t>P000371</t>
  </si>
  <si>
    <t>ET70-3.2/1.6-BLK-50MM</t>
  </si>
  <si>
    <t>1296427840/2</t>
  </si>
  <si>
    <t>PP00026-31</t>
  </si>
  <si>
    <t>P000372</t>
  </si>
  <si>
    <t>ET70-4.8/2.4-BLK-50MM</t>
  </si>
  <si>
    <t>1296432194/2</t>
  </si>
  <si>
    <t>PP00026-32</t>
  </si>
  <si>
    <t>P000374</t>
  </si>
  <si>
    <t>ET70-9.5/4.8-BLK-50MM</t>
  </si>
  <si>
    <t>1296433053/2</t>
  </si>
  <si>
    <t>PP00047-04</t>
  </si>
  <si>
    <t>DWT-RO-3-40MM</t>
  </si>
  <si>
    <t>E58313</t>
  </si>
  <si>
    <t>DWT(RO)-4-11.60-BLK-40 : 583</t>
  </si>
  <si>
    <t>PP00028-47</t>
  </si>
  <si>
    <t>E34515700</t>
  </si>
  <si>
    <t>P000137</t>
  </si>
  <si>
    <t>ET22-7.5/1.7-15MM-BLK</t>
  </si>
  <si>
    <t>PP00026-33</t>
  </si>
  <si>
    <t>P000379</t>
  </si>
  <si>
    <t>ET70-19.1/9.5-BLK-45MM</t>
  </si>
  <si>
    <t>1296077656/2</t>
  </si>
  <si>
    <t>PP00060-34</t>
  </si>
  <si>
    <t>Hesto</t>
  </si>
  <si>
    <t>7094177530 Doc ID 2581097</t>
  </si>
  <si>
    <t>ET70-9.5/4.8-BLK-50mm</t>
  </si>
  <si>
    <t>1408097197 / 1</t>
  </si>
  <si>
    <t>Requested</t>
  </si>
  <si>
    <t>PP00026-35</t>
  </si>
  <si>
    <t>P000264</t>
  </si>
  <si>
    <t>1296081665/2</t>
  </si>
  <si>
    <t>PP00028-48</t>
  </si>
  <si>
    <t>1230868873 / 1</t>
  </si>
  <si>
    <t>PP00030-09</t>
  </si>
  <si>
    <t>707708 3 030</t>
  </si>
  <si>
    <t>E53117</t>
  </si>
  <si>
    <t>DWT(RO)-4-11.00-BLK-30 : 531</t>
  </si>
  <si>
    <t>PP00034-26</t>
  </si>
  <si>
    <t>V0</t>
  </si>
  <si>
    <t>E47408</t>
  </si>
  <si>
    <t>DWT(FR)-4-7.62-BLK-43 : 474</t>
  </si>
  <si>
    <t>P000353</t>
  </si>
  <si>
    <t>ET25-5.7/1.3R-BLK-65MM</t>
  </si>
  <si>
    <t>P000602</t>
  </si>
  <si>
    <t>ET86-17.7/4.5-BLK-35MM</t>
  </si>
  <si>
    <t>P000352</t>
  </si>
  <si>
    <t>ET25-4.0/1.0R-BLK-65MM</t>
  </si>
  <si>
    <t>P000451</t>
  </si>
  <si>
    <t>ET84-3.2/1.0-BLK-25MM</t>
  </si>
  <si>
    <t xml:space="preserve">ET84-5.7/1.3-BLK-50MM </t>
  </si>
  <si>
    <t>P000338</t>
  </si>
  <si>
    <t>ET25-7.4/1.7R-BLK-65mm</t>
  </si>
  <si>
    <t>PPAP pending to send to customer</t>
  </si>
  <si>
    <t>P000362</t>
  </si>
  <si>
    <t>ET86-9.0/2.3-BLK-65mm</t>
  </si>
  <si>
    <t>ET86-11.5/2.5-BLK-65mm</t>
  </si>
  <si>
    <t>P000407</t>
  </si>
  <si>
    <t>ET25-11.0/2.4R-BLK-40mm</t>
  </si>
  <si>
    <t>P000339</t>
  </si>
  <si>
    <t>ET25-11.0/2.4R-BLK-50mm</t>
  </si>
  <si>
    <t>PP00024-15</t>
  </si>
  <si>
    <t>PP00028-50</t>
  </si>
  <si>
    <t>PP00028-51</t>
  </si>
  <si>
    <t>PP00028-52</t>
  </si>
  <si>
    <t>PP00028-53</t>
  </si>
  <si>
    <t>PP00028-54</t>
  </si>
  <si>
    <t>PP00028-55</t>
  </si>
  <si>
    <t>PP00028-65</t>
  </si>
  <si>
    <t>E25727200</t>
  </si>
  <si>
    <t>E74937</t>
  </si>
  <si>
    <t>DWT(RO) 4:1 SHRINK RATIO, 32.0 ID, RED, 50MM LENGTH</t>
  </si>
  <si>
    <t>PP00028-66</t>
  </si>
  <si>
    <t>E09481400</t>
  </si>
  <si>
    <t>E74921</t>
  </si>
  <si>
    <t>CYG-DWT(VTS),4:1 SHRINK RATIO, 7.62 ID,BLK,50MM LENGTH</t>
  </si>
  <si>
    <t>PP00028-67</t>
  </si>
  <si>
    <t>E25072100</t>
  </si>
  <si>
    <t>A0</t>
  </si>
  <si>
    <t>E74935</t>
  </si>
  <si>
    <t>CB-HFT 4:1 SHRINK RATIO, 18.0 ID, BLK</t>
  </si>
  <si>
    <t>PP00028-56</t>
  </si>
  <si>
    <t>ET15-6.0/1.3-BLK-50MM</t>
  </si>
  <si>
    <t>PP00028-58</t>
  </si>
  <si>
    <t>PP00028-59</t>
  </si>
  <si>
    <t>PP00028-60</t>
  </si>
  <si>
    <t>PP00028-61</t>
  </si>
  <si>
    <t>PP00028-62</t>
  </si>
  <si>
    <t>PP00028-63</t>
  </si>
  <si>
    <t>PP00028-64</t>
  </si>
  <si>
    <t>PP00028-68</t>
  </si>
  <si>
    <t>PP00028-69</t>
  </si>
  <si>
    <t>1210982220 / 1</t>
  </si>
  <si>
    <t>PP00028-72</t>
  </si>
  <si>
    <t>E45017100</t>
  </si>
  <si>
    <t>P000775</t>
  </si>
  <si>
    <t>ET87-9.0/2.3-60MM-BLK</t>
  </si>
  <si>
    <t>PP00033-02</t>
  </si>
  <si>
    <t>120G0-001763-01</t>
  </si>
  <si>
    <t>E10523</t>
  </si>
  <si>
    <t>CB-101, 2:1 SHRINK RATIO, 1.5 ID, CLR</t>
  </si>
  <si>
    <t>PP00024-16</t>
  </si>
  <si>
    <t>E38847900</t>
  </si>
  <si>
    <t>P000265</t>
  </si>
  <si>
    <t>ET25-5.7/1.3-BLK-50MM</t>
  </si>
  <si>
    <t>PP00028-70</t>
  </si>
  <si>
    <t>E34428000</t>
  </si>
  <si>
    <t>P000108</t>
  </si>
  <si>
    <t>ET22-4.0/1.0-30MM-BLK</t>
  </si>
  <si>
    <t>PP00030-10</t>
  </si>
  <si>
    <t>711798 4.0 0050</t>
  </si>
  <si>
    <t>PP00030-11</t>
  </si>
  <si>
    <t>711798 11.0 030</t>
  </si>
  <si>
    <t>PP00030-12</t>
  </si>
  <si>
    <t>711798 7.5 0030</t>
  </si>
  <si>
    <t>PP00030-13</t>
  </si>
  <si>
    <t>711798 5.7 0030</t>
  </si>
  <si>
    <t>05</t>
  </si>
  <si>
    <t>P000359</t>
  </si>
  <si>
    <t>ET25-5.7/1.3R-BLK-15mm</t>
  </si>
  <si>
    <t>PP00053-02</t>
  </si>
  <si>
    <t>P000298</t>
  </si>
  <si>
    <t>ET22-5.7/1.3-BLK-45mm</t>
  </si>
  <si>
    <t>PP00053-03</t>
  </si>
  <si>
    <t>P000299</t>
  </si>
  <si>
    <t>ET22-7.5/1.7-BLK-45mm</t>
  </si>
  <si>
    <t>PP00053-04</t>
  </si>
  <si>
    <t>P000301</t>
  </si>
  <si>
    <t>ET22-5.7/1.3-BLK-25mm</t>
  </si>
  <si>
    <t>PP00053-05</t>
  </si>
  <si>
    <t>P000302</t>
  </si>
  <si>
    <t>ET22-11.0/2.4-BLK-75mm</t>
  </si>
  <si>
    <t>PP00053-06</t>
  </si>
  <si>
    <t>P000303</t>
  </si>
  <si>
    <t>ET22-7.5/1.7-BLK-25mm</t>
  </si>
  <si>
    <t>PP00053-07</t>
  </si>
  <si>
    <t>PP00053-01</t>
  </si>
  <si>
    <t>P000300</t>
  </si>
  <si>
    <t>ET22-11.0/2.4-BLK-45mm</t>
  </si>
  <si>
    <t>PP00026-36</t>
  </si>
  <si>
    <t>E62428</t>
  </si>
  <si>
    <t>DWT-RO-4-18.3-Blk/Stripes-45mm</t>
  </si>
  <si>
    <t>1184725334 / 2</t>
  </si>
  <si>
    <t>PP00026-37</t>
  </si>
  <si>
    <t>E62426</t>
  </si>
  <si>
    <t>DWT-RO-4-18.3-Blk/Stripes-33mm</t>
  </si>
  <si>
    <t>1184722921 / 2</t>
  </si>
  <si>
    <t>PP00028-73</t>
  </si>
  <si>
    <t>E39044000</t>
  </si>
  <si>
    <t>PP00027-25</t>
  </si>
  <si>
    <t>PP00028-74</t>
  </si>
  <si>
    <t>E39041600</t>
  </si>
  <si>
    <t>P000255</t>
  </si>
  <si>
    <t>ET25-11.0/2.5-BLK-35mm</t>
  </si>
  <si>
    <t>P000420</t>
  </si>
  <si>
    <t>ET25-7.4/1.7R-BLK-40mm</t>
  </si>
  <si>
    <t>PP00030-14</t>
  </si>
  <si>
    <t>IMDS submited to customer</t>
  </si>
  <si>
    <t>714041 11.0 050</t>
  </si>
  <si>
    <t>P000236</t>
  </si>
  <si>
    <t>ET87-11.6/2.5-BLK-50MM</t>
  </si>
  <si>
    <t>IMDS requested</t>
  </si>
  <si>
    <t>PP00034-27</t>
  </si>
  <si>
    <t>PP00054-01</t>
  </si>
  <si>
    <t>WeWire</t>
  </si>
  <si>
    <t>P000341</t>
  </si>
  <si>
    <t>ET25-7.4/1.7R-BLK-30mm</t>
  </si>
  <si>
    <t>1313260542 / 1</t>
  </si>
  <si>
    <t>PP00045-03</t>
  </si>
  <si>
    <t>P000238</t>
  </si>
  <si>
    <t>ET87-27.9/8.4-BLK-50mm</t>
  </si>
  <si>
    <t>PP00045-04</t>
  </si>
  <si>
    <t>P000779</t>
  </si>
  <si>
    <t>ET87-27.9/8.4-RED-50mm</t>
  </si>
  <si>
    <t>PR2025013</t>
  </si>
  <si>
    <t>PP00026-38</t>
  </si>
  <si>
    <t>E62427</t>
  </si>
  <si>
    <t>DWT-RO-4-11.0-Blk/Stripes-33mm</t>
  </si>
  <si>
    <t>PP00026-39</t>
  </si>
  <si>
    <t>E62429</t>
  </si>
  <si>
    <t xml:space="preserve">	DWT-RO-4-5.75-Blk/Stripes-33mm</t>
  </si>
  <si>
    <t>ET86-9.0/2.3-BLK-40mm</t>
  </si>
  <si>
    <t>PP00034-28</t>
  </si>
  <si>
    <t>E47418</t>
  </si>
  <si>
    <t>DWT(FR)-4-17.78-BLK-42 : 474</t>
  </si>
  <si>
    <t>09</t>
  </si>
  <si>
    <t>PP00027-26</t>
  </si>
  <si>
    <t>GP102838</t>
  </si>
  <si>
    <t>P000691</t>
  </si>
  <si>
    <t>ET11-24.0/6.0-RED-SPL</t>
  </si>
  <si>
    <t>PP00028-75</t>
  </si>
  <si>
    <t>PP00053-08</t>
  </si>
  <si>
    <t>P000369</t>
  </si>
  <si>
    <t>ET84-18.3/4.4-BLK-35mm</t>
  </si>
  <si>
    <t>1341663938 / 1</t>
  </si>
  <si>
    <t>PP00053-09</t>
  </si>
  <si>
    <t>P000837</t>
  </si>
  <si>
    <t>ET00-12.0/3.0-GRAY-SPL</t>
  </si>
  <si>
    <t>1339545765 / 1</t>
  </si>
  <si>
    <t>PP00028-49</t>
  </si>
  <si>
    <t>PP00028-57</t>
  </si>
  <si>
    <t>PP00028-71</t>
  </si>
  <si>
    <t>PP00028-76</t>
  </si>
  <si>
    <t>E34934500</t>
  </si>
  <si>
    <t>P000135</t>
  </si>
  <si>
    <t>ET15-18.3/4.4-BLK-50mm</t>
  </si>
  <si>
    <t>PP00028-77</t>
  </si>
  <si>
    <t>E43971800</t>
  </si>
  <si>
    <t>P000727</t>
  </si>
  <si>
    <t>ET15-4.0/1.0-BLK-50mm</t>
  </si>
  <si>
    <t>PP00028-78</t>
  </si>
  <si>
    <t>E43660000</t>
  </si>
  <si>
    <t>P000346</t>
  </si>
  <si>
    <t>ET82-4.0/1.0-BLK-65mm</t>
  </si>
  <si>
    <t>1326975674/2</t>
  </si>
  <si>
    <t>PP00028-79</t>
  </si>
  <si>
    <t>E43445600</t>
  </si>
  <si>
    <t>P000347</t>
  </si>
  <si>
    <t>ET82-5.7/1.3-BLK-65mm</t>
  </si>
  <si>
    <t>PP00028-80</t>
  </si>
  <si>
    <t>E43445500</t>
  </si>
  <si>
    <t>ET82-11.0/2.4-BLK-65mm</t>
  </si>
  <si>
    <t>PP00027-27</t>
  </si>
  <si>
    <t>GP109573</t>
  </si>
  <si>
    <t>P000716</t>
  </si>
  <si>
    <t>ET11-52.0/13.0-BLK-SPL</t>
  </si>
  <si>
    <t>1328900679 / 1</t>
  </si>
  <si>
    <t>PP00026-40</t>
  </si>
  <si>
    <t>P000538</t>
  </si>
  <si>
    <t>ET25-32.0/8.0-BLK-80mm</t>
  </si>
  <si>
    <t>PP00034-29</t>
  </si>
  <si>
    <t>P000440</t>
  </si>
  <si>
    <t>ET82-5.7/1.3-BLK-50mm</t>
  </si>
  <si>
    <t>PP00034-30</t>
  </si>
  <si>
    <t>P000205</t>
  </si>
  <si>
    <t>ET25-24.0/6.0-BLK-50mm</t>
  </si>
  <si>
    <t>PP00047-05</t>
  </si>
  <si>
    <t>PP00047-06</t>
  </si>
  <si>
    <t>P000764</t>
  </si>
  <si>
    <t>ET87-24.0/6.0-BLK-1220MM</t>
  </si>
  <si>
    <t>PP00047-07</t>
  </si>
  <si>
    <t>P000766</t>
  </si>
  <si>
    <t>ET87-24.0/6.0-RED-1220MM</t>
  </si>
  <si>
    <t>PP00047-08</t>
  </si>
  <si>
    <t>P000770</t>
  </si>
  <si>
    <t>ET87-17.8/4.4-RED-1220MM</t>
  </si>
  <si>
    <t>PP00047-09</t>
  </si>
  <si>
    <t>P000772</t>
  </si>
  <si>
    <t>ET87-32.0/8.0-RED-1220MM</t>
  </si>
  <si>
    <t>PP00047-10</t>
  </si>
  <si>
    <t>CYG-135F-6/2-50-BLK</t>
  </si>
  <si>
    <t>E58343</t>
  </si>
  <si>
    <t>PP00055-01</t>
  </si>
  <si>
    <t>Yazaki</t>
  </si>
  <si>
    <t>Philippines</t>
  </si>
  <si>
    <t>7094175030 Document ID 2578671</t>
  </si>
  <si>
    <t>P000634</t>
  </si>
  <si>
    <t>ET25-4.0/1.0R-BLK-50mm</t>
  </si>
  <si>
    <t>1336179295 / 3</t>
  </si>
  <si>
    <t>PP00055-02</t>
  </si>
  <si>
    <t>7094175130 Document ID 2578971</t>
  </si>
  <si>
    <t>ET25-4.0/1.0R-BLK-65mm</t>
  </si>
  <si>
    <t>1336179526 / 3</t>
  </si>
  <si>
    <t>PP00055-03</t>
  </si>
  <si>
    <t>7094171830 Document ID 2549661</t>
  </si>
  <si>
    <t>ET25-5.7/1.3R-BLK-50mm</t>
  </si>
  <si>
    <t>1337022007 / 3</t>
  </si>
  <si>
    <t>PR2025009</t>
  </si>
  <si>
    <t>PP00055-04</t>
  </si>
  <si>
    <t>7094175230 Docuemt ID 2549661</t>
  </si>
  <si>
    <t>ET25-5.7/1.3R-BLK-65mm</t>
  </si>
  <si>
    <t>1337022299 / 3</t>
  </si>
  <si>
    <t>PP00055-05</t>
  </si>
  <si>
    <t>7094171430 Document ID 2508069</t>
  </si>
  <si>
    <t>P000342</t>
  </si>
  <si>
    <t>ET25-7.4/1.7R-BLK-50mm</t>
  </si>
  <si>
    <t>1337022427 / 3</t>
  </si>
  <si>
    <t>PP00055-06</t>
  </si>
  <si>
    <t>7094175330 Document ID 2508069</t>
  </si>
  <si>
    <t>1337022952 / 3</t>
  </si>
  <si>
    <t>PP00055-07</t>
  </si>
  <si>
    <t>7094175430 Document ID 2579977</t>
  </si>
  <si>
    <t>P000424</t>
  </si>
  <si>
    <t>ET25-9.0/2.3R-BLK-50mm</t>
  </si>
  <si>
    <t>1337023491 / 3</t>
  </si>
  <si>
    <t>PP00055-08</t>
  </si>
  <si>
    <t>7094175530 Document ID 2579977</t>
  </si>
  <si>
    <t>P000354</t>
  </si>
  <si>
    <t>ET25-9.0/2.3R-BLK-65mm</t>
  </si>
  <si>
    <t>1337023603 / 3</t>
  </si>
  <si>
    <t>PP00055-09</t>
  </si>
  <si>
    <t>7094171330 Document ID 2554077</t>
  </si>
  <si>
    <t>1337024036 / 3</t>
  </si>
  <si>
    <t>PP00055-10</t>
  </si>
  <si>
    <t>7094175630 Document ID 2554077</t>
  </si>
  <si>
    <t>P000340</t>
  </si>
  <si>
    <t>ET25-11.0/2.4R-BLK-65mm</t>
  </si>
  <si>
    <t>1337024090 / 3</t>
  </si>
  <si>
    <t>PP00055-11</t>
  </si>
  <si>
    <t>7094175730 Document ID 2579948</t>
  </si>
  <si>
    <t>P200304</t>
  </si>
  <si>
    <t>ET25-14.0/3.0R-BLK-50mm</t>
  </si>
  <si>
    <t>1337024150 / 3</t>
  </si>
  <si>
    <t>PP00055-12</t>
  </si>
  <si>
    <t>7094175830 Document ID 2579948</t>
  </si>
  <si>
    <t>P200305</t>
  </si>
  <si>
    <t>ET25-14.0/3.0R-BLK-65mm</t>
  </si>
  <si>
    <t>1337024257 / 3</t>
  </si>
  <si>
    <t>PP00055-13</t>
  </si>
  <si>
    <t>7094175930 Document ID 2560330</t>
  </si>
  <si>
    <t>P000415</t>
  </si>
  <si>
    <t>ET25-18.3/4.5R-BLK-50mm</t>
  </si>
  <si>
    <t>1337421163 / 3</t>
  </si>
  <si>
    <t>PP00055-14</t>
  </si>
  <si>
    <t>7094176030 Document ID 2560330</t>
  </si>
  <si>
    <t>P000355</t>
  </si>
  <si>
    <t>ET25-18.3/4.5R-BLK-65mm</t>
  </si>
  <si>
    <t>1337421477 / 3</t>
  </si>
  <si>
    <t>PP00055-15</t>
  </si>
  <si>
    <t>7094174030 Document ID 2597520</t>
  </si>
  <si>
    <t>ET84-3.2/1.0-BLK-35mm</t>
  </si>
  <si>
    <t>1337421571 / 3</t>
  </si>
  <si>
    <t>PP00055-16</t>
  </si>
  <si>
    <t>7094174130 Document ID 2597520</t>
  </si>
  <si>
    <t>ET84-3.2/1.0-BLK-50mm</t>
  </si>
  <si>
    <t>1337421755 / 3</t>
  </si>
  <si>
    <t>PP00055-17</t>
  </si>
  <si>
    <t>7094174230 Document ID 2575290</t>
  </si>
  <si>
    <t>P000677</t>
  </si>
  <si>
    <t>ET84-5.7/1.3-BLK-35mm</t>
  </si>
  <si>
    <t>1337422988 / 3</t>
  </si>
  <si>
    <t>PP00055-18</t>
  </si>
  <si>
    <t>7094174330 Document ID 2575290</t>
  </si>
  <si>
    <t>ET84-5.7/1.3-BLK-50mm</t>
  </si>
  <si>
    <t>1337423036 / 3</t>
  </si>
  <si>
    <t>PP00055-19</t>
  </si>
  <si>
    <t>7094174430 Document ID 2597551</t>
  </si>
  <si>
    <t>ET84-7.4/1.7-BLK-35mm</t>
  </si>
  <si>
    <t>1337423492 / 3</t>
  </si>
  <si>
    <t>PP00055-20</t>
  </si>
  <si>
    <t>7094174530 Document ID 2597551</t>
  </si>
  <si>
    <t>P000454</t>
  </si>
  <si>
    <t>ET84-7.4/1.7-BLK-50mm</t>
  </si>
  <si>
    <t>1337423803 / 3</t>
  </si>
  <si>
    <t>PP00055-21</t>
  </si>
  <si>
    <t>7094192030 Document ID 2598912</t>
  </si>
  <si>
    <t>P000389</t>
  </si>
  <si>
    <t>ET84-10.8/2.4-BLK-35mm</t>
  </si>
  <si>
    <t>1349949793 / 1</t>
  </si>
  <si>
    <t>PP00055-22</t>
  </si>
  <si>
    <t>7094174730 Document ID 2598912</t>
  </si>
  <si>
    <t>P000368</t>
  </si>
  <si>
    <t>ET84-10.8/2.4-BLK-50mm</t>
  </si>
  <si>
    <t>1337424298 / 3</t>
  </si>
  <si>
    <t>PP00055-23</t>
  </si>
  <si>
    <t>7094174830 Document ID 2598924</t>
  </si>
  <si>
    <t>1337424348 / 3</t>
  </si>
  <si>
    <t>PP00055-24</t>
  </si>
  <si>
    <t>7094174930 Document ID 2598924</t>
  </si>
  <si>
    <t>P000588</t>
  </si>
  <si>
    <t>ET84-18.3/4.4-BLK-50mm</t>
  </si>
  <si>
    <t>1337424421 / 3</t>
  </si>
  <si>
    <t>PP00055-25</t>
  </si>
  <si>
    <t>7094177030 Document ID 2580052</t>
  </si>
  <si>
    <t>P000818</t>
  </si>
  <si>
    <t>ET70-1.2/0.6-BLK-50mm</t>
  </si>
  <si>
    <t>1337034562 / 1</t>
  </si>
  <si>
    <t>PP00055-26</t>
  </si>
  <si>
    <t>7094177130 Document ID 2580056</t>
  </si>
  <si>
    <t>P000708</t>
  </si>
  <si>
    <t>ET70-1.6/0.8-BLK-50mm</t>
  </si>
  <si>
    <t>1335044010 / 2</t>
  </si>
  <si>
    <t>PP00055-27</t>
  </si>
  <si>
    <t>7094177230 Document ID 2580084</t>
  </si>
  <si>
    <t>ET70-3.2/1.6-BLK-50mm</t>
  </si>
  <si>
    <t>1337034879 / 1</t>
  </si>
  <si>
    <t>PP00055-28</t>
  </si>
  <si>
    <t>ET70-4.8/2.4-BLK-50mm</t>
  </si>
  <si>
    <t>1337034942 / 1</t>
  </si>
  <si>
    <t>PP00055-29</t>
  </si>
  <si>
    <t>7094177430 Document ID 2580094</t>
  </si>
  <si>
    <t>P000373</t>
  </si>
  <si>
    <t>ET70-6.4/3.2-BLK-50mm</t>
  </si>
  <si>
    <t>1337034991 / 1</t>
  </si>
  <si>
    <t>PP00055-30</t>
  </si>
  <si>
    <t>7094177530 Document ID 2581097</t>
  </si>
  <si>
    <t>1337035166 / 1</t>
  </si>
  <si>
    <t>PP00055-31</t>
  </si>
  <si>
    <t>7094177630 Document ID 2580064</t>
  </si>
  <si>
    <t>P000376</t>
  </si>
  <si>
    <t>ET70-12.7/6.4-BLK-50mm</t>
  </si>
  <si>
    <t>1337036024 / 1</t>
  </si>
  <si>
    <t>PP00055-32</t>
  </si>
  <si>
    <t>7094177730 Document ID 2580069</t>
  </si>
  <si>
    <t>P000378</t>
  </si>
  <si>
    <t>ET70-19.1/9.5-BLK-50mm</t>
  </si>
  <si>
    <t>1337421218 / 1</t>
  </si>
  <si>
    <t xml:space="preserve">Lear </t>
  </si>
  <si>
    <t>PP00028-81</t>
  </si>
  <si>
    <t>E20504600</t>
  </si>
  <si>
    <t>E74925</t>
  </si>
  <si>
    <t>DWT-RO(4005)-24.0-BLK-40MM</t>
  </si>
  <si>
    <t>PP00028-82</t>
  </si>
  <si>
    <t>E14168900</t>
  </si>
  <si>
    <t>E74903</t>
  </si>
  <si>
    <t>DWT-RO(4005)-7.4-BLK-65MM</t>
  </si>
  <si>
    <t>PP00028-83</t>
  </si>
  <si>
    <t>E28493000</t>
  </si>
  <si>
    <t>E74936</t>
  </si>
  <si>
    <t>DWT-RO(4005)-14.0-RED-50MM</t>
  </si>
  <si>
    <t>PP00034-31</t>
  </si>
  <si>
    <t>EXP02150</t>
  </si>
  <si>
    <t>P000572</t>
  </si>
  <si>
    <t>ET86-5.0/1.3-BLK-35mm</t>
  </si>
  <si>
    <t>PP00034-32</t>
  </si>
  <si>
    <t>E47419</t>
  </si>
  <si>
    <t>DWT(FR)-5.08-BLK-35 : 474</t>
  </si>
  <si>
    <t>PP00026-41</t>
  </si>
  <si>
    <t>P000804</t>
  </si>
  <si>
    <t>PP00056-01</t>
  </si>
  <si>
    <t>Sensiense</t>
  </si>
  <si>
    <t>ET35</t>
  </si>
  <si>
    <t>D000111</t>
  </si>
  <si>
    <t>P000939</t>
  </si>
  <si>
    <t>ET35-3.5-BLK-805mm</t>
  </si>
  <si>
    <t>1340272127 / 1</t>
  </si>
  <si>
    <t>PP00056-02</t>
  </si>
  <si>
    <t>P000940</t>
  </si>
  <si>
    <t>ET35-3.5-BLK-912mm</t>
  </si>
  <si>
    <t>1340277016 / 1</t>
  </si>
  <si>
    <t>PP00056-03</t>
  </si>
  <si>
    <t>P000938</t>
  </si>
  <si>
    <t>ET35-3.5-BLK-734mm</t>
  </si>
  <si>
    <t>1340277239 / 1</t>
  </si>
  <si>
    <t>PP00056-04</t>
  </si>
  <si>
    <t>P000936</t>
  </si>
  <si>
    <t>ET35-3.5-BLK-607mm</t>
  </si>
  <si>
    <t>1340277319 / 1</t>
  </si>
  <si>
    <t>PP00056-05</t>
  </si>
  <si>
    <t>P000937</t>
  </si>
  <si>
    <t>ET35-3.5-BLK-645mm</t>
  </si>
  <si>
    <t>1340277530 / 1</t>
  </si>
  <si>
    <t>PP00056-06</t>
  </si>
  <si>
    <t>P000941</t>
  </si>
  <si>
    <t>ET35-6.0-BLK-890mm</t>
  </si>
  <si>
    <t>1340277608 / 1</t>
  </si>
  <si>
    <t>PP00057-01</t>
  </si>
  <si>
    <t>Intercable</t>
  </si>
  <si>
    <t>1019882-01</t>
  </si>
  <si>
    <t>P000800</t>
  </si>
  <si>
    <t>ET00-18.0/6.0-BLK-SPL no printing</t>
  </si>
  <si>
    <t>1340253050 / 1</t>
  </si>
  <si>
    <t>PP00058-01</t>
  </si>
  <si>
    <t>COFAT</t>
  </si>
  <si>
    <t>8M01760168</t>
  </si>
  <si>
    <t>ET01</t>
  </si>
  <si>
    <t>D000003</t>
  </si>
  <si>
    <t>P000929</t>
  </si>
  <si>
    <t>ET01-6.4/3.2-BLK-SPL no printing</t>
  </si>
  <si>
    <t>1375318365 / 1</t>
  </si>
  <si>
    <t>PP00058-02</t>
  </si>
  <si>
    <t>8M01760167</t>
  </si>
  <si>
    <t>P000928</t>
  </si>
  <si>
    <t>ET01-4.8/2.4-BLK-SPL no printing</t>
  </si>
  <si>
    <t>1375318996 / 1</t>
  </si>
  <si>
    <t>PP00058-03</t>
  </si>
  <si>
    <t>ET11-32.0/8.0-BLK-SPL no printing</t>
  </si>
  <si>
    <t>1375319526 / 1</t>
  </si>
  <si>
    <t>PP00058-04</t>
  </si>
  <si>
    <t>ET11-24.0/6.0-BLK-SPL no printing</t>
  </si>
  <si>
    <t>1376102724 / 1</t>
  </si>
  <si>
    <t>PP00058-05</t>
  </si>
  <si>
    <t>ET11-4.0/1.0-BLK-SPL no printing</t>
  </si>
  <si>
    <t>1376103257 / 1</t>
  </si>
  <si>
    <t>PP00058-06</t>
  </si>
  <si>
    <t>ET11-16.0/4.0-BLK-SPL no printing</t>
  </si>
  <si>
    <t>1376103568 / 1</t>
  </si>
  <si>
    <t>PP00028-84</t>
  </si>
  <si>
    <t>E47272500</t>
  </si>
  <si>
    <t>P000841</t>
  </si>
  <si>
    <t>ET87-14.0/3.0-RED-50MM</t>
  </si>
  <si>
    <t>1341636538 / 1</t>
  </si>
  <si>
    <t>PP00034-33</t>
  </si>
  <si>
    <t>E47405</t>
  </si>
  <si>
    <t>DWT(FR)-4-7.62-BLK-65</t>
  </si>
  <si>
    <t>PP00059-01</t>
  </si>
  <si>
    <t>1151962414 / 1</t>
  </si>
  <si>
    <t>rejected</t>
  </si>
  <si>
    <t>PP00059-06</t>
  </si>
  <si>
    <t>1134426525 / 1</t>
  </si>
  <si>
    <t>PP00059-08</t>
  </si>
  <si>
    <t>1194209127 / 1</t>
  </si>
  <si>
    <t>1188884297 / 2</t>
  </si>
  <si>
    <t>1188884584 / 1</t>
  </si>
  <si>
    <t>1189263052 / 1</t>
  </si>
  <si>
    <t>1189263411 / 1</t>
  </si>
  <si>
    <t>1189992264 / 1</t>
  </si>
  <si>
    <t>1197575741 / 1</t>
  </si>
  <si>
    <t>PP00026-42</t>
  </si>
  <si>
    <t>E62402</t>
  </si>
  <si>
    <t xml:space="preserve">	135F-2-4.8-BLK/STRIPES-50</t>
  </si>
  <si>
    <t>PP00026-43</t>
  </si>
  <si>
    <t>E62403</t>
  </si>
  <si>
    <t>135F-2-6.4-BLK/STRIPES-50</t>
  </si>
  <si>
    <t>PP00030-17</t>
  </si>
  <si>
    <t>707708-4-0100</t>
  </si>
  <si>
    <t>E51215</t>
  </si>
  <si>
    <t>DWT(RO)-4-45.00-BLK-102</t>
  </si>
  <si>
    <t>PP00036-23</t>
  </si>
  <si>
    <t>PPAP received, pending to review files</t>
  </si>
  <si>
    <t>SLVP3092</t>
  </si>
  <si>
    <t>ET63</t>
  </si>
  <si>
    <t>D000095</t>
  </si>
  <si>
    <t>P000950</t>
  </si>
  <si>
    <t>ET63-6.0/1.00-BLU-SPL</t>
  </si>
  <si>
    <t>PP00028-85</t>
  </si>
  <si>
    <t>E43971900</t>
  </si>
  <si>
    <t>P000728</t>
  </si>
  <si>
    <t>ET15-9.0/2.3-BLK-50mm</t>
  </si>
  <si>
    <t>PP00030-16</t>
  </si>
  <si>
    <t>PP00047-11</t>
  </si>
  <si>
    <t>IMDS sent to customer</t>
  </si>
  <si>
    <t>DWT-RO-1-25</t>
  </si>
  <si>
    <t>E58331</t>
  </si>
  <si>
    <t>DWT(RO)-4-5.75-BLK-25</t>
  </si>
  <si>
    <t>PP00060-10</t>
  </si>
  <si>
    <t>7094183130 Doc ID 2549663</t>
  </si>
  <si>
    <t>ET00-3.2/1.6-BLK-50mm</t>
  </si>
  <si>
    <t>1363395129 / 1</t>
  </si>
  <si>
    <t>PP00060-11</t>
  </si>
  <si>
    <t>7094183230 Doc ID 2549655</t>
  </si>
  <si>
    <t>ET00-4.8/2.4-BLK-50mm</t>
  </si>
  <si>
    <t>1368915686 / 1</t>
  </si>
  <si>
    <t>PP00060-12</t>
  </si>
  <si>
    <t>7094183330 Doc ID 2549657</t>
  </si>
  <si>
    <t>P000951</t>
  </si>
  <si>
    <t>ET00-1.6/0.8-BLK-50mm</t>
  </si>
  <si>
    <t>1368925860 / 1</t>
  </si>
  <si>
    <t>PP00060-13</t>
  </si>
  <si>
    <t>7094183430 Doc ID 2549665</t>
  </si>
  <si>
    <t>ET00-9.5/4.8-BLK-50mm</t>
  </si>
  <si>
    <t>1372859424 / 1</t>
  </si>
  <si>
    <t>PP00060-01</t>
  </si>
  <si>
    <t>ESLU5T-1A263-AA (CCC41A) DIA 5.72mm L:50mm B</t>
  </si>
  <si>
    <t>PP00060-02</t>
  </si>
  <si>
    <t xml:space="preserve">ESLU5T-1A263-AA (CCC41A) DIA 7.44mm L:50mm B </t>
  </si>
  <si>
    <t>PP00060-03</t>
  </si>
  <si>
    <t xml:space="preserve">ESLU5T-1A263-AA (CCC41A) DIA 10.85mm L:50mm B </t>
  </si>
  <si>
    <t>PP00060-04</t>
  </si>
  <si>
    <t xml:space="preserve">ESLU5T-1A263-AA (CCC41A) DIA 17.78mm L:50mm B </t>
  </si>
  <si>
    <t>PP00060-05</t>
  </si>
  <si>
    <t xml:space="preserve">ESLU5T-1A263-AA (ACC41A) DIA 5.72mm L:30mm B </t>
  </si>
  <si>
    <t>P000336</t>
  </si>
  <si>
    <t>ET25-5.7/1.3R-BLK-30mm</t>
  </si>
  <si>
    <t>PP00060-06</t>
  </si>
  <si>
    <t xml:space="preserve">ESLU5T-1A263-AA (ACC41A) DIA 7.44mm L:30mm B </t>
  </si>
  <si>
    <t>PP00060-07</t>
  </si>
  <si>
    <t xml:space="preserve">ESLU5T-1A263-AA (ACC41A) DIA 10.85mm L:30mm B </t>
  </si>
  <si>
    <t>P000360</t>
  </si>
  <si>
    <t>ET25-11.0/2.4R-BLK-30mm</t>
  </si>
  <si>
    <t>PP00060-08</t>
  </si>
  <si>
    <t xml:space="preserve">ESLU5T-1A263-AA (ACC41A) DIA 17.78mm L:30mm B </t>
  </si>
  <si>
    <t>P000358</t>
  </si>
  <si>
    <t>ET25-18.3/4.5R-BLK-30mm</t>
  </si>
  <si>
    <t>PP00060-09</t>
  </si>
  <si>
    <t xml:space="preserve">ESLU5T-1A263-AA (CCC41B) DIA 5.72mm L:50mm B </t>
  </si>
  <si>
    <t>1132191059 / 1</t>
  </si>
  <si>
    <t>PP00018-34</t>
  </si>
  <si>
    <t>ET86-7.6/1.7-65MM-BLK</t>
  </si>
  <si>
    <t>PP00025-05</t>
  </si>
  <si>
    <t>P000840</t>
  </si>
  <si>
    <t>ET04-3.2/1.6-BLK-40mm</t>
  </si>
  <si>
    <t>1339266626 / 1</t>
  </si>
  <si>
    <t>1134426437 / 1</t>
  </si>
  <si>
    <t>PP00061-01</t>
  </si>
  <si>
    <t>PP00034-35</t>
  </si>
  <si>
    <t>E47413</t>
  </si>
  <si>
    <t>DWT(VTO)CAP-4-7.40-BLK-35</t>
  </si>
  <si>
    <t>P000649</t>
  </si>
  <si>
    <t>ET25-4.0/1.0R-CLR-100mm</t>
  </si>
  <si>
    <t>PP00060-31</t>
  </si>
  <si>
    <t>7094183030 Doc ID 2549667</t>
  </si>
  <si>
    <t>P000953</t>
  </si>
  <si>
    <t>ET00-1.6/0.8-BLK-90MM</t>
  </si>
  <si>
    <t>1372860412 / 1</t>
  </si>
  <si>
    <t>PP00061-06</t>
  </si>
  <si>
    <t>P200318</t>
  </si>
  <si>
    <t>ET25-11.0/2.4R-BLK-35mm</t>
  </si>
  <si>
    <t>1368894275 / 2</t>
  </si>
  <si>
    <t>PP00061-07</t>
  </si>
  <si>
    <t>7094174930 Document ID 2673163</t>
  </si>
  <si>
    <t>1395553124 / 1</t>
  </si>
  <si>
    <t>PP00061-08</t>
  </si>
  <si>
    <t>7094174530 Document ID 2673193</t>
  </si>
  <si>
    <t>1395553289 / 1</t>
  </si>
  <si>
    <t>PP00061-09</t>
  </si>
  <si>
    <t>7094174730 Document ID 2673191</t>
  </si>
  <si>
    <t>1395553508 / 1</t>
  </si>
  <si>
    <t>PP00053-10</t>
  </si>
  <si>
    <t>P000733</t>
  </si>
  <si>
    <t>ET22-7.5/1.7-CLR-1220mm</t>
  </si>
  <si>
    <t>1348354161 / 1</t>
  </si>
  <si>
    <t>1229358998 / 1</t>
  </si>
  <si>
    <t>1231239934 / 1</t>
  </si>
  <si>
    <t>1202139545 / 1</t>
  </si>
  <si>
    <t>PP00026-44</t>
  </si>
  <si>
    <t>P000268</t>
  </si>
  <si>
    <t>ET25-7.4/1.7-BLK-35mm w/ Stripes</t>
  </si>
  <si>
    <t>1349379444 / 1</t>
  </si>
  <si>
    <t>Initial submission</t>
  </si>
  <si>
    <t>PP00054-02</t>
  </si>
  <si>
    <t>1349381392 / 1</t>
  </si>
  <si>
    <t>PP00054-03</t>
  </si>
  <si>
    <t>1349381994 / 1</t>
  </si>
  <si>
    <t>1230870895 / 1</t>
  </si>
  <si>
    <t>PP00060-14</t>
  </si>
  <si>
    <t>7094193150 Doc ID 2568153</t>
  </si>
  <si>
    <t>P000977</t>
  </si>
  <si>
    <t>ET87-11.6/2.5-RED-50MM</t>
  </si>
  <si>
    <t>1364677600 / 1</t>
  </si>
  <si>
    <t>PP00060-15</t>
  </si>
  <si>
    <t>7094193050 Doc ID 2568165</t>
  </si>
  <si>
    <t>P000978</t>
  </si>
  <si>
    <t>ET87-11.6/2.5-RED-100MM</t>
  </si>
  <si>
    <t>1364684164 / 1</t>
  </si>
  <si>
    <t>1347277790 / 1</t>
  </si>
  <si>
    <t>PP00034-36</t>
  </si>
  <si>
    <t>1349383511 / 1</t>
  </si>
  <si>
    <t>1229357372 / 1</t>
  </si>
  <si>
    <t>1256829549 / 1</t>
  </si>
  <si>
    <t>PP00056-07</t>
  </si>
  <si>
    <t>P000497</t>
  </si>
  <si>
    <t>ET00-6.4/3.2-BLK-25mm</t>
  </si>
  <si>
    <t>1356223993 / 1</t>
  </si>
  <si>
    <t>PP00029-16</t>
  </si>
  <si>
    <t>ET25-18.3/4.5-BLK-110mm</t>
  </si>
  <si>
    <t>P000693</t>
  </si>
  <si>
    <t>1358903619 / 1</t>
  </si>
  <si>
    <t>1257752602 / 1</t>
  </si>
  <si>
    <t>ET25-24.0/6.0-BLK-60mm</t>
  </si>
  <si>
    <t>PP00060-27</t>
  </si>
  <si>
    <t>7094171630 Doc ID 2595162</t>
  </si>
  <si>
    <t>P000987</t>
  </si>
  <si>
    <t>ET77-4.8/2.3-BLK-15mm</t>
  </si>
  <si>
    <t>1372860646 / 1</t>
  </si>
  <si>
    <t>PP00060-21</t>
  </si>
  <si>
    <t>7094193230 Doc ID 2595148</t>
  </si>
  <si>
    <t>1371131587 / 1</t>
  </si>
  <si>
    <t>PP00060-20</t>
  </si>
  <si>
    <t>7094193330 Doc ID 2595172</t>
  </si>
  <si>
    <t>P000184</t>
  </si>
  <si>
    <t>ET87-5.1/1.3-BLK-50mm</t>
  </si>
  <si>
    <t>1371133372 / 1</t>
  </si>
  <si>
    <t>PP00060-17</t>
  </si>
  <si>
    <t>7094193430 Doc ID 2595174</t>
  </si>
  <si>
    <t>ET87-17.8/4.4-BLK-50mm</t>
  </si>
  <si>
    <t>1371134175 / 1</t>
  </si>
  <si>
    <t>PP00060-16</t>
  </si>
  <si>
    <t>7094193530 Doc ID 2595176</t>
  </si>
  <si>
    <t>ET87-11.6/2.5-BLK-50mm</t>
  </si>
  <si>
    <t>1371152137 / 1</t>
  </si>
  <si>
    <t>PP00060-18</t>
  </si>
  <si>
    <t>7094193630 Doc ID 2595186</t>
  </si>
  <si>
    <t>ET87-7.6/1.7-BLK-50mm</t>
  </si>
  <si>
    <t>1371156536 / 1</t>
  </si>
  <si>
    <t>PP00060-23</t>
  </si>
  <si>
    <t>7094198030 Doc ID 2595182</t>
  </si>
  <si>
    <t>ET97</t>
  </si>
  <si>
    <t>D000104</t>
  </si>
  <si>
    <t>P000981</t>
  </si>
  <si>
    <t>ET97-4.8/2.4-BLK-50mm</t>
  </si>
  <si>
    <t>1371533988 / 1</t>
  </si>
  <si>
    <t>PP00060-26</t>
  </si>
  <si>
    <t>7094198130 Doc ID 2595164</t>
  </si>
  <si>
    <t>P000980</t>
  </si>
  <si>
    <t>ET97-3.2/1.6-BLK-50mm</t>
  </si>
  <si>
    <t>1371536350 / 2</t>
  </si>
  <si>
    <t>PP00060-30</t>
  </si>
  <si>
    <t>7094198230 Doc ID 2595144</t>
  </si>
  <si>
    <t>P000982</t>
  </si>
  <si>
    <t>ET97-1.6/0.8-BLK-50mm</t>
  </si>
  <si>
    <t>1371536973 / 1</t>
  </si>
  <si>
    <t>PP00060-22</t>
  </si>
  <si>
    <t>7094198330 Doc ID 2595184</t>
  </si>
  <si>
    <t>P000983</t>
  </si>
  <si>
    <t>ET97-9.5/4.8-BLK-50mm</t>
  </si>
  <si>
    <t>1371537793 / 1</t>
  </si>
  <si>
    <t>PP00060-25</t>
  </si>
  <si>
    <t>7094198430 Doc ID 2595166</t>
  </si>
  <si>
    <t>P000984</t>
  </si>
  <si>
    <t>ET97-1.6/0.8-BLK-90mm</t>
  </si>
  <si>
    <t>1371538066 / 1</t>
  </si>
  <si>
    <t>PP00060-24</t>
  </si>
  <si>
    <t>7094199030 Doc ID 2595170</t>
  </si>
  <si>
    <t>P000986</t>
  </si>
  <si>
    <t>ET87-5.1/1.3-BLK-30mm</t>
  </si>
  <si>
    <t>1371160029 / 1</t>
  </si>
  <si>
    <t>PP00060-19</t>
  </si>
  <si>
    <t>7094199130 Doc ID 2595168</t>
  </si>
  <si>
    <t>P000771</t>
  </si>
  <si>
    <t>ET87-17.8/4.4-BLK-30mm</t>
  </si>
  <si>
    <t>1371530541 / 1</t>
  </si>
  <si>
    <t>PP00060-29</t>
  </si>
  <si>
    <t>7094199230 Doc ID 2595150</t>
  </si>
  <si>
    <t>P000972</t>
  </si>
  <si>
    <t>ET87-11.6/2.5-BLK-30mm</t>
  </si>
  <si>
    <t>1371531328 / 1</t>
  </si>
  <si>
    <t>PP00060-28</t>
  </si>
  <si>
    <t>7094199330 Doc ID 2595152</t>
  </si>
  <si>
    <t>P000985</t>
  </si>
  <si>
    <t>ET87-17.8/4.4-BLK-35mm</t>
  </si>
  <si>
    <t>1371532686 / 1</t>
  </si>
  <si>
    <t>1229370708 / 1</t>
  </si>
  <si>
    <t>1149845539 / 1</t>
  </si>
  <si>
    <t>PP00065-01</t>
  </si>
  <si>
    <t>Brose</t>
  </si>
  <si>
    <t>G8G1W5-100</t>
  </si>
  <si>
    <t>ET98</t>
  </si>
  <si>
    <t>D000119</t>
  </si>
  <si>
    <t>P001006</t>
  </si>
  <si>
    <t>ET98-34.5/23-36/24-22.5/15-BLK</t>
  </si>
  <si>
    <t>1358902386 / 4</t>
  </si>
  <si>
    <t>PP00064-01</t>
  </si>
  <si>
    <t>Voltaira</t>
  </si>
  <si>
    <t>P000933</t>
  </si>
  <si>
    <t>ET22-24.0/6.0-RED-1220mm</t>
  </si>
  <si>
    <t>1368512388 / 2</t>
  </si>
  <si>
    <t>PP00064-02</t>
  </si>
  <si>
    <t>P000934</t>
  </si>
  <si>
    <t>ET22-11.0/2.4-RED-1220mm</t>
  </si>
  <si>
    <t>1368512637 / 2</t>
  </si>
  <si>
    <t>PP00061-10</t>
  </si>
  <si>
    <t>PPAP ready to be sent to customer</t>
  </si>
  <si>
    <t>1429982031 / 1</t>
  </si>
  <si>
    <t>**</t>
  </si>
  <si>
    <t>1193337616 / 1</t>
  </si>
  <si>
    <t>1149845452 / 1</t>
  </si>
  <si>
    <t>1160610621 / 1</t>
  </si>
  <si>
    <t>1160623765 / 1</t>
  </si>
  <si>
    <t>1076160554 / 2</t>
  </si>
  <si>
    <t>PP00032-28</t>
  </si>
  <si>
    <t>PP00032-29</t>
  </si>
  <si>
    <t>PP00032-30</t>
  </si>
  <si>
    <t>ET25-5.7/1.3-BLK-27MM</t>
  </si>
  <si>
    <t>PP00034-37</t>
  </si>
  <si>
    <t>1374507593 / 1</t>
  </si>
  <si>
    <t>PP00034-38</t>
  </si>
  <si>
    <t>1374510364 / 1</t>
  </si>
  <si>
    <t>PP00034-39</t>
  </si>
  <si>
    <t>1374510778 / 1</t>
  </si>
  <si>
    <t>P000364</t>
  </si>
  <si>
    <t>ET84-5.7/1.3-BLK-30mm</t>
  </si>
  <si>
    <t>1333037450 / 1</t>
  </si>
  <si>
    <t>1346880071 / 1</t>
  </si>
  <si>
    <t>PP00060-32</t>
  </si>
  <si>
    <t>P001009</t>
  </si>
  <si>
    <t>ET87-7.6/1.7-RED-50MM</t>
  </si>
  <si>
    <t>PP00060-33</t>
  </si>
  <si>
    <t>P001010</t>
  </si>
  <si>
    <t>ET87-7.6/1.7-RED-100MM</t>
  </si>
  <si>
    <t>1380450387 / 1</t>
  </si>
  <si>
    <t>PP00034-40</t>
  </si>
  <si>
    <t>1374511701 / 1</t>
  </si>
  <si>
    <t>1139569800 / 1</t>
  </si>
  <si>
    <t>1151980629 / 1</t>
  </si>
  <si>
    <t>PP00034-41</t>
  </si>
  <si>
    <t>1380105017 / 1</t>
  </si>
  <si>
    <t>PP00034-42</t>
  </si>
  <si>
    <t>1383251679 / 1</t>
  </si>
  <si>
    <t>PP00028-86</t>
  </si>
  <si>
    <t>E08785100</t>
  </si>
  <si>
    <t>E74901</t>
  </si>
  <si>
    <t>DWT(VTO) CAP 4:1 3.2 ID, BLK, 35MM LENGTH</t>
  </si>
  <si>
    <t>PP00057-02</t>
  </si>
  <si>
    <t>P000850</t>
  </si>
  <si>
    <t>ET00-30.0/15.0-ORG-SPL</t>
  </si>
  <si>
    <t>1384276190 / 1</t>
  </si>
  <si>
    <t>PP00057-03</t>
  </si>
  <si>
    <t>P000645</t>
  </si>
  <si>
    <t>ET00-38.0/19.0-ORG-SPL</t>
  </si>
  <si>
    <t>1384276619 / 1</t>
  </si>
  <si>
    <t>PP00057-04</t>
  </si>
  <si>
    <t>P000646</t>
  </si>
  <si>
    <t>ET00-24.0/8.0-ORG-SPL</t>
  </si>
  <si>
    <t>1384277421 / 2</t>
  </si>
  <si>
    <t>PP00066-01</t>
  </si>
  <si>
    <t>Leoni</t>
  </si>
  <si>
    <t>P00495963</t>
  </si>
  <si>
    <t>E57011</t>
  </si>
  <si>
    <t>CYG-135F,2:1,1.20,BLUE</t>
  </si>
  <si>
    <t>1292705003 / 1</t>
  </si>
  <si>
    <t>1201094179 / 1</t>
  </si>
  <si>
    <t>1245240801 / 1</t>
  </si>
  <si>
    <t>1245243969 / 1</t>
  </si>
  <si>
    <t>E42803</t>
  </si>
  <si>
    <t>E42801</t>
  </si>
  <si>
    <t>HT-15-B-0 LENGTH</t>
  </si>
  <si>
    <t>PP00046-03</t>
  </si>
  <si>
    <t>SHRINKTUBE15BLACK-EA</t>
  </si>
  <si>
    <t>E42804</t>
  </si>
  <si>
    <t>CYG-HT-15-120MM Length</t>
  </si>
  <si>
    <t>PP00026-45</t>
  </si>
  <si>
    <t>E62431</t>
  </si>
  <si>
    <t>DWT-RO-4-28.0-BK/STRIPES-33mm</t>
  </si>
  <si>
    <t>PP00026-46</t>
  </si>
  <si>
    <t>E62432</t>
  </si>
  <si>
    <t>DWT-RO-4-7.40-Blk/Stripes-33mm</t>
  </si>
  <si>
    <t>PP00026-47</t>
  </si>
  <si>
    <t>E62430</t>
  </si>
  <si>
    <t>DWT-RO-4-18.3-Blk/Stripes-25mm</t>
  </si>
  <si>
    <t>PP00026-48</t>
  </si>
  <si>
    <t>E62433</t>
  </si>
  <si>
    <t>DWT-RO-4-28.0-Blk/Stripes-45mm</t>
  </si>
  <si>
    <t>PP00067-01</t>
  </si>
  <si>
    <t>Senko</t>
  </si>
  <si>
    <t>Japan</t>
  </si>
  <si>
    <t>1385493488 / 1</t>
  </si>
  <si>
    <t>PP00067-02</t>
  </si>
  <si>
    <t>1385504305 / 1</t>
  </si>
  <si>
    <t>PP00067-03</t>
  </si>
  <si>
    <t>1385508961 / 1</t>
  </si>
  <si>
    <t>PP00067-04</t>
  </si>
  <si>
    <t>P001068</t>
  </si>
  <si>
    <t>ET87-7.6/1.7-BLK-65mm</t>
  </si>
  <si>
    <t>1385510387 / 1</t>
  </si>
  <si>
    <t>PP00067-05</t>
  </si>
  <si>
    <t>P001069</t>
  </si>
  <si>
    <t>ET87-5.1/1.3-BLK-33mm</t>
  </si>
  <si>
    <t>1385520567 / 1</t>
  </si>
  <si>
    <t>PP00032-31</t>
  </si>
  <si>
    <t>E38925500</t>
  </si>
  <si>
    <t>P000287</t>
  </si>
  <si>
    <t>ET25-18.3/4.5-BLK35MM</t>
  </si>
  <si>
    <t>1132192015 / 1</t>
  </si>
  <si>
    <t>PP00067-06</t>
  </si>
  <si>
    <t>ET49</t>
  </si>
  <si>
    <t>D000063</t>
  </si>
  <si>
    <t>P001072</t>
  </si>
  <si>
    <t>ET49-12.7/6.4-BLK-33mm</t>
  </si>
  <si>
    <t>1394556287 / 2</t>
  </si>
  <si>
    <t>PP00067-07</t>
  </si>
  <si>
    <t>P001073</t>
  </si>
  <si>
    <t>ET49-12.7/6.4-BLK-50mm</t>
  </si>
  <si>
    <t>1394556857 / 1</t>
  </si>
  <si>
    <t>PP00067-08</t>
  </si>
  <si>
    <t>P001074</t>
  </si>
  <si>
    <t>ET49-3.2/1.6-BLK-50mm</t>
  </si>
  <si>
    <t>1394574886 / 1</t>
  </si>
  <si>
    <t>PP00067-09</t>
  </si>
  <si>
    <t>P001075</t>
  </si>
  <si>
    <t>ET49-4.8/2.4-BLK-15mm</t>
  </si>
  <si>
    <t>1394576790 / 1</t>
  </si>
  <si>
    <t>PP00067-10</t>
  </si>
  <si>
    <t>P001076</t>
  </si>
  <si>
    <t>ET49-4.8/2.4-BLK-50mm</t>
  </si>
  <si>
    <t>1394578943 / 1</t>
  </si>
  <si>
    <t>PP00067-11</t>
  </si>
  <si>
    <t>P001077</t>
  </si>
  <si>
    <t>ET49-6.4/3.2-BLK-50mm</t>
  </si>
  <si>
    <t>1394585145 / 1</t>
  </si>
  <si>
    <t>PP00067-12</t>
  </si>
  <si>
    <t>P001078</t>
  </si>
  <si>
    <t>ET49-9.5/4.8-BLK-50mm</t>
  </si>
  <si>
    <t>1394585216 / 1</t>
  </si>
  <si>
    <t>PP00067-22</t>
  </si>
  <si>
    <t>P001090</t>
  </si>
  <si>
    <t>ET87-5.1/1.3-BLK-65mm</t>
  </si>
  <si>
    <t>1394585334 / 1</t>
  </si>
  <si>
    <t>PP00067-23</t>
  </si>
  <si>
    <t>P001087</t>
  </si>
  <si>
    <t>ET87-11.6/2.5-BLK-65mm</t>
  </si>
  <si>
    <t>1394585468 / 1</t>
  </si>
  <si>
    <t>PP00067-24</t>
  </si>
  <si>
    <t>P001088</t>
  </si>
  <si>
    <t>ET87-17.8/4.4-BLK-65mm</t>
  </si>
  <si>
    <t>1394585552 / 1</t>
  </si>
  <si>
    <t>PP00067-13</t>
  </si>
  <si>
    <t>P001080</t>
  </si>
  <si>
    <t>ET87-11.6/2.5-BLK-33mm</t>
  </si>
  <si>
    <t>1388020665 / 1</t>
  </si>
  <si>
    <t>PP00067-14</t>
  </si>
  <si>
    <t>P001083</t>
  </si>
  <si>
    <t>ET87-11.6/2.5-RED-33mm</t>
  </si>
  <si>
    <t>1388371797 / 1</t>
  </si>
  <si>
    <t>PP00067-15</t>
  </si>
  <si>
    <t>P001085</t>
  </si>
  <si>
    <t>ET87-11.6/2.5-BLK-40mm</t>
  </si>
  <si>
    <t>1388373582 / 1</t>
  </si>
  <si>
    <t>PP00067-16</t>
  </si>
  <si>
    <t>P001081</t>
  </si>
  <si>
    <t>ET87-17.8/4.4-BLK-33mm</t>
  </si>
  <si>
    <t>1388376764 / 1</t>
  </si>
  <si>
    <t>PP00067-17</t>
  </si>
  <si>
    <t>P001084</t>
  </si>
  <si>
    <t>ET87-17.8/4.4-RED-33mm</t>
  </si>
  <si>
    <t>1388387644 / 1</t>
  </si>
  <si>
    <t>PP00067-18</t>
  </si>
  <si>
    <t>P001086</t>
  </si>
  <si>
    <t>ET87-5.1/1.3-BLK-15mm</t>
  </si>
  <si>
    <t>1388387812 / 1</t>
  </si>
  <si>
    <t>PP00067-19</t>
  </si>
  <si>
    <t>P001079</t>
  </si>
  <si>
    <t>ET87-7.6/1.7-BLK-33mm</t>
  </si>
  <si>
    <t>1388388063 / 1</t>
  </si>
  <si>
    <t>PP00067-20</t>
  </si>
  <si>
    <t>P001082</t>
  </si>
  <si>
    <t>ET87-7.6/1.7-RED-33mm</t>
  </si>
  <si>
    <t>1388388281 / 1</t>
  </si>
  <si>
    <t>PP00067-21</t>
  </si>
  <si>
    <t>1387597435 / 1</t>
  </si>
  <si>
    <t>P000499</t>
  </si>
  <si>
    <t>ET00-6.4/3.2-BLK-40mm</t>
  </si>
  <si>
    <t>1395846143 / 1</t>
  </si>
  <si>
    <t>PR2025002</t>
  </si>
  <si>
    <t>1303588700 / 1</t>
  </si>
  <si>
    <t>PP00061-11</t>
  </si>
  <si>
    <t>ET25-18.3/4.5R-BK-50mm</t>
  </si>
  <si>
    <t>1429983779 / 1</t>
  </si>
  <si>
    <t>PP00061-12</t>
  </si>
  <si>
    <t>7094177130 Document ID 2757177</t>
  </si>
  <si>
    <t>1425408416 / 1</t>
  </si>
  <si>
    <t>PP00062-01</t>
  </si>
  <si>
    <t>7094176230 Document ID 2552486</t>
  </si>
  <si>
    <t>1349615142 / 1</t>
  </si>
  <si>
    <t>PP00068-01</t>
  </si>
  <si>
    <t>EDS Manufacturing</t>
  </si>
  <si>
    <t>ET87 7.6/1.7</t>
  </si>
  <si>
    <t>ET87-7.6/1.7-BLK-1220mm</t>
  </si>
  <si>
    <t>1393860231 / 1</t>
  </si>
  <si>
    <t>1196293250 / 1</t>
  </si>
  <si>
    <t>PR2024004</t>
  </si>
  <si>
    <t>1201048994 / 1</t>
  </si>
  <si>
    <t>1300849554 / 1</t>
  </si>
  <si>
    <t>1303589769 / 1</t>
  </si>
  <si>
    <t>1188108153 / 1</t>
  </si>
  <si>
    <t>1189551671 / 1</t>
  </si>
  <si>
    <t>1188110244 / 1</t>
  </si>
  <si>
    <t>PP00072-19</t>
  </si>
  <si>
    <t xml:space="preserve">Yazaki </t>
  </si>
  <si>
    <t>7094203130 27-aug-25</t>
  </si>
  <si>
    <t>ET71_ET104</t>
  </si>
  <si>
    <t>D000121</t>
  </si>
  <si>
    <t>P001027</t>
  </si>
  <si>
    <t>ET71-12.0/3.0-BLK-40mm+ET1042C
Shrink Tube ET71-12.0/3.0-BLK-40mm+ET1042C</t>
  </si>
  <si>
    <t>1443180952 / 1</t>
  </si>
  <si>
    <t>1188109083 / 1</t>
  </si>
  <si>
    <t>8M01760168M</t>
  </si>
  <si>
    <t>8M01760167M</t>
  </si>
  <si>
    <t>8001113010M</t>
  </si>
  <si>
    <t>8001113009M</t>
  </si>
  <si>
    <t>8001113005M</t>
  </si>
  <si>
    <t>8001113008M</t>
  </si>
  <si>
    <t>PP00034-43</t>
  </si>
  <si>
    <t>Information sent to customer</t>
  </si>
  <si>
    <t>ET102</t>
  </si>
  <si>
    <t>D000105</t>
  </si>
  <si>
    <t>P000989</t>
  </si>
  <si>
    <t>MDS requested</t>
  </si>
  <si>
    <t>1285136462 / 1</t>
  </si>
  <si>
    <t>1285137916 / 1</t>
  </si>
  <si>
    <t>1285142630 / 1</t>
  </si>
  <si>
    <t>1285143563 / 1</t>
  </si>
  <si>
    <t>G8G1W5-101</t>
  </si>
  <si>
    <t>ET98-29/23-29/22-18/11-BLK</t>
  </si>
  <si>
    <t>1400918240 / 2</t>
  </si>
  <si>
    <t>1214724948 / 1</t>
  </si>
  <si>
    <t>1132173549 / 1</t>
  </si>
  <si>
    <t>1173684862 / 1</t>
  </si>
  <si>
    <t>1173683423 / 1</t>
  </si>
  <si>
    <t>1309072701 / 1</t>
  </si>
  <si>
    <t>PP00024-17</t>
  </si>
  <si>
    <t>PP00028-34</t>
  </si>
  <si>
    <t>1172779204 / 1</t>
  </si>
  <si>
    <t>PP00069-01</t>
  </si>
  <si>
    <t>Draexlmaier</t>
  </si>
  <si>
    <t>S8100199</t>
  </si>
  <si>
    <t>1408940282 / 2</t>
  </si>
  <si>
    <t>PP00024-18</t>
  </si>
  <si>
    <t>E38925900</t>
  </si>
  <si>
    <t>P000292</t>
  </si>
  <si>
    <t>ET25-7.4/1.7-BLK-30MM</t>
  </si>
  <si>
    <t>PP00024-19</t>
  </si>
  <si>
    <t>E38923200</t>
  </si>
  <si>
    <t>P000295</t>
  </si>
  <si>
    <t>ET87-27.9/8.4-BLK-70MM</t>
  </si>
  <si>
    <t>PP00034-44</t>
  </si>
  <si>
    <t>E47402</t>
  </si>
  <si>
    <t>DWT(RO) 4:1 SHRINK RATIO, 5.75 ID, BK, 50mm</t>
  </si>
  <si>
    <t>PP00034-45</t>
  </si>
  <si>
    <t>P000435</t>
  </si>
  <si>
    <t>ET82-17.8/4.5-BLK-50mm</t>
  </si>
  <si>
    <t>1413801150 / 1</t>
  </si>
  <si>
    <t>PP00059-12</t>
  </si>
  <si>
    <t>E51299200</t>
  </si>
  <si>
    <t>P001065</t>
  </si>
  <si>
    <t>ET25-18.3/4.5-BLK-85mm</t>
  </si>
  <si>
    <t>1412092509 / 2</t>
  </si>
  <si>
    <t>PR2025005</t>
  </si>
  <si>
    <t>DWT(RO) 4:1 SHRINK RATIO, 5.75 ID, BK, 25mm</t>
  </si>
  <si>
    <t>PP00047-12</t>
  </si>
  <si>
    <t>CYG-135F-1/2-1000-BLK</t>
  </si>
  <si>
    <t>E58333</t>
  </si>
  <si>
    <t>135F-2-12.7-BLK</t>
  </si>
  <si>
    <t>1405436172 / 1</t>
  </si>
  <si>
    <t>PP00047-13</t>
  </si>
  <si>
    <t>DWT-RO-1-STK</t>
  </si>
  <si>
    <t>E58302</t>
  </si>
  <si>
    <t>CYG-DWT(RO),4:1 SHRINK RATIO, 5.75 ID, BLACK</t>
  </si>
  <si>
    <t>PP00053-11</t>
  </si>
  <si>
    <t>P000813</t>
  </si>
  <si>
    <t>ET21-19.0/6.0-RD-60mm</t>
  </si>
  <si>
    <t>1415658348 / 1</t>
  </si>
  <si>
    <t>PR2025006</t>
  </si>
  <si>
    <t>PP00047-14</t>
  </si>
  <si>
    <t>DWT-RO-2-STK</t>
  </si>
  <si>
    <t>E58307</t>
  </si>
  <si>
    <t xml:space="preserve">DWT(RO) 4:1 SHRINK RATIO, 7.60 ID, BK, </t>
  </si>
  <si>
    <t>1128113642 / 2</t>
  </si>
  <si>
    <t>P000455</t>
  </si>
  <si>
    <t>ET84-7.4/1.7-CLR-50mm</t>
  </si>
  <si>
    <t>1416660873 / 2</t>
  </si>
  <si>
    <t>PP00047-15</t>
  </si>
  <si>
    <t>CYG-135F-1/4-1000-BLK</t>
  </si>
  <si>
    <t>E58339</t>
  </si>
  <si>
    <t>135F, 2:1 SHRINK RATIO, 6.40 ID, BLK</t>
  </si>
  <si>
    <t>PP00047-16</t>
  </si>
  <si>
    <t>CYG-135F-1/4-40-BLK</t>
  </si>
  <si>
    <t>E58332</t>
  </si>
  <si>
    <t>135F, 2:1 SHRINK RATIO, 6.40 ID, BLK, 40MM</t>
  </si>
  <si>
    <t>PP00047-17</t>
  </si>
  <si>
    <t>CYG-135F-3/8-1000-BLK</t>
  </si>
  <si>
    <t>E58341</t>
  </si>
  <si>
    <t>135F, 2:1 SHRINK RATIO, 9.50 ID, BLK</t>
  </si>
  <si>
    <t>1214745059 / 1</t>
  </si>
  <si>
    <t>PP00032-32</t>
  </si>
  <si>
    <t>PP00028-87</t>
  </si>
  <si>
    <t>E36962900</t>
  </si>
  <si>
    <t>1232776754 / 1</t>
  </si>
  <si>
    <t>PP00047-18</t>
  </si>
  <si>
    <t>135F, 2:1 SHRINK RATIO, 12.7 ID, BLK, 50MM LENGTH</t>
  </si>
  <si>
    <t>PP00047-19</t>
  </si>
  <si>
    <t>DWT-RO-2-75MM</t>
  </si>
  <si>
    <t>E58306</t>
  </si>
  <si>
    <t>CYG-DWT (RO), 4:1 SHRINK RATIO, 7.60 ID, BLACK, 75MM LENGTH</t>
  </si>
  <si>
    <t>PP00045-05</t>
  </si>
  <si>
    <t>E4407</t>
  </si>
  <si>
    <t>DWT(RO) 4:1 SHRINK RATIO 32.0 ID BLK 100MM</t>
  </si>
  <si>
    <t>PP00029-17</t>
  </si>
  <si>
    <t>DWT(VTS) #4-40mm</t>
  </si>
  <si>
    <t>E69612</t>
  </si>
  <si>
    <t>CYG-DWT(VTS), 4:1 SHRINK RATIO, 17.8 ID BLK 40MM</t>
  </si>
  <si>
    <t>1202433545 / 1</t>
  </si>
  <si>
    <t>1210982220 / 2</t>
  </si>
  <si>
    <t>1125702153 / 2</t>
  </si>
  <si>
    <t>1138118931 / 1</t>
  </si>
  <si>
    <t>1172779204 / 2</t>
  </si>
  <si>
    <t>1173684082 / 1</t>
  </si>
  <si>
    <t>1165241008 / 1</t>
  </si>
  <si>
    <t>1153164534 / 1</t>
  </si>
  <si>
    <t>1153163904 / 1</t>
  </si>
  <si>
    <t>1161359076 / 1</t>
  </si>
  <si>
    <t>1171171980 / 2</t>
  </si>
  <si>
    <t>1172779258 / 2</t>
  </si>
  <si>
    <t>1152754527 / 1</t>
  </si>
  <si>
    <t>1152763196 / 1</t>
  </si>
  <si>
    <t>984817423 / 1</t>
  </si>
  <si>
    <t>912298266 / 1</t>
  </si>
  <si>
    <t>PP00028-88</t>
  </si>
  <si>
    <t>E13723900</t>
  </si>
  <si>
    <t>E74907</t>
  </si>
  <si>
    <t>DWT(RO) 4:1 SHRINK RATIO, 5.75 ID, RED, 40 MM</t>
  </si>
  <si>
    <t>PP00028-89</t>
  </si>
  <si>
    <t>E13723700</t>
  </si>
  <si>
    <t>E74906</t>
  </si>
  <si>
    <t>DWT(RO), 4:1 SHRINK RATIO 32.0 ID RD40mm</t>
  </si>
  <si>
    <t>PP00028-90</t>
  </si>
  <si>
    <t>E13723600</t>
  </si>
  <si>
    <t>E74905</t>
  </si>
  <si>
    <t>DWT(RO) 4:1 SHRINK RATIO, 14.00 ID, RD, 40mm</t>
  </si>
  <si>
    <t>PP00028-91</t>
  </si>
  <si>
    <t>E01120300</t>
  </si>
  <si>
    <t>E74919</t>
  </si>
  <si>
    <t>DWT(RO) 4:1 SHRINK RATIO 11.00 ID BK65mm</t>
  </si>
  <si>
    <t>PP00028-92</t>
  </si>
  <si>
    <t>E04845500</t>
  </si>
  <si>
    <t>E74928</t>
  </si>
  <si>
    <t>DWT(RO) 4:1 SHRINK RATIO, 7.40 ID, BK, 50mm</t>
  </si>
  <si>
    <t>PP00062-02</t>
  </si>
  <si>
    <t>7094176430 Document ID 2553139</t>
  </si>
  <si>
    <t>1349615309 / 1</t>
  </si>
  <si>
    <t>PP00062-03</t>
  </si>
  <si>
    <t>7094176530 Document ID 2553141</t>
  </si>
  <si>
    <t>1349615588 / 1</t>
  </si>
  <si>
    <t>PP00047-20</t>
  </si>
  <si>
    <t>CYG-135F-3/8-25-BLK</t>
  </si>
  <si>
    <t>E58345</t>
  </si>
  <si>
    <t>135F, 2:1 SHRINK RATIO, ID 9.5, BLK, 25MM</t>
  </si>
  <si>
    <t>Now requested (13-jun-2025)</t>
  </si>
  <si>
    <t>PP00047-21</t>
  </si>
  <si>
    <t>CYG-MT(HX)-2X-S0-12.7-2</t>
  </si>
  <si>
    <t>E58330</t>
  </si>
  <si>
    <t>MT(HX)-2X-S0-12.7-2 RD HS Wire Identification Sleeves</t>
  </si>
  <si>
    <t>PP00047-22</t>
  </si>
  <si>
    <t>DWT-RO-2-65MM</t>
  </si>
  <si>
    <t>E58353</t>
  </si>
  <si>
    <t>DWT (RO), 4:1 SHRINK RATIO, 7.40 ID, BK, 65mm</t>
  </si>
  <si>
    <t>PP00047-23</t>
  </si>
  <si>
    <t>DWT-RO-2A-50MM</t>
  </si>
  <si>
    <t>E58310</t>
  </si>
  <si>
    <t>DWT(RO) 4:1 SHRINK RATIO, 9.02 ID, BLK, 50MM</t>
  </si>
  <si>
    <t>Submited</t>
  </si>
  <si>
    <t>PP00036-24</t>
  </si>
  <si>
    <t>Approved 2018</t>
  </si>
  <si>
    <t>HSTP1086</t>
  </si>
  <si>
    <t>E84408</t>
  </si>
  <si>
    <t>DWT(RO) 4:1 SHRINK RATIO, 18.30 ID, BLK, 50MM LENGTH</t>
  </si>
  <si>
    <t>Approved in 2018</t>
  </si>
  <si>
    <t>PP00047-24</t>
  </si>
  <si>
    <t>DWT-RO-4-75MM</t>
  </si>
  <si>
    <t>E58323</t>
  </si>
  <si>
    <t>DWT(RO) 4:1 SHRINK RATIO, 17.80 ID, BK, 75mm</t>
  </si>
  <si>
    <t>1326974042 / 1</t>
  </si>
  <si>
    <t>1326975182 / 1</t>
  </si>
  <si>
    <t>1326975674 / 2</t>
  </si>
  <si>
    <t>1326976042 / 1</t>
  </si>
  <si>
    <t>1326977769 / 1</t>
  </si>
  <si>
    <t>PP00053-12</t>
  </si>
  <si>
    <t>P000655</t>
  </si>
  <si>
    <t>ET00-9.5/4.8-RD-1220mm</t>
  </si>
  <si>
    <t>1426132991 / 1</t>
  </si>
  <si>
    <t>PR2025011</t>
  </si>
  <si>
    <t>PP00047-25</t>
  </si>
  <si>
    <t>CYG-MT(HX)-3X-S3-9.5-9</t>
  </si>
  <si>
    <t>E58351</t>
  </si>
  <si>
    <t>MT(HX)-3X-S3-9.5-9-19mm HS Wire Identification Sleeves48-50mm with three cut to 19mm*2pcs</t>
  </si>
  <si>
    <t>PP00036-25</t>
  </si>
  <si>
    <t>HSTP2435</t>
  </si>
  <si>
    <t>P000229</t>
  </si>
  <si>
    <t>ET22-9.0/2.3-BK-40mm</t>
  </si>
  <si>
    <t>1426144757 / 1</t>
  </si>
  <si>
    <t>PR2025010</t>
  </si>
  <si>
    <t>PP00028-93</t>
  </si>
  <si>
    <t>PP00047-26</t>
  </si>
  <si>
    <t>CYG-135F-9/3-50-BLK</t>
  </si>
  <si>
    <t>E58344</t>
  </si>
  <si>
    <t>135F, 3:1 SHRINK RATIO, 9.00 ID, BK</t>
  </si>
  <si>
    <t>Material not sold yet, just forecast</t>
  </si>
  <si>
    <t>PP00047-27</t>
  </si>
  <si>
    <t>DWT-RO-3-75MM</t>
  </si>
  <si>
    <t>E58316</t>
  </si>
  <si>
    <t>DWT(RO) 4:1 SHRINK RATIO, 11.60 ID, BLK, 75MM LENGTH</t>
  </si>
  <si>
    <t>1214811503 / 1</t>
  </si>
  <si>
    <t>PP00032-33</t>
  </si>
  <si>
    <t>PP00032-34</t>
  </si>
  <si>
    <t>1128115723 / 1</t>
  </si>
  <si>
    <t>PP00032-35</t>
  </si>
  <si>
    <t>PP00032-36</t>
  </si>
  <si>
    <t>1160608585 / 1</t>
  </si>
  <si>
    <t>PP00032-37</t>
  </si>
  <si>
    <t>E50924900</t>
  </si>
  <si>
    <t>P001029</t>
  </si>
  <si>
    <t>ET00-2.4/1.2-BLK-50MM</t>
  </si>
  <si>
    <t>1418818478 / 1</t>
  </si>
  <si>
    <t>PR2025007</t>
  </si>
  <si>
    <t>PP00066-02</t>
  </si>
  <si>
    <t>P00159799</t>
  </si>
  <si>
    <t>E57002</t>
  </si>
  <si>
    <t>DWT(RO),4:1 SHRINK RATIO, 11.60 ID, BK, 45mm</t>
  </si>
  <si>
    <t>PP00047-28</t>
  </si>
  <si>
    <t>DWT-RO-4-STK</t>
  </si>
  <si>
    <t>E58324</t>
  </si>
  <si>
    <t>DWT(RO) 4:1 SHRINK RATIO, 17.80 ID, BLK, 1220MM LENGTH</t>
  </si>
  <si>
    <t>PP00047-29</t>
  </si>
  <si>
    <t>CYG-135F-1/4-25-BLK</t>
  </si>
  <si>
    <t>E58335</t>
  </si>
  <si>
    <t>135F, 2:1 SHRINK RATIO, 6.40 ID, BLK, 25MM LENGTH</t>
  </si>
  <si>
    <t>PP00036-26</t>
  </si>
  <si>
    <t>HSTP1090</t>
  </si>
  <si>
    <t>E84437</t>
  </si>
  <si>
    <t>DWT-135F 4:1 SHRINK RATION, 24.00 ID, BLK, 1220MM LENGTH</t>
  </si>
  <si>
    <t>PP00024-20</t>
  </si>
  <si>
    <t>E38925700</t>
  </si>
  <si>
    <t>P000288</t>
  </si>
  <si>
    <t>ET25-18.3/4.5-BLK-45MM</t>
  </si>
  <si>
    <t>1233585997 / 1</t>
  </si>
  <si>
    <t>PP00024-21</t>
  </si>
  <si>
    <t>PP00024-22</t>
  </si>
  <si>
    <t>PP00024-23</t>
  </si>
  <si>
    <t>PP00024-24</t>
  </si>
  <si>
    <t>836149091 / 2</t>
  </si>
  <si>
    <t>PP00024-25</t>
  </si>
  <si>
    <t>PP00024-26</t>
  </si>
  <si>
    <t>PP00047-30</t>
  </si>
  <si>
    <t>DWT-RO-2-40MM</t>
  </si>
  <si>
    <t>E58304</t>
  </si>
  <si>
    <t>DWT(RO) 4:1 SHRINK RATIO, 7.60 ID, BLK, 40MM</t>
  </si>
  <si>
    <t>PP00062-04</t>
  </si>
  <si>
    <t>7094176330 Document ID 2553175</t>
  </si>
  <si>
    <t>1349615847 / 1</t>
  </si>
  <si>
    <t>PP00034-46</t>
  </si>
  <si>
    <t>P000428</t>
  </si>
  <si>
    <t>ET82-11.0/2.4-BLK-50mm</t>
  </si>
  <si>
    <t>1430612326 / 1</t>
  </si>
  <si>
    <t>PR2025017</t>
  </si>
  <si>
    <t>PP00047-31</t>
  </si>
  <si>
    <t>DWT-RO-2A-65MM</t>
  </si>
  <si>
    <t>E58359</t>
  </si>
  <si>
    <t>DWT(RO)-4S-9.02-BLK-65mm</t>
  </si>
  <si>
    <t>PP00026-49</t>
  </si>
  <si>
    <t>P000272</t>
  </si>
  <si>
    <t>ET25-18.3/4.5-RD-50mm w/stripes</t>
  </si>
  <si>
    <t>1430269436 / 1</t>
  </si>
  <si>
    <t>PR2025012</t>
  </si>
  <si>
    <t>PP00026-50</t>
  </si>
  <si>
    <t>Cancelled by customer</t>
  </si>
  <si>
    <t>P000555</t>
  </si>
  <si>
    <t>ET87-7.6/1.7-BLK-45mm</t>
  </si>
  <si>
    <t>PR2025014</t>
  </si>
  <si>
    <t>PP00026-51</t>
  </si>
  <si>
    <t>ET87-27.9/8.4-RD-50mm</t>
  </si>
  <si>
    <t>PP00047-32</t>
  </si>
  <si>
    <t>DWT-RO-4-65MM</t>
  </si>
  <si>
    <t>E58322</t>
  </si>
  <si>
    <t>DWT(RO) 4:1 SHRINK RATIO, 17.80 ID, BLK, 65MM LENGTH</t>
  </si>
  <si>
    <t>PP00069-02</t>
  </si>
  <si>
    <t>S8100201</t>
  </si>
  <si>
    <t>P200366</t>
  </si>
  <si>
    <t>ET86-11.5/2.5-BLK-30mm</t>
  </si>
  <si>
    <t>1428630853 / 1</t>
  </si>
  <si>
    <t>PASS</t>
  </si>
  <si>
    <t>PR2025018</t>
  </si>
  <si>
    <t>PP00019-0002</t>
  </si>
  <si>
    <t>1432978980 / 1</t>
  </si>
  <si>
    <t>PP00019-0003</t>
  </si>
  <si>
    <t>E101710</t>
  </si>
  <si>
    <t>DWT(RO),4:1 SHRINK RATIO, 7.40 ID, BK, 50mm LENGTH</t>
  </si>
  <si>
    <t>PP00019-0004</t>
  </si>
  <si>
    <t>E101707</t>
  </si>
  <si>
    <t>DWT(RX), 4:1 SHRINK RATIO, 10.8 ID, CL, 100mm LENGTH</t>
  </si>
  <si>
    <t>PP00070-01</t>
  </si>
  <si>
    <t>Flextronics AGM</t>
  </si>
  <si>
    <t>711798-14 00</t>
  </si>
  <si>
    <t>P001132</t>
  </si>
  <si>
    <t>ET22-14.0/3.0-BK-50mm</t>
  </si>
  <si>
    <t>1436552673 / 1</t>
  </si>
  <si>
    <t>PP00070-02</t>
  </si>
  <si>
    <t>ET17-11.6/2.5-BLK-50mm</t>
  </si>
  <si>
    <t>ET17-11.6/2.5-BK-50mm</t>
  </si>
  <si>
    <t>1436553236 / 1</t>
  </si>
  <si>
    <t>PP00070-03</t>
  </si>
  <si>
    <t>ET17-17.8/4.4-BLK-50mm</t>
  </si>
  <si>
    <t>ET17-17.8/4.4-BK-50mm</t>
  </si>
  <si>
    <t>1436553834 / 1</t>
  </si>
  <si>
    <t>PP00036-27</t>
  </si>
  <si>
    <t>HSTP2436</t>
  </si>
  <si>
    <t>P000230</t>
  </si>
  <si>
    <t>ET22-9.0/2.3-BK-25mm</t>
  </si>
  <si>
    <t>PP00047-33</t>
  </si>
  <si>
    <t>DWT-RO-2-RED-50MM</t>
  </si>
  <si>
    <t>E58357</t>
  </si>
  <si>
    <t>DWT(RO) 4:1 SHRINK RATIO, 7.40 ID, RED, 50MM LENGTH</t>
  </si>
  <si>
    <t>1342983308 / 1</t>
  </si>
  <si>
    <t>PP00047-34</t>
  </si>
  <si>
    <t>CYG-MT(HX)-3X-S1-6.4-9</t>
  </si>
  <si>
    <t>E58356</t>
  </si>
  <si>
    <t>MT(HX)-3X-S1-6.4-9-24mm HS Wire Identification Sleeves</t>
  </si>
  <si>
    <t>1428478849 / 1</t>
  </si>
  <si>
    <t>PP00071-01</t>
  </si>
  <si>
    <t>Thai Summit Harness</t>
  </si>
  <si>
    <t>Asia</t>
  </si>
  <si>
    <t>UH110-50027-F9</t>
  </si>
  <si>
    <t>ET25-11.0/2.4R-BK-50mm
S/T 11L=50MM(B)GLUE-F9</t>
  </si>
  <si>
    <t>1446369969 / 1</t>
  </si>
  <si>
    <t>PP00071-02</t>
  </si>
  <si>
    <t>UH060-40027-F9</t>
  </si>
  <si>
    <t>P000417</t>
  </si>
  <si>
    <t>ET25-5.7/1.3R-BK-40mm
S/T 6L=40MM(B)GLUE-F9</t>
  </si>
  <si>
    <t>1446369986 / 1</t>
  </si>
  <si>
    <t>PP00071-05</t>
  </si>
  <si>
    <t>Request cancelled</t>
  </si>
  <si>
    <t>UH080-50027-2H</t>
  </si>
  <si>
    <t>ET25-7.4/1.7R-BK-50mm</t>
  </si>
  <si>
    <t>PP00071-03</t>
  </si>
  <si>
    <t>UH040-40027-F9</t>
  </si>
  <si>
    <t>P200244</t>
  </si>
  <si>
    <t>ET25-4.0/1.0R-BK-40mm
S/T 4L=40MM(B)GLUE-F9</t>
  </si>
  <si>
    <t>1446370000 / 1</t>
  </si>
  <si>
    <t>PP00071-04</t>
  </si>
  <si>
    <t>UH140-50027-F9</t>
  </si>
  <si>
    <t>ET25-14.0/3.0R-BK-50mm
S/T 14L=50MM(B)GLUE-F9</t>
  </si>
  <si>
    <t>1446370013 / 1</t>
  </si>
  <si>
    <t>E53119</t>
  </si>
  <si>
    <t>1205276080 / 1</t>
  </si>
  <si>
    <t>PP00072-01</t>
  </si>
  <si>
    <t>ET70-1.2/0.6-BLK-50mm
Shrink Tube 1.2mm L:50mm B</t>
  </si>
  <si>
    <t>1432972315 / 3</t>
  </si>
  <si>
    <t>PP00072-02</t>
  </si>
  <si>
    <t>P001023</t>
  </si>
  <si>
    <t>ET70-1.2/0.6-BLK-75mm
Shrink Tube ET70-1.2/0.6-BLK-75mm</t>
  </si>
  <si>
    <t>1436890076 / 2</t>
  </si>
  <si>
    <t>PP00072-03</t>
  </si>
  <si>
    <t>P001013</t>
  </si>
  <si>
    <t>ET70-1.2/0.6-BLK-105mm</t>
  </si>
  <si>
    <t>1432973251 / 3</t>
  </si>
  <si>
    <t>PP00072-04</t>
  </si>
  <si>
    <t>P001017</t>
  </si>
  <si>
    <t>ET70-1.2/0.6-BLK-80mm
Shrink Tube ET70-1.2/0.6-BLK-80mm</t>
  </si>
  <si>
    <t>1436890226 / 3</t>
  </si>
  <si>
    <t>PP00072-05</t>
  </si>
  <si>
    <t>P001019</t>
  </si>
  <si>
    <t>ET70-1.2/0.6-BLK-95mm
Shrink Tube ET70-1.2/0.6-BLK-95mm</t>
  </si>
  <si>
    <t>1436890432 / 2</t>
  </si>
  <si>
    <t>PP00072-06</t>
  </si>
  <si>
    <t>P001024</t>
  </si>
  <si>
    <t>ET70-1.2/0.6-BLK-40mm
Shrink Tube ET70-1.2/0.6-BLK-40mm</t>
  </si>
  <si>
    <t>1436890493 / 2</t>
  </si>
  <si>
    <t>PP00072-07</t>
  </si>
  <si>
    <t>P001016</t>
  </si>
  <si>
    <t>ET70-1.2/0.6-BLK-70mm
Shrink Tube ET70-1.2/0.6-BLK-70mm</t>
  </si>
  <si>
    <t>1436890552 / 2</t>
  </si>
  <si>
    <t>PP00072-08</t>
  </si>
  <si>
    <t>P001020</t>
  </si>
  <si>
    <t>ET70-1.2/0.6-BLK-60mm
Shrink Tube ET70-1.2/0.6-BLK-60mm</t>
  </si>
  <si>
    <t>1436891599 / 2</t>
  </si>
  <si>
    <t>PP00072-09</t>
  </si>
  <si>
    <t>P200370</t>
  </si>
  <si>
    <t>ET70-1.2/0.6-BLK-65mm
Shrink Tube ET70-1.2/0.6-BLK-65mm</t>
  </si>
  <si>
    <t>1437148614 / 2</t>
  </si>
  <si>
    <t>PP00072-10</t>
  </si>
  <si>
    <t>P001015</t>
  </si>
  <si>
    <t>ET70-1.2/0.6-BLK-55mm
Shrink Tube ET70-1.2/0.6-BLK-55mm</t>
  </si>
  <si>
    <t>1437149095 / 2</t>
  </si>
  <si>
    <t>PP00072-11</t>
  </si>
  <si>
    <t>P000709</t>
  </si>
  <si>
    <t>ET70-1.2/0.6-BLK-90mm
Shrink Tube ET70-1.2/0.6-BLK-90mm</t>
  </si>
  <si>
    <t>1437149936 / 2</t>
  </si>
  <si>
    <t>PP00072-12</t>
  </si>
  <si>
    <t>P001014</t>
  </si>
  <si>
    <t>ET70-1.2/0.6-BLK-160mm
Shrink Tube ET70-1.2/0.6-BLK-160mm</t>
  </si>
  <si>
    <t>1437150861 / 2</t>
  </si>
  <si>
    <t>PP00072-13</t>
  </si>
  <si>
    <t>P001018</t>
  </si>
  <si>
    <t>ET70-1.2/0.6-BLK-85mm
Shrink Tube ET70-1.2/0.6-BLK-85mm</t>
  </si>
  <si>
    <t>1437151212 / 2</t>
  </si>
  <si>
    <t>PP00072-14</t>
  </si>
  <si>
    <t>P001025</t>
  </si>
  <si>
    <t>ET70-19.1/9.5-BLK-40mm
Shrink Tube ET70-19.1/9.5-BLK-40mm</t>
  </si>
  <si>
    <t>1437151699 / 2</t>
  </si>
  <si>
    <t>PP00072-15</t>
  </si>
  <si>
    <t>45044L03030</t>
  </si>
  <si>
    <t>ET70-1.2/0.6-BLK-SPL
Shrink Tube ET70-1.2/0.6-BLK</t>
  </si>
  <si>
    <t>1437152965 / 2</t>
  </si>
  <si>
    <t>PP00072-16</t>
  </si>
  <si>
    <t>45044L12430</t>
  </si>
  <si>
    <t>ET70-1.6/0.8-BLK-SPL
Shrink Tube ET70-1.6/0.8-BLK</t>
  </si>
  <si>
    <t>1437153375 / 2</t>
  </si>
  <si>
    <t>PP00072-17</t>
  </si>
  <si>
    <t>45044L25030</t>
  </si>
  <si>
    <t>ET70-19.1/9.5-BLK-SPL
Shrink Tube ET70-19.1/9.5-BLK</t>
  </si>
  <si>
    <t>1437154084 / 2</t>
  </si>
  <si>
    <t>PP00072-18</t>
  </si>
  <si>
    <t>45044L25050</t>
  </si>
  <si>
    <t>ET70-19.1/9.5-RED-SPL
Shrink Tube ET70-19.1/9.5-RED</t>
  </si>
  <si>
    <t>1437158359 / 2</t>
  </si>
  <si>
    <t>PP00072-20</t>
  </si>
  <si>
    <t>7094203030 27-aug-25</t>
  </si>
  <si>
    <t>P001028</t>
  </si>
  <si>
    <t>ET71-12.0/3.0-BLK-25mm+ET1042C
Shrink Tube ET71-12.0/3.0-BLK-25mm+ET1042C</t>
  </si>
  <si>
    <t>1443182054 / 1</t>
  </si>
  <si>
    <t>PP00073-0001</t>
  </si>
  <si>
    <t>C000004</t>
  </si>
  <si>
    <t>04</t>
  </si>
  <si>
    <t>P001122</t>
  </si>
  <si>
    <t>ET70-19.0/6.0-RD-35mm</t>
  </si>
  <si>
    <t>1444645604 / 1</t>
  </si>
  <si>
    <t>PP00072-21</t>
  </si>
  <si>
    <t>P001026</t>
  </si>
  <si>
    <t>ET21-24.0/6.0-RED-60mm
Shrink Tube ET21-24.0/6.0-RED-60mm</t>
  </si>
  <si>
    <t>1437158900 / 1</t>
  </si>
  <si>
    <t>PR2025019</t>
  </si>
  <si>
    <t>PP00072-22</t>
  </si>
  <si>
    <t>1432973427 / 2</t>
  </si>
  <si>
    <t>PP00072-23</t>
  </si>
  <si>
    <t>1432973538 / 2</t>
  </si>
  <si>
    <t>PP00072-24</t>
  </si>
  <si>
    <t>1432973678 / 2</t>
  </si>
  <si>
    <t>PP00072-25</t>
  </si>
  <si>
    <t>P000839</t>
  </si>
  <si>
    <t>ET25-18.3/4.5R-BLK-75mm</t>
  </si>
  <si>
    <t>1432977928 / 2</t>
  </si>
  <si>
    <t>PP00072-26</t>
  </si>
  <si>
    <t>P000356</t>
  </si>
  <si>
    <t>ET25-7.4/1.7R-BLK-27mm</t>
  </si>
  <si>
    <t>1437158990 / 1</t>
  </si>
  <si>
    <t>PP00072-27</t>
  </si>
  <si>
    <t>P000406</t>
  </si>
  <si>
    <t>ET25-11.0/2.4R-BLK-27mm</t>
  </si>
  <si>
    <t>1437159077 / 1</t>
  </si>
  <si>
    <t>PP00072-28</t>
  </si>
  <si>
    <t>1432978129 / 2</t>
  </si>
  <si>
    <t>PP00072-29</t>
  </si>
  <si>
    <t>P001012</t>
  </si>
  <si>
    <t>ET25-11.0/2.4R-BLK-45mm</t>
  </si>
  <si>
    <t>1437159183 / 1</t>
  </si>
  <si>
    <t>PP00072-30</t>
  </si>
  <si>
    <t>1432978372 / 2</t>
  </si>
  <si>
    <t>PP00072-31</t>
  </si>
  <si>
    <t>1432978829 / 2</t>
  </si>
  <si>
    <t>PP00072-32</t>
  </si>
  <si>
    <t>1432979594 / 2</t>
  </si>
  <si>
    <t>PP00072-33</t>
  </si>
  <si>
    <t>1432979685 / 2</t>
  </si>
  <si>
    <t>PP00072-35</t>
  </si>
  <si>
    <t>ET25-18.3-4.5R-BLK-30mm</t>
  </si>
  <si>
    <t>1433361885 / 2</t>
  </si>
  <si>
    <t>P000822</t>
  </si>
  <si>
    <t>ET25-14.0/3.0R-BLK-40mm
Shrink Tube ET25-14.0/3.0R-BLK-40mm</t>
  </si>
  <si>
    <t>1437159237 / 1</t>
  </si>
  <si>
    <t>PP00072-37</t>
  </si>
  <si>
    <t>1433363365 / 2</t>
  </si>
  <si>
    <t>PP00072-38</t>
  </si>
  <si>
    <t>ET25-18.3-4.5R-BLK-65mm</t>
  </si>
  <si>
    <t>1433363686 / 2</t>
  </si>
  <si>
    <t>PP00072-39</t>
  </si>
  <si>
    <t>P200161</t>
  </si>
  <si>
    <t>ET25-18.3-4.5R-BLK-40mm
Shrink Tube ET25-18.3-4.5R-BLK-40mm</t>
  </si>
  <si>
    <t>1437159287 / 1</t>
  </si>
  <si>
    <t>PP00072-40</t>
  </si>
  <si>
    <t>ET104</t>
  </si>
  <si>
    <t>D000109</t>
  </si>
  <si>
    <t>P001022</t>
  </si>
  <si>
    <t>ET104-4.0-Amber-20mm
Shrink Tube ET104-4.0-Amber-20mm</t>
  </si>
  <si>
    <t>1438887805 / 1</t>
  </si>
  <si>
    <t>PP00072-41</t>
  </si>
  <si>
    <t>P001021</t>
  </si>
  <si>
    <t>ET104-9.5-Amber-15mm
Shrink Tube ET104-9.5-Amber-15mm</t>
  </si>
  <si>
    <t>1438891659 / 1</t>
  </si>
  <si>
    <t>1134426437 / 2</t>
  </si>
  <si>
    <t>PP00036-28</t>
  </si>
  <si>
    <t>HSTP2616</t>
  </si>
  <si>
    <t>1437981734 / 1</t>
  </si>
  <si>
    <t>PP00029-18</t>
  </si>
  <si>
    <t>DWT(RO) #4-40mm</t>
  </si>
  <si>
    <t>E69601</t>
  </si>
  <si>
    <t>DWT(RO) 4:1 SHRINK RATIO, 17.80 ID, BK, 40mm LENGTH</t>
  </si>
  <si>
    <t>PP00027-0034</t>
  </si>
  <si>
    <t>PPAP requested to ETC</t>
  </si>
  <si>
    <t>GP032086</t>
  </si>
  <si>
    <t>ET85</t>
  </si>
  <si>
    <t>D000067</t>
  </si>
  <si>
    <t>P001202</t>
  </si>
  <si>
    <t>ET85-17.8/4.5-CLR-70mm-no print</t>
  </si>
  <si>
    <t>1188884297 / 3</t>
  </si>
  <si>
    <t>1188884584 / 2</t>
  </si>
  <si>
    <t>1189258225 / 3</t>
  </si>
  <si>
    <t>1189263052 / 2</t>
  </si>
  <si>
    <t>PP00047-35</t>
  </si>
  <si>
    <t>DWT-RO-3-STK</t>
  </si>
  <si>
    <t>E58317</t>
  </si>
  <si>
    <t>DWT(RO) 4:1 SHRINK RATIO, 11.60 ID, BK, 1220mm LENGTH</t>
  </si>
  <si>
    <t>1313989235 / 2</t>
  </si>
  <si>
    <t>1313992454 / 2</t>
  </si>
  <si>
    <t>1213984825 / 3</t>
  </si>
  <si>
    <t>PP00073-0002</t>
  </si>
  <si>
    <t>P001123</t>
  </si>
  <si>
    <t>ET70-19.0/6.0-RD-50mm</t>
  </si>
  <si>
    <t>1444647514 / 2</t>
  </si>
  <si>
    <t>PP00073-03</t>
  </si>
  <si>
    <t> P001124</t>
  </si>
  <si>
    <t>ET70-19.0/6.0-RD-60mm</t>
  </si>
  <si>
    <t>1444647625 / 1</t>
  </si>
  <si>
    <t>PP00073-0004</t>
  </si>
  <si>
    <t>C000002</t>
  </si>
  <si>
    <t>P001119</t>
  </si>
  <si>
    <t>ET05-12.7/6.4-RD-35mm</t>
  </si>
  <si>
    <t>1444647870 / 3</t>
  </si>
  <si>
    <t>PP00073-0005</t>
  </si>
  <si>
    <t>ET05-12.7/6.4-RD-50mm</t>
  </si>
  <si>
    <t>1444648002 / 2</t>
  </si>
  <si>
    <t>PP00073-06</t>
  </si>
  <si>
    <t>P001120</t>
  </si>
  <si>
    <t>ET05-12.7/6.4-RD-100mm</t>
  </si>
  <si>
    <t>1444648185 / 1</t>
  </si>
  <si>
    <t>PP00073-0007</t>
  </si>
  <si>
    <t>ET05-19.0/9.5-RD-30mm</t>
  </si>
  <si>
    <t>1444648352 / 2</t>
  </si>
  <si>
    <t>P001121</t>
  </si>
  <si>
    <t>ET05-19.0/9.5-RD-40mm</t>
  </si>
  <si>
    <t>ET05-19.0/9.5-RD-50mm</t>
  </si>
  <si>
    <t>PP00073-0010</t>
  </si>
  <si>
    <t>P000802</t>
  </si>
  <si>
    <t>ET05-19.0/9.5-RD-80mm</t>
  </si>
  <si>
    <t>1450344544 / 1</t>
  </si>
  <si>
    <t>PP00073-0011</t>
  </si>
  <si>
    <t>P001118</t>
  </si>
  <si>
    <t>ET05-9.5/4.8-RD-40mm</t>
  </si>
  <si>
    <t>1450346241 / 1</t>
  </si>
  <si>
    <t>PP00012-04</t>
  </si>
  <si>
    <t>GAT132</t>
  </si>
  <si>
    <t>P001117</t>
  </si>
  <si>
    <t>ET00-4.8/2.4-BK-35mm - no print</t>
  </si>
  <si>
    <t>1443833660 / 1</t>
  </si>
  <si>
    <t>4**</t>
  </si>
  <si>
    <t>ET84-10.8/2.4-BK-50mm</t>
  </si>
  <si>
    <t>1438600864 / 1</t>
  </si>
  <si>
    <t>ET86-7.6/1.7-BK-43mm</t>
  </si>
  <si>
    <t>1438603490 / 1</t>
  </si>
  <si>
    <t>P000465</t>
  </si>
  <si>
    <t>ET86-5.0/1.3-BK-27mm</t>
  </si>
  <si>
    <t>1438603884 / 1</t>
  </si>
  <si>
    <t>1231239934 / 2</t>
  </si>
  <si>
    <t>1229358998 / 2</t>
  </si>
  <si>
    <t>1132191059 / 2</t>
  </si>
  <si>
    <t>1202139545 / 2</t>
  </si>
  <si>
    <t>1229352086 / 2</t>
  </si>
  <si>
    <t>PP00012-05</t>
  </si>
  <si>
    <t>GAT130</t>
  </si>
  <si>
    <t>P001107</t>
  </si>
  <si>
    <t>ET05-7.5/2.5-BK-35mm - no print</t>
  </si>
  <si>
    <t>1442324656 / 1</t>
  </si>
  <si>
    <t>Requested by customer</t>
  </si>
  <si>
    <t>1304247396 / 1</t>
  </si>
  <si>
    <t>PP00049-02</t>
  </si>
  <si>
    <t>P001146</t>
  </si>
  <si>
    <t>ET73-4.3/2.0-BK-20mm</t>
  </si>
  <si>
    <t>1448426749 / 1</t>
  </si>
  <si>
    <t>1194209127 / 2</t>
  </si>
  <si>
    <t>1229357372 / 2</t>
  </si>
  <si>
    <t>PP00034-47</t>
  </si>
  <si>
    <t>6211915105D</t>
  </si>
  <si>
    <t>ET102-19.0/35.0/1.5-BLK-70mm</t>
  </si>
  <si>
    <t>1451622447 / 1</t>
  </si>
  <si>
    <t>ET25-11.0/2.4R-BLK-50MM</t>
  </si>
  <si>
    <t>1277026340 / 1</t>
  </si>
  <si>
    <t>ET20</t>
  </si>
  <si>
    <t>D000018</t>
  </si>
  <si>
    <t>P000388</t>
  </si>
  <si>
    <t>ET20-19.1/6.0-RED-50mm</t>
  </si>
  <si>
    <t>1362695922 / 3</t>
  </si>
  <si>
    <t>P000361</t>
  </si>
  <si>
    <t>ET25-5.7/1.3R-BLK-27mm</t>
  </si>
  <si>
    <t>1362304260 / 1</t>
  </si>
  <si>
    <t>PP00074-01</t>
  </si>
  <si>
    <t>Pending IMDS ID number</t>
  </si>
  <si>
    <t>L000003708</t>
  </si>
  <si>
    <t>E20032</t>
  </si>
  <si>
    <t xml:space="preserve">	DWT(RO)-4-9.02-BK-100mm</t>
  </si>
  <si>
    <t>3**</t>
  </si>
  <si>
    <t>PP00074-02</t>
  </si>
  <si>
    <t>L000003653</t>
  </si>
  <si>
    <t>E20031</t>
  </si>
  <si>
    <t>DWT(RO)-4-7.60-BK-50mm</t>
  </si>
  <si>
    <t>PP00074-03</t>
  </si>
  <si>
    <t>L000003722</t>
  </si>
  <si>
    <t>E20002</t>
  </si>
  <si>
    <t>CB-DWT-4-4.00-BK</t>
  </si>
  <si>
    <t>PP00074-04</t>
  </si>
  <si>
    <t>L000001768</t>
  </si>
  <si>
    <t>E20026</t>
  </si>
  <si>
    <t>DWT(RO)-4-5.75-BK-38mm</t>
  </si>
  <si>
    <t>PP00074-05</t>
  </si>
  <si>
    <t>L000003061</t>
  </si>
  <si>
    <t>E20012</t>
  </si>
  <si>
    <t>135F-3-18.0-BK</t>
  </si>
  <si>
    <t>PP00074-06</t>
  </si>
  <si>
    <t>L000003247</t>
  </si>
  <si>
    <t>E20019</t>
  </si>
  <si>
    <t>DWT-135F-3-6.40-BK-1000mm</t>
  </si>
  <si>
    <t>PP00074-07</t>
  </si>
  <si>
    <t>L000003665</t>
  </si>
  <si>
    <t>E20027</t>
  </si>
  <si>
    <t>DWT(RO)-4-5.75-BK-50mm</t>
  </si>
  <si>
    <t>PP00074-08</t>
  </si>
  <si>
    <t>L000003666</t>
  </si>
  <si>
    <t>E20034</t>
  </si>
  <si>
    <t>DWT(RO)-4-9.02-BK-50mm</t>
  </si>
  <si>
    <t>PP00074-09</t>
  </si>
  <si>
    <t>L000003667</t>
  </si>
  <si>
    <t>E20025</t>
  </si>
  <si>
    <t>DWT(RO)-4-11.00-BK-50mm</t>
  </si>
  <si>
    <t>PP00074-10</t>
  </si>
  <si>
    <t>L000003703</t>
  </si>
  <si>
    <t>E20033</t>
  </si>
  <si>
    <t>DWT(RO)-4-9.02-BK-38mm</t>
  </si>
  <si>
    <t>PP00074-11</t>
  </si>
  <si>
    <t>L000003786</t>
  </si>
  <si>
    <t>E20023</t>
  </si>
  <si>
    <t>DWT(RO)-4-11.00-BK-38mm</t>
  </si>
  <si>
    <t>PP00074-12</t>
  </si>
  <si>
    <t>L000004126</t>
  </si>
  <si>
    <t>E20030</t>
  </si>
  <si>
    <t>DWT(RO)-4-7.60-BK-40mm</t>
  </si>
  <si>
    <t>PP00074-13</t>
  </si>
  <si>
    <t>L000005194</t>
  </si>
  <si>
    <t>E20007</t>
  </si>
  <si>
    <t>135F-2-19.10-RD</t>
  </si>
  <si>
    <t>PP00074-14</t>
  </si>
  <si>
    <t>M000007043</t>
  </si>
  <si>
    <t>E20028</t>
  </si>
  <si>
    <t>DWT(RO)-4-7.60-BK-1000mm</t>
  </si>
  <si>
    <t>PP00074-15</t>
  </si>
  <si>
    <t>L000001043</t>
  </si>
  <si>
    <t>E20035</t>
  </si>
  <si>
    <t>DWT(VTA)-3-24.0-BK-1220mm</t>
  </si>
  <si>
    <t>PP00074-16</t>
  </si>
  <si>
    <t>L000001800</t>
  </si>
  <si>
    <t>E20009</t>
  </si>
  <si>
    <t>135F-2-6.40-BK</t>
  </si>
  <si>
    <t>PP00074-17</t>
  </si>
  <si>
    <t>L000003246</t>
  </si>
  <si>
    <t>E20018</t>
  </si>
  <si>
    <t>DWT-135F-3-12.70-BK-1000mm</t>
  </si>
  <si>
    <t>PP00074-18</t>
  </si>
  <si>
    <t>L000003619</t>
  </si>
  <si>
    <t>E20010</t>
  </si>
  <si>
    <t>135F-2-9.50-BK</t>
  </si>
  <si>
    <t>PP00074-19</t>
  </si>
  <si>
    <t>M000007294</t>
  </si>
  <si>
    <t>E20014</t>
  </si>
  <si>
    <t>135F-3-12.00-BK</t>
  </si>
  <si>
    <t>PP00075-01</t>
  </si>
  <si>
    <t>PP00075-02</t>
  </si>
  <si>
    <t>PP00075-03</t>
  </si>
  <si>
    <t>PP00075-04</t>
  </si>
  <si>
    <t>PP00075-05</t>
  </si>
  <si>
    <t>PP00075-06</t>
  </si>
  <si>
    <t>PP00032-38</t>
  </si>
  <si>
    <t>1180241318 / 2</t>
  </si>
  <si>
    <t>1146793758 / 1</t>
  </si>
  <si>
    <t>P200156</t>
  </si>
  <si>
    <t>P200623</t>
  </si>
  <si>
    <t>PP00072-50</t>
  </si>
  <si>
    <t>ET83</t>
  </si>
  <si>
    <t>D000086</t>
  </si>
  <si>
    <t>P200279</t>
  </si>
  <si>
    <t>ET83-3.2/1.0-BLK-50mm</t>
  </si>
  <si>
    <t>P000467</t>
  </si>
  <si>
    <t>ET86-7.6/1.7-BK-101mm</t>
  </si>
  <si>
    <t>1443852771 / 1</t>
  </si>
  <si>
    <t>P000542</t>
  </si>
  <si>
    <t>ET11-24.0/6.0-BK-45mm</t>
  </si>
  <si>
    <t>1443853357 / 2</t>
  </si>
  <si>
    <t>PP00024-27</t>
  </si>
  <si>
    <t>E55046100</t>
  </si>
  <si>
    <t>P001153</t>
  </si>
  <si>
    <t>ET25-28.0/7.0-BK-50mm</t>
  </si>
  <si>
    <t>1445499406 / 1</t>
  </si>
  <si>
    <t>ET71</t>
  </si>
  <si>
    <t>D000093</t>
  </si>
  <si>
    <t>P001159</t>
  </si>
  <si>
    <t>ET71-12.0/3.0-BLK-30mm</t>
  </si>
  <si>
    <t>PP00034-48</t>
  </si>
  <si>
    <t>Mat Cert sent to customer</t>
  </si>
  <si>
    <t>443 971 881 G</t>
  </si>
  <si>
    <t>E47401</t>
  </si>
  <si>
    <t>135F,2.7:1 SHRINK RATIO, 28.0 ID, BK, 40mm LEGNTH</t>
  </si>
  <si>
    <t>PP00026-34</t>
  </si>
  <si>
    <t>P000218</t>
  </si>
  <si>
    <t>ET25-18.3/4.5-BLK-65MM</t>
  </si>
  <si>
    <t>1296080151/2</t>
  </si>
  <si>
    <t>PP00047-36</t>
  </si>
  <si>
    <t>DWT(RO) 4:1 SHRINK RATIO, 11.60 ID, BK, 40mm LENGTH</t>
  </si>
  <si>
    <t>07</t>
  </si>
  <si>
    <t>1289739461 / 2</t>
  </si>
  <si>
    <t>1137288954 / 3</t>
  </si>
  <si>
    <t>Change of rev</t>
  </si>
  <si>
    <t>1137289592 / 3</t>
  </si>
  <si>
    <t>PP00036-29</t>
  </si>
  <si>
    <t>HSTP2270</t>
  </si>
  <si>
    <t>E84461</t>
  </si>
  <si>
    <t>CB-HFT, 4:1 SHRINK RATIO, 8.00 ID,BLK, 25MM LENGTH</t>
  </si>
  <si>
    <t>1449841281 / 1</t>
  </si>
  <si>
    <t>1173706697 / 1</t>
  </si>
  <si>
    <t>PP00019-0005</t>
  </si>
  <si>
    <t>E101709</t>
  </si>
  <si>
    <t>DWT(RO),4:1 SHRINK RATIO, 5.75 ID, BK, 50mm</t>
  </si>
  <si>
    <t>P000413</t>
  </si>
  <si>
    <t>ET25-18.3/4.5R-BK-42mm</t>
  </si>
  <si>
    <t>ET25-5.7/1.3R-BK-40mm</t>
  </si>
  <si>
    <t>P000423</t>
  </si>
  <si>
    <t>ET25-9.0/2.3R-BK-40mm</t>
  </si>
  <si>
    <t>PP00027-0028</t>
  </si>
  <si>
    <t>GHP024248</t>
  </si>
  <si>
    <t>P001206</t>
  </si>
  <si>
    <t>ET85-11.6/2.4-CLR-50mm-no print</t>
  </si>
  <si>
    <t>GHP032016</t>
  </si>
  <si>
    <t>P001207</t>
  </si>
  <si>
    <t>ET102-15/1.5-BLK-85mm</t>
  </si>
  <si>
    <t>PP00027-0030</t>
  </si>
  <si>
    <t>GP019659</t>
  </si>
  <si>
    <t>P001204</t>
  </si>
  <si>
    <t>ET25-5.7/1.3R-CLR-50mm-no print</t>
  </si>
  <si>
    <t>PP00027-0031</t>
  </si>
  <si>
    <t>GP022384</t>
  </si>
  <si>
    <t>P001201</t>
  </si>
  <si>
    <t>ET85-17.8/4.5-CLR-60mm-no print</t>
  </si>
  <si>
    <t>PP00027-0032</t>
  </si>
  <si>
    <t>GP022738</t>
  </si>
  <si>
    <t>P000692</t>
  </si>
  <si>
    <t>ET25-5.7/1.3R-CLR-1220mm-no print</t>
  </si>
  <si>
    <t>PP00027-0033</t>
  </si>
  <si>
    <t>GP031742</t>
  </si>
  <si>
    <t>P001205</t>
  </si>
  <si>
    <t>ET85-17.8/4.5-CLR-35mm-no print</t>
  </si>
  <si>
    <t>ET25-7.4/1.7R-BLK-30mm
Shrink Tube 7.4mm L:30mm B</t>
  </si>
  <si>
    <t>1432979827 / 2</t>
  </si>
  <si>
    <t>PP00027-0035</t>
  </si>
  <si>
    <t>GP032141</t>
  </si>
  <si>
    <t>ET85+ET104</t>
  </si>
  <si>
    <t>D000125</t>
  </si>
  <si>
    <t>P001203</t>
  </si>
  <si>
    <t>ET85-10.0/2.0-CLR-30mm +ET104 5mm</t>
  </si>
  <si>
    <t>PP00027-0036</t>
  </si>
  <si>
    <t>GP077437</t>
  </si>
  <si>
    <t>P001208</t>
  </si>
  <si>
    <t>ET85-10.0/2.0-CLR-1220mm-no print</t>
  </si>
  <si>
    <t>PP00027-0037</t>
  </si>
  <si>
    <t>GP081212</t>
  </si>
  <si>
    <t>P001200</t>
  </si>
  <si>
    <t>ET85-5.7/1.3-CLR-80mm-no print</t>
  </si>
  <si>
    <t>PP00027-0038</t>
  </si>
  <si>
    <t>GP085367</t>
  </si>
  <si>
    <t>P001209</t>
  </si>
  <si>
    <t>ET25-5.7/1.3R-CLR-25mm-no print</t>
  </si>
  <si>
    <t>PP00028-0019</t>
  </si>
  <si>
    <t>1229370708 / 2</t>
  </si>
  <si>
    <t>P000993</t>
  </si>
  <si>
    <t>ET00-38.0/19.0-WH - NO PRINT</t>
  </si>
  <si>
    <t>PP00061-13</t>
  </si>
  <si>
    <t>PP00061-14</t>
  </si>
  <si>
    <t>PP00061-15</t>
  </si>
  <si>
    <t>P000195</t>
  </si>
  <si>
    <t>ET25-11.0/2.5-BK-75mm</t>
  </si>
  <si>
    <t>ET25-7.4/1.7-BK-27mm</t>
  </si>
  <si>
    <t>PP00047-40</t>
  </si>
  <si>
    <t>PP00047-41</t>
  </si>
  <si>
    <t>P000514</t>
  </si>
  <si>
    <t>ET25-7.4/1.7-BK-40mm</t>
  </si>
  <si>
    <t>PP00047-42</t>
  </si>
  <si>
    <t>P000515</t>
  </si>
  <si>
    <t>ET25-7.4/1.7-BK-75mm</t>
  </si>
  <si>
    <t>PP00047-43</t>
  </si>
  <si>
    <t>P000517</t>
  </si>
  <si>
    <t>ET25-9.0/2.3-BK-50mm</t>
  </si>
  <si>
    <t>1189553513 / 1</t>
  </si>
  <si>
    <t>1289710429 / 1</t>
  </si>
  <si>
    <t>ET86-17.7/4.5-BK-65mm</t>
  </si>
  <si>
    <t>EU</t>
  </si>
  <si>
    <t>Honduras</t>
  </si>
  <si>
    <t>Last</t>
  </si>
  <si>
    <t>PP00019</t>
  </si>
  <si>
    <t>0005</t>
  </si>
  <si>
    <t>PP00012</t>
  </si>
  <si>
    <t>PP00023</t>
  </si>
  <si>
    <t>0002</t>
  </si>
  <si>
    <t>PP00024</t>
  </si>
  <si>
    <t>PP00025</t>
  </si>
  <si>
    <t>PP00026</t>
  </si>
  <si>
    <t>PP00027</t>
  </si>
  <si>
    <t>0038</t>
  </si>
  <si>
    <t>PP00028</t>
  </si>
  <si>
    <t>PP00029</t>
  </si>
  <si>
    <t>0020</t>
  </si>
  <si>
    <t>PP00030</t>
  </si>
  <si>
    <t>PP00031</t>
  </si>
  <si>
    <t>0009</t>
  </si>
  <si>
    <t>PP00032</t>
  </si>
  <si>
    <t>PP00033</t>
  </si>
  <si>
    <t>PP00034</t>
  </si>
  <si>
    <t>PP00035</t>
  </si>
  <si>
    <t>0001</t>
  </si>
  <si>
    <t>PP00036</t>
  </si>
  <si>
    <t>PP00037</t>
  </si>
  <si>
    <t>0003</t>
  </si>
  <si>
    <t>PP00038</t>
  </si>
  <si>
    <t>0004</t>
  </si>
  <si>
    <t>PP00039</t>
  </si>
  <si>
    <t>PP00040</t>
  </si>
  <si>
    <t>PP00041</t>
  </si>
  <si>
    <t>PP00042</t>
  </si>
  <si>
    <t>PP00043</t>
  </si>
  <si>
    <t>0030</t>
  </si>
  <si>
    <t>PP00044</t>
  </si>
  <si>
    <t>PP00045</t>
  </si>
  <si>
    <t>0006</t>
  </si>
  <si>
    <t>PP00046</t>
  </si>
  <si>
    <t>PP00047</t>
  </si>
  <si>
    <t>0043</t>
  </si>
  <si>
    <t>PP00048</t>
  </si>
  <si>
    <t>PP00049</t>
  </si>
  <si>
    <t>PP00050</t>
  </si>
  <si>
    <t>PP00051</t>
  </si>
  <si>
    <t>Yazaki Europe</t>
  </si>
  <si>
    <t>PP00052</t>
  </si>
  <si>
    <t>PP00053</t>
  </si>
  <si>
    <t>PKC (Motherson)</t>
  </si>
  <si>
    <t>0012</t>
  </si>
  <si>
    <t>PP00054</t>
  </si>
  <si>
    <t>PP00055</t>
  </si>
  <si>
    <t>0032</t>
  </si>
  <si>
    <t>PP00056</t>
  </si>
  <si>
    <t>0007</t>
  </si>
  <si>
    <t>PP00057</t>
  </si>
  <si>
    <t>PP00058</t>
  </si>
  <si>
    <t>PP00059</t>
  </si>
  <si>
    <t>PP00060</t>
  </si>
  <si>
    <t>0034</t>
  </si>
  <si>
    <t>PP00061</t>
  </si>
  <si>
    <t>0015</t>
  </si>
  <si>
    <t>PP00062</t>
  </si>
  <si>
    <t>PP00063</t>
  </si>
  <si>
    <t>PP00064</t>
  </si>
  <si>
    <t>PP00065</t>
  </si>
  <si>
    <t>PP00066</t>
  </si>
  <si>
    <t>PP00067</t>
  </si>
  <si>
    <t>0024</t>
  </si>
  <si>
    <t>PP00068</t>
  </si>
  <si>
    <t>PP00069</t>
  </si>
  <si>
    <t>PP00070</t>
  </si>
  <si>
    <t>PP00071</t>
  </si>
  <si>
    <t>PP00072</t>
  </si>
  <si>
    <t>0050</t>
  </si>
  <si>
    <t>PP00073</t>
  </si>
  <si>
    <t>0011</t>
  </si>
  <si>
    <t>PP00074</t>
  </si>
  <si>
    <t>0019</t>
  </si>
  <si>
    <t>PP00075</t>
  </si>
  <si>
    <t>PP00076</t>
  </si>
  <si>
    <t>Amphenol FCI/TCS</t>
  </si>
  <si>
    <t>PP00077</t>
  </si>
  <si>
    <t>Cooper Standard</t>
  </si>
  <si>
    <t>PP00078</t>
  </si>
  <si>
    <t>CTS</t>
  </si>
  <si>
    <t>PP00079</t>
  </si>
  <si>
    <t>Curt Group</t>
  </si>
  <si>
    <t>PP00080</t>
  </si>
  <si>
    <t>Dortec Industries</t>
  </si>
  <si>
    <t>PP00081</t>
  </si>
  <si>
    <t>E&amp;K</t>
  </si>
  <si>
    <t>PP00082</t>
  </si>
  <si>
    <t>Empire Electronics</t>
  </si>
  <si>
    <t>PP00083</t>
  </si>
  <si>
    <t>Erich Jaeger</t>
  </si>
  <si>
    <t>PP00084</t>
  </si>
  <si>
    <t>Falcon Lakeside</t>
  </si>
  <si>
    <t>PP00085</t>
  </si>
  <si>
    <t>Fraenkishe</t>
  </si>
  <si>
    <t>PP00086</t>
  </si>
  <si>
    <t>GG Cables &amp; Wires</t>
  </si>
  <si>
    <t>PP00087</t>
  </si>
  <si>
    <t>Huf</t>
  </si>
  <si>
    <t>PP00088</t>
  </si>
  <si>
    <t>Hutchinson</t>
  </si>
  <si>
    <t>PP00089</t>
  </si>
  <si>
    <t>Intercomp</t>
  </si>
  <si>
    <t>PP00090</t>
  </si>
  <si>
    <t>Julian Electric</t>
  </si>
  <si>
    <t>PP00091</t>
  </si>
  <si>
    <t>Kalas Manufacturing</t>
  </si>
  <si>
    <t>PP00092</t>
  </si>
  <si>
    <t>Kent Manufacturing</t>
  </si>
  <si>
    <t>PP00093</t>
  </si>
  <si>
    <t>Kongsberg</t>
  </si>
  <si>
    <t>PP00094</t>
  </si>
  <si>
    <t>Lisi Automotive</t>
  </si>
  <si>
    <t>PP00095</t>
  </si>
  <si>
    <t>Littelfuse</t>
  </si>
  <si>
    <t>PP00096</t>
  </si>
  <si>
    <t>Magna</t>
  </si>
  <si>
    <t>PP00097</t>
  </si>
  <si>
    <t>Marian Chicago</t>
  </si>
  <si>
    <t>PP00098</t>
  </si>
  <si>
    <t>Pak-Rite Industries</t>
  </si>
  <si>
    <t>PP00099</t>
  </si>
  <si>
    <t>Prettl</t>
  </si>
  <si>
    <t>PP00100</t>
  </si>
  <si>
    <t>Rosenberger</t>
  </si>
  <si>
    <t>PP00101</t>
  </si>
  <si>
    <t>Roush</t>
  </si>
  <si>
    <t>PP00102</t>
  </si>
  <si>
    <t>St. Clair Technologies</t>
  </si>
  <si>
    <t>PP00103</t>
  </si>
  <si>
    <t>Telamon</t>
  </si>
  <si>
    <t>PP00104</t>
  </si>
  <si>
    <t>Textape</t>
  </si>
  <si>
    <t>PP00105</t>
  </si>
  <si>
    <t>Tristone</t>
  </si>
  <si>
    <t>PP00106</t>
  </si>
  <si>
    <t>Wiric Corporation</t>
  </si>
  <si>
    <t>0035</t>
  </si>
  <si>
    <t>P000956</t>
  </si>
  <si>
    <t>ET10-6.4/2.1-CLR-35mm</t>
  </si>
  <si>
    <t>0068</t>
  </si>
  <si>
    <t>S8100200</t>
  </si>
  <si>
    <t>0049</t>
  </si>
  <si>
    <t>PP00069-0003</t>
  </si>
  <si>
    <t>PP00034-0049</t>
  </si>
  <si>
    <t>PP00072-51</t>
  </si>
  <si>
    <t>PP00012-0003</t>
  </si>
  <si>
    <t>1452188806 / 2</t>
  </si>
  <si>
    <t>1452191853 / 2</t>
  </si>
  <si>
    <t>1452192254 / 2</t>
  </si>
  <si>
    <t>1452192469 / 3</t>
  </si>
  <si>
    <t>1452192611 / 2</t>
  </si>
  <si>
    <t>1452192175 / 2</t>
  </si>
  <si>
    <t>1452193050 / 2</t>
  </si>
  <si>
    <t>1452193338 / 2</t>
  </si>
  <si>
    <t>1452193679 / 2</t>
  </si>
  <si>
    <t>1452193718 / 2</t>
  </si>
  <si>
    <t>1447478907 / 2</t>
  </si>
  <si>
    <t>PP00027-0039</t>
  </si>
  <si>
    <t>1125717047 / 3</t>
  </si>
  <si>
    <t>1128113771 / 3</t>
  </si>
  <si>
    <t>E39044400</t>
  </si>
  <si>
    <t>ET22-7.5/1.7-BK-40mm</t>
  </si>
  <si>
    <t>P000731</t>
  </si>
  <si>
    <t>E55808900</t>
  </si>
  <si>
    <t>PP00028-0094</t>
  </si>
  <si>
    <t>PP00028-0095</t>
  </si>
  <si>
    <t>0095</t>
  </si>
  <si>
    <t>1453145450 / 1</t>
  </si>
  <si>
    <t>1453153779 / 1</t>
  </si>
  <si>
    <t>1453153974 / 1</t>
  </si>
  <si>
    <t>1453154017 / 1</t>
  </si>
  <si>
    <t>1453154141 / 2</t>
  </si>
  <si>
    <t>PP00042-0036</t>
  </si>
  <si>
    <t>PP00042-0037</t>
  </si>
  <si>
    <t>PP00042-0038</t>
  </si>
  <si>
    <t>PP00042-0039</t>
  </si>
  <si>
    <t>PP00045-0006</t>
  </si>
  <si>
    <t>PP00028-0032</t>
  </si>
  <si>
    <t>0027</t>
  </si>
  <si>
    <t>1453798855 / 1</t>
  </si>
  <si>
    <t>1289742545 / 1</t>
  </si>
  <si>
    <t>1454452239 / 1</t>
  </si>
  <si>
    <t>PP00027-0040</t>
  </si>
  <si>
    <t>ET21-24.0/8.0-RD-40mm - NO PRINT</t>
  </si>
  <si>
    <t>P001195</t>
  </si>
  <si>
    <t>ET22-7.5/1.7-BK-50mm - NO PRINT</t>
  </si>
  <si>
    <t>P001197</t>
  </si>
  <si>
    <t>PP00027-0016</t>
  </si>
  <si>
    <t>P001128</t>
  </si>
  <si>
    <t>ET22-11.0/2.4-BK-65mm - NO PRINT</t>
  </si>
  <si>
    <t>PP00027-0012</t>
  </si>
  <si>
    <t>P001129</t>
  </si>
  <si>
    <t>ET11-20.0/4.0-BK-40mm - NO PRINT</t>
  </si>
  <si>
    <t>P000632</t>
  </si>
  <si>
    <t>ET22-5.7/1.3-BK-50mm - NO PRINT</t>
  </si>
  <si>
    <t>P001130</t>
  </si>
  <si>
    <t>PP00027-0002</t>
  </si>
  <si>
    <t>PP00027-0015</t>
  </si>
  <si>
    <t>ET11-14.5/3.0-BK-40mm - NO PRINT</t>
  </si>
  <si>
    <t>PP00027-0018</t>
  </si>
  <si>
    <t>P000935</t>
  </si>
  <si>
    <t>ET22-18.3/4.5-BK-75mm - NO PRINT</t>
  </si>
  <si>
    <t>PP00027-0009</t>
  </si>
  <si>
    <t>P001131</t>
  </si>
  <si>
    <t>ET11-24.2/5.0-BK-45mm - NO PRINT</t>
  </si>
  <si>
    <t>0040</t>
  </si>
  <si>
    <t>1454679766 / 1</t>
  </si>
  <si>
    <t>PP00047-0037</t>
  </si>
  <si>
    <t>1454681820 / 1</t>
  </si>
  <si>
    <t>PP00047-0039</t>
  </si>
  <si>
    <t>PP00047-0038</t>
  </si>
  <si>
    <t>PP00042-0014</t>
  </si>
  <si>
    <t>PP00028-0001</t>
  </si>
  <si>
    <t>P001216</t>
  </si>
  <si>
    <t>PP00034-0033</t>
  </si>
  <si>
    <t>P001217</t>
  </si>
  <si>
    <t>P001218</t>
  </si>
  <si>
    <t>P001219</t>
  </si>
  <si>
    <t>P001220</t>
  </si>
  <si>
    <t>P001221</t>
  </si>
  <si>
    <t>P001222</t>
  </si>
  <si>
    <t>P001223</t>
  </si>
  <si>
    <t>P001224</t>
  </si>
  <si>
    <t>PP00056-0008</t>
  </si>
  <si>
    <t>PP00056-0009</t>
  </si>
  <si>
    <t>PP00056-0010</t>
  </si>
  <si>
    <t>PP00056-0011</t>
  </si>
  <si>
    <t>PP00056-0012</t>
  </si>
  <si>
    <t>PP00056-0013</t>
  </si>
  <si>
    <t>PP00056-0014</t>
  </si>
  <si>
    <t>PP00056-0015</t>
  </si>
  <si>
    <t>PP00056-0016</t>
  </si>
  <si>
    <t>0016</t>
  </si>
  <si>
    <t>ET35-7.0/0.4-WT-SPL</t>
  </si>
  <si>
    <t>ET35-7.0/0.4-YL-SPL</t>
  </si>
  <si>
    <t>ET35-7.0/0.4-BN-SPL</t>
  </si>
  <si>
    <t>ET35-7.0/0.4-PR-SPL</t>
  </si>
  <si>
    <t>ET35-7.0/0.4-BK-SPL</t>
  </si>
  <si>
    <t>ET35-7.0/0.4-GRN-SPL</t>
  </si>
  <si>
    <t>ET35-7.0/0.4-BU-SPL</t>
  </si>
  <si>
    <t>ET35-7.0/0.4-ORG-SPL</t>
  </si>
  <si>
    <t>ET35-7.0/0.4-RD-SPL</t>
  </si>
  <si>
    <t>1455503318 / 1</t>
  </si>
  <si>
    <t>PP00027-0014</t>
  </si>
  <si>
    <t>ET21-24.0/8.0-RD - NO PRINT</t>
  </si>
  <si>
    <t>ET21-12.0/4.0-RD-40mm - NO PRINT</t>
  </si>
  <si>
    <t>ET11-24.0/6.0-BK - NO PRINT, spool</t>
  </si>
  <si>
    <t>PP00027-0025</t>
  </si>
  <si>
    <t>PP00027-0006</t>
  </si>
  <si>
    <t>PP00107</t>
  </si>
  <si>
    <t>EH Connector</t>
  </si>
  <si>
    <t>P001226</t>
  </si>
  <si>
    <t>ET22-11.0/2.4-BLK-55mm</t>
  </si>
  <si>
    <t>PP00107-0002</t>
  </si>
  <si>
    <t>3500-0675</t>
  </si>
  <si>
    <t>N/A</t>
  </si>
  <si>
    <t>IMDS requested to UPM</t>
  </si>
  <si>
    <t>PP00038-0001</t>
  </si>
  <si>
    <t>PP00038-0002</t>
  </si>
  <si>
    <t>PP00038-0003</t>
  </si>
  <si>
    <t>PP00038-0004</t>
  </si>
  <si>
    <t>PP00028-0003</t>
  </si>
  <si>
    <t>1456242267 / 1</t>
  </si>
  <si>
    <t>1456691217 / 1</t>
  </si>
  <si>
    <t>1456694956 / 1</t>
  </si>
  <si>
    <t>1456697065 / 1</t>
  </si>
  <si>
    <t>1456697463 / 1</t>
  </si>
  <si>
    <t>1456698568 / 1</t>
  </si>
  <si>
    <t>1456698732 / 1</t>
  </si>
  <si>
    <t>1456705727 / 1</t>
  </si>
  <si>
    <t>1456720697 / 1</t>
  </si>
  <si>
    <t>1456730037 / 1</t>
  </si>
  <si>
    <t>949767217 / 1</t>
  </si>
  <si>
    <t>ET10-8.0/2.0-BK-30mm</t>
  </si>
  <si>
    <t>PP00024-0023</t>
  </si>
  <si>
    <t>PP00024-0021</t>
  </si>
  <si>
    <t>949767775 / 1</t>
  </si>
  <si>
    <t>ET10-12.0/3.0-BK-50mm</t>
  </si>
  <si>
    <t>ET10-12.0/3.0-BLK-50mm</t>
  </si>
  <si>
    <t>1349381994 / 2</t>
  </si>
  <si>
    <t>PP00054-0003</t>
  </si>
  <si>
    <t>PP00028-0083</t>
  </si>
  <si>
    <t>PP00027-0029</t>
  </si>
  <si>
    <t>PP00031-0009</t>
  </si>
  <si>
    <t>PP00042-0001</t>
  </si>
  <si>
    <t>PP00042-0002</t>
  </si>
  <si>
    <t>PP00042-0003</t>
  </si>
  <si>
    <t>PP00042-0004</t>
  </si>
  <si>
    <t>PP00042-0005</t>
  </si>
  <si>
    <t>PP00042-0006</t>
  </si>
  <si>
    <t>PP00042-0007</t>
  </si>
  <si>
    <t>PP00042-0009</t>
  </si>
  <si>
    <t>PP00042-0010</t>
  </si>
  <si>
    <t>PP00042-0011</t>
  </si>
  <si>
    <t>PP00042-0012</t>
  </si>
  <si>
    <t>PP00042-0013</t>
  </si>
  <si>
    <t>PP00042-0015</t>
  </si>
  <si>
    <t>PP00042-0016</t>
  </si>
  <si>
    <t>PP00042-0017</t>
  </si>
  <si>
    <t>PP00042-0018</t>
  </si>
  <si>
    <t>PP00042-0019</t>
  </si>
  <si>
    <t>PP00042-0020</t>
  </si>
  <si>
    <t>PP00042-0021</t>
  </si>
  <si>
    <t>PP00042-0022</t>
  </si>
  <si>
    <t>PP00042-0023</t>
  </si>
  <si>
    <t>PP00042-0024</t>
  </si>
  <si>
    <t>PP00042-0025</t>
  </si>
  <si>
    <t>PP00042-0026</t>
  </si>
  <si>
    <t>PP00042-0027</t>
  </si>
  <si>
    <t>PP00042-0028</t>
  </si>
  <si>
    <t>PP00042-0029</t>
  </si>
  <si>
    <t>PP00042-0030</t>
  </si>
  <si>
    <t>PP00042-0031</t>
  </si>
  <si>
    <t>PP00042-0032</t>
  </si>
  <si>
    <t>PP00042-0033</t>
  </si>
  <si>
    <t>PP00042-0034</t>
  </si>
  <si>
    <t>PP00042-0035</t>
  </si>
  <si>
    <t>PP00063-0001</t>
  </si>
  <si>
    <t>PP00063-0002</t>
  </si>
  <si>
    <t>PP00063-0003</t>
  </si>
  <si>
    <t>PP00042-0040</t>
  </si>
  <si>
    <t>PP00042-0041</t>
  </si>
  <si>
    <t>0041</t>
  </si>
  <si>
    <t>1458570366 / 1</t>
  </si>
  <si>
    <t>1458572607 / 1</t>
  </si>
  <si>
    <t>PR2025023</t>
  </si>
  <si>
    <t>1128116908 / 1</t>
  </si>
  <si>
    <t>1128116087 / 1</t>
  </si>
  <si>
    <t>PP00028-0012</t>
  </si>
  <si>
    <t>PP00028-0013</t>
  </si>
  <si>
    <t>PP00028-0014</t>
  </si>
  <si>
    <t>1459257972 / 1</t>
  </si>
  <si>
    <t>1459258121 / 1</t>
  </si>
  <si>
    <t>1459258610 / 1</t>
  </si>
  <si>
    <t>1459608733 / 1</t>
  </si>
  <si>
    <t>1459608835 / 1</t>
  </si>
  <si>
    <t>1459609136 / 1</t>
  </si>
  <si>
    <t>1459609231 / 1</t>
  </si>
  <si>
    <t>1459609326 / 1</t>
  </si>
  <si>
    <t>PP00058-0007</t>
  </si>
  <si>
    <t>1460077143 / 1</t>
  </si>
  <si>
    <t>Change of cust.</t>
  </si>
  <si>
    <t>0026</t>
  </si>
  <si>
    <t>PP00066-0003</t>
  </si>
  <si>
    <t>P01263747</t>
  </si>
  <si>
    <t>ET22-5.7/1.3-BK-50mm</t>
  </si>
  <si>
    <t>PPAP requested to UPM</t>
  </si>
  <si>
    <t>PP00028-0084</t>
  </si>
  <si>
    <t>1461539554 / 1</t>
  </si>
  <si>
    <t>1461540196 / 1</t>
  </si>
  <si>
    <t>PP00072-0042</t>
  </si>
  <si>
    <t>PP00072-0043</t>
  </si>
  <si>
    <t>PP00072-0044</t>
  </si>
  <si>
    <t>PP00072-0045</t>
  </si>
  <si>
    <t>ET25-18.3/4.5R-BK-65mm</t>
  </si>
  <si>
    <t>PP00042-0042</t>
  </si>
  <si>
    <t>1462520007 / 1</t>
  </si>
  <si>
    <t>PP00028-0020</t>
  </si>
  <si>
    <t>1139567657 / 2</t>
  </si>
  <si>
    <t>PP00028-0063</t>
  </si>
  <si>
    <t>PP00072-0046</t>
  </si>
  <si>
    <t>PP00072-0047</t>
  </si>
  <si>
    <t>PP00072-0048</t>
  </si>
  <si>
    <t>ET86-7.6/1.7-BLK-30MM
DWS125 40PXTEVF SHRINK TUBE / 7194242130</t>
  </si>
  <si>
    <t>ET86-7.6/1.7-BLK-50MM
DWS125 40PXTEVF SHRINK TUBE / 7194242230</t>
  </si>
  <si>
    <t>ET86-11.5/2.5-BLK-65MM
DWS125 40PXTEVF SHRINK TUBE / 7194242330</t>
  </si>
  <si>
    <t>ET86-9.0/2.3-BLK-50MM
DWS125 40PXTEVF SHRINK TUBE / 7194242530</t>
  </si>
  <si>
    <t>ET86-9.0/2.3-BLK-30MM
DWS125 40PXTEVF SHRINK TUBE / 7194242030</t>
  </si>
  <si>
    <t>ET86-5.0/1.3-BLK-35mm
SHRINK TUBE ET86 / 7194242630</t>
  </si>
  <si>
    <t>ET86-5.0/1.3-BLK-50mm
DWS125 40PXTEVF SHRINK TUBE / 7194242430</t>
  </si>
  <si>
    <t>ET86-14.0/3.0-BLK-50mm
SHRINK TUBE ET86 / 7194242730</t>
  </si>
  <si>
    <t>PP00072-0034</t>
  </si>
  <si>
    <t>PP00072-0049</t>
  </si>
  <si>
    <t>PP00072-0036</t>
  </si>
  <si>
    <t>1463626280 / 1</t>
  </si>
  <si>
    <t>1463627273 / 1</t>
  </si>
  <si>
    <t>1463627904 / 1</t>
  </si>
  <si>
    <t>1463629221 / 1</t>
  </si>
  <si>
    <t>Ellaborated by:</t>
  </si>
  <si>
    <t>Frank Du</t>
  </si>
  <si>
    <t>Revision:</t>
  </si>
  <si>
    <t>01</t>
  </si>
  <si>
    <t>Date of revision:</t>
  </si>
  <si>
    <t>Model</t>
  </si>
  <si>
    <t>Name of Manufacturer</t>
  </si>
  <si>
    <t>Manufacturer location</t>
  </si>
  <si>
    <t>Proximity to Manufacturer  from ETC (car travel)</t>
  </si>
  <si>
    <t>Type of certificate
ISO 9001, IATF16949 or both</t>
  </si>
  <si>
    <t>Expiration date of certificate
(YYYY-MM-DD)</t>
  </si>
  <si>
    <t>Date of last audit to supplier by ETC
(YYYY-MM-DD)</t>
  </si>
  <si>
    <t>ETC design and Kebao manufacture</t>
  </si>
  <si>
    <t>Guangzhou</t>
  </si>
  <si>
    <t>16hr</t>
  </si>
  <si>
    <t>IATF 16949</t>
  </si>
  <si>
    <t>/</t>
  </si>
  <si>
    <t>Taicang</t>
  </si>
  <si>
    <t>ET26</t>
  </si>
  <si>
    <t>ET27</t>
  </si>
  <si>
    <t>ET42</t>
  </si>
  <si>
    <t>ET43</t>
  </si>
  <si>
    <t>ET44</t>
  </si>
  <si>
    <t>ET45</t>
  </si>
  <si>
    <t>ET46</t>
  </si>
  <si>
    <t>ET47</t>
  </si>
  <si>
    <t>ET48</t>
  </si>
  <si>
    <t>ET94</t>
  </si>
  <si>
    <t>ET95</t>
  </si>
  <si>
    <t>ET96</t>
  </si>
  <si>
    <t xml:space="preserve">KEJIAN </t>
  </si>
  <si>
    <t>Shanghai city</t>
  </si>
  <si>
    <t>2h</t>
  </si>
  <si>
    <t>2024/12</t>
  </si>
  <si>
    <t>ET30</t>
  </si>
  <si>
    <t>Ritch New Materials (Suzhou) Co. Ltd.</t>
  </si>
  <si>
    <t>Taicang City</t>
  </si>
  <si>
    <t>1 hrs</t>
  </si>
  <si>
    <t>2025/11</t>
  </si>
  <si>
    <t>ET33</t>
  </si>
  <si>
    <t xml:space="preserve">Huapeng </t>
  </si>
  <si>
    <t>Suzhou</t>
  </si>
  <si>
    <t>IATF16949</t>
  </si>
  <si>
    <t>ET39</t>
  </si>
  <si>
    <t>Nantong</t>
  </si>
  <si>
    <t>1.5 hrs</t>
  </si>
  <si>
    <t>ET41</t>
  </si>
  <si>
    <t>ET66</t>
  </si>
  <si>
    <t>ET54</t>
  </si>
  <si>
    <t>Kebao</t>
  </si>
  <si>
    <t>16 hrs</t>
  </si>
  <si>
    <t>ET61</t>
  </si>
  <si>
    <t>ET78</t>
  </si>
  <si>
    <t>Hongjing (Grandview)</t>
  </si>
  <si>
    <t>Dongguan</t>
  </si>
  <si>
    <r>
      <rPr>
        <sz val="11"/>
        <color theme="1"/>
        <rFont val="Calibri"/>
        <family val="2"/>
        <scheme val="minor"/>
      </rPr>
      <t xml:space="preserve">ISO 9001
</t>
    </r>
    <r>
      <rPr>
        <sz val="11"/>
        <color rgb="FFFF0000"/>
        <rFont val="Calibri"/>
        <charset val="134"/>
        <scheme val="minor"/>
      </rPr>
      <t>PLAN end of 2024 for IATF16949
and  MES system</t>
    </r>
  </si>
  <si>
    <r>
      <rPr>
        <sz val="11"/>
        <color theme="1"/>
        <rFont val="Calibri"/>
        <family val="2"/>
        <scheme val="minor"/>
      </rPr>
      <t xml:space="preserve"> visit at 2024/8/9
</t>
    </r>
    <r>
      <rPr>
        <sz val="11"/>
        <color rgb="FFFF0000"/>
        <rFont val="Calibri"/>
        <charset val="134"/>
        <scheme val="minor"/>
      </rPr>
      <t>move to a new location 
about 20,000 ㎡ from 2024/8/1 hard to audit.</t>
    </r>
  </si>
  <si>
    <t>ET79</t>
  </si>
  <si>
    <t>ET88</t>
  </si>
  <si>
    <t>ET92</t>
  </si>
  <si>
    <t>Dongguan Gendian New Materials Co. , Ltd.</t>
  </si>
  <si>
    <t>ET93</t>
  </si>
  <si>
    <t>ET55</t>
  </si>
  <si>
    <t>Guangzhou yilian electronic Co. , Ltd.</t>
  </si>
  <si>
    <t>ET56</t>
  </si>
  <si>
    <t>Manufacturer</t>
  </si>
  <si>
    <t>Woer</t>
  </si>
  <si>
    <t>ET02</t>
  </si>
  <si>
    <t>ET06</t>
  </si>
  <si>
    <t>ET07</t>
  </si>
  <si>
    <t>ET08</t>
  </si>
  <si>
    <t>ET09</t>
  </si>
  <si>
    <t>ET16</t>
  </si>
  <si>
    <t>ET24</t>
  </si>
  <si>
    <t>ET29</t>
  </si>
  <si>
    <t>ET31</t>
  </si>
  <si>
    <t>ET50</t>
  </si>
  <si>
    <t>ET51</t>
  </si>
  <si>
    <t>ET101</t>
  </si>
  <si>
    <t>1463992106 / 1</t>
  </si>
  <si>
    <t>1463992618 / 1</t>
  </si>
  <si>
    <t>1463992721 / 1</t>
  </si>
  <si>
    <t>1463994195 / 1</t>
  </si>
  <si>
    <t>1463994417 / 1</t>
  </si>
  <si>
    <t>Shenzhen, China</t>
  </si>
  <si>
    <t>ET23</t>
  </si>
  <si>
    <t>ET19</t>
  </si>
  <si>
    <t>1444648635 / 2</t>
  </si>
  <si>
    <t>PP00073-0008</t>
  </si>
  <si>
    <t>1444648763 / 2</t>
  </si>
  <si>
    <t>PP00073-0009</t>
  </si>
  <si>
    <t>PP00108</t>
  </si>
  <si>
    <t>p000566</t>
  </si>
  <si>
    <t>ERRECINQUE S.r.l.</t>
  </si>
  <si>
    <t>VEN329</t>
  </si>
  <si>
    <t>VEN025</t>
  </si>
  <si>
    <t>VEN038</t>
  </si>
  <si>
    <t>VEN238</t>
  </si>
  <si>
    <t>C_ID</t>
  </si>
  <si>
    <t>ZRM982448-02 Rev A</t>
  </si>
  <si>
    <t>711798 4.0 0030</t>
  </si>
  <si>
    <t>CUS2695</t>
  </si>
  <si>
    <t>CUS772</t>
  </si>
  <si>
    <t>CUS696</t>
  </si>
  <si>
    <t>CUS1098</t>
  </si>
  <si>
    <t>CUS1220</t>
  </si>
  <si>
    <t>CUS440</t>
  </si>
  <si>
    <t>CUS570</t>
  </si>
  <si>
    <t>CUS2709</t>
  </si>
  <si>
    <t>CUS1784</t>
  </si>
  <si>
    <t>CUS474</t>
  </si>
  <si>
    <t>CUS1204</t>
  </si>
  <si>
    <t>CUS491</t>
  </si>
  <si>
    <t>CUS2681</t>
  </si>
  <si>
    <t>CUS432</t>
  </si>
  <si>
    <t>CUS531</t>
  </si>
  <si>
    <t>CUS749</t>
  </si>
  <si>
    <t>CUS2645</t>
  </si>
  <si>
    <t>CUS583</t>
  </si>
  <si>
    <t>CUS2739</t>
  </si>
  <si>
    <t>CUS2089</t>
  </si>
  <si>
    <t>CUS624</t>
  </si>
  <si>
    <t>CUS2065</t>
  </si>
  <si>
    <t>CUS2745</t>
  </si>
  <si>
    <t>CUS2202</t>
  </si>
  <si>
    <t>CUS2097</t>
  </si>
  <si>
    <t>CUS2692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</si>
</sst>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_-;\-* #,##0_-;_-* &quot;-&quot;_-;_-@_-"/>
    <numFmt numFmtId="165" formatCode="_-* #,##0.00_-;\-* #,##0.00_-;_-* &quot;-&quot;??_-;_-@_-"/>
    <numFmt numFmtId="166" formatCode="[$-409]d\-mmm\-yy;@"/>
    <numFmt numFmtId="167" formatCode="[$-409]dd\-mmm\-yy;@"/>
    <numFmt numFmtId="168" formatCode="_(&quot;Cr$&quot;* #,##0_);_(&quot;Cr$&quot;* \(#,##0\);_(&quot;Cr$&quot;* &quot;-&quot;_);_(@_)"/>
    <numFmt numFmtId="169" formatCode="_(&quot;Cr$&quot;* #,##0.00_);_(&quot;Cr$&quot;* \(#,##0.00\);_(&quot;Cr$&quot;* &quot;-&quot;??_);_(@_)"/>
    <numFmt numFmtId="170" formatCode="_ * #,##0_)\ _R_$_ ;_ * \(#,##0\)\ _R_$_ ;_ * &quot;-&quot;_)\ _R_$_ ;_ @_ "/>
    <numFmt numFmtId="171" formatCode="_ * #,##0.00_)\ _R_$_ ;_ * \(#,##0.00\)\ _R_$_ ;_ * &quot;-&quot;??_)\ _R_$_ ;_ @_ "/>
    <numFmt numFmtId="172" formatCode="yyyy\-mm\-dd;@"/>
  </numFmts>
  <fonts count="34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sz val="11"/>
      <color indexed="8"/>
      <name val="Calibri"/>
      <family val="2"/>
    </font>
    <font>
      <sz val="11"/>
      <color indexed="27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27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color indexed="19"/>
      <name val="Calibri"/>
      <family val="2"/>
    </font>
    <font>
      <b/>
      <i/>
      <sz val="16"/>
      <name val="Helv"/>
      <family val="2"/>
    </font>
    <font>
      <sz val="10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name val="ＭＳ Ｐゴシック"/>
      <family val="2"/>
      <charset val="134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/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/>
      <top style="double">
        <color indexed="64"/>
      </top>
      <bottom style="dashed">
        <color indexed="64"/>
      </bottom>
      <diagonal/>
    </border>
  </borders>
  <cellStyleXfs count="63">
    <xf numFmtId="0" fontId="0" fillId="0" borderId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5" fillId="21" borderId="0" applyNumberFormat="0" applyBorder="0" applyAlignment="0" applyProtection="0"/>
    <xf numFmtId="0" fontId="6" fillId="22" borderId="3" applyNumberFormat="0" applyAlignment="0" applyProtection="0"/>
    <xf numFmtId="0" fontId="7" fillId="23" borderId="4" applyNumberFormat="0" applyAlignment="0" applyProtection="0"/>
    <xf numFmtId="0" fontId="8" fillId="0" borderId="0" applyNumberFormat="0" applyFill="0" applyBorder="0" applyAlignment="0" applyProtection="0"/>
    <xf numFmtId="0" fontId="9" fillId="12" borderId="0" applyNumberFormat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13" borderId="3" applyNumberFormat="0" applyAlignment="0" applyProtection="0"/>
    <xf numFmtId="0" fontId="15" fillId="0" borderId="8" applyNumberFormat="0" applyFill="0" applyAlignment="0" applyProtection="0"/>
    <xf numFmtId="168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0" fontId="17" fillId="13" borderId="0" applyNumberFormat="0" applyBorder="0" applyAlignment="0" applyProtection="0"/>
    <xf numFmtId="0" fontId="18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10" borderId="9" applyNumberFormat="0" applyFont="0" applyAlignment="0" applyProtection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20" fillId="22" borderId="10" applyNumberFormat="0" applyAlignment="0" applyProtection="0"/>
    <xf numFmtId="9" fontId="19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23" fillId="0" borderId="0"/>
    <xf numFmtId="0" fontId="29" fillId="0" borderId="0"/>
  </cellStyleXfs>
  <cellXfs count="11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15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6" fontId="0" fillId="2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 vertical="center"/>
    </xf>
    <xf numFmtId="167" fontId="0" fillId="2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7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167" fontId="0" fillId="4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7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quotePrefix="1" applyFill="1" applyAlignment="1">
      <alignment horizontal="center"/>
    </xf>
    <xf numFmtId="167" fontId="1" fillId="0" borderId="2" xfId="0" applyNumberFormat="1" applyFont="1" applyBorder="1" applyAlignment="1">
      <alignment horizontal="center" vertical="center" wrapText="1"/>
    </xf>
    <xf numFmtId="167" fontId="0" fillId="24" borderId="0" xfId="0" applyNumberFormat="1" applyFill="1" applyAlignment="1">
      <alignment horizontal="center"/>
    </xf>
    <xf numFmtId="0" fontId="0" fillId="24" borderId="0" xfId="0" applyFill="1" applyAlignment="1">
      <alignment horizontal="center"/>
    </xf>
    <xf numFmtId="0" fontId="0" fillId="24" borderId="0" xfId="0" quotePrefix="1" applyFill="1" applyAlignment="1">
      <alignment horizontal="center"/>
    </xf>
    <xf numFmtId="166" fontId="0" fillId="24" borderId="0" xfId="0" applyNumberFormat="1" applyFill="1" applyAlignment="1">
      <alignment horizontal="center"/>
    </xf>
    <xf numFmtId="0" fontId="0" fillId="7" borderId="0" xfId="0" quotePrefix="1" applyFill="1" applyAlignment="1">
      <alignment horizontal="center"/>
    </xf>
    <xf numFmtId="0" fontId="27" fillId="25" borderId="1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67" fontId="1" fillId="0" borderId="13" xfId="0" applyNumberFormat="1" applyFont="1" applyBorder="1" applyAlignment="1">
      <alignment horizontal="center" vertical="center" wrapText="1"/>
    </xf>
    <xf numFmtId="167" fontId="1" fillId="0" borderId="14" xfId="0" applyNumberFormat="1" applyFont="1" applyBorder="1" applyAlignment="1">
      <alignment horizontal="center" vertical="center" wrapText="1"/>
    </xf>
    <xf numFmtId="0" fontId="0" fillId="0" borderId="15" xfId="0" applyBorder="1"/>
    <xf numFmtId="167" fontId="0" fillId="0" borderId="16" xfId="0" applyNumberFormat="1" applyBorder="1"/>
    <xf numFmtId="0" fontId="0" fillId="0" borderId="16" xfId="0" applyBorder="1"/>
    <xf numFmtId="167" fontId="0" fillId="0" borderId="17" xfId="0" applyNumberFormat="1" applyBorder="1"/>
    <xf numFmtId="0" fontId="0" fillId="0" borderId="18" xfId="0" applyBorder="1"/>
    <xf numFmtId="167" fontId="0" fillId="0" borderId="19" xfId="0" applyNumberFormat="1" applyBorder="1"/>
    <xf numFmtId="0" fontId="0" fillId="0" borderId="19" xfId="0" applyBorder="1"/>
    <xf numFmtId="167" fontId="0" fillId="0" borderId="20" xfId="0" applyNumberFormat="1" applyBorder="1"/>
    <xf numFmtId="0" fontId="1" fillId="0" borderId="0" xfId="0" applyFont="1" applyAlignment="1">
      <alignment horizontal="center" vertical="center" wrapText="1"/>
    </xf>
    <xf numFmtId="0" fontId="0" fillId="2" borderId="0" xfId="0" quotePrefix="1" applyFill="1" applyAlignment="1">
      <alignment horizontal="center"/>
    </xf>
    <xf numFmtId="0" fontId="0" fillId="3" borderId="0" xfId="0" quotePrefix="1" applyFill="1" applyAlignment="1">
      <alignment horizontal="center"/>
    </xf>
    <xf numFmtId="0" fontId="0" fillId="6" borderId="0" xfId="0" applyFill="1" applyAlignment="1">
      <alignment horizontal="center"/>
    </xf>
    <xf numFmtId="0" fontId="0" fillId="24" borderId="0" xfId="0" applyFill="1"/>
    <xf numFmtId="166" fontId="0" fillId="0" borderId="0" xfId="0" applyNumberFormat="1"/>
    <xf numFmtId="166" fontId="1" fillId="0" borderId="13" xfId="0" applyNumberFormat="1" applyFont="1" applyBorder="1" applyAlignment="1">
      <alignment horizontal="center" vertical="center" wrapText="1"/>
    </xf>
    <xf numFmtId="166" fontId="0" fillId="0" borderId="16" xfId="0" applyNumberFormat="1" applyBorder="1"/>
    <xf numFmtId="166" fontId="0" fillId="0" borderId="19" xfId="0" applyNumberFormat="1" applyBorder="1"/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0" fontId="0" fillId="3" borderId="0" xfId="0" applyFill="1" applyAlignment="1">
      <alignment horizontal="center" vertical="center" wrapText="1"/>
    </xf>
    <xf numFmtId="167" fontId="0" fillId="4" borderId="0" xfId="0" applyNumberFormat="1" applyFill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6" borderId="0" xfId="0" applyFill="1"/>
    <xf numFmtId="0" fontId="0" fillId="5" borderId="0" xfId="0" quotePrefix="1" applyFill="1" applyAlignment="1">
      <alignment horizontal="center"/>
    </xf>
    <xf numFmtId="49" fontId="0" fillId="7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0" fontId="0" fillId="2" borderId="0" xfId="0" quotePrefix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67" fontId="30" fillId="0" borderId="0" xfId="62" applyNumberFormat="1" applyFont="1" applyAlignment="1">
      <alignment horizontal="center" vertical="center"/>
    </xf>
    <xf numFmtId="0" fontId="29" fillId="0" borderId="0" xfId="62"/>
    <xf numFmtId="167" fontId="31" fillId="0" borderId="0" xfId="62" applyNumberFormat="1" applyFont="1" applyAlignment="1">
      <alignment horizontal="left" vertical="center"/>
    </xf>
    <xf numFmtId="167" fontId="30" fillId="0" borderId="0" xfId="62" quotePrefix="1" applyNumberFormat="1" applyFont="1" applyAlignment="1">
      <alignment horizontal="center" vertical="center"/>
    </xf>
    <xf numFmtId="167" fontId="29" fillId="0" borderId="0" xfId="62" applyNumberFormat="1" applyAlignment="1">
      <alignment horizontal="center" vertical="center"/>
    </xf>
    <xf numFmtId="0" fontId="31" fillId="0" borderId="22" xfId="62" applyFont="1" applyBorder="1" applyAlignment="1">
      <alignment horizontal="center" vertical="center" wrapText="1"/>
    </xf>
    <xf numFmtId="172" fontId="31" fillId="0" borderId="22" xfId="62" applyNumberFormat="1" applyFont="1" applyBorder="1" applyAlignment="1">
      <alignment horizontal="center" vertical="center" wrapText="1"/>
    </xf>
    <xf numFmtId="0" fontId="29" fillId="0" borderId="0" xfId="62" applyAlignment="1">
      <alignment horizontal="center" vertical="center" wrapText="1"/>
    </xf>
    <xf numFmtId="0" fontId="29" fillId="0" borderId="23" xfId="62" applyBorder="1" applyAlignment="1">
      <alignment horizontal="center"/>
    </xf>
    <xf numFmtId="0" fontId="29" fillId="0" borderId="23" xfId="62" applyBorder="1" applyAlignment="1">
      <alignment horizontal="center" vertical="center"/>
    </xf>
    <xf numFmtId="0" fontId="32" fillId="6" borderId="23" xfId="62" applyFont="1" applyFill="1" applyBorder="1" applyAlignment="1">
      <alignment horizontal="center" vertical="center" wrapText="1"/>
    </xf>
    <xf numFmtId="0" fontId="29" fillId="6" borderId="23" xfId="62" applyFill="1" applyBorder="1" applyAlignment="1">
      <alignment horizontal="center" vertical="center" wrapText="1"/>
    </xf>
    <xf numFmtId="172" fontId="29" fillId="6" borderId="23" xfId="62" applyNumberFormat="1" applyFill="1" applyBorder="1" applyAlignment="1">
      <alignment horizontal="center" vertical="center" wrapText="1"/>
    </xf>
    <xf numFmtId="167" fontId="29" fillId="0" borderId="0" xfId="62" applyNumberFormat="1" applyAlignment="1">
      <alignment horizontal="center"/>
    </xf>
    <xf numFmtId="0" fontId="29" fillId="0" borderId="0" xfId="62" applyAlignment="1">
      <alignment horizontal="center"/>
    </xf>
    <xf numFmtId="172" fontId="29" fillId="0" borderId="0" xfId="62" applyNumberFormat="1" applyAlignment="1">
      <alignment horizontal="center"/>
    </xf>
    <xf numFmtId="0" fontId="29" fillId="6" borderId="24" xfId="62" applyFill="1" applyBorder="1" applyAlignment="1">
      <alignment horizontal="center" vertical="center" wrapText="1"/>
    </xf>
    <xf numFmtId="0" fontId="29" fillId="6" borderId="25" xfId="62" applyFill="1" applyBorder="1" applyAlignment="1">
      <alignment horizontal="center" vertical="center" wrapText="1"/>
    </xf>
    <xf numFmtId="172" fontId="29" fillId="6" borderId="24" xfId="62" applyNumberFormat="1" applyFill="1" applyBorder="1" applyAlignment="1">
      <alignment horizontal="center" vertical="center" wrapText="1"/>
    </xf>
    <xf numFmtId="0" fontId="29" fillId="6" borderId="23" xfId="62" applyFill="1" applyBorder="1" applyAlignment="1">
      <alignment horizontal="center" wrapText="1"/>
    </xf>
    <xf numFmtId="0" fontId="29" fillId="0" borderId="24" xfId="62" applyBorder="1" applyAlignment="1">
      <alignment horizontal="center" vertical="center" wrapText="1"/>
    </xf>
    <xf numFmtId="0" fontId="29" fillId="0" borderId="24" xfId="62" quotePrefix="1" applyBorder="1" applyAlignment="1">
      <alignment horizontal="center" vertical="center" wrapText="1"/>
    </xf>
    <xf numFmtId="172" fontId="29" fillId="0" borderId="24" xfId="62" applyNumberFormat="1" applyBorder="1" applyAlignment="1">
      <alignment horizontal="center" vertical="center" wrapText="1"/>
    </xf>
    <xf numFmtId="172" fontId="29" fillId="6" borderId="25" xfId="62" quotePrefix="1" applyNumberFormat="1" applyFill="1" applyBorder="1" applyAlignment="1">
      <alignment horizontal="center" vertical="center" wrapText="1"/>
    </xf>
    <xf numFmtId="172" fontId="29" fillId="6" borderId="23" xfId="62" quotePrefix="1" applyNumberFormat="1" applyFill="1" applyBorder="1" applyAlignment="1">
      <alignment horizontal="center" wrapText="1"/>
    </xf>
    <xf numFmtId="167" fontId="31" fillId="0" borderId="22" xfId="62" applyNumberFormat="1" applyFont="1" applyBorder="1" applyAlignment="1">
      <alignment horizontal="center" vertical="center" wrapText="1"/>
    </xf>
    <xf numFmtId="167" fontId="29" fillId="6" borderId="23" xfId="62" applyNumberFormat="1" applyFill="1" applyBorder="1" applyAlignment="1">
      <alignment horizontal="center" vertical="center" wrapText="1"/>
    </xf>
    <xf numFmtId="167" fontId="29" fillId="0" borderId="24" xfId="62" applyNumberFormat="1" applyBorder="1" applyAlignment="1">
      <alignment horizontal="center" vertical="center" wrapText="1"/>
    </xf>
    <xf numFmtId="167" fontId="29" fillId="6" borderId="25" xfId="62" applyNumberFormat="1" applyFill="1" applyBorder="1" applyAlignment="1">
      <alignment horizontal="center" vertical="center" wrapText="1"/>
    </xf>
    <xf numFmtId="167" fontId="29" fillId="6" borderId="23" xfId="62" applyNumberFormat="1" applyFill="1" applyBorder="1" applyAlignment="1">
      <alignment horizontal="center" wrapText="1"/>
    </xf>
    <xf numFmtId="167" fontId="29" fillId="6" borderId="24" xfId="62" applyNumberForma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9" fillId="26" borderId="23" xfId="62" applyFill="1" applyBorder="1" applyAlignment="1">
      <alignment horizontal="center"/>
    </xf>
    <xf numFmtId="49" fontId="0" fillId="5" borderId="0" xfId="0" quotePrefix="1" applyNumberForma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27" borderId="0" xfId="0" applyFill="1" applyAlignment="1">
      <alignment horizontal="center"/>
    </xf>
    <xf numFmtId="0" fontId="0" fillId="29" borderId="0" xfId="0" applyFill="1" applyAlignment="1">
      <alignment horizontal="center"/>
    </xf>
    <xf numFmtId="0" fontId="0" fillId="29" borderId="0" xfId="0" applyFill="1" applyAlignment="1">
      <alignment horizontal="center" vertical="center"/>
    </xf>
    <xf numFmtId="0" fontId="0" fillId="28" borderId="0" xfId="0" applyFill="1" applyAlignment="1">
      <alignment horizontal="center"/>
    </xf>
    <xf numFmtId="167" fontId="30" fillId="0" borderId="0" xfId="62" applyNumberFormat="1" applyFont="1" applyAlignment="1">
      <alignment horizontal="center" vertical="center"/>
    </xf>
    <xf numFmtId="167" fontId="30" fillId="0" borderId="21" xfId="62" applyNumberFormat="1" applyFont="1" applyBorder="1" applyAlignment="1">
      <alignment horizontal="center" vertical="center"/>
    </xf>
  </cellXfs>
  <cellStyles count="63">
    <cellStyle name="20% - Accent1 2" xfId="1" xr:uid="{94B6D740-8DCA-4A63-80DC-3F533BE24CE6}"/>
    <cellStyle name="20% - Accent2 2" xfId="2" xr:uid="{102A1793-4710-4F57-BAE9-6371A601F6CA}"/>
    <cellStyle name="20% - Accent3 2" xfId="3" xr:uid="{0A06292B-CC70-4527-A207-4EC63E5D75B7}"/>
    <cellStyle name="20% - Accent4 2" xfId="4" xr:uid="{6DF63AC7-80D8-443D-96D0-5A998E4DAE58}"/>
    <cellStyle name="20% - Accent5 2" xfId="5" xr:uid="{B5436655-D978-4C74-AE4E-2AC9F6D70167}"/>
    <cellStyle name="20% - Accent6 2" xfId="6" xr:uid="{6AAD8FE6-D747-4403-B7BF-EA95D26241BB}"/>
    <cellStyle name="40% - Accent1 2" xfId="7" xr:uid="{DDF10963-7669-4F63-9078-914A0ADB7119}"/>
    <cellStyle name="40% - Accent2 2" xfId="8" xr:uid="{A643B86D-EB6D-4966-B0F0-3621F735040B}"/>
    <cellStyle name="40% - Accent3 2" xfId="9" xr:uid="{D5DD15E2-AC7B-4DC0-AF01-C8E089AE6E16}"/>
    <cellStyle name="40% - Accent4 2" xfId="10" xr:uid="{22DA4321-8530-4C85-9531-5E24780F28B8}"/>
    <cellStyle name="40% - Accent5 2" xfId="11" xr:uid="{8B18381B-CB69-444C-947B-E8A72351E15C}"/>
    <cellStyle name="40% - Accent6 2" xfId="12" xr:uid="{4CD6A4F1-5F75-48C3-9231-D21981AE07E6}"/>
    <cellStyle name="60% - Accent1 2" xfId="13" xr:uid="{9B1151FB-5D28-4D6B-BEA9-7A026AE4DABC}"/>
    <cellStyle name="60% - Accent2 2" xfId="14" xr:uid="{B94CCF08-FCBC-45C4-90B7-FE9A45A408F4}"/>
    <cellStyle name="60% - Accent3 2" xfId="15" xr:uid="{B05A6D70-E43D-490F-97B3-17972704C6A1}"/>
    <cellStyle name="60% - Accent4 2" xfId="16" xr:uid="{D638E8A3-DF4D-45C8-82F1-30DE17078FB6}"/>
    <cellStyle name="60% - Accent5 2" xfId="17" xr:uid="{92A75CB0-736A-4B02-816C-A8511D52E19B}"/>
    <cellStyle name="60% - Accent6 2" xfId="18" xr:uid="{6F7CF869-AF01-408E-A0FB-41AE034F95DA}"/>
    <cellStyle name="Accent1 2" xfId="19" xr:uid="{754068CE-A3C9-4DC3-9513-D568376FC433}"/>
    <cellStyle name="Accent2 2" xfId="20" xr:uid="{6F821DD1-2CED-4DC0-8C3E-E3BCAEED90B6}"/>
    <cellStyle name="Accent3 2" xfId="21" xr:uid="{7EFB9270-B4CA-40AB-B355-50E9E3C22CF2}"/>
    <cellStyle name="Accent4 2" xfId="22" xr:uid="{7337E453-E4BC-4928-9C0E-20C033A27237}"/>
    <cellStyle name="Accent5 2" xfId="23" xr:uid="{758DA1DB-F1E1-4EF2-8CCF-BCCB4EFC3429}"/>
    <cellStyle name="Accent6 2" xfId="24" xr:uid="{1DCDF0B8-B9F9-4968-B993-62CC889CAE1E}"/>
    <cellStyle name="Bad 2" xfId="25" xr:uid="{A4D1D902-A54A-493E-8BA2-F5BC21560D81}"/>
    <cellStyle name="Calculation 2" xfId="26" xr:uid="{F19E3C3E-B719-47F2-9673-E3FB7C4164E1}"/>
    <cellStyle name="Check Cell 2" xfId="27" xr:uid="{C48EA781-C4B3-48E5-AB9C-F94C509BEC1A}"/>
    <cellStyle name="Explanatory Text 2" xfId="28" xr:uid="{7058C3AC-9CC8-4750-807B-7595F7233E52}"/>
    <cellStyle name="Good 2" xfId="29" xr:uid="{D8E496BC-3594-4307-9D17-CBF1E37B58D9}"/>
    <cellStyle name="Heading 1 2" xfId="30" xr:uid="{F052AFB2-7077-4AEB-BDBF-5BD61CE311BF}"/>
    <cellStyle name="Heading 2 2" xfId="31" xr:uid="{B1FE5C3B-38F5-4CE1-8B10-D7A3374DF892}"/>
    <cellStyle name="Heading 3 2" xfId="32" xr:uid="{B98930DC-E8E3-42DA-A3E4-6098802F7D7D}"/>
    <cellStyle name="Heading 4 2" xfId="33" xr:uid="{E9CED025-EE09-4C67-A23A-D6BF25991A47}"/>
    <cellStyle name="Hyperlink 2" xfId="34" xr:uid="{6B56E312-0A73-484B-9169-052D462EA90B}"/>
    <cellStyle name="Input 2" xfId="35" xr:uid="{78DF0812-4ED1-4BE0-82D2-010E0671E743}"/>
    <cellStyle name="Linked Cell 2" xfId="36" xr:uid="{0E9BD748-3FFE-40BC-AD1E-BC43117A27EE}"/>
    <cellStyle name="Moeda [0]_aola" xfId="37" xr:uid="{8F64EE7F-33BD-4E04-93B8-B70F4280E6E0}"/>
    <cellStyle name="Moeda_aola" xfId="38" xr:uid="{3BFCD9D3-C7E6-4F1E-92A0-3D81096BE254}"/>
    <cellStyle name="Neutral 2" xfId="39" xr:uid="{06F98D7F-6CA9-4872-9AB4-5849EBFFB460}"/>
    <cellStyle name="Normal" xfId="0" builtinId="0"/>
    <cellStyle name="Normal - Style1" xfId="40" xr:uid="{D6937B87-BDD3-4D19-88D2-14CB66D590AC}"/>
    <cellStyle name="Normal 2" xfId="41" xr:uid="{0A3AD02C-CF7C-4923-A0F8-E3F7B7BED1A0}"/>
    <cellStyle name="Normal 2 2" xfId="42" xr:uid="{9D0165B7-A7F3-4530-8278-B1DD0829350C}"/>
    <cellStyle name="Normal 3" xfId="43" xr:uid="{80299ED6-DD52-41BD-BF88-67201679AD17}"/>
    <cellStyle name="Normal 4" xfId="44" xr:uid="{A5BBA4C3-EF8E-4807-A4CD-A0A7C83422B7}"/>
    <cellStyle name="Normal 5" xfId="45" xr:uid="{0BE539FE-A28A-427C-BF9E-71A78A3F6D66}"/>
    <cellStyle name="Normal 6" xfId="46" xr:uid="{4046048C-9982-4A6B-BF81-74BA03F1E6D5}"/>
    <cellStyle name="Normal 7" xfId="62" xr:uid="{DA2F68DD-6DAE-4A3B-9E10-737C6D9FD928}"/>
    <cellStyle name="Note 2" xfId="47" xr:uid="{5693701B-342A-4285-8ABE-3BF75C42B060}"/>
    <cellStyle name="Œ…‹æØ‚è [0.00]_laroux" xfId="48" xr:uid="{DAFA7390-7156-4AD7-A820-6E361B55E6ED}"/>
    <cellStyle name="Œ…‹æØ‚è_laroux" xfId="49" xr:uid="{1453D730-772D-4839-9D45-1A0090415740}"/>
    <cellStyle name="Output 2" xfId="50" xr:uid="{E96D372A-22AE-4823-B5C8-1F68F4F9745D}"/>
    <cellStyle name="Percent 2" xfId="51" xr:uid="{F408504E-6129-4C33-AB48-7F1DB3568A59}"/>
    <cellStyle name="Separador de milhares [0]_Person" xfId="52" xr:uid="{49183E93-DE01-4AD3-8D61-A4D2016DAB0E}"/>
    <cellStyle name="Separador de milhares_Person" xfId="53" xr:uid="{3462460D-E84E-47BF-BE49-FCD1467AE4BB}"/>
    <cellStyle name="Title 2" xfId="54" xr:uid="{AACF8FC6-0977-4C27-A548-ECC6D53014AA}"/>
    <cellStyle name="Total 2" xfId="55" xr:uid="{72957838-0406-47EC-8C42-DF7985581B1C}"/>
    <cellStyle name="Warning Text 2" xfId="56" xr:uid="{D3603B59-D3B7-4BB1-8AED-64210876D73B}"/>
    <cellStyle name="표준_Sheet1" xfId="57" xr:uid="{2D3F6C91-21C6-426D-8F51-11958AF93859}"/>
    <cellStyle name="千位[0]_ 尺寸1" xfId="58" xr:uid="{A3A5647E-7AC5-4DAE-93CE-2F5B9285757E}"/>
    <cellStyle name="千位_ 尺寸1" xfId="59" xr:uid="{15961F61-BBDC-43E9-87E2-38F50A3C424D}"/>
    <cellStyle name="常规 2" xfId="60" xr:uid="{23CA5EC1-C1C0-41B5-86E3-EDE5160C5CD2}"/>
    <cellStyle name="常规 2 2" xfId="61" xr:uid="{A5756725-CC61-4A7C-A14C-6A8EC90CA571}"/>
  </cellStyles>
  <dxfs count="100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9C8E3-A106-46F8-80B7-A79347373A66}">
  <sheetPr codeName="Sheet1">
    <tabColor rgb="FFFFFF00"/>
  </sheetPr>
  <dimension ref="B1:Y26"/>
  <sheetViews>
    <sheetView workbookViewId="0">
      <selection activeCell="C5" sqref="C5"/>
    </sheetView>
  </sheetViews>
  <sheetFormatPr defaultColWidth="8.7265625" defaultRowHeight="14.5"/>
  <cols>
    <col min="2" max="2" width="14.54296875" bestFit="1" customWidth="1"/>
    <col min="3" max="3" width="16.1796875" customWidth="1"/>
    <col min="4" max="4" width="36.1796875" bestFit="1" customWidth="1"/>
    <col min="5" max="5" width="12.54296875" customWidth="1"/>
    <col min="6" max="6" width="17.81640625" bestFit="1" customWidth="1"/>
    <col min="7" max="7" width="12.1796875" customWidth="1"/>
    <col min="8" max="8" width="33.1796875" customWidth="1"/>
    <col min="11" max="11" width="9.453125" customWidth="1"/>
    <col min="12" max="12" width="5.1796875" bestFit="1" customWidth="1"/>
    <col min="13" max="13" width="12.7265625" customWidth="1"/>
    <col min="14" max="14" width="31.54296875" customWidth="1"/>
    <col min="15" max="15" width="14.81640625" customWidth="1"/>
    <col min="16" max="16" width="7.453125" bestFit="1" customWidth="1"/>
    <col min="17" max="17" width="10.1796875" style="51" bestFit="1" customWidth="1"/>
    <col min="18" max="19" width="9.81640625" style="51" bestFit="1" customWidth="1"/>
    <col min="20" max="20" width="11.26953125" style="51" bestFit="1" customWidth="1"/>
    <col min="21" max="21" width="6.7265625" bestFit="1" customWidth="1"/>
    <col min="22" max="22" width="14" customWidth="1"/>
    <col min="23" max="23" width="19.7265625" customWidth="1"/>
    <col min="24" max="24" width="13.54296875" customWidth="1"/>
    <col min="25" max="25" width="13.453125" customWidth="1"/>
  </cols>
  <sheetData>
    <row r="1" spans="2:25" ht="15" thickBot="1"/>
    <row r="2" spans="2:25" ht="24" thickBot="1">
      <c r="B2" s="33" t="s">
        <v>0</v>
      </c>
      <c r="C2" s="32" t="s">
        <v>3660</v>
      </c>
    </row>
    <row r="3" spans="2:25" ht="15" thickBot="1"/>
    <row r="4" spans="2:25" ht="56.5" thickTop="1">
      <c r="B4" s="34" t="s">
        <v>1</v>
      </c>
      <c r="C4" s="35" t="s">
        <v>2</v>
      </c>
      <c r="D4" s="35" t="s">
        <v>3</v>
      </c>
      <c r="E4" s="35" t="s">
        <v>4</v>
      </c>
      <c r="F4" s="35" t="s">
        <v>5</v>
      </c>
      <c r="G4" s="35" t="s">
        <v>6</v>
      </c>
      <c r="H4" s="35" t="s">
        <v>7</v>
      </c>
      <c r="I4" s="35" t="s">
        <v>8</v>
      </c>
      <c r="J4" s="101" t="s">
        <v>3633</v>
      </c>
      <c r="K4" s="35" t="s">
        <v>9</v>
      </c>
      <c r="L4" s="35" t="s">
        <v>10</v>
      </c>
      <c r="M4" s="35" t="s">
        <v>11</v>
      </c>
      <c r="N4" s="35" t="s">
        <v>12</v>
      </c>
      <c r="O4" s="35" t="s">
        <v>13</v>
      </c>
      <c r="P4" s="35" t="s">
        <v>14</v>
      </c>
      <c r="Q4" s="52" t="s">
        <v>15</v>
      </c>
      <c r="R4" s="52" t="s">
        <v>16</v>
      </c>
      <c r="S4" s="52" t="s">
        <v>17</v>
      </c>
      <c r="T4" s="52" t="s">
        <v>18</v>
      </c>
      <c r="U4" s="35" t="s">
        <v>19</v>
      </c>
      <c r="V4" s="35" t="s">
        <v>20</v>
      </c>
      <c r="W4" s="35" t="s">
        <v>21</v>
      </c>
      <c r="X4" s="36" t="s">
        <v>22</v>
      </c>
      <c r="Y4" s="37" t="s">
        <v>23</v>
      </c>
    </row>
    <row r="5" spans="2:25">
      <c r="B5" s="38" t="str" cm="1">
        <f t="array" ref="B5">IFERROR(INDEX('MASTER LIST'!B:B,SMALL(IF('MASTER LIST'!$N:$N=$C$2,ROW('MASTER LIST'!$N:$N),""),ROWS(B$5:B5))),"")</f>
        <v/>
      </c>
      <c r="C5" s="39" t="str" cm="1">
        <f t="array" ref="C5">IFERROR(INDEX('MASTER LIST'!C:C,SMALL(IF('MASTER LIST'!$N:$N=$C$2,ROW('MASTER LIST'!$N:$N),""),ROWS(C$5:C5))),"")</f>
        <v/>
      </c>
      <c r="D5" s="40" t="str" cm="1">
        <f t="array" ref="D5">IFERROR(INDEX('MASTER LIST'!D:D,SMALL(IF('MASTER LIST'!$N:$N=$C$2,ROW('MASTER LIST'!$N:$N),""),ROWS(D$5:D5))),"")</f>
        <v/>
      </c>
      <c r="E5" s="40" t="str" cm="1">
        <f t="array" ref="E5">IFERROR(INDEX('MASTER LIST'!E:E,SMALL(IF('MASTER LIST'!$N:$N=$C$2,ROW('MASTER LIST'!$N:$N),""),ROWS(E$5:E5))),"")</f>
        <v/>
      </c>
      <c r="F5" s="40" t="str" cm="1">
        <f t="array" ref="F5">IFERROR(INDEX('MASTER LIST'!G:G,SMALL(IF('MASTER LIST'!$N:$N=$C$2,ROW('MASTER LIST'!$N:$N),""),ROWS(F$5:F5))),"")</f>
        <v/>
      </c>
      <c r="G5" s="40" t="str" cm="1">
        <f t="array" ref="G5">IFERROR(INDEX('MASTER LIST'!H:H,SMALL(IF('MASTER LIST'!$N:$N=$C$2,ROW('MASTER LIST'!$N:$N),""),ROWS(G$5:G5))),"")</f>
        <v/>
      </c>
      <c r="H5" s="40" t="str" cm="1">
        <f t="array" ref="H5">IFERROR(INDEX('MASTER LIST'!I:I,SMALL(IF('MASTER LIST'!$N:$N=$C$2,ROW('MASTER LIST'!$N:$N),""),ROWS(H$5:H5))),"")</f>
        <v/>
      </c>
      <c r="I5" s="40" t="str" cm="1">
        <f t="array" ref="I5">IFERROR(INDEX('MASTER LIST'!J:J,SMALL(IF('MASTER LIST'!$N:$N=$C$2,ROW('MASTER LIST'!$N:$N),""),ROWS(I$5:I5))),"")</f>
        <v/>
      </c>
      <c r="J5" s="40" t="str" cm="1">
        <f t="array" ref="J5">IFERROR(INDEX('MASTER LIST'!K:K,SMALL(IF('MASTER LIST'!$N:$N=$C$2,ROW('MASTER LIST'!$N:$N),""),ROWS(J$5:J5))),"")</f>
        <v/>
      </c>
      <c r="K5" s="40" t="str" cm="1">
        <f t="array" ref="K5">IFERROR(INDEX('MASTER LIST'!L:L,SMALL(IF('MASTER LIST'!$N:$N=$C$2,ROW('MASTER LIST'!$N:$N),""),ROWS(K$5:K5))),"")</f>
        <v/>
      </c>
      <c r="L5" s="40" t="str" cm="1">
        <f t="array" ref="L5">IFERROR(INDEX('MASTER LIST'!M:M,SMALL(IF('MASTER LIST'!$N:$N=$C$2,ROW('MASTER LIST'!$N:$N),""),ROWS(L$5:L5))),"")</f>
        <v/>
      </c>
      <c r="M5" s="40" t="str" cm="1">
        <f t="array" ref="M5">IFERROR(INDEX('MASTER LIST'!N:N,SMALL(IF('MASTER LIST'!$N:$N=$C$2,ROW('MASTER LIST'!$N:$N),""),ROWS(M$5:M5))),"")</f>
        <v/>
      </c>
      <c r="N5" s="40" t="str" cm="1">
        <f t="array" ref="N5">IFERROR(INDEX('MASTER LIST'!P:P,SMALL(IF('MASTER LIST'!$N:$N=$C$2,ROW('MASTER LIST'!$N:$N),""),ROWS(N$5:N5))),"")</f>
        <v/>
      </c>
      <c r="O5" s="40" t="str" cm="1">
        <f t="array" ref="O5">IFERROR(INDEX('MASTER LIST'!Q:Q,SMALL(IF('MASTER LIST'!$N:$N=$C$2,ROW('MASTER LIST'!$N:$N),""),ROWS(O$5:O5))),"")</f>
        <v/>
      </c>
      <c r="P5" s="40" t="str" cm="1">
        <f t="array" ref="P5">IFERROR(INDEX('MASTER LIST'!#REF!,SMALL(IF('MASTER LIST'!$N:$N=$C$2,ROW('MASTER LIST'!$N:$N),""),ROWS(P$5:P5))),"")</f>
        <v/>
      </c>
      <c r="Q5" s="53" t="str" cm="1">
        <f t="array" ref="Q5">IFERROR(INDEX('MASTER LIST'!R:R,SMALL(IF('MASTER LIST'!$N:$N=$C$2,ROW('MASTER LIST'!$N:$N),""),ROWS(Q$5:Q5))),"")</f>
        <v/>
      </c>
      <c r="R5" s="53" t="str" cm="1">
        <f t="array" ref="R5">IFERROR(INDEX('MASTER LIST'!#REF!,SMALL(IF('MASTER LIST'!$N:$N=$C$2,ROW('MASTER LIST'!$N:$N),""),ROWS(R$5:R5))),"")</f>
        <v/>
      </c>
      <c r="S5" s="53" t="str" cm="1">
        <f t="array" ref="S5">IFERROR(INDEX('MASTER LIST'!#REF!,SMALL(IF('MASTER LIST'!$N:$N=$C$2,ROW('MASTER LIST'!$N:$N),""),ROWS(S$5:S5))),"")</f>
        <v/>
      </c>
      <c r="T5" s="53" t="str" cm="1">
        <f t="array" ref="T5">IFERROR(INDEX('MASTER LIST'!#REF!,SMALL(IF('MASTER LIST'!$N:$N=$C$2,ROW('MASTER LIST'!$N:$N),""),ROWS(T$5:T5))),"")</f>
        <v/>
      </c>
      <c r="U5" s="40" t="str" cm="1">
        <f t="array" ref="U5">IFERROR(INDEX('MASTER LIST'!S:S,SMALL(IF('MASTER LIST'!$N:$N=$C$2,ROW('MASTER LIST'!$N:$N),""),ROWS(U$5:U5))),"")</f>
        <v/>
      </c>
      <c r="V5" s="40" t="str" cm="1">
        <f t="array" ref="V5">IFERROR(INDEX('MASTER LIST'!T:T,SMALL(IF('MASTER LIST'!$N:$N=$C$2,ROW('MASTER LIST'!$N:$N),""),ROWS(V$5:V5))),"")</f>
        <v/>
      </c>
      <c r="W5" s="40" t="str" cm="1">
        <f t="array" ref="W5">IFERROR(INDEX('MASTER LIST'!U:U,SMALL(IF('MASTER LIST'!$N:$N=$C$2,ROW('MASTER LIST'!$N:$N),""),ROWS(W$5:W5))),"")</f>
        <v/>
      </c>
      <c r="X5" s="39" t="str" cm="1">
        <f t="array" ref="X5">IFERROR(INDEX('MASTER LIST'!V:V,SMALL(IF('MASTER LIST'!$N:$N=$C$2,ROW('MASTER LIST'!$N:$N),""),ROWS(X$5:X5))),"")</f>
        <v/>
      </c>
      <c r="Y5" s="41" t="str" cm="1">
        <f t="array" ref="Y5">IFERROR(INDEX('MASTER LIST'!W:W,SMALL(IF('MASTER LIST'!$N:$N=$C$2,ROW('MASTER LIST'!$N:$N),""),ROWS(Y$5:Y5))),"")</f>
        <v/>
      </c>
    </row>
    <row r="6" spans="2:25">
      <c r="B6" s="38" t="str" cm="1">
        <f t="array" ref="B6">IFERROR(INDEX('MASTER LIST'!B:B,SMALL(IF('MASTER LIST'!$N:$N=$C$2,ROW('MASTER LIST'!$N:$N),""),ROWS(B$5:B6))),"")</f>
        <v/>
      </c>
      <c r="C6" s="39" t="str" cm="1">
        <f t="array" ref="C6">IFERROR(INDEX('MASTER LIST'!C:C,SMALL(IF('MASTER LIST'!$N:$N=$C$2,ROW('MASTER LIST'!$N:$N),""),ROWS(C$5:C6))),"")</f>
        <v/>
      </c>
      <c r="D6" s="40" t="str" cm="1">
        <f t="array" ref="D6">IFERROR(INDEX('MASTER LIST'!D:D,SMALL(IF('MASTER LIST'!$N:$N=$C$2,ROW('MASTER LIST'!$N:$N),""),ROWS(D$5:D6))),"")</f>
        <v/>
      </c>
      <c r="E6" s="40" t="str" cm="1">
        <f t="array" ref="E6">IFERROR(INDEX('MASTER LIST'!E:E,SMALL(IF('MASTER LIST'!$N:$N=$C$2,ROW('MASTER LIST'!$N:$N),""),ROWS(E$5:E6))),"")</f>
        <v/>
      </c>
      <c r="F6" s="40" t="str" cm="1">
        <f t="array" ref="F6">IFERROR(INDEX('MASTER LIST'!G:G,SMALL(IF('MASTER LIST'!$N:$N=$C$2,ROW('MASTER LIST'!$N:$N),""),ROWS(F$5:F6))),"")</f>
        <v/>
      </c>
      <c r="G6" s="40" t="str" cm="1">
        <f t="array" ref="G6">IFERROR(INDEX('MASTER LIST'!H:H,SMALL(IF('MASTER LIST'!$N:$N=$C$2,ROW('MASTER LIST'!$N:$N),""),ROWS(G$5:G6))),"")</f>
        <v/>
      </c>
      <c r="H6" s="40" t="str" cm="1">
        <f t="array" ref="H6">IFERROR(INDEX('MASTER LIST'!I:I,SMALL(IF('MASTER LIST'!$N:$N=$C$2,ROW('MASTER LIST'!$N:$N),""),ROWS(H$5:H6))),"")</f>
        <v/>
      </c>
      <c r="I6" s="40" t="str" cm="1">
        <f t="array" ref="I6">IFERROR(INDEX('MASTER LIST'!J:J,SMALL(IF('MASTER LIST'!$N:$N=$C$2,ROW('MASTER LIST'!$N:$N),""),ROWS(I$5:I6))),"")</f>
        <v/>
      </c>
      <c r="J6" s="40" t="str" cm="1">
        <f t="array" ref="J6">IFERROR(INDEX('MASTER LIST'!K:K,SMALL(IF('MASTER LIST'!$N:$N=$C$2,ROW('MASTER LIST'!$N:$N),""),ROWS(J$5:J6))),"")</f>
        <v/>
      </c>
      <c r="K6" s="40" t="str" cm="1">
        <f t="array" ref="K6">IFERROR(INDEX('MASTER LIST'!L:L,SMALL(IF('MASTER LIST'!$N:$N=$C$2,ROW('MASTER LIST'!$N:$N),""),ROWS(K$5:K6))),"")</f>
        <v/>
      </c>
      <c r="L6" s="40" t="str" cm="1">
        <f t="array" ref="L6">IFERROR(INDEX('MASTER LIST'!M:M,SMALL(IF('MASTER LIST'!$N:$N=$C$2,ROW('MASTER LIST'!$N:$N),""),ROWS(L$5:L6))),"")</f>
        <v/>
      </c>
      <c r="M6" s="40" t="str" cm="1">
        <f t="array" ref="M6">IFERROR(INDEX('MASTER LIST'!N:N,SMALL(IF('MASTER LIST'!$N:$N=$C$2,ROW('MASTER LIST'!$N:$N),""),ROWS(M$5:M6))),"")</f>
        <v/>
      </c>
      <c r="N6" s="40" t="str" cm="1">
        <f t="array" ref="N6">IFERROR(INDEX('MASTER LIST'!P:P,SMALL(IF('MASTER LIST'!$N:$N=$C$2,ROW('MASTER LIST'!$N:$N),""),ROWS(N$5:N6))),"")</f>
        <v/>
      </c>
      <c r="O6" s="40" t="str" cm="1">
        <f t="array" ref="O6">IFERROR(INDEX('MASTER LIST'!Q:Q,SMALL(IF('MASTER LIST'!$N:$N=$C$2,ROW('MASTER LIST'!$N:$N),""),ROWS(O$5:O6))),"")</f>
        <v/>
      </c>
      <c r="P6" s="40" t="str" cm="1">
        <f t="array" ref="P6">IFERROR(INDEX('MASTER LIST'!#REF!,SMALL(IF('MASTER LIST'!$N:$N=$C$2,ROW('MASTER LIST'!$N:$N),""),ROWS(P$5:P6))),"")</f>
        <v/>
      </c>
      <c r="Q6" s="53" t="str" cm="1">
        <f t="array" ref="Q6">IFERROR(INDEX('MASTER LIST'!R:R,SMALL(IF('MASTER LIST'!$N:$N=$C$2,ROW('MASTER LIST'!$N:$N),""),ROWS(Q$5:Q6))),"")</f>
        <v/>
      </c>
      <c r="R6" s="53" t="str" cm="1">
        <f t="array" ref="R6">IFERROR(INDEX('MASTER LIST'!#REF!,SMALL(IF('MASTER LIST'!$N:$N=$C$2,ROW('MASTER LIST'!$N:$N),""),ROWS(R$5:R6))),"")</f>
        <v/>
      </c>
      <c r="S6" s="53" t="str" cm="1">
        <f t="array" ref="S6">IFERROR(INDEX('MASTER LIST'!#REF!,SMALL(IF('MASTER LIST'!$N:$N=$C$2,ROW('MASTER LIST'!$N:$N),""),ROWS(S$5:S6))),"")</f>
        <v/>
      </c>
      <c r="T6" s="53" t="str" cm="1">
        <f t="array" ref="T6">IFERROR(INDEX('MASTER LIST'!#REF!,SMALL(IF('MASTER LIST'!$N:$N=$C$2,ROW('MASTER LIST'!$N:$N),""),ROWS(T$5:T6))),"")</f>
        <v/>
      </c>
      <c r="U6" s="40" t="str" cm="1">
        <f t="array" ref="U6">IFERROR(INDEX('MASTER LIST'!S:S,SMALL(IF('MASTER LIST'!$N:$N=$C$2,ROW('MASTER LIST'!$N:$N),""),ROWS(U$5:U6))),"")</f>
        <v/>
      </c>
      <c r="V6" s="40" t="str" cm="1">
        <f t="array" ref="V6">IFERROR(INDEX('MASTER LIST'!T:T,SMALL(IF('MASTER LIST'!$N:$N=$C$2,ROW('MASTER LIST'!$N:$N),""),ROWS(V$5:V6))),"")</f>
        <v/>
      </c>
      <c r="W6" s="40" t="str" cm="1">
        <f t="array" ref="W6">IFERROR(INDEX('MASTER LIST'!U:U,SMALL(IF('MASTER LIST'!$N:$N=$C$2,ROW('MASTER LIST'!$N:$N),""),ROWS(W$5:W6))),"")</f>
        <v/>
      </c>
      <c r="X6" s="39" t="str" cm="1">
        <f t="array" ref="X6">IFERROR(INDEX('MASTER LIST'!V:V,SMALL(IF('MASTER LIST'!$N:$N=$C$2,ROW('MASTER LIST'!$N:$N),""),ROWS(X$5:X6))),"")</f>
        <v/>
      </c>
      <c r="Y6" s="41" t="str" cm="1">
        <f t="array" ref="Y6">IFERROR(INDEX('MASTER LIST'!W:W,SMALL(IF('MASTER LIST'!$N:$N=$C$2,ROW('MASTER LIST'!$N:$N),""),ROWS(Y$5:Y6))),"")</f>
        <v/>
      </c>
    </row>
    <row r="7" spans="2:25">
      <c r="B7" s="38" t="str" cm="1">
        <f t="array" ref="B7">IFERROR(INDEX('MASTER LIST'!B:B,SMALL(IF('MASTER LIST'!$N:$N=$C$2,ROW('MASTER LIST'!$N:$N),""),ROWS(B$5:B7))),"")</f>
        <v/>
      </c>
      <c r="C7" s="39" t="str" cm="1">
        <f t="array" ref="C7">IFERROR(INDEX('MASTER LIST'!C:C,SMALL(IF('MASTER LIST'!$N:$N=$C$2,ROW('MASTER LIST'!$N:$N),""),ROWS(C$5:C7))),"")</f>
        <v/>
      </c>
      <c r="D7" s="40" t="str" cm="1">
        <f t="array" ref="D7">IFERROR(INDEX('MASTER LIST'!D:D,SMALL(IF('MASTER LIST'!$N:$N=$C$2,ROW('MASTER LIST'!$N:$N),""),ROWS(D$5:D7))),"")</f>
        <v/>
      </c>
      <c r="E7" s="40" t="str" cm="1">
        <f t="array" ref="E7">IFERROR(INDEX('MASTER LIST'!E:E,SMALL(IF('MASTER LIST'!$N:$N=$C$2,ROW('MASTER LIST'!$N:$N),""),ROWS(E$5:E7))),"")</f>
        <v/>
      </c>
      <c r="F7" s="40" t="str" cm="1">
        <f t="array" ref="F7">IFERROR(INDEX('MASTER LIST'!G:G,SMALL(IF('MASTER LIST'!$N:$N=$C$2,ROW('MASTER LIST'!$N:$N),""),ROWS(F$5:F7))),"")</f>
        <v/>
      </c>
      <c r="G7" s="40" t="str" cm="1">
        <f t="array" ref="G7">IFERROR(INDEX('MASTER LIST'!H:H,SMALL(IF('MASTER LIST'!$N:$N=$C$2,ROW('MASTER LIST'!$N:$N),""),ROWS(G$5:G7))),"")</f>
        <v/>
      </c>
      <c r="H7" s="40" t="str" cm="1">
        <f t="array" ref="H7">IFERROR(INDEX('MASTER LIST'!I:I,SMALL(IF('MASTER LIST'!$N:$N=$C$2,ROW('MASTER LIST'!$N:$N),""),ROWS(H$5:H7))),"")</f>
        <v/>
      </c>
      <c r="I7" s="40" t="str" cm="1">
        <f t="array" ref="I7">IFERROR(INDEX('MASTER LIST'!J:J,SMALL(IF('MASTER LIST'!$N:$N=$C$2,ROW('MASTER LIST'!$N:$N),""),ROWS(I$5:I7))),"")</f>
        <v/>
      </c>
      <c r="J7" s="40" t="str" cm="1">
        <f t="array" ref="J7">IFERROR(INDEX('MASTER LIST'!K:K,SMALL(IF('MASTER LIST'!$N:$N=$C$2,ROW('MASTER LIST'!$N:$N),""),ROWS(J$5:J7))),"")</f>
        <v/>
      </c>
      <c r="K7" s="40" t="str" cm="1">
        <f t="array" ref="K7">IFERROR(INDEX('MASTER LIST'!L:L,SMALL(IF('MASTER LIST'!$N:$N=$C$2,ROW('MASTER LIST'!$N:$N),""),ROWS(K$5:K7))),"")</f>
        <v/>
      </c>
      <c r="L7" s="40" t="str" cm="1">
        <f t="array" ref="L7">IFERROR(INDEX('MASTER LIST'!M:M,SMALL(IF('MASTER LIST'!$N:$N=$C$2,ROW('MASTER LIST'!$N:$N),""),ROWS(L$5:L7))),"")</f>
        <v/>
      </c>
      <c r="M7" s="40" t="str" cm="1">
        <f t="array" ref="M7">IFERROR(INDEX('MASTER LIST'!N:N,SMALL(IF('MASTER LIST'!$N:$N=$C$2,ROW('MASTER LIST'!$N:$N),""),ROWS(M$5:M7))),"")</f>
        <v/>
      </c>
      <c r="N7" s="40" t="str" cm="1">
        <f t="array" ref="N7">IFERROR(INDEX('MASTER LIST'!P:P,SMALL(IF('MASTER LIST'!$N:$N=$C$2,ROW('MASTER LIST'!$N:$N),""),ROWS(N$5:N7))),"")</f>
        <v/>
      </c>
      <c r="O7" s="40" t="str" cm="1">
        <f t="array" ref="O7">IFERROR(INDEX('MASTER LIST'!Q:Q,SMALL(IF('MASTER LIST'!$N:$N=$C$2,ROW('MASTER LIST'!$N:$N),""),ROWS(O$5:O7))),"")</f>
        <v/>
      </c>
      <c r="P7" s="40" t="str" cm="1">
        <f t="array" ref="P7">IFERROR(INDEX('MASTER LIST'!#REF!,SMALL(IF('MASTER LIST'!$N:$N=$C$2,ROW('MASTER LIST'!$N:$N),""),ROWS(P$5:P7))),"")</f>
        <v/>
      </c>
      <c r="Q7" s="53" t="str" cm="1">
        <f t="array" ref="Q7">IFERROR(INDEX('MASTER LIST'!R:R,SMALL(IF('MASTER LIST'!$N:$N=$C$2,ROW('MASTER LIST'!$N:$N),""),ROWS(Q$5:Q7))),"")</f>
        <v/>
      </c>
      <c r="R7" s="53" t="str" cm="1">
        <f t="array" ref="R7">IFERROR(INDEX('MASTER LIST'!#REF!,SMALL(IF('MASTER LIST'!$N:$N=$C$2,ROW('MASTER LIST'!$N:$N),""),ROWS(R$5:R7))),"")</f>
        <v/>
      </c>
      <c r="S7" s="53" t="str" cm="1">
        <f t="array" ref="S7">IFERROR(INDEX('MASTER LIST'!#REF!,SMALL(IF('MASTER LIST'!$N:$N=$C$2,ROW('MASTER LIST'!$N:$N),""),ROWS(S$5:S7))),"")</f>
        <v/>
      </c>
      <c r="T7" s="53" t="str" cm="1">
        <f t="array" ref="T7">IFERROR(INDEX('MASTER LIST'!#REF!,SMALL(IF('MASTER LIST'!$N:$N=$C$2,ROW('MASTER LIST'!$N:$N),""),ROWS(T$5:T7))),"")</f>
        <v/>
      </c>
      <c r="U7" s="40" t="str" cm="1">
        <f t="array" ref="U7">IFERROR(INDEX('MASTER LIST'!S:S,SMALL(IF('MASTER LIST'!$N:$N=$C$2,ROW('MASTER LIST'!$N:$N),""),ROWS(U$5:U7))),"")</f>
        <v/>
      </c>
      <c r="V7" s="40" t="str" cm="1">
        <f t="array" ref="V7">IFERROR(INDEX('MASTER LIST'!T:T,SMALL(IF('MASTER LIST'!$N:$N=$C$2,ROW('MASTER LIST'!$N:$N),""),ROWS(V$5:V7))),"")</f>
        <v/>
      </c>
      <c r="W7" s="40" t="str" cm="1">
        <f t="array" ref="W7">IFERROR(INDEX('MASTER LIST'!U:U,SMALL(IF('MASTER LIST'!$N:$N=$C$2,ROW('MASTER LIST'!$N:$N),""),ROWS(W$5:W7))),"")</f>
        <v/>
      </c>
      <c r="X7" s="39" t="str" cm="1">
        <f t="array" ref="X7">IFERROR(INDEX('MASTER LIST'!V:V,SMALL(IF('MASTER LIST'!$N:$N=$C$2,ROW('MASTER LIST'!$N:$N),""),ROWS(X$5:X7))),"")</f>
        <v/>
      </c>
      <c r="Y7" s="41" t="str" cm="1">
        <f t="array" ref="Y7">IFERROR(INDEX('MASTER LIST'!W:W,SMALL(IF('MASTER LIST'!$N:$N=$C$2,ROW('MASTER LIST'!$N:$N),""),ROWS(Y$5:Y7))),"")</f>
        <v/>
      </c>
    </row>
    <row r="8" spans="2:25">
      <c r="B8" s="38" t="str" cm="1">
        <f t="array" ref="B8">IFERROR(INDEX('MASTER LIST'!B:B,SMALL(IF('MASTER LIST'!$N:$N=$C$2,ROW('MASTER LIST'!$N:$N),""),ROWS(B$5:B8))),"")</f>
        <v/>
      </c>
      <c r="C8" s="39" t="str" cm="1">
        <f t="array" ref="C8">IFERROR(INDEX('MASTER LIST'!C:C,SMALL(IF('MASTER LIST'!$N:$N=$C$2,ROW('MASTER LIST'!$N:$N),""),ROWS(C$5:C8))),"")</f>
        <v/>
      </c>
      <c r="D8" s="40" t="str" cm="1">
        <f t="array" ref="D8">IFERROR(INDEX('MASTER LIST'!D:D,SMALL(IF('MASTER LIST'!$N:$N=$C$2,ROW('MASTER LIST'!$N:$N),""),ROWS(D$5:D8))),"")</f>
        <v/>
      </c>
      <c r="E8" s="40" t="str" cm="1">
        <f t="array" ref="E8">IFERROR(INDEX('MASTER LIST'!E:E,SMALL(IF('MASTER LIST'!$N:$N=$C$2,ROW('MASTER LIST'!$N:$N),""),ROWS(E$5:E8))),"")</f>
        <v/>
      </c>
      <c r="F8" s="40" t="str" cm="1">
        <f t="array" ref="F8">IFERROR(INDEX('MASTER LIST'!G:G,SMALL(IF('MASTER LIST'!$N:$N=$C$2,ROW('MASTER LIST'!$N:$N),""),ROWS(F$5:F8))),"")</f>
        <v/>
      </c>
      <c r="G8" s="40" t="str" cm="1">
        <f t="array" ref="G8">IFERROR(INDEX('MASTER LIST'!H:H,SMALL(IF('MASTER LIST'!$N:$N=$C$2,ROW('MASTER LIST'!$N:$N),""),ROWS(G$5:G8))),"")</f>
        <v/>
      </c>
      <c r="H8" s="40" t="str" cm="1">
        <f t="array" ref="H8">IFERROR(INDEX('MASTER LIST'!I:I,SMALL(IF('MASTER LIST'!$N:$N=$C$2,ROW('MASTER LIST'!$N:$N),""),ROWS(H$5:H8))),"")</f>
        <v/>
      </c>
      <c r="I8" s="40" t="str" cm="1">
        <f t="array" ref="I8">IFERROR(INDEX('MASTER LIST'!J:J,SMALL(IF('MASTER LIST'!$N:$N=$C$2,ROW('MASTER LIST'!$N:$N),""),ROWS(I$5:I8))),"")</f>
        <v/>
      </c>
      <c r="J8" s="40" t="str" cm="1">
        <f t="array" ref="J8">IFERROR(INDEX('MASTER LIST'!K:K,SMALL(IF('MASTER LIST'!$N:$N=$C$2,ROW('MASTER LIST'!$N:$N),""),ROWS(J$5:J8))),"")</f>
        <v/>
      </c>
      <c r="K8" s="40" t="str" cm="1">
        <f t="array" ref="K8">IFERROR(INDEX('MASTER LIST'!L:L,SMALL(IF('MASTER LIST'!$N:$N=$C$2,ROW('MASTER LIST'!$N:$N),""),ROWS(K$5:K8))),"")</f>
        <v/>
      </c>
      <c r="L8" s="40" t="str" cm="1">
        <f t="array" ref="L8">IFERROR(INDEX('MASTER LIST'!M:M,SMALL(IF('MASTER LIST'!$N:$N=$C$2,ROW('MASTER LIST'!$N:$N),""),ROWS(L$5:L8))),"")</f>
        <v/>
      </c>
      <c r="M8" s="40" t="str" cm="1">
        <f t="array" ref="M8">IFERROR(INDEX('MASTER LIST'!N:N,SMALL(IF('MASTER LIST'!$N:$N=$C$2,ROW('MASTER LIST'!$N:$N),""),ROWS(M$5:M8))),"")</f>
        <v/>
      </c>
      <c r="N8" s="40" t="str" cm="1">
        <f t="array" ref="N8">IFERROR(INDEX('MASTER LIST'!P:P,SMALL(IF('MASTER LIST'!$N:$N=$C$2,ROW('MASTER LIST'!$N:$N),""),ROWS(N$5:N8))),"")</f>
        <v/>
      </c>
      <c r="O8" s="40" t="str" cm="1">
        <f t="array" ref="O8">IFERROR(INDEX('MASTER LIST'!Q:Q,SMALL(IF('MASTER LIST'!$N:$N=$C$2,ROW('MASTER LIST'!$N:$N),""),ROWS(O$5:O8))),"")</f>
        <v/>
      </c>
      <c r="P8" s="40" t="str" cm="1">
        <f t="array" ref="P8">IFERROR(INDEX('MASTER LIST'!#REF!,SMALL(IF('MASTER LIST'!$N:$N=$C$2,ROW('MASTER LIST'!$N:$N),""),ROWS(P$5:P8))),"")</f>
        <v/>
      </c>
      <c r="Q8" s="53" t="str" cm="1">
        <f t="array" ref="Q8">IFERROR(INDEX('MASTER LIST'!R:R,SMALL(IF('MASTER LIST'!$N:$N=$C$2,ROW('MASTER LIST'!$N:$N),""),ROWS(Q$5:Q8))),"")</f>
        <v/>
      </c>
      <c r="R8" s="53" t="str" cm="1">
        <f t="array" ref="R8">IFERROR(INDEX('MASTER LIST'!#REF!,SMALL(IF('MASTER LIST'!$N:$N=$C$2,ROW('MASTER LIST'!$N:$N),""),ROWS(R$5:R8))),"")</f>
        <v/>
      </c>
      <c r="S8" s="53" t="str" cm="1">
        <f t="array" ref="S8">IFERROR(INDEX('MASTER LIST'!#REF!,SMALL(IF('MASTER LIST'!$N:$N=$C$2,ROW('MASTER LIST'!$N:$N),""),ROWS(S$5:S8))),"")</f>
        <v/>
      </c>
      <c r="T8" s="53" t="str" cm="1">
        <f t="array" ref="T8">IFERROR(INDEX('MASTER LIST'!#REF!,SMALL(IF('MASTER LIST'!$N:$N=$C$2,ROW('MASTER LIST'!$N:$N),""),ROWS(T$5:T8))),"")</f>
        <v/>
      </c>
      <c r="U8" s="40" t="str" cm="1">
        <f t="array" ref="U8">IFERROR(INDEX('MASTER LIST'!S:S,SMALL(IF('MASTER LIST'!$N:$N=$C$2,ROW('MASTER LIST'!$N:$N),""),ROWS(U$5:U8))),"")</f>
        <v/>
      </c>
      <c r="V8" s="40" t="str" cm="1">
        <f t="array" ref="V8">IFERROR(INDEX('MASTER LIST'!T:T,SMALL(IF('MASTER LIST'!$N:$N=$C$2,ROW('MASTER LIST'!$N:$N),""),ROWS(V$5:V8))),"")</f>
        <v/>
      </c>
      <c r="W8" s="40" t="str" cm="1">
        <f t="array" ref="W8">IFERROR(INDEX('MASTER LIST'!U:U,SMALL(IF('MASTER LIST'!$N:$N=$C$2,ROW('MASTER LIST'!$N:$N),""),ROWS(W$5:W8))),"")</f>
        <v/>
      </c>
      <c r="X8" s="39" t="str" cm="1">
        <f t="array" ref="X8">IFERROR(INDEX('MASTER LIST'!V:V,SMALL(IF('MASTER LIST'!$N:$N=$C$2,ROW('MASTER LIST'!$N:$N),""),ROWS(X$5:X8))),"")</f>
        <v/>
      </c>
      <c r="Y8" s="41" t="str" cm="1">
        <f t="array" ref="Y8">IFERROR(INDEX('MASTER LIST'!W:W,SMALL(IF('MASTER LIST'!$N:$N=$C$2,ROW('MASTER LIST'!$N:$N),""),ROWS(Y$5:Y8))),"")</f>
        <v/>
      </c>
    </row>
    <row r="9" spans="2:25">
      <c r="B9" s="38" t="str" cm="1">
        <f t="array" ref="B9">IFERROR(INDEX('MASTER LIST'!B:B,SMALL(IF('MASTER LIST'!$N:$N=$C$2,ROW('MASTER LIST'!$N:$N),""),ROWS(B$5:B9))),"")</f>
        <v/>
      </c>
      <c r="C9" s="39" t="str" cm="1">
        <f t="array" ref="C9">IFERROR(INDEX('MASTER LIST'!C:C,SMALL(IF('MASTER LIST'!$N:$N=$C$2,ROW('MASTER LIST'!$N:$N),""),ROWS(C$5:C9))),"")</f>
        <v/>
      </c>
      <c r="D9" s="40" t="str" cm="1">
        <f t="array" ref="D9">IFERROR(INDEX('MASTER LIST'!D:D,SMALL(IF('MASTER LIST'!$N:$N=$C$2,ROW('MASTER LIST'!$N:$N),""),ROWS(D$5:D9))),"")</f>
        <v/>
      </c>
      <c r="E9" s="40" t="str" cm="1">
        <f t="array" ref="E9">IFERROR(INDEX('MASTER LIST'!E:E,SMALL(IF('MASTER LIST'!$N:$N=$C$2,ROW('MASTER LIST'!$N:$N),""),ROWS(E$5:E9))),"")</f>
        <v/>
      </c>
      <c r="F9" s="40" t="str" cm="1">
        <f t="array" ref="F9">IFERROR(INDEX('MASTER LIST'!G:G,SMALL(IF('MASTER LIST'!$N:$N=$C$2,ROW('MASTER LIST'!$N:$N),""),ROWS(F$5:F9))),"")</f>
        <v/>
      </c>
      <c r="G9" s="40" t="str" cm="1">
        <f t="array" ref="G9">IFERROR(INDEX('MASTER LIST'!H:H,SMALL(IF('MASTER LIST'!$N:$N=$C$2,ROW('MASTER LIST'!$N:$N),""),ROWS(G$5:G9))),"")</f>
        <v/>
      </c>
      <c r="H9" s="40" t="str" cm="1">
        <f t="array" ref="H9">IFERROR(INDEX('MASTER LIST'!I:I,SMALL(IF('MASTER LIST'!$N:$N=$C$2,ROW('MASTER LIST'!$N:$N),""),ROWS(H$5:H9))),"")</f>
        <v/>
      </c>
      <c r="I9" s="40" t="str" cm="1">
        <f t="array" ref="I9">IFERROR(INDEX('MASTER LIST'!J:J,SMALL(IF('MASTER LIST'!$N:$N=$C$2,ROW('MASTER LIST'!$N:$N),""),ROWS(I$5:I9))),"")</f>
        <v/>
      </c>
      <c r="J9" s="40" t="str" cm="1">
        <f t="array" ref="J9">IFERROR(INDEX('MASTER LIST'!K:K,SMALL(IF('MASTER LIST'!$N:$N=$C$2,ROW('MASTER LIST'!$N:$N),""),ROWS(J$5:J9))),"")</f>
        <v/>
      </c>
      <c r="K9" s="40" t="str" cm="1">
        <f t="array" ref="K9">IFERROR(INDEX('MASTER LIST'!L:L,SMALL(IF('MASTER LIST'!$N:$N=$C$2,ROW('MASTER LIST'!$N:$N),""),ROWS(K$5:K9))),"")</f>
        <v/>
      </c>
      <c r="L9" s="40" t="str" cm="1">
        <f t="array" ref="L9">IFERROR(INDEX('MASTER LIST'!M:M,SMALL(IF('MASTER LIST'!$N:$N=$C$2,ROW('MASTER LIST'!$N:$N),""),ROWS(L$5:L9))),"")</f>
        <v/>
      </c>
      <c r="M9" s="40" t="str" cm="1">
        <f t="array" ref="M9">IFERROR(INDEX('MASTER LIST'!N:N,SMALL(IF('MASTER LIST'!$N:$N=$C$2,ROW('MASTER LIST'!$N:$N),""),ROWS(M$5:M9))),"")</f>
        <v/>
      </c>
      <c r="N9" s="40" t="str" cm="1">
        <f t="array" ref="N9">IFERROR(INDEX('MASTER LIST'!P:P,SMALL(IF('MASTER LIST'!$N:$N=$C$2,ROW('MASTER LIST'!$N:$N),""),ROWS(N$5:N9))),"")</f>
        <v/>
      </c>
      <c r="O9" s="40" t="str" cm="1">
        <f t="array" ref="O9">IFERROR(INDEX('MASTER LIST'!Q:Q,SMALL(IF('MASTER LIST'!$N:$N=$C$2,ROW('MASTER LIST'!$N:$N),""),ROWS(O$5:O9))),"")</f>
        <v/>
      </c>
      <c r="P9" s="40" t="str" cm="1">
        <f t="array" ref="P9">IFERROR(INDEX('MASTER LIST'!#REF!,SMALL(IF('MASTER LIST'!$N:$N=$C$2,ROW('MASTER LIST'!$N:$N),""),ROWS(P$5:P9))),"")</f>
        <v/>
      </c>
      <c r="Q9" s="53" t="str" cm="1">
        <f t="array" ref="Q9">IFERROR(INDEX('MASTER LIST'!R:R,SMALL(IF('MASTER LIST'!$N:$N=$C$2,ROW('MASTER LIST'!$N:$N),""),ROWS(Q$5:Q9))),"")</f>
        <v/>
      </c>
      <c r="R9" s="53" t="str" cm="1">
        <f t="array" ref="R9">IFERROR(INDEX('MASTER LIST'!#REF!,SMALL(IF('MASTER LIST'!$N:$N=$C$2,ROW('MASTER LIST'!$N:$N),""),ROWS(R$5:R9))),"")</f>
        <v/>
      </c>
      <c r="S9" s="53" t="str" cm="1">
        <f t="array" ref="S9">IFERROR(INDEX('MASTER LIST'!#REF!,SMALL(IF('MASTER LIST'!$N:$N=$C$2,ROW('MASTER LIST'!$N:$N),""),ROWS(S$5:S9))),"")</f>
        <v/>
      </c>
      <c r="T9" s="53" t="str" cm="1">
        <f t="array" ref="T9">IFERROR(INDEX('MASTER LIST'!#REF!,SMALL(IF('MASTER LIST'!$N:$N=$C$2,ROW('MASTER LIST'!$N:$N),""),ROWS(T$5:T9))),"")</f>
        <v/>
      </c>
      <c r="U9" s="40" t="str" cm="1">
        <f t="array" ref="U9">IFERROR(INDEX('MASTER LIST'!S:S,SMALL(IF('MASTER LIST'!$N:$N=$C$2,ROW('MASTER LIST'!$N:$N),""),ROWS(U$5:U9))),"")</f>
        <v/>
      </c>
      <c r="V9" s="40" t="str" cm="1">
        <f t="array" ref="V9">IFERROR(INDEX('MASTER LIST'!T:T,SMALL(IF('MASTER LIST'!$N:$N=$C$2,ROW('MASTER LIST'!$N:$N),""),ROWS(V$5:V9))),"")</f>
        <v/>
      </c>
      <c r="W9" s="40" t="str" cm="1">
        <f t="array" ref="W9">IFERROR(INDEX('MASTER LIST'!U:U,SMALL(IF('MASTER LIST'!$N:$N=$C$2,ROW('MASTER LIST'!$N:$N),""),ROWS(W$5:W9))),"")</f>
        <v/>
      </c>
      <c r="X9" s="39" t="str" cm="1">
        <f t="array" ref="X9">IFERROR(INDEX('MASTER LIST'!V:V,SMALL(IF('MASTER LIST'!$N:$N=$C$2,ROW('MASTER LIST'!$N:$N),""),ROWS(X$5:X9))),"")</f>
        <v/>
      </c>
      <c r="Y9" s="41" t="str" cm="1">
        <f t="array" ref="Y9">IFERROR(INDEX('MASTER LIST'!W:W,SMALL(IF('MASTER LIST'!$N:$N=$C$2,ROW('MASTER LIST'!$N:$N),""),ROWS(Y$5:Y9))),"")</f>
        <v/>
      </c>
    </row>
    <row r="10" spans="2:25">
      <c r="B10" s="38" t="str" cm="1">
        <f t="array" ref="B10">IFERROR(INDEX('MASTER LIST'!B:B,SMALL(IF('MASTER LIST'!$N:$N=$C$2,ROW('MASTER LIST'!$N:$N),""),ROWS(B$5:B10))),"")</f>
        <v/>
      </c>
      <c r="C10" s="39" t="str" cm="1">
        <f t="array" ref="C10">IFERROR(INDEX('MASTER LIST'!C:C,SMALL(IF('MASTER LIST'!$N:$N=$C$2,ROW('MASTER LIST'!$N:$N),""),ROWS(C$5:C10))),"")</f>
        <v/>
      </c>
      <c r="D10" s="40" t="str" cm="1">
        <f t="array" ref="D10">IFERROR(INDEX('MASTER LIST'!D:D,SMALL(IF('MASTER LIST'!$N:$N=$C$2,ROW('MASTER LIST'!$N:$N),""),ROWS(D$5:D10))),"")</f>
        <v/>
      </c>
      <c r="E10" s="40" t="str" cm="1">
        <f t="array" ref="E10">IFERROR(INDEX('MASTER LIST'!E:E,SMALL(IF('MASTER LIST'!$N:$N=$C$2,ROW('MASTER LIST'!$N:$N),""),ROWS(E$5:E10))),"")</f>
        <v/>
      </c>
      <c r="F10" s="40" t="str" cm="1">
        <f t="array" ref="F10">IFERROR(INDEX('MASTER LIST'!G:G,SMALL(IF('MASTER LIST'!$N:$N=$C$2,ROW('MASTER LIST'!$N:$N),""),ROWS(F$5:F10))),"")</f>
        <v/>
      </c>
      <c r="G10" s="40" t="str" cm="1">
        <f t="array" ref="G10">IFERROR(INDEX('MASTER LIST'!H:H,SMALL(IF('MASTER LIST'!$N:$N=$C$2,ROW('MASTER LIST'!$N:$N),""),ROWS(G$5:G10))),"")</f>
        <v/>
      </c>
      <c r="H10" s="40" t="str" cm="1">
        <f t="array" ref="H10">IFERROR(INDEX('MASTER LIST'!I:I,SMALL(IF('MASTER LIST'!$N:$N=$C$2,ROW('MASTER LIST'!$N:$N),""),ROWS(H$5:H10))),"")</f>
        <v/>
      </c>
      <c r="I10" s="40" t="str" cm="1">
        <f t="array" ref="I10">IFERROR(INDEX('MASTER LIST'!J:J,SMALL(IF('MASTER LIST'!$N:$N=$C$2,ROW('MASTER LIST'!$N:$N),""),ROWS(I$5:I10))),"")</f>
        <v/>
      </c>
      <c r="J10" s="40" t="str" cm="1">
        <f t="array" ref="J10">IFERROR(INDEX('MASTER LIST'!K:K,SMALL(IF('MASTER LIST'!$N:$N=$C$2,ROW('MASTER LIST'!$N:$N),""),ROWS(J$5:J10))),"")</f>
        <v/>
      </c>
      <c r="K10" s="40" t="str" cm="1">
        <f t="array" ref="K10">IFERROR(INDEX('MASTER LIST'!L:L,SMALL(IF('MASTER LIST'!$N:$N=$C$2,ROW('MASTER LIST'!$N:$N),""),ROWS(K$5:K10))),"")</f>
        <v/>
      </c>
      <c r="L10" s="40" t="str" cm="1">
        <f t="array" ref="L10">IFERROR(INDEX('MASTER LIST'!M:M,SMALL(IF('MASTER LIST'!$N:$N=$C$2,ROW('MASTER LIST'!$N:$N),""),ROWS(L$5:L10))),"")</f>
        <v/>
      </c>
      <c r="M10" s="40" t="str" cm="1">
        <f t="array" ref="M10">IFERROR(INDEX('MASTER LIST'!N:N,SMALL(IF('MASTER LIST'!$N:$N=$C$2,ROW('MASTER LIST'!$N:$N),""),ROWS(M$5:M10))),"")</f>
        <v/>
      </c>
      <c r="N10" s="40" t="str" cm="1">
        <f t="array" ref="N10">IFERROR(INDEX('MASTER LIST'!P:P,SMALL(IF('MASTER LIST'!$N:$N=$C$2,ROW('MASTER LIST'!$N:$N),""),ROWS(N$5:N10))),"")</f>
        <v/>
      </c>
      <c r="O10" s="40" t="str" cm="1">
        <f t="array" ref="O10">IFERROR(INDEX('MASTER LIST'!Q:Q,SMALL(IF('MASTER LIST'!$N:$N=$C$2,ROW('MASTER LIST'!$N:$N),""),ROWS(O$5:O10))),"")</f>
        <v/>
      </c>
      <c r="P10" s="40" t="str" cm="1">
        <f t="array" ref="P10">IFERROR(INDEX('MASTER LIST'!#REF!,SMALL(IF('MASTER LIST'!$N:$N=$C$2,ROW('MASTER LIST'!$N:$N),""),ROWS(P$5:P10))),"")</f>
        <v/>
      </c>
      <c r="Q10" s="53" t="str" cm="1">
        <f t="array" ref="Q10">IFERROR(INDEX('MASTER LIST'!R:R,SMALL(IF('MASTER LIST'!$N:$N=$C$2,ROW('MASTER LIST'!$N:$N),""),ROWS(Q$5:Q10))),"")</f>
        <v/>
      </c>
      <c r="R10" s="53" t="str" cm="1">
        <f t="array" ref="R10">IFERROR(INDEX('MASTER LIST'!#REF!,SMALL(IF('MASTER LIST'!$N:$N=$C$2,ROW('MASTER LIST'!$N:$N),""),ROWS(R$5:R10))),"")</f>
        <v/>
      </c>
      <c r="S10" s="53" t="str" cm="1">
        <f t="array" ref="S10">IFERROR(INDEX('MASTER LIST'!#REF!,SMALL(IF('MASTER LIST'!$N:$N=$C$2,ROW('MASTER LIST'!$N:$N),""),ROWS(S$5:S10))),"")</f>
        <v/>
      </c>
      <c r="T10" s="53" t="str" cm="1">
        <f t="array" ref="T10">IFERROR(INDEX('MASTER LIST'!#REF!,SMALL(IF('MASTER LIST'!$N:$N=$C$2,ROW('MASTER LIST'!$N:$N),""),ROWS(T$5:T10))),"")</f>
        <v/>
      </c>
      <c r="U10" s="40" t="str" cm="1">
        <f t="array" ref="U10">IFERROR(INDEX('MASTER LIST'!S:S,SMALL(IF('MASTER LIST'!$N:$N=$C$2,ROW('MASTER LIST'!$N:$N),""),ROWS(U$5:U10))),"")</f>
        <v/>
      </c>
      <c r="V10" s="40" t="str" cm="1">
        <f t="array" ref="V10">IFERROR(INDEX('MASTER LIST'!T:T,SMALL(IF('MASTER LIST'!$N:$N=$C$2,ROW('MASTER LIST'!$N:$N),""),ROWS(V$5:V10))),"")</f>
        <v/>
      </c>
      <c r="W10" s="40" t="str" cm="1">
        <f t="array" ref="W10">IFERROR(INDEX('MASTER LIST'!U:U,SMALL(IF('MASTER LIST'!$N:$N=$C$2,ROW('MASTER LIST'!$N:$N),""),ROWS(W$5:W10))),"")</f>
        <v/>
      </c>
      <c r="X10" s="39" t="str" cm="1">
        <f t="array" ref="X10">IFERROR(INDEX('MASTER LIST'!V:V,SMALL(IF('MASTER LIST'!$N:$N=$C$2,ROW('MASTER LIST'!$N:$N),""),ROWS(X$5:X10))),"")</f>
        <v/>
      </c>
      <c r="Y10" s="41" t="str" cm="1">
        <f t="array" ref="Y10">IFERROR(INDEX('MASTER LIST'!W:W,SMALL(IF('MASTER LIST'!$N:$N=$C$2,ROW('MASTER LIST'!$N:$N),""),ROWS(Y$5:Y10))),"")</f>
        <v/>
      </c>
    </row>
    <row r="11" spans="2:25">
      <c r="B11" s="38" t="str" cm="1">
        <f t="array" ref="B11">IFERROR(INDEX('MASTER LIST'!B:B,SMALL(IF('MASTER LIST'!$N:$N=$C$2,ROW('MASTER LIST'!$N:$N),""),ROWS(B$5:B11))),"")</f>
        <v/>
      </c>
      <c r="C11" s="39" t="str" cm="1">
        <f t="array" ref="C11">IFERROR(INDEX('MASTER LIST'!C:C,SMALL(IF('MASTER LIST'!$N:$N=$C$2,ROW('MASTER LIST'!$N:$N),""),ROWS(C$5:C11))),"")</f>
        <v/>
      </c>
      <c r="D11" s="40" t="str" cm="1">
        <f t="array" ref="D11">IFERROR(INDEX('MASTER LIST'!D:D,SMALL(IF('MASTER LIST'!$N:$N=$C$2,ROW('MASTER LIST'!$N:$N),""),ROWS(D$5:D11))),"")</f>
        <v/>
      </c>
      <c r="E11" s="40" t="str" cm="1">
        <f t="array" ref="E11">IFERROR(INDEX('MASTER LIST'!E:E,SMALL(IF('MASTER LIST'!$N:$N=$C$2,ROW('MASTER LIST'!$N:$N),""),ROWS(E$5:E11))),"")</f>
        <v/>
      </c>
      <c r="F11" s="40" t="str" cm="1">
        <f t="array" ref="F11">IFERROR(INDEX('MASTER LIST'!G:G,SMALL(IF('MASTER LIST'!$N:$N=$C$2,ROW('MASTER LIST'!$N:$N),""),ROWS(F$5:F11))),"")</f>
        <v/>
      </c>
      <c r="G11" s="40" t="str" cm="1">
        <f t="array" ref="G11">IFERROR(INDEX('MASTER LIST'!H:H,SMALL(IF('MASTER LIST'!$N:$N=$C$2,ROW('MASTER LIST'!$N:$N),""),ROWS(G$5:G11))),"")</f>
        <v/>
      </c>
      <c r="H11" s="40" t="str" cm="1">
        <f t="array" ref="H11">IFERROR(INDEX('MASTER LIST'!I:I,SMALL(IF('MASTER LIST'!$N:$N=$C$2,ROW('MASTER LIST'!$N:$N),""),ROWS(H$5:H11))),"")</f>
        <v/>
      </c>
      <c r="I11" s="40" t="str" cm="1">
        <f t="array" ref="I11">IFERROR(INDEX('MASTER LIST'!J:J,SMALL(IF('MASTER LIST'!$N:$N=$C$2,ROW('MASTER LIST'!$N:$N),""),ROWS(I$5:I11))),"")</f>
        <v/>
      </c>
      <c r="J11" s="40" t="str" cm="1">
        <f t="array" ref="J11">IFERROR(INDEX('MASTER LIST'!K:K,SMALL(IF('MASTER LIST'!$N:$N=$C$2,ROW('MASTER LIST'!$N:$N),""),ROWS(J$5:J11))),"")</f>
        <v/>
      </c>
      <c r="K11" s="40" t="str" cm="1">
        <f t="array" ref="K11">IFERROR(INDEX('MASTER LIST'!L:L,SMALL(IF('MASTER LIST'!$N:$N=$C$2,ROW('MASTER LIST'!$N:$N),""),ROWS(K$5:K11))),"")</f>
        <v/>
      </c>
      <c r="L11" s="40" t="str" cm="1">
        <f t="array" ref="L11">IFERROR(INDEX('MASTER LIST'!M:M,SMALL(IF('MASTER LIST'!$N:$N=$C$2,ROW('MASTER LIST'!$N:$N),""),ROWS(L$5:L11))),"")</f>
        <v/>
      </c>
      <c r="M11" s="40" t="str" cm="1">
        <f t="array" ref="M11">IFERROR(INDEX('MASTER LIST'!N:N,SMALL(IF('MASTER LIST'!$N:$N=$C$2,ROW('MASTER LIST'!$N:$N),""),ROWS(M$5:M11))),"")</f>
        <v/>
      </c>
      <c r="N11" s="40" t="str" cm="1">
        <f t="array" ref="N11">IFERROR(INDEX('MASTER LIST'!P:P,SMALL(IF('MASTER LIST'!$N:$N=$C$2,ROW('MASTER LIST'!$N:$N),""),ROWS(N$5:N11))),"")</f>
        <v/>
      </c>
      <c r="O11" s="40" t="str" cm="1">
        <f t="array" ref="O11">IFERROR(INDEX('MASTER LIST'!Q:Q,SMALL(IF('MASTER LIST'!$N:$N=$C$2,ROW('MASTER LIST'!$N:$N),""),ROWS(O$5:O11))),"")</f>
        <v/>
      </c>
      <c r="P11" s="40" t="str" cm="1">
        <f t="array" ref="P11">IFERROR(INDEX('MASTER LIST'!#REF!,SMALL(IF('MASTER LIST'!$N:$N=$C$2,ROW('MASTER LIST'!$N:$N),""),ROWS(P$5:P11))),"")</f>
        <v/>
      </c>
      <c r="Q11" s="53" t="str" cm="1">
        <f t="array" ref="Q11">IFERROR(INDEX('MASTER LIST'!R:R,SMALL(IF('MASTER LIST'!$N:$N=$C$2,ROW('MASTER LIST'!$N:$N),""),ROWS(Q$5:Q11))),"")</f>
        <v/>
      </c>
      <c r="R11" s="53" t="str" cm="1">
        <f t="array" ref="R11">IFERROR(INDEX('MASTER LIST'!#REF!,SMALL(IF('MASTER LIST'!$N:$N=$C$2,ROW('MASTER LIST'!$N:$N),""),ROWS(R$5:R11))),"")</f>
        <v/>
      </c>
      <c r="S11" s="53" t="str" cm="1">
        <f t="array" ref="S11">IFERROR(INDEX('MASTER LIST'!#REF!,SMALL(IF('MASTER LIST'!$N:$N=$C$2,ROW('MASTER LIST'!$N:$N),""),ROWS(S$5:S11))),"")</f>
        <v/>
      </c>
      <c r="T11" s="53" t="str" cm="1">
        <f t="array" ref="T11">IFERROR(INDEX('MASTER LIST'!#REF!,SMALL(IF('MASTER LIST'!$N:$N=$C$2,ROW('MASTER LIST'!$N:$N),""),ROWS(T$5:T11))),"")</f>
        <v/>
      </c>
      <c r="U11" s="40" t="str" cm="1">
        <f t="array" ref="U11">IFERROR(INDEX('MASTER LIST'!S:S,SMALL(IF('MASTER LIST'!$N:$N=$C$2,ROW('MASTER LIST'!$N:$N),""),ROWS(U$5:U11))),"")</f>
        <v/>
      </c>
      <c r="V11" s="40" t="str" cm="1">
        <f t="array" ref="V11">IFERROR(INDEX('MASTER LIST'!T:T,SMALL(IF('MASTER LIST'!$N:$N=$C$2,ROW('MASTER LIST'!$N:$N),""),ROWS(V$5:V11))),"")</f>
        <v/>
      </c>
      <c r="W11" s="40" t="str" cm="1">
        <f t="array" ref="W11">IFERROR(INDEX('MASTER LIST'!U:U,SMALL(IF('MASTER LIST'!$N:$N=$C$2,ROW('MASTER LIST'!$N:$N),""),ROWS(W$5:W11))),"")</f>
        <v/>
      </c>
      <c r="X11" s="39" t="str" cm="1">
        <f t="array" ref="X11">IFERROR(INDEX('MASTER LIST'!V:V,SMALL(IF('MASTER LIST'!$N:$N=$C$2,ROW('MASTER LIST'!$N:$N),""),ROWS(X$5:X11))),"")</f>
        <v/>
      </c>
      <c r="Y11" s="41" t="str" cm="1">
        <f t="array" ref="Y11">IFERROR(INDEX('MASTER LIST'!W:W,SMALL(IF('MASTER LIST'!$N:$N=$C$2,ROW('MASTER LIST'!$N:$N),""),ROWS(Y$5:Y11))),"")</f>
        <v/>
      </c>
    </row>
    <row r="12" spans="2:25">
      <c r="B12" s="38" t="str" cm="1">
        <f t="array" ref="B12">IFERROR(INDEX('MASTER LIST'!B:B,SMALL(IF('MASTER LIST'!$N:$N=$C$2,ROW('MASTER LIST'!$N:$N),""),ROWS(B$5:B12))),"")</f>
        <v/>
      </c>
      <c r="C12" s="39" t="str" cm="1">
        <f t="array" ref="C12">IFERROR(INDEX('MASTER LIST'!C:C,SMALL(IF('MASTER LIST'!$N:$N=$C$2,ROW('MASTER LIST'!$N:$N),""),ROWS(C$5:C12))),"")</f>
        <v/>
      </c>
      <c r="D12" s="40" t="str" cm="1">
        <f t="array" ref="D12">IFERROR(INDEX('MASTER LIST'!D:D,SMALL(IF('MASTER LIST'!$N:$N=$C$2,ROW('MASTER LIST'!$N:$N),""),ROWS(D$5:D12))),"")</f>
        <v/>
      </c>
      <c r="E12" s="40" t="str" cm="1">
        <f t="array" ref="E12">IFERROR(INDEX('MASTER LIST'!E:E,SMALL(IF('MASTER LIST'!$N:$N=$C$2,ROW('MASTER LIST'!$N:$N),""),ROWS(E$5:E12))),"")</f>
        <v/>
      </c>
      <c r="F12" s="40" t="str" cm="1">
        <f t="array" ref="F12">IFERROR(INDEX('MASTER LIST'!G:G,SMALL(IF('MASTER LIST'!$N:$N=$C$2,ROW('MASTER LIST'!$N:$N),""),ROWS(F$5:F12))),"")</f>
        <v/>
      </c>
      <c r="G12" s="40" t="str" cm="1">
        <f t="array" ref="G12">IFERROR(INDEX('MASTER LIST'!H:H,SMALL(IF('MASTER LIST'!$N:$N=$C$2,ROW('MASTER LIST'!$N:$N),""),ROWS(G$5:G12))),"")</f>
        <v/>
      </c>
      <c r="H12" s="40" t="str" cm="1">
        <f t="array" ref="H12">IFERROR(INDEX('MASTER LIST'!I:I,SMALL(IF('MASTER LIST'!$N:$N=$C$2,ROW('MASTER LIST'!$N:$N),""),ROWS(H$5:H12))),"")</f>
        <v/>
      </c>
      <c r="I12" s="40" t="str" cm="1">
        <f t="array" ref="I12">IFERROR(INDEX('MASTER LIST'!J:J,SMALL(IF('MASTER LIST'!$N:$N=$C$2,ROW('MASTER LIST'!$N:$N),""),ROWS(I$5:I12))),"")</f>
        <v/>
      </c>
      <c r="J12" s="40" t="str" cm="1">
        <f t="array" ref="J12">IFERROR(INDEX('MASTER LIST'!K:K,SMALL(IF('MASTER LIST'!$N:$N=$C$2,ROW('MASTER LIST'!$N:$N),""),ROWS(J$5:J12))),"")</f>
        <v/>
      </c>
      <c r="K12" s="40" t="str" cm="1">
        <f t="array" ref="K12">IFERROR(INDEX('MASTER LIST'!L:L,SMALL(IF('MASTER LIST'!$N:$N=$C$2,ROW('MASTER LIST'!$N:$N),""),ROWS(K$5:K12))),"")</f>
        <v/>
      </c>
      <c r="L12" s="40" t="str" cm="1">
        <f t="array" ref="L12">IFERROR(INDEX('MASTER LIST'!M:M,SMALL(IF('MASTER LIST'!$N:$N=$C$2,ROW('MASTER LIST'!$N:$N),""),ROWS(L$5:L12))),"")</f>
        <v/>
      </c>
      <c r="M12" s="40" t="str" cm="1">
        <f t="array" ref="M12">IFERROR(INDEX('MASTER LIST'!N:N,SMALL(IF('MASTER LIST'!$N:$N=$C$2,ROW('MASTER LIST'!$N:$N),""),ROWS(M$5:M12))),"")</f>
        <v/>
      </c>
      <c r="N12" s="40" t="str" cm="1">
        <f t="array" ref="N12">IFERROR(INDEX('MASTER LIST'!P:P,SMALL(IF('MASTER LIST'!$N:$N=$C$2,ROW('MASTER LIST'!$N:$N),""),ROWS(N$5:N12))),"")</f>
        <v/>
      </c>
      <c r="O12" s="40" t="str" cm="1">
        <f t="array" ref="O12">IFERROR(INDEX('MASTER LIST'!Q:Q,SMALL(IF('MASTER LIST'!$N:$N=$C$2,ROW('MASTER LIST'!$N:$N),""),ROWS(O$5:O12))),"")</f>
        <v/>
      </c>
      <c r="P12" s="40" t="str" cm="1">
        <f t="array" ref="P12">IFERROR(INDEX('MASTER LIST'!#REF!,SMALL(IF('MASTER LIST'!$N:$N=$C$2,ROW('MASTER LIST'!$N:$N),""),ROWS(P$5:P12))),"")</f>
        <v/>
      </c>
      <c r="Q12" s="53" t="str" cm="1">
        <f t="array" ref="Q12">IFERROR(INDEX('MASTER LIST'!R:R,SMALL(IF('MASTER LIST'!$N:$N=$C$2,ROW('MASTER LIST'!$N:$N),""),ROWS(Q$5:Q12))),"")</f>
        <v/>
      </c>
      <c r="R12" s="53" t="str" cm="1">
        <f t="array" ref="R12">IFERROR(INDEX('MASTER LIST'!#REF!,SMALL(IF('MASTER LIST'!$N:$N=$C$2,ROW('MASTER LIST'!$N:$N),""),ROWS(R$5:R12))),"")</f>
        <v/>
      </c>
      <c r="S12" s="53" t="str" cm="1">
        <f t="array" ref="S12">IFERROR(INDEX('MASTER LIST'!#REF!,SMALL(IF('MASTER LIST'!$N:$N=$C$2,ROW('MASTER LIST'!$N:$N),""),ROWS(S$5:S12))),"")</f>
        <v/>
      </c>
      <c r="T12" s="53" t="str" cm="1">
        <f t="array" ref="T12">IFERROR(INDEX('MASTER LIST'!#REF!,SMALL(IF('MASTER LIST'!$N:$N=$C$2,ROW('MASTER LIST'!$N:$N),""),ROWS(T$5:T12))),"")</f>
        <v/>
      </c>
      <c r="U12" s="40" t="str" cm="1">
        <f t="array" ref="U12">IFERROR(INDEX('MASTER LIST'!S:S,SMALL(IF('MASTER LIST'!$N:$N=$C$2,ROW('MASTER LIST'!$N:$N),""),ROWS(U$5:U12))),"")</f>
        <v/>
      </c>
      <c r="V12" s="40" t="str" cm="1">
        <f t="array" ref="V12">IFERROR(INDEX('MASTER LIST'!T:T,SMALL(IF('MASTER LIST'!$N:$N=$C$2,ROW('MASTER LIST'!$N:$N),""),ROWS(V$5:V12))),"")</f>
        <v/>
      </c>
      <c r="W12" s="40" t="str" cm="1">
        <f t="array" ref="W12">IFERROR(INDEX('MASTER LIST'!U:U,SMALL(IF('MASTER LIST'!$N:$N=$C$2,ROW('MASTER LIST'!$N:$N),""),ROWS(W$5:W12))),"")</f>
        <v/>
      </c>
      <c r="X12" s="39" t="str" cm="1">
        <f t="array" ref="X12">IFERROR(INDEX('MASTER LIST'!V:V,SMALL(IF('MASTER LIST'!$N:$N=$C$2,ROW('MASTER LIST'!$N:$N),""),ROWS(X$5:X12))),"")</f>
        <v/>
      </c>
      <c r="Y12" s="41" t="str" cm="1">
        <f t="array" ref="Y12">IFERROR(INDEX('MASTER LIST'!W:W,SMALL(IF('MASTER LIST'!$N:$N=$C$2,ROW('MASTER LIST'!$N:$N),""),ROWS(Y$5:Y12))),"")</f>
        <v/>
      </c>
    </row>
    <row r="13" spans="2:25">
      <c r="B13" s="38" t="str" cm="1">
        <f t="array" ref="B13">IFERROR(INDEX('MASTER LIST'!B:B,SMALL(IF('MASTER LIST'!$N:$N=$C$2,ROW('MASTER LIST'!$N:$N),""),ROWS(B$5:B13))),"")</f>
        <v/>
      </c>
      <c r="C13" s="39" t="str" cm="1">
        <f t="array" ref="C13">IFERROR(INDEX('MASTER LIST'!C:C,SMALL(IF('MASTER LIST'!$N:$N=$C$2,ROW('MASTER LIST'!$N:$N),""),ROWS(C$5:C13))),"")</f>
        <v/>
      </c>
      <c r="D13" s="40" t="str" cm="1">
        <f t="array" ref="D13">IFERROR(INDEX('MASTER LIST'!D:D,SMALL(IF('MASTER LIST'!$N:$N=$C$2,ROW('MASTER LIST'!$N:$N),""),ROWS(D$5:D13))),"")</f>
        <v/>
      </c>
      <c r="E13" s="40" t="str" cm="1">
        <f t="array" ref="E13">IFERROR(INDEX('MASTER LIST'!E:E,SMALL(IF('MASTER LIST'!$N:$N=$C$2,ROW('MASTER LIST'!$N:$N),""),ROWS(E$5:E13))),"")</f>
        <v/>
      </c>
      <c r="F13" s="40" t="str" cm="1">
        <f t="array" ref="F13">IFERROR(INDEX('MASTER LIST'!G:G,SMALL(IF('MASTER LIST'!$N:$N=$C$2,ROW('MASTER LIST'!$N:$N),""),ROWS(F$5:F13))),"")</f>
        <v/>
      </c>
      <c r="G13" s="40" t="str" cm="1">
        <f t="array" ref="G13">IFERROR(INDEX('MASTER LIST'!H:H,SMALL(IF('MASTER LIST'!$N:$N=$C$2,ROW('MASTER LIST'!$N:$N),""),ROWS(G$5:G13))),"")</f>
        <v/>
      </c>
      <c r="H13" s="40" t="str" cm="1">
        <f t="array" ref="H13">IFERROR(INDEX('MASTER LIST'!I:I,SMALL(IF('MASTER LIST'!$N:$N=$C$2,ROW('MASTER LIST'!$N:$N),""),ROWS(H$5:H13))),"")</f>
        <v/>
      </c>
      <c r="I13" s="40" t="str" cm="1">
        <f t="array" ref="I13">IFERROR(INDEX('MASTER LIST'!J:J,SMALL(IF('MASTER LIST'!$N:$N=$C$2,ROW('MASTER LIST'!$N:$N),""),ROWS(I$5:I13))),"")</f>
        <v/>
      </c>
      <c r="J13" s="40" t="str" cm="1">
        <f t="array" ref="J13">IFERROR(INDEX('MASTER LIST'!K:K,SMALL(IF('MASTER LIST'!$N:$N=$C$2,ROW('MASTER LIST'!$N:$N),""),ROWS(J$5:J13))),"")</f>
        <v/>
      </c>
      <c r="K13" s="40" t="str" cm="1">
        <f t="array" ref="K13">IFERROR(INDEX('MASTER LIST'!L:L,SMALL(IF('MASTER LIST'!$N:$N=$C$2,ROW('MASTER LIST'!$N:$N),""),ROWS(K$5:K13))),"")</f>
        <v/>
      </c>
      <c r="L13" s="40" t="str" cm="1">
        <f t="array" ref="L13">IFERROR(INDEX('MASTER LIST'!M:M,SMALL(IF('MASTER LIST'!$N:$N=$C$2,ROW('MASTER LIST'!$N:$N),""),ROWS(L$5:L13))),"")</f>
        <v/>
      </c>
      <c r="M13" s="40" t="str" cm="1">
        <f t="array" ref="M13">IFERROR(INDEX('MASTER LIST'!N:N,SMALL(IF('MASTER LIST'!$N:$N=$C$2,ROW('MASTER LIST'!$N:$N),""),ROWS(M$5:M13))),"")</f>
        <v/>
      </c>
      <c r="N13" s="40" t="str" cm="1">
        <f t="array" ref="N13">IFERROR(INDEX('MASTER LIST'!P:P,SMALL(IF('MASTER LIST'!$N:$N=$C$2,ROW('MASTER LIST'!$N:$N),""),ROWS(N$5:N13))),"")</f>
        <v/>
      </c>
      <c r="O13" s="40" t="str" cm="1">
        <f t="array" ref="O13">IFERROR(INDEX('MASTER LIST'!Q:Q,SMALL(IF('MASTER LIST'!$N:$N=$C$2,ROW('MASTER LIST'!$N:$N),""),ROWS(O$5:O13))),"")</f>
        <v/>
      </c>
      <c r="P13" s="40" t="str" cm="1">
        <f t="array" ref="P13">IFERROR(INDEX('MASTER LIST'!#REF!,SMALL(IF('MASTER LIST'!$N:$N=$C$2,ROW('MASTER LIST'!$N:$N),""),ROWS(P$5:P13))),"")</f>
        <v/>
      </c>
      <c r="Q13" s="53" t="str" cm="1">
        <f t="array" ref="Q13">IFERROR(INDEX('MASTER LIST'!R:R,SMALL(IF('MASTER LIST'!$N:$N=$C$2,ROW('MASTER LIST'!$N:$N),""),ROWS(Q$5:Q13))),"")</f>
        <v/>
      </c>
      <c r="R13" s="53" t="str" cm="1">
        <f t="array" ref="R13">IFERROR(INDEX('MASTER LIST'!#REF!,SMALL(IF('MASTER LIST'!$N:$N=$C$2,ROW('MASTER LIST'!$N:$N),""),ROWS(R$5:R13))),"")</f>
        <v/>
      </c>
      <c r="S13" s="53" t="str" cm="1">
        <f t="array" ref="S13">IFERROR(INDEX('MASTER LIST'!#REF!,SMALL(IF('MASTER LIST'!$N:$N=$C$2,ROW('MASTER LIST'!$N:$N),""),ROWS(S$5:S13))),"")</f>
        <v/>
      </c>
      <c r="T13" s="53" t="str" cm="1">
        <f t="array" ref="T13">IFERROR(INDEX('MASTER LIST'!#REF!,SMALL(IF('MASTER LIST'!$N:$N=$C$2,ROW('MASTER LIST'!$N:$N),""),ROWS(T$5:T13))),"")</f>
        <v/>
      </c>
      <c r="U13" s="40" t="str" cm="1">
        <f t="array" ref="U13">IFERROR(INDEX('MASTER LIST'!S:S,SMALL(IF('MASTER LIST'!$N:$N=$C$2,ROW('MASTER LIST'!$N:$N),""),ROWS(U$5:U13))),"")</f>
        <v/>
      </c>
      <c r="V13" s="40" t="str" cm="1">
        <f t="array" ref="V13">IFERROR(INDEX('MASTER LIST'!T:T,SMALL(IF('MASTER LIST'!$N:$N=$C$2,ROW('MASTER LIST'!$N:$N),""),ROWS(V$5:V13))),"")</f>
        <v/>
      </c>
      <c r="W13" s="40" t="str" cm="1">
        <f t="array" ref="W13">IFERROR(INDEX('MASTER LIST'!U:U,SMALL(IF('MASTER LIST'!$N:$N=$C$2,ROW('MASTER LIST'!$N:$N),""),ROWS(W$5:W13))),"")</f>
        <v/>
      </c>
      <c r="X13" s="39" t="str" cm="1">
        <f t="array" ref="X13">IFERROR(INDEX('MASTER LIST'!V:V,SMALL(IF('MASTER LIST'!$N:$N=$C$2,ROW('MASTER LIST'!$N:$N),""),ROWS(X$5:X13))),"")</f>
        <v/>
      </c>
      <c r="Y13" s="41" t="str" cm="1">
        <f t="array" ref="Y13">IFERROR(INDEX('MASTER LIST'!W:W,SMALL(IF('MASTER LIST'!$N:$N=$C$2,ROW('MASTER LIST'!$N:$N),""),ROWS(Y$5:Y13))),"")</f>
        <v/>
      </c>
    </row>
    <row r="14" spans="2:25">
      <c r="B14" s="38" t="str" cm="1">
        <f t="array" ref="B14">IFERROR(INDEX('MASTER LIST'!B:B,SMALL(IF('MASTER LIST'!$N:$N=$C$2,ROW('MASTER LIST'!$N:$N),""),ROWS(B$5:B14))),"")</f>
        <v/>
      </c>
      <c r="C14" s="39" t="str" cm="1">
        <f t="array" ref="C14">IFERROR(INDEX('MASTER LIST'!C:C,SMALL(IF('MASTER LIST'!$N:$N=$C$2,ROW('MASTER LIST'!$N:$N),""),ROWS(C$5:C14))),"")</f>
        <v/>
      </c>
      <c r="D14" s="40" t="str" cm="1">
        <f t="array" ref="D14">IFERROR(INDEX('MASTER LIST'!D:D,SMALL(IF('MASTER LIST'!$N:$N=$C$2,ROW('MASTER LIST'!$N:$N),""),ROWS(D$5:D14))),"")</f>
        <v/>
      </c>
      <c r="E14" s="40" t="str" cm="1">
        <f t="array" ref="E14">IFERROR(INDEX('MASTER LIST'!E:E,SMALL(IF('MASTER LIST'!$N:$N=$C$2,ROW('MASTER LIST'!$N:$N),""),ROWS(E$5:E14))),"")</f>
        <v/>
      </c>
      <c r="F14" s="40" t="str" cm="1">
        <f t="array" ref="F14">IFERROR(INDEX('MASTER LIST'!G:G,SMALL(IF('MASTER LIST'!$N:$N=$C$2,ROW('MASTER LIST'!$N:$N),""),ROWS(F$5:F14))),"")</f>
        <v/>
      </c>
      <c r="G14" s="40" t="str" cm="1">
        <f t="array" ref="G14">IFERROR(INDEX('MASTER LIST'!H:H,SMALL(IF('MASTER LIST'!$N:$N=$C$2,ROW('MASTER LIST'!$N:$N),""),ROWS(G$5:G14))),"")</f>
        <v/>
      </c>
      <c r="H14" s="40" t="str" cm="1">
        <f t="array" ref="H14">IFERROR(INDEX('MASTER LIST'!I:I,SMALL(IF('MASTER LIST'!$N:$N=$C$2,ROW('MASTER LIST'!$N:$N),""),ROWS(H$5:H14))),"")</f>
        <v/>
      </c>
      <c r="I14" s="40" t="str" cm="1">
        <f t="array" ref="I14">IFERROR(INDEX('MASTER LIST'!J:J,SMALL(IF('MASTER LIST'!$N:$N=$C$2,ROW('MASTER LIST'!$N:$N),""),ROWS(I$5:I14))),"")</f>
        <v/>
      </c>
      <c r="J14" s="40" t="str" cm="1">
        <f t="array" ref="J14">IFERROR(INDEX('MASTER LIST'!K:K,SMALL(IF('MASTER LIST'!$N:$N=$C$2,ROW('MASTER LIST'!$N:$N),""),ROWS(J$5:J14))),"")</f>
        <v/>
      </c>
      <c r="K14" s="40" t="str" cm="1">
        <f t="array" ref="K14">IFERROR(INDEX('MASTER LIST'!L:L,SMALL(IF('MASTER LIST'!$N:$N=$C$2,ROW('MASTER LIST'!$N:$N),""),ROWS(K$5:K14))),"")</f>
        <v/>
      </c>
      <c r="L14" s="40" t="str" cm="1">
        <f t="array" ref="L14">IFERROR(INDEX('MASTER LIST'!M:M,SMALL(IF('MASTER LIST'!$N:$N=$C$2,ROW('MASTER LIST'!$N:$N),""),ROWS(L$5:L14))),"")</f>
        <v/>
      </c>
      <c r="M14" s="40" t="str" cm="1">
        <f t="array" ref="M14">IFERROR(INDEX('MASTER LIST'!N:N,SMALL(IF('MASTER LIST'!$N:$N=$C$2,ROW('MASTER LIST'!$N:$N),""),ROWS(M$5:M14))),"")</f>
        <v/>
      </c>
      <c r="N14" s="40" t="str" cm="1">
        <f t="array" ref="N14">IFERROR(INDEX('MASTER LIST'!P:P,SMALL(IF('MASTER LIST'!$N:$N=$C$2,ROW('MASTER LIST'!$N:$N),""),ROWS(N$5:N14))),"")</f>
        <v/>
      </c>
      <c r="O14" s="40" t="str" cm="1">
        <f t="array" ref="O14">IFERROR(INDEX('MASTER LIST'!Q:Q,SMALL(IF('MASTER LIST'!$N:$N=$C$2,ROW('MASTER LIST'!$N:$N),""),ROWS(O$5:O14))),"")</f>
        <v/>
      </c>
      <c r="P14" s="40" t="str" cm="1">
        <f t="array" ref="P14">IFERROR(INDEX('MASTER LIST'!#REF!,SMALL(IF('MASTER LIST'!$N:$N=$C$2,ROW('MASTER LIST'!$N:$N),""),ROWS(P$5:P14))),"")</f>
        <v/>
      </c>
      <c r="Q14" s="53" t="str" cm="1">
        <f t="array" ref="Q14">IFERROR(INDEX('MASTER LIST'!R:R,SMALL(IF('MASTER LIST'!$N:$N=$C$2,ROW('MASTER LIST'!$N:$N),""),ROWS(Q$5:Q14))),"")</f>
        <v/>
      </c>
      <c r="R14" s="53" t="str" cm="1">
        <f t="array" ref="R14">IFERROR(INDEX('MASTER LIST'!#REF!,SMALL(IF('MASTER LIST'!$N:$N=$C$2,ROW('MASTER LIST'!$N:$N),""),ROWS(R$5:R14))),"")</f>
        <v/>
      </c>
      <c r="S14" s="53" t="str" cm="1">
        <f t="array" ref="S14">IFERROR(INDEX('MASTER LIST'!#REF!,SMALL(IF('MASTER LIST'!$N:$N=$C$2,ROW('MASTER LIST'!$N:$N),""),ROWS(S$5:S14))),"")</f>
        <v/>
      </c>
      <c r="T14" s="53" t="str" cm="1">
        <f t="array" ref="T14">IFERROR(INDEX('MASTER LIST'!#REF!,SMALL(IF('MASTER LIST'!$N:$N=$C$2,ROW('MASTER LIST'!$N:$N),""),ROWS(T$5:T14))),"")</f>
        <v/>
      </c>
      <c r="U14" s="40" t="str" cm="1">
        <f t="array" ref="U14">IFERROR(INDEX('MASTER LIST'!S:S,SMALL(IF('MASTER LIST'!$N:$N=$C$2,ROW('MASTER LIST'!$N:$N),""),ROWS(U$5:U14))),"")</f>
        <v/>
      </c>
      <c r="V14" s="40" t="str" cm="1">
        <f t="array" ref="V14">IFERROR(INDEX('MASTER LIST'!T:T,SMALL(IF('MASTER LIST'!$N:$N=$C$2,ROW('MASTER LIST'!$N:$N),""),ROWS(V$5:V14))),"")</f>
        <v/>
      </c>
      <c r="W14" s="40" t="str" cm="1">
        <f t="array" ref="W14">IFERROR(INDEX('MASTER LIST'!U:U,SMALL(IF('MASTER LIST'!$N:$N=$C$2,ROW('MASTER LIST'!$N:$N),""),ROWS(W$5:W14))),"")</f>
        <v/>
      </c>
      <c r="X14" s="39" t="str" cm="1">
        <f t="array" ref="X14">IFERROR(INDEX('MASTER LIST'!V:V,SMALL(IF('MASTER LIST'!$N:$N=$C$2,ROW('MASTER LIST'!$N:$N),""),ROWS(X$5:X14))),"")</f>
        <v/>
      </c>
      <c r="Y14" s="41" t="str" cm="1">
        <f t="array" ref="Y14">IFERROR(INDEX('MASTER LIST'!W:W,SMALL(IF('MASTER LIST'!$N:$N=$C$2,ROW('MASTER LIST'!$N:$N),""),ROWS(Y$5:Y14))),"")</f>
        <v/>
      </c>
    </row>
    <row r="15" spans="2:25">
      <c r="B15" s="38" t="str" cm="1">
        <f t="array" ref="B15">IFERROR(INDEX('MASTER LIST'!B:B,SMALL(IF('MASTER LIST'!$N:$N=$C$2,ROW('MASTER LIST'!$N:$N),""),ROWS(B$5:B15))),"")</f>
        <v/>
      </c>
      <c r="C15" s="39" t="str" cm="1">
        <f t="array" ref="C15">IFERROR(INDEX('MASTER LIST'!C:C,SMALL(IF('MASTER LIST'!$N:$N=$C$2,ROW('MASTER LIST'!$N:$N),""),ROWS(C$5:C15))),"")</f>
        <v/>
      </c>
      <c r="D15" s="40" t="str" cm="1">
        <f t="array" ref="D15">IFERROR(INDEX('MASTER LIST'!D:D,SMALL(IF('MASTER LIST'!$N:$N=$C$2,ROW('MASTER LIST'!$N:$N),""),ROWS(D$5:D15))),"")</f>
        <v/>
      </c>
      <c r="E15" s="40" t="str" cm="1">
        <f t="array" ref="E15">IFERROR(INDEX('MASTER LIST'!E:E,SMALL(IF('MASTER LIST'!$N:$N=$C$2,ROW('MASTER LIST'!$N:$N),""),ROWS(E$5:E15))),"")</f>
        <v/>
      </c>
      <c r="F15" s="40" t="str" cm="1">
        <f t="array" ref="F15">IFERROR(INDEX('MASTER LIST'!G:G,SMALL(IF('MASTER LIST'!$N:$N=$C$2,ROW('MASTER LIST'!$N:$N),""),ROWS(F$5:F15))),"")</f>
        <v/>
      </c>
      <c r="G15" s="40" t="str" cm="1">
        <f t="array" ref="G15">IFERROR(INDEX('MASTER LIST'!H:H,SMALL(IF('MASTER LIST'!$N:$N=$C$2,ROW('MASTER LIST'!$N:$N),""),ROWS(G$5:G15))),"")</f>
        <v/>
      </c>
      <c r="H15" s="40" t="str" cm="1">
        <f t="array" ref="H15">IFERROR(INDEX('MASTER LIST'!I:I,SMALL(IF('MASTER LIST'!$N:$N=$C$2,ROW('MASTER LIST'!$N:$N),""),ROWS(H$5:H15))),"")</f>
        <v/>
      </c>
      <c r="I15" s="40" t="str" cm="1">
        <f t="array" ref="I15">IFERROR(INDEX('MASTER LIST'!J:J,SMALL(IF('MASTER LIST'!$N:$N=$C$2,ROW('MASTER LIST'!$N:$N),""),ROWS(I$5:I15))),"")</f>
        <v/>
      </c>
      <c r="J15" s="40" t="str" cm="1">
        <f t="array" ref="J15">IFERROR(INDEX('MASTER LIST'!K:K,SMALL(IF('MASTER LIST'!$N:$N=$C$2,ROW('MASTER LIST'!$N:$N),""),ROWS(J$5:J15))),"")</f>
        <v/>
      </c>
      <c r="K15" s="40" t="str" cm="1">
        <f t="array" ref="K15">IFERROR(INDEX('MASTER LIST'!L:L,SMALL(IF('MASTER LIST'!$N:$N=$C$2,ROW('MASTER LIST'!$N:$N),""),ROWS(K$5:K15))),"")</f>
        <v/>
      </c>
      <c r="L15" s="40" t="str" cm="1">
        <f t="array" ref="L15">IFERROR(INDEX('MASTER LIST'!M:M,SMALL(IF('MASTER LIST'!$N:$N=$C$2,ROW('MASTER LIST'!$N:$N),""),ROWS(L$5:L15))),"")</f>
        <v/>
      </c>
      <c r="M15" s="40" t="str" cm="1">
        <f t="array" ref="M15">IFERROR(INDEX('MASTER LIST'!N:N,SMALL(IF('MASTER LIST'!$N:$N=$C$2,ROW('MASTER LIST'!$N:$N),""),ROWS(M$5:M15))),"")</f>
        <v/>
      </c>
      <c r="N15" s="40" t="str" cm="1">
        <f t="array" ref="N15">IFERROR(INDEX('MASTER LIST'!P:P,SMALL(IF('MASTER LIST'!$N:$N=$C$2,ROW('MASTER LIST'!$N:$N),""),ROWS(N$5:N15))),"")</f>
        <v/>
      </c>
      <c r="O15" s="40" t="str" cm="1">
        <f t="array" ref="O15">IFERROR(INDEX('MASTER LIST'!Q:Q,SMALL(IF('MASTER LIST'!$N:$N=$C$2,ROW('MASTER LIST'!$N:$N),""),ROWS(O$5:O15))),"")</f>
        <v/>
      </c>
      <c r="P15" s="40" t="str" cm="1">
        <f t="array" ref="P15">IFERROR(INDEX('MASTER LIST'!#REF!,SMALL(IF('MASTER LIST'!$N:$N=$C$2,ROW('MASTER LIST'!$N:$N),""),ROWS(P$5:P15))),"")</f>
        <v/>
      </c>
      <c r="Q15" s="53" t="str" cm="1">
        <f t="array" ref="Q15">IFERROR(INDEX('MASTER LIST'!R:R,SMALL(IF('MASTER LIST'!$N:$N=$C$2,ROW('MASTER LIST'!$N:$N),""),ROWS(Q$5:Q15))),"")</f>
        <v/>
      </c>
      <c r="R15" s="53" t="str" cm="1">
        <f t="array" ref="R15">IFERROR(INDEX('MASTER LIST'!#REF!,SMALL(IF('MASTER LIST'!$N:$N=$C$2,ROW('MASTER LIST'!$N:$N),""),ROWS(R$5:R15))),"")</f>
        <v/>
      </c>
      <c r="S15" s="53" t="str" cm="1">
        <f t="array" ref="S15">IFERROR(INDEX('MASTER LIST'!#REF!,SMALL(IF('MASTER LIST'!$N:$N=$C$2,ROW('MASTER LIST'!$N:$N),""),ROWS(S$5:S15))),"")</f>
        <v/>
      </c>
      <c r="T15" s="53" t="str" cm="1">
        <f t="array" ref="T15">IFERROR(INDEX('MASTER LIST'!#REF!,SMALL(IF('MASTER LIST'!$N:$N=$C$2,ROW('MASTER LIST'!$N:$N),""),ROWS(T$5:T15))),"")</f>
        <v/>
      </c>
      <c r="U15" s="40" t="str" cm="1">
        <f t="array" ref="U15">IFERROR(INDEX('MASTER LIST'!S:S,SMALL(IF('MASTER LIST'!$N:$N=$C$2,ROW('MASTER LIST'!$N:$N),""),ROWS(U$5:U15))),"")</f>
        <v/>
      </c>
      <c r="V15" s="40" t="str" cm="1">
        <f t="array" ref="V15">IFERROR(INDEX('MASTER LIST'!T:T,SMALL(IF('MASTER LIST'!$N:$N=$C$2,ROW('MASTER LIST'!$N:$N),""),ROWS(V$5:V15))),"")</f>
        <v/>
      </c>
      <c r="W15" s="40" t="str" cm="1">
        <f t="array" ref="W15">IFERROR(INDEX('MASTER LIST'!U:U,SMALL(IF('MASTER LIST'!$N:$N=$C$2,ROW('MASTER LIST'!$N:$N),""),ROWS(W$5:W15))),"")</f>
        <v/>
      </c>
      <c r="X15" s="39" t="str" cm="1">
        <f t="array" ref="X15">IFERROR(INDEX('MASTER LIST'!V:V,SMALL(IF('MASTER LIST'!$N:$N=$C$2,ROW('MASTER LIST'!$N:$N),""),ROWS(X$5:X15))),"")</f>
        <v/>
      </c>
      <c r="Y15" s="41" t="str" cm="1">
        <f t="array" ref="Y15">IFERROR(INDEX('MASTER LIST'!W:W,SMALL(IF('MASTER LIST'!$N:$N=$C$2,ROW('MASTER LIST'!$N:$N),""),ROWS(Y$5:Y15))),"")</f>
        <v/>
      </c>
    </row>
    <row r="16" spans="2:25">
      <c r="B16" s="38" t="str" cm="1">
        <f t="array" ref="B16">IFERROR(INDEX('MASTER LIST'!B:B,SMALL(IF('MASTER LIST'!$N:$N=$C$2,ROW('MASTER LIST'!$N:$N),""),ROWS(B$5:B16))),"")</f>
        <v/>
      </c>
      <c r="C16" s="39" t="str" cm="1">
        <f t="array" ref="C16">IFERROR(INDEX('MASTER LIST'!C:C,SMALL(IF('MASTER LIST'!$N:$N=$C$2,ROW('MASTER LIST'!$N:$N),""),ROWS(C$5:C16))),"")</f>
        <v/>
      </c>
      <c r="D16" s="40" t="str" cm="1">
        <f t="array" ref="D16">IFERROR(INDEX('MASTER LIST'!D:D,SMALL(IF('MASTER LIST'!$N:$N=$C$2,ROW('MASTER LIST'!$N:$N),""),ROWS(D$5:D16))),"")</f>
        <v/>
      </c>
      <c r="E16" s="40" t="str" cm="1">
        <f t="array" ref="E16">IFERROR(INDEX('MASTER LIST'!E:E,SMALL(IF('MASTER LIST'!$N:$N=$C$2,ROW('MASTER LIST'!$N:$N),""),ROWS(E$5:E16))),"")</f>
        <v/>
      </c>
      <c r="F16" s="40" t="str" cm="1">
        <f t="array" ref="F16">IFERROR(INDEX('MASTER LIST'!G:G,SMALL(IF('MASTER LIST'!$N:$N=$C$2,ROW('MASTER LIST'!$N:$N),""),ROWS(F$5:F16))),"")</f>
        <v/>
      </c>
      <c r="G16" s="40" t="str" cm="1">
        <f t="array" ref="G16">IFERROR(INDEX('MASTER LIST'!H:H,SMALL(IF('MASTER LIST'!$N:$N=$C$2,ROW('MASTER LIST'!$N:$N),""),ROWS(G$5:G16))),"")</f>
        <v/>
      </c>
      <c r="H16" s="40" t="str" cm="1">
        <f t="array" ref="H16">IFERROR(INDEX('MASTER LIST'!I:I,SMALL(IF('MASTER LIST'!$N:$N=$C$2,ROW('MASTER LIST'!$N:$N),""),ROWS(H$5:H16))),"")</f>
        <v/>
      </c>
      <c r="I16" s="40" t="str" cm="1">
        <f t="array" ref="I16">IFERROR(INDEX('MASTER LIST'!J:J,SMALL(IF('MASTER LIST'!$N:$N=$C$2,ROW('MASTER LIST'!$N:$N),""),ROWS(I$5:I16))),"")</f>
        <v/>
      </c>
      <c r="J16" s="40" t="str" cm="1">
        <f t="array" ref="J16">IFERROR(INDEX('MASTER LIST'!K:K,SMALL(IF('MASTER LIST'!$N:$N=$C$2,ROW('MASTER LIST'!$N:$N),""),ROWS(J$5:J16))),"")</f>
        <v/>
      </c>
      <c r="K16" s="40" t="str" cm="1">
        <f t="array" ref="K16">IFERROR(INDEX('MASTER LIST'!L:L,SMALL(IF('MASTER LIST'!$N:$N=$C$2,ROW('MASTER LIST'!$N:$N),""),ROWS(K$5:K16))),"")</f>
        <v/>
      </c>
      <c r="L16" s="40" t="str" cm="1">
        <f t="array" ref="L16">IFERROR(INDEX('MASTER LIST'!M:M,SMALL(IF('MASTER LIST'!$N:$N=$C$2,ROW('MASTER LIST'!$N:$N),""),ROWS(L$5:L16))),"")</f>
        <v/>
      </c>
      <c r="M16" s="40" t="str" cm="1">
        <f t="array" ref="M16">IFERROR(INDEX('MASTER LIST'!N:N,SMALL(IF('MASTER LIST'!$N:$N=$C$2,ROW('MASTER LIST'!$N:$N),""),ROWS(M$5:M16))),"")</f>
        <v/>
      </c>
      <c r="N16" s="40" t="str" cm="1">
        <f t="array" ref="N16">IFERROR(INDEX('MASTER LIST'!P:P,SMALL(IF('MASTER LIST'!$N:$N=$C$2,ROW('MASTER LIST'!$N:$N),""),ROWS(N$5:N16))),"")</f>
        <v/>
      </c>
      <c r="O16" s="40" t="str" cm="1">
        <f t="array" ref="O16">IFERROR(INDEX('MASTER LIST'!Q:Q,SMALL(IF('MASTER LIST'!$N:$N=$C$2,ROW('MASTER LIST'!$N:$N),""),ROWS(O$5:O16))),"")</f>
        <v/>
      </c>
      <c r="P16" s="40" t="str" cm="1">
        <f t="array" ref="P16">IFERROR(INDEX('MASTER LIST'!#REF!,SMALL(IF('MASTER LIST'!$N:$N=$C$2,ROW('MASTER LIST'!$N:$N),""),ROWS(P$5:P16))),"")</f>
        <v/>
      </c>
      <c r="Q16" s="53" t="str" cm="1">
        <f t="array" ref="Q16">IFERROR(INDEX('MASTER LIST'!R:R,SMALL(IF('MASTER LIST'!$N:$N=$C$2,ROW('MASTER LIST'!$N:$N),""),ROWS(Q$5:Q16))),"")</f>
        <v/>
      </c>
      <c r="R16" s="53" t="str" cm="1">
        <f t="array" ref="R16">IFERROR(INDEX('MASTER LIST'!#REF!,SMALL(IF('MASTER LIST'!$N:$N=$C$2,ROW('MASTER LIST'!$N:$N),""),ROWS(R$5:R16))),"")</f>
        <v/>
      </c>
      <c r="S16" s="53" t="str" cm="1">
        <f t="array" ref="S16">IFERROR(INDEX('MASTER LIST'!#REF!,SMALL(IF('MASTER LIST'!$N:$N=$C$2,ROW('MASTER LIST'!$N:$N),""),ROWS(S$5:S16))),"")</f>
        <v/>
      </c>
      <c r="T16" s="53" t="str" cm="1">
        <f t="array" ref="T16">IFERROR(INDEX('MASTER LIST'!#REF!,SMALL(IF('MASTER LIST'!$N:$N=$C$2,ROW('MASTER LIST'!$N:$N),""),ROWS(T$5:T16))),"")</f>
        <v/>
      </c>
      <c r="U16" s="40" t="str" cm="1">
        <f t="array" ref="U16">IFERROR(INDEX('MASTER LIST'!S:S,SMALL(IF('MASTER LIST'!$N:$N=$C$2,ROW('MASTER LIST'!$N:$N),""),ROWS(U$5:U16))),"")</f>
        <v/>
      </c>
      <c r="V16" s="40" t="str" cm="1">
        <f t="array" ref="V16">IFERROR(INDEX('MASTER LIST'!T:T,SMALL(IF('MASTER LIST'!$N:$N=$C$2,ROW('MASTER LIST'!$N:$N),""),ROWS(V$5:V16))),"")</f>
        <v/>
      </c>
      <c r="W16" s="40" t="str" cm="1">
        <f t="array" ref="W16">IFERROR(INDEX('MASTER LIST'!U:U,SMALL(IF('MASTER LIST'!$N:$N=$C$2,ROW('MASTER LIST'!$N:$N),""),ROWS(W$5:W16))),"")</f>
        <v/>
      </c>
      <c r="X16" s="39" t="str" cm="1">
        <f t="array" ref="X16">IFERROR(INDEX('MASTER LIST'!V:V,SMALL(IF('MASTER LIST'!$N:$N=$C$2,ROW('MASTER LIST'!$N:$N),""),ROWS(X$5:X16))),"")</f>
        <v/>
      </c>
      <c r="Y16" s="41" t="str" cm="1">
        <f t="array" ref="Y16">IFERROR(INDEX('MASTER LIST'!W:W,SMALL(IF('MASTER LIST'!$N:$N=$C$2,ROW('MASTER LIST'!$N:$N),""),ROWS(Y$5:Y16))),"")</f>
        <v/>
      </c>
    </row>
    <row r="17" spans="2:25">
      <c r="B17" s="38" t="str" cm="1">
        <f t="array" ref="B17">IFERROR(INDEX('MASTER LIST'!B:B,SMALL(IF('MASTER LIST'!$N:$N=$C$2,ROW('MASTER LIST'!$N:$N),""),ROWS(B$5:B17))),"")</f>
        <v/>
      </c>
      <c r="C17" s="39" t="str" cm="1">
        <f t="array" ref="C17">IFERROR(INDEX('MASTER LIST'!C:C,SMALL(IF('MASTER LIST'!$N:$N=$C$2,ROW('MASTER LIST'!$N:$N),""),ROWS(C$5:C17))),"")</f>
        <v/>
      </c>
      <c r="D17" s="40" t="str" cm="1">
        <f t="array" ref="D17">IFERROR(INDEX('MASTER LIST'!D:D,SMALL(IF('MASTER LIST'!$N:$N=$C$2,ROW('MASTER LIST'!$N:$N),""),ROWS(D$5:D17))),"")</f>
        <v/>
      </c>
      <c r="E17" s="40" t="str" cm="1">
        <f t="array" ref="E17">IFERROR(INDEX('MASTER LIST'!E:E,SMALL(IF('MASTER LIST'!$N:$N=$C$2,ROW('MASTER LIST'!$N:$N),""),ROWS(E$5:E17))),"")</f>
        <v/>
      </c>
      <c r="F17" s="40" t="str" cm="1">
        <f t="array" ref="F17">IFERROR(INDEX('MASTER LIST'!G:G,SMALL(IF('MASTER LIST'!$N:$N=$C$2,ROW('MASTER LIST'!$N:$N),""),ROWS(F$5:F17))),"")</f>
        <v/>
      </c>
      <c r="G17" s="40" t="str" cm="1">
        <f t="array" ref="G17">IFERROR(INDEX('MASTER LIST'!H:H,SMALL(IF('MASTER LIST'!$N:$N=$C$2,ROW('MASTER LIST'!$N:$N),""),ROWS(G$5:G17))),"")</f>
        <v/>
      </c>
      <c r="H17" s="40" t="str" cm="1">
        <f t="array" ref="H17">IFERROR(INDEX('MASTER LIST'!I:I,SMALL(IF('MASTER LIST'!$N:$N=$C$2,ROW('MASTER LIST'!$N:$N),""),ROWS(H$5:H17))),"")</f>
        <v/>
      </c>
      <c r="I17" s="40" t="str" cm="1">
        <f t="array" ref="I17">IFERROR(INDEX('MASTER LIST'!J:J,SMALL(IF('MASTER LIST'!$N:$N=$C$2,ROW('MASTER LIST'!$N:$N),""),ROWS(I$5:I17))),"")</f>
        <v/>
      </c>
      <c r="J17" s="40" t="str" cm="1">
        <f t="array" ref="J17">IFERROR(INDEX('MASTER LIST'!K:K,SMALL(IF('MASTER LIST'!$N:$N=$C$2,ROW('MASTER LIST'!$N:$N),""),ROWS(J$5:J17))),"")</f>
        <v/>
      </c>
      <c r="K17" s="40" t="str" cm="1">
        <f t="array" ref="K17">IFERROR(INDEX('MASTER LIST'!L:L,SMALL(IF('MASTER LIST'!$N:$N=$C$2,ROW('MASTER LIST'!$N:$N),""),ROWS(K$5:K17))),"")</f>
        <v/>
      </c>
      <c r="L17" s="40" t="str" cm="1">
        <f t="array" ref="L17">IFERROR(INDEX('MASTER LIST'!M:M,SMALL(IF('MASTER LIST'!$N:$N=$C$2,ROW('MASTER LIST'!$N:$N),""),ROWS(L$5:L17))),"")</f>
        <v/>
      </c>
      <c r="M17" s="40" t="str" cm="1">
        <f t="array" ref="M17">IFERROR(INDEX('MASTER LIST'!N:N,SMALL(IF('MASTER LIST'!$N:$N=$C$2,ROW('MASTER LIST'!$N:$N),""),ROWS(M$5:M17))),"")</f>
        <v/>
      </c>
      <c r="N17" s="40" t="str" cm="1">
        <f t="array" ref="N17">IFERROR(INDEX('MASTER LIST'!P:P,SMALL(IF('MASTER LIST'!$N:$N=$C$2,ROW('MASTER LIST'!$N:$N),""),ROWS(N$5:N17))),"")</f>
        <v/>
      </c>
      <c r="O17" s="40" t="str" cm="1">
        <f t="array" ref="O17">IFERROR(INDEX('MASTER LIST'!Q:Q,SMALL(IF('MASTER LIST'!$N:$N=$C$2,ROW('MASTER LIST'!$N:$N),""),ROWS(O$5:O17))),"")</f>
        <v/>
      </c>
      <c r="P17" s="40" t="str" cm="1">
        <f t="array" ref="P17">IFERROR(INDEX('MASTER LIST'!#REF!,SMALL(IF('MASTER LIST'!$N:$N=$C$2,ROW('MASTER LIST'!$N:$N),""),ROWS(P$5:P17))),"")</f>
        <v/>
      </c>
      <c r="Q17" s="53" t="str" cm="1">
        <f t="array" ref="Q17">IFERROR(INDEX('MASTER LIST'!R:R,SMALL(IF('MASTER LIST'!$N:$N=$C$2,ROW('MASTER LIST'!$N:$N),""),ROWS(Q$5:Q17))),"")</f>
        <v/>
      </c>
      <c r="R17" s="53" t="str" cm="1">
        <f t="array" ref="R17">IFERROR(INDEX('MASTER LIST'!#REF!,SMALL(IF('MASTER LIST'!$N:$N=$C$2,ROW('MASTER LIST'!$N:$N),""),ROWS(R$5:R17))),"")</f>
        <v/>
      </c>
      <c r="S17" s="53" t="str" cm="1">
        <f t="array" ref="S17">IFERROR(INDEX('MASTER LIST'!#REF!,SMALL(IF('MASTER LIST'!$N:$N=$C$2,ROW('MASTER LIST'!$N:$N),""),ROWS(S$5:S17))),"")</f>
        <v/>
      </c>
      <c r="T17" s="53" t="str" cm="1">
        <f t="array" ref="T17">IFERROR(INDEX('MASTER LIST'!#REF!,SMALL(IF('MASTER LIST'!$N:$N=$C$2,ROW('MASTER LIST'!$N:$N),""),ROWS(T$5:T17))),"")</f>
        <v/>
      </c>
      <c r="U17" s="40" t="str" cm="1">
        <f t="array" ref="U17">IFERROR(INDEX('MASTER LIST'!S:S,SMALL(IF('MASTER LIST'!$N:$N=$C$2,ROW('MASTER LIST'!$N:$N),""),ROWS(U$5:U17))),"")</f>
        <v/>
      </c>
      <c r="V17" s="40" t="str" cm="1">
        <f t="array" ref="V17">IFERROR(INDEX('MASTER LIST'!T:T,SMALL(IF('MASTER LIST'!$N:$N=$C$2,ROW('MASTER LIST'!$N:$N),""),ROWS(V$5:V17))),"")</f>
        <v/>
      </c>
      <c r="W17" s="40" t="str" cm="1">
        <f t="array" ref="W17">IFERROR(INDEX('MASTER LIST'!U:U,SMALL(IF('MASTER LIST'!$N:$N=$C$2,ROW('MASTER LIST'!$N:$N),""),ROWS(W$5:W17))),"")</f>
        <v/>
      </c>
      <c r="X17" s="39" t="str" cm="1">
        <f t="array" ref="X17">IFERROR(INDEX('MASTER LIST'!V:V,SMALL(IF('MASTER LIST'!$N:$N=$C$2,ROW('MASTER LIST'!$N:$N),""),ROWS(X$5:X17))),"")</f>
        <v/>
      </c>
      <c r="Y17" s="41" t="str" cm="1">
        <f t="array" ref="Y17">IFERROR(INDEX('MASTER LIST'!W:W,SMALL(IF('MASTER LIST'!$N:$N=$C$2,ROW('MASTER LIST'!$N:$N),""),ROWS(Y$5:Y17))),"")</f>
        <v/>
      </c>
    </row>
    <row r="18" spans="2:25">
      <c r="B18" s="38" t="str" cm="1">
        <f t="array" ref="B18">IFERROR(INDEX('MASTER LIST'!B:B,SMALL(IF('MASTER LIST'!$N:$N=$C$2,ROW('MASTER LIST'!$N:$N),""),ROWS(B$5:B18))),"")</f>
        <v/>
      </c>
      <c r="C18" s="39" t="str" cm="1">
        <f t="array" ref="C18">IFERROR(INDEX('MASTER LIST'!C:C,SMALL(IF('MASTER LIST'!$N:$N=$C$2,ROW('MASTER LIST'!$N:$N),""),ROWS(C$5:C18))),"")</f>
        <v/>
      </c>
      <c r="D18" s="40" t="str" cm="1">
        <f t="array" ref="D18">IFERROR(INDEX('MASTER LIST'!D:D,SMALL(IF('MASTER LIST'!$N:$N=$C$2,ROW('MASTER LIST'!$N:$N),""),ROWS(D$5:D18))),"")</f>
        <v/>
      </c>
      <c r="E18" s="40" t="str" cm="1">
        <f t="array" ref="E18">IFERROR(INDEX('MASTER LIST'!E:E,SMALL(IF('MASTER LIST'!$N:$N=$C$2,ROW('MASTER LIST'!$N:$N),""),ROWS(E$5:E18))),"")</f>
        <v/>
      </c>
      <c r="F18" s="40" t="str" cm="1">
        <f t="array" ref="F18">IFERROR(INDEX('MASTER LIST'!G:G,SMALL(IF('MASTER LIST'!$N:$N=$C$2,ROW('MASTER LIST'!$N:$N),""),ROWS(F$5:F18))),"")</f>
        <v/>
      </c>
      <c r="G18" s="40" t="str" cm="1">
        <f t="array" ref="G18">IFERROR(INDEX('MASTER LIST'!H:H,SMALL(IF('MASTER LIST'!$N:$N=$C$2,ROW('MASTER LIST'!$N:$N),""),ROWS(G$5:G18))),"")</f>
        <v/>
      </c>
      <c r="H18" s="40" t="str" cm="1">
        <f t="array" ref="H18">IFERROR(INDEX('MASTER LIST'!I:I,SMALL(IF('MASTER LIST'!$N:$N=$C$2,ROW('MASTER LIST'!$N:$N),""),ROWS(H$5:H18))),"")</f>
        <v/>
      </c>
      <c r="I18" s="40" t="str" cm="1">
        <f t="array" ref="I18">IFERROR(INDEX('MASTER LIST'!J:J,SMALL(IF('MASTER LIST'!$N:$N=$C$2,ROW('MASTER LIST'!$N:$N),""),ROWS(I$5:I18))),"")</f>
        <v/>
      </c>
      <c r="J18" s="40" t="str" cm="1">
        <f t="array" ref="J18">IFERROR(INDEX('MASTER LIST'!K:K,SMALL(IF('MASTER LIST'!$N:$N=$C$2,ROW('MASTER LIST'!$N:$N),""),ROWS(J$5:J18))),"")</f>
        <v/>
      </c>
      <c r="K18" s="40" t="str" cm="1">
        <f t="array" ref="K18">IFERROR(INDEX('MASTER LIST'!L:L,SMALL(IF('MASTER LIST'!$N:$N=$C$2,ROW('MASTER LIST'!$N:$N),""),ROWS(K$5:K18))),"")</f>
        <v/>
      </c>
      <c r="L18" s="40" t="str" cm="1">
        <f t="array" ref="L18">IFERROR(INDEX('MASTER LIST'!M:M,SMALL(IF('MASTER LIST'!$N:$N=$C$2,ROW('MASTER LIST'!$N:$N),""),ROWS(L$5:L18))),"")</f>
        <v/>
      </c>
      <c r="M18" s="40" t="str" cm="1">
        <f t="array" ref="M18">IFERROR(INDEX('MASTER LIST'!N:N,SMALL(IF('MASTER LIST'!$N:$N=$C$2,ROW('MASTER LIST'!$N:$N),""),ROWS(M$5:M18))),"")</f>
        <v/>
      </c>
      <c r="N18" s="40" t="str" cm="1">
        <f t="array" ref="N18">IFERROR(INDEX('MASTER LIST'!P:P,SMALL(IF('MASTER LIST'!$N:$N=$C$2,ROW('MASTER LIST'!$N:$N),""),ROWS(N$5:N18))),"")</f>
        <v/>
      </c>
      <c r="O18" s="40" t="str" cm="1">
        <f t="array" ref="O18">IFERROR(INDEX('MASTER LIST'!Q:Q,SMALL(IF('MASTER LIST'!$N:$N=$C$2,ROW('MASTER LIST'!$N:$N),""),ROWS(O$5:O18))),"")</f>
        <v/>
      </c>
      <c r="P18" s="40" t="str" cm="1">
        <f t="array" ref="P18">IFERROR(INDEX('MASTER LIST'!#REF!,SMALL(IF('MASTER LIST'!$N:$N=$C$2,ROW('MASTER LIST'!$N:$N),""),ROWS(P$5:P18))),"")</f>
        <v/>
      </c>
      <c r="Q18" s="53" t="str" cm="1">
        <f t="array" ref="Q18">IFERROR(INDEX('MASTER LIST'!R:R,SMALL(IF('MASTER LIST'!$N:$N=$C$2,ROW('MASTER LIST'!$N:$N),""),ROWS(Q$5:Q18))),"")</f>
        <v/>
      </c>
      <c r="R18" s="53" t="str" cm="1">
        <f t="array" ref="R18">IFERROR(INDEX('MASTER LIST'!#REF!,SMALL(IF('MASTER LIST'!$N:$N=$C$2,ROW('MASTER LIST'!$N:$N),""),ROWS(R$5:R18))),"")</f>
        <v/>
      </c>
      <c r="S18" s="53" t="str" cm="1">
        <f t="array" ref="S18">IFERROR(INDEX('MASTER LIST'!#REF!,SMALL(IF('MASTER LIST'!$N:$N=$C$2,ROW('MASTER LIST'!$N:$N),""),ROWS(S$5:S18))),"")</f>
        <v/>
      </c>
      <c r="T18" s="53" t="str" cm="1">
        <f t="array" ref="T18">IFERROR(INDEX('MASTER LIST'!#REF!,SMALL(IF('MASTER LIST'!$N:$N=$C$2,ROW('MASTER LIST'!$N:$N),""),ROWS(T$5:T18))),"")</f>
        <v/>
      </c>
      <c r="U18" s="40" t="str" cm="1">
        <f t="array" ref="U18">IFERROR(INDEX('MASTER LIST'!S:S,SMALL(IF('MASTER LIST'!$N:$N=$C$2,ROW('MASTER LIST'!$N:$N),""),ROWS(U$5:U18))),"")</f>
        <v/>
      </c>
      <c r="V18" s="40" t="str" cm="1">
        <f t="array" ref="V18">IFERROR(INDEX('MASTER LIST'!T:T,SMALL(IF('MASTER LIST'!$N:$N=$C$2,ROW('MASTER LIST'!$N:$N),""),ROWS(V$5:V18))),"")</f>
        <v/>
      </c>
      <c r="W18" s="40" t="str" cm="1">
        <f t="array" ref="W18">IFERROR(INDEX('MASTER LIST'!U:U,SMALL(IF('MASTER LIST'!$N:$N=$C$2,ROW('MASTER LIST'!$N:$N),""),ROWS(W$5:W18))),"")</f>
        <v/>
      </c>
      <c r="X18" s="39" t="str" cm="1">
        <f t="array" ref="X18">IFERROR(INDEX('MASTER LIST'!V:V,SMALL(IF('MASTER LIST'!$N:$N=$C$2,ROW('MASTER LIST'!$N:$N),""),ROWS(X$5:X18))),"")</f>
        <v/>
      </c>
      <c r="Y18" s="41" t="str" cm="1">
        <f t="array" ref="Y18">IFERROR(INDEX('MASTER LIST'!W:W,SMALL(IF('MASTER LIST'!$N:$N=$C$2,ROW('MASTER LIST'!$N:$N),""),ROWS(Y$5:Y18))),"")</f>
        <v/>
      </c>
    </row>
    <row r="19" spans="2:25">
      <c r="B19" s="38" t="str" cm="1">
        <f t="array" ref="B19">IFERROR(INDEX('MASTER LIST'!B:B,SMALL(IF('MASTER LIST'!$N:$N=$C$2,ROW('MASTER LIST'!$N:$N),""),ROWS(B$5:B19))),"")</f>
        <v/>
      </c>
      <c r="C19" s="39" t="str" cm="1">
        <f t="array" ref="C19">IFERROR(INDEX('MASTER LIST'!C:C,SMALL(IF('MASTER LIST'!$N:$N=$C$2,ROW('MASTER LIST'!$N:$N),""),ROWS(C$5:C19))),"")</f>
        <v/>
      </c>
      <c r="D19" s="40" t="str" cm="1">
        <f t="array" ref="D19">IFERROR(INDEX('MASTER LIST'!D:D,SMALL(IF('MASTER LIST'!$N:$N=$C$2,ROW('MASTER LIST'!$N:$N),""),ROWS(D$5:D19))),"")</f>
        <v/>
      </c>
      <c r="E19" s="40" t="str" cm="1">
        <f t="array" ref="E19">IFERROR(INDEX('MASTER LIST'!E:E,SMALL(IF('MASTER LIST'!$N:$N=$C$2,ROW('MASTER LIST'!$N:$N),""),ROWS(E$5:E19))),"")</f>
        <v/>
      </c>
      <c r="F19" s="40" t="str" cm="1">
        <f t="array" ref="F19">IFERROR(INDEX('MASTER LIST'!G:G,SMALL(IF('MASTER LIST'!$N:$N=$C$2,ROW('MASTER LIST'!$N:$N),""),ROWS(F$5:F19))),"")</f>
        <v/>
      </c>
      <c r="G19" s="40" t="str" cm="1">
        <f t="array" ref="G19">IFERROR(INDEX('MASTER LIST'!H:H,SMALL(IF('MASTER LIST'!$N:$N=$C$2,ROW('MASTER LIST'!$N:$N),""),ROWS(G$5:G19))),"")</f>
        <v/>
      </c>
      <c r="H19" s="40" t="str" cm="1">
        <f t="array" ref="H19">IFERROR(INDEX('MASTER LIST'!I:I,SMALL(IF('MASTER LIST'!$N:$N=$C$2,ROW('MASTER LIST'!$N:$N),""),ROWS(H$5:H19))),"")</f>
        <v/>
      </c>
      <c r="I19" s="40" t="str" cm="1">
        <f t="array" ref="I19">IFERROR(INDEX('MASTER LIST'!J:J,SMALL(IF('MASTER LIST'!$N:$N=$C$2,ROW('MASTER LIST'!$N:$N),""),ROWS(I$5:I19))),"")</f>
        <v/>
      </c>
      <c r="J19" s="40" t="str" cm="1">
        <f t="array" ref="J19">IFERROR(INDEX('MASTER LIST'!K:K,SMALL(IF('MASTER LIST'!$N:$N=$C$2,ROW('MASTER LIST'!$N:$N),""),ROWS(J$5:J19))),"")</f>
        <v/>
      </c>
      <c r="K19" s="40" t="str" cm="1">
        <f t="array" ref="K19">IFERROR(INDEX('MASTER LIST'!L:L,SMALL(IF('MASTER LIST'!$N:$N=$C$2,ROW('MASTER LIST'!$N:$N),""),ROWS(K$5:K19))),"")</f>
        <v/>
      </c>
      <c r="L19" s="40" t="str" cm="1">
        <f t="array" ref="L19">IFERROR(INDEX('MASTER LIST'!M:M,SMALL(IF('MASTER LIST'!$N:$N=$C$2,ROW('MASTER LIST'!$N:$N),""),ROWS(L$5:L19))),"")</f>
        <v/>
      </c>
      <c r="M19" s="40" t="str" cm="1">
        <f t="array" ref="M19">IFERROR(INDEX('MASTER LIST'!N:N,SMALL(IF('MASTER LIST'!$N:$N=$C$2,ROW('MASTER LIST'!$N:$N),""),ROWS(M$5:M19))),"")</f>
        <v/>
      </c>
      <c r="N19" s="40" t="str" cm="1">
        <f t="array" ref="N19">IFERROR(INDEX('MASTER LIST'!P:P,SMALL(IF('MASTER LIST'!$N:$N=$C$2,ROW('MASTER LIST'!$N:$N),""),ROWS(N$5:N19))),"")</f>
        <v/>
      </c>
      <c r="O19" s="40" t="str" cm="1">
        <f t="array" ref="O19">IFERROR(INDEX('MASTER LIST'!Q:Q,SMALL(IF('MASTER LIST'!$N:$N=$C$2,ROW('MASTER LIST'!$N:$N),""),ROWS(O$5:O19))),"")</f>
        <v/>
      </c>
      <c r="P19" s="40" t="str" cm="1">
        <f t="array" ref="P19">IFERROR(INDEX('MASTER LIST'!#REF!,SMALL(IF('MASTER LIST'!$N:$N=$C$2,ROW('MASTER LIST'!$N:$N),""),ROWS(P$5:P19))),"")</f>
        <v/>
      </c>
      <c r="Q19" s="53" t="str" cm="1">
        <f t="array" ref="Q19">IFERROR(INDEX('MASTER LIST'!R:R,SMALL(IF('MASTER LIST'!$N:$N=$C$2,ROW('MASTER LIST'!$N:$N),""),ROWS(Q$5:Q19))),"")</f>
        <v/>
      </c>
      <c r="R19" s="53" t="str" cm="1">
        <f t="array" ref="R19">IFERROR(INDEX('MASTER LIST'!#REF!,SMALL(IF('MASTER LIST'!$N:$N=$C$2,ROW('MASTER LIST'!$N:$N),""),ROWS(R$5:R19))),"")</f>
        <v/>
      </c>
      <c r="S19" s="53" t="str" cm="1">
        <f t="array" ref="S19">IFERROR(INDEX('MASTER LIST'!#REF!,SMALL(IF('MASTER LIST'!$N:$N=$C$2,ROW('MASTER LIST'!$N:$N),""),ROWS(S$5:S19))),"")</f>
        <v/>
      </c>
      <c r="T19" s="53" t="str" cm="1">
        <f t="array" ref="T19">IFERROR(INDEX('MASTER LIST'!#REF!,SMALL(IF('MASTER LIST'!$N:$N=$C$2,ROW('MASTER LIST'!$N:$N),""),ROWS(T$5:T19))),"")</f>
        <v/>
      </c>
      <c r="U19" s="40" t="str" cm="1">
        <f t="array" ref="U19">IFERROR(INDEX('MASTER LIST'!S:S,SMALL(IF('MASTER LIST'!$N:$N=$C$2,ROW('MASTER LIST'!$N:$N),""),ROWS(U$5:U19))),"")</f>
        <v/>
      </c>
      <c r="V19" s="40" t="str" cm="1">
        <f t="array" ref="V19">IFERROR(INDEX('MASTER LIST'!T:T,SMALL(IF('MASTER LIST'!$N:$N=$C$2,ROW('MASTER LIST'!$N:$N),""),ROWS(V$5:V19))),"")</f>
        <v/>
      </c>
      <c r="W19" s="40" t="str" cm="1">
        <f t="array" ref="W19">IFERROR(INDEX('MASTER LIST'!U:U,SMALL(IF('MASTER LIST'!$N:$N=$C$2,ROW('MASTER LIST'!$N:$N),""),ROWS(W$5:W19))),"")</f>
        <v/>
      </c>
      <c r="X19" s="39" t="str" cm="1">
        <f t="array" ref="X19">IFERROR(INDEX('MASTER LIST'!V:V,SMALL(IF('MASTER LIST'!$N:$N=$C$2,ROW('MASTER LIST'!$N:$N),""),ROWS(X$5:X19))),"")</f>
        <v/>
      </c>
      <c r="Y19" s="41" t="str" cm="1">
        <f t="array" ref="Y19">IFERROR(INDEX('MASTER LIST'!W:W,SMALL(IF('MASTER LIST'!$N:$N=$C$2,ROW('MASTER LIST'!$N:$N),""),ROWS(Y$5:Y19))),"")</f>
        <v/>
      </c>
    </row>
    <row r="20" spans="2:25">
      <c r="B20" s="38" t="str" cm="1">
        <f t="array" ref="B20">IFERROR(INDEX('MASTER LIST'!B:B,SMALL(IF('MASTER LIST'!$N:$N=$C$2,ROW('MASTER LIST'!$N:$N),""),ROWS(B$5:B20))),"")</f>
        <v/>
      </c>
      <c r="C20" s="39" t="str" cm="1">
        <f t="array" ref="C20">IFERROR(INDEX('MASTER LIST'!C:C,SMALL(IF('MASTER LIST'!$N:$N=$C$2,ROW('MASTER LIST'!$N:$N),""),ROWS(C$5:C20))),"")</f>
        <v/>
      </c>
      <c r="D20" s="40" t="str" cm="1">
        <f t="array" ref="D20">IFERROR(INDEX('MASTER LIST'!D:D,SMALL(IF('MASTER LIST'!$N:$N=$C$2,ROW('MASTER LIST'!$N:$N),""),ROWS(D$5:D20))),"")</f>
        <v/>
      </c>
      <c r="E20" s="40" t="str" cm="1">
        <f t="array" ref="E20">IFERROR(INDEX('MASTER LIST'!E:E,SMALL(IF('MASTER LIST'!$N:$N=$C$2,ROW('MASTER LIST'!$N:$N),""),ROWS(E$5:E20))),"")</f>
        <v/>
      </c>
      <c r="F20" s="40" t="str" cm="1">
        <f t="array" ref="F20">IFERROR(INDEX('MASTER LIST'!G:G,SMALL(IF('MASTER LIST'!$N:$N=$C$2,ROW('MASTER LIST'!$N:$N),""),ROWS(F$5:F20))),"")</f>
        <v/>
      </c>
      <c r="G20" s="40" t="str" cm="1">
        <f t="array" ref="G20">IFERROR(INDEX('MASTER LIST'!H:H,SMALL(IF('MASTER LIST'!$N:$N=$C$2,ROW('MASTER LIST'!$N:$N),""),ROWS(G$5:G20))),"")</f>
        <v/>
      </c>
      <c r="H20" s="40" t="str" cm="1">
        <f t="array" ref="H20">IFERROR(INDEX('MASTER LIST'!I:I,SMALL(IF('MASTER LIST'!$N:$N=$C$2,ROW('MASTER LIST'!$N:$N),""),ROWS(H$5:H20))),"")</f>
        <v/>
      </c>
      <c r="I20" s="40" t="str" cm="1">
        <f t="array" ref="I20">IFERROR(INDEX('MASTER LIST'!J:J,SMALL(IF('MASTER LIST'!$N:$N=$C$2,ROW('MASTER LIST'!$N:$N),""),ROWS(I$5:I20))),"")</f>
        <v/>
      </c>
      <c r="J20" s="40" t="str" cm="1">
        <f t="array" ref="J20">IFERROR(INDEX('MASTER LIST'!K:K,SMALL(IF('MASTER LIST'!$N:$N=$C$2,ROW('MASTER LIST'!$N:$N),""),ROWS(J$5:J20))),"")</f>
        <v/>
      </c>
      <c r="K20" s="40" t="str" cm="1">
        <f t="array" ref="K20">IFERROR(INDEX('MASTER LIST'!L:L,SMALL(IF('MASTER LIST'!$N:$N=$C$2,ROW('MASTER LIST'!$N:$N),""),ROWS(K$5:K20))),"")</f>
        <v/>
      </c>
      <c r="L20" s="40" t="str" cm="1">
        <f t="array" ref="L20">IFERROR(INDEX('MASTER LIST'!M:M,SMALL(IF('MASTER LIST'!$N:$N=$C$2,ROW('MASTER LIST'!$N:$N),""),ROWS(L$5:L20))),"")</f>
        <v/>
      </c>
      <c r="M20" s="40" t="str" cm="1">
        <f t="array" ref="M20">IFERROR(INDEX('MASTER LIST'!N:N,SMALL(IF('MASTER LIST'!$N:$N=$C$2,ROW('MASTER LIST'!$N:$N),""),ROWS(M$5:M20))),"")</f>
        <v/>
      </c>
      <c r="N20" s="40" t="str" cm="1">
        <f t="array" ref="N20">IFERROR(INDEX('MASTER LIST'!P:P,SMALL(IF('MASTER LIST'!$N:$N=$C$2,ROW('MASTER LIST'!$N:$N),""),ROWS(N$5:N20))),"")</f>
        <v/>
      </c>
      <c r="O20" s="40" t="str" cm="1">
        <f t="array" ref="O20">IFERROR(INDEX('MASTER LIST'!Q:Q,SMALL(IF('MASTER LIST'!$N:$N=$C$2,ROW('MASTER LIST'!$N:$N),""),ROWS(O$5:O20))),"")</f>
        <v/>
      </c>
      <c r="P20" s="40" t="str" cm="1">
        <f t="array" ref="P20">IFERROR(INDEX('MASTER LIST'!#REF!,SMALL(IF('MASTER LIST'!$N:$N=$C$2,ROW('MASTER LIST'!$N:$N),""),ROWS(P$5:P20))),"")</f>
        <v/>
      </c>
      <c r="Q20" s="53" t="str" cm="1">
        <f t="array" ref="Q20">IFERROR(INDEX('MASTER LIST'!R:R,SMALL(IF('MASTER LIST'!$N:$N=$C$2,ROW('MASTER LIST'!$N:$N),""),ROWS(Q$5:Q20))),"")</f>
        <v/>
      </c>
      <c r="R20" s="53" t="str" cm="1">
        <f t="array" ref="R20">IFERROR(INDEX('MASTER LIST'!#REF!,SMALL(IF('MASTER LIST'!$N:$N=$C$2,ROW('MASTER LIST'!$N:$N),""),ROWS(R$5:R20))),"")</f>
        <v/>
      </c>
      <c r="S20" s="53" t="str" cm="1">
        <f t="array" ref="S20">IFERROR(INDEX('MASTER LIST'!#REF!,SMALL(IF('MASTER LIST'!$N:$N=$C$2,ROW('MASTER LIST'!$N:$N),""),ROWS(S$5:S20))),"")</f>
        <v/>
      </c>
      <c r="T20" s="53" t="str" cm="1">
        <f t="array" ref="T20">IFERROR(INDEX('MASTER LIST'!#REF!,SMALL(IF('MASTER LIST'!$N:$N=$C$2,ROW('MASTER LIST'!$N:$N),""),ROWS(T$5:T20))),"")</f>
        <v/>
      </c>
      <c r="U20" s="40" t="str" cm="1">
        <f t="array" ref="U20">IFERROR(INDEX('MASTER LIST'!S:S,SMALL(IF('MASTER LIST'!$N:$N=$C$2,ROW('MASTER LIST'!$N:$N),""),ROWS(U$5:U20))),"")</f>
        <v/>
      </c>
      <c r="V20" s="40" t="str" cm="1">
        <f t="array" ref="V20">IFERROR(INDEX('MASTER LIST'!T:T,SMALL(IF('MASTER LIST'!$N:$N=$C$2,ROW('MASTER LIST'!$N:$N),""),ROWS(V$5:V20))),"")</f>
        <v/>
      </c>
      <c r="W20" s="40" t="str" cm="1">
        <f t="array" ref="W20">IFERROR(INDEX('MASTER LIST'!U:U,SMALL(IF('MASTER LIST'!$N:$N=$C$2,ROW('MASTER LIST'!$N:$N),""),ROWS(W$5:W20))),"")</f>
        <v/>
      </c>
      <c r="X20" s="39" t="str" cm="1">
        <f t="array" ref="X20">IFERROR(INDEX('MASTER LIST'!V:V,SMALL(IF('MASTER LIST'!$N:$N=$C$2,ROW('MASTER LIST'!$N:$N),""),ROWS(X$5:X20))),"")</f>
        <v/>
      </c>
      <c r="Y20" s="41" t="str" cm="1">
        <f t="array" ref="Y20">IFERROR(INDEX('MASTER LIST'!W:W,SMALL(IF('MASTER LIST'!$N:$N=$C$2,ROW('MASTER LIST'!$N:$N),""),ROWS(Y$5:Y20))),"")</f>
        <v/>
      </c>
    </row>
    <row r="21" spans="2:25">
      <c r="B21" s="38" t="str" cm="1">
        <f t="array" ref="B21">IFERROR(INDEX('MASTER LIST'!B:B,SMALL(IF('MASTER LIST'!$N:$N=$C$2,ROW('MASTER LIST'!$N:$N),""),ROWS(B$5:B21))),"")</f>
        <v/>
      </c>
      <c r="C21" s="39" t="str" cm="1">
        <f t="array" ref="C21">IFERROR(INDEX('MASTER LIST'!C:C,SMALL(IF('MASTER LIST'!$N:$N=$C$2,ROW('MASTER LIST'!$N:$N),""),ROWS(C$5:C21))),"")</f>
        <v/>
      </c>
      <c r="D21" s="40" t="str" cm="1">
        <f t="array" ref="D21">IFERROR(INDEX('MASTER LIST'!D:D,SMALL(IF('MASTER LIST'!$N:$N=$C$2,ROW('MASTER LIST'!$N:$N),""),ROWS(D$5:D21))),"")</f>
        <v/>
      </c>
      <c r="E21" s="40" t="str" cm="1">
        <f t="array" ref="E21">IFERROR(INDEX('MASTER LIST'!E:E,SMALL(IF('MASTER LIST'!$N:$N=$C$2,ROW('MASTER LIST'!$N:$N),""),ROWS(E$5:E21))),"")</f>
        <v/>
      </c>
      <c r="F21" s="40" t="str" cm="1">
        <f t="array" ref="F21">IFERROR(INDEX('MASTER LIST'!G:G,SMALL(IF('MASTER LIST'!$N:$N=$C$2,ROW('MASTER LIST'!$N:$N),""),ROWS(F$5:F21))),"")</f>
        <v/>
      </c>
      <c r="G21" s="40" t="str" cm="1">
        <f t="array" ref="G21">IFERROR(INDEX('MASTER LIST'!H:H,SMALL(IF('MASTER LIST'!$N:$N=$C$2,ROW('MASTER LIST'!$N:$N),""),ROWS(G$5:G21))),"")</f>
        <v/>
      </c>
      <c r="H21" s="40" t="str" cm="1">
        <f t="array" ref="H21">IFERROR(INDEX('MASTER LIST'!I:I,SMALL(IF('MASTER LIST'!$N:$N=$C$2,ROW('MASTER LIST'!$N:$N),""),ROWS(H$5:H21))),"")</f>
        <v/>
      </c>
      <c r="I21" s="40" t="str" cm="1">
        <f t="array" ref="I21">IFERROR(INDEX('MASTER LIST'!J:J,SMALL(IF('MASTER LIST'!$N:$N=$C$2,ROW('MASTER LIST'!$N:$N),""),ROWS(I$5:I21))),"")</f>
        <v/>
      </c>
      <c r="J21" s="40" t="str" cm="1">
        <f t="array" ref="J21">IFERROR(INDEX('MASTER LIST'!K:K,SMALL(IF('MASTER LIST'!$N:$N=$C$2,ROW('MASTER LIST'!$N:$N),""),ROWS(J$5:J21))),"")</f>
        <v/>
      </c>
      <c r="K21" s="40" t="str" cm="1">
        <f t="array" ref="K21">IFERROR(INDEX('MASTER LIST'!L:L,SMALL(IF('MASTER LIST'!$N:$N=$C$2,ROW('MASTER LIST'!$N:$N),""),ROWS(K$5:K21))),"")</f>
        <v/>
      </c>
      <c r="L21" s="40" t="str" cm="1">
        <f t="array" ref="L21">IFERROR(INDEX('MASTER LIST'!M:M,SMALL(IF('MASTER LIST'!$N:$N=$C$2,ROW('MASTER LIST'!$N:$N),""),ROWS(L$5:L21))),"")</f>
        <v/>
      </c>
      <c r="M21" s="40" t="str" cm="1">
        <f t="array" ref="M21">IFERROR(INDEX('MASTER LIST'!N:N,SMALL(IF('MASTER LIST'!$N:$N=$C$2,ROW('MASTER LIST'!$N:$N),""),ROWS(M$5:M21))),"")</f>
        <v/>
      </c>
      <c r="N21" s="40" t="str" cm="1">
        <f t="array" ref="N21">IFERROR(INDEX('MASTER LIST'!P:P,SMALL(IF('MASTER LIST'!$N:$N=$C$2,ROW('MASTER LIST'!$N:$N),""),ROWS(N$5:N21))),"")</f>
        <v/>
      </c>
      <c r="O21" s="40" t="str" cm="1">
        <f t="array" ref="O21">IFERROR(INDEX('MASTER LIST'!Q:Q,SMALL(IF('MASTER LIST'!$N:$N=$C$2,ROW('MASTER LIST'!$N:$N),""),ROWS(O$5:O21))),"")</f>
        <v/>
      </c>
      <c r="P21" s="40" t="str" cm="1">
        <f t="array" ref="P21">IFERROR(INDEX('MASTER LIST'!#REF!,SMALL(IF('MASTER LIST'!$N:$N=$C$2,ROW('MASTER LIST'!$N:$N),""),ROWS(P$5:P21))),"")</f>
        <v/>
      </c>
      <c r="Q21" s="53" t="str" cm="1">
        <f t="array" ref="Q21">IFERROR(INDEX('MASTER LIST'!R:R,SMALL(IF('MASTER LIST'!$N:$N=$C$2,ROW('MASTER LIST'!$N:$N),""),ROWS(Q$5:Q21))),"")</f>
        <v/>
      </c>
      <c r="R21" s="53" t="str" cm="1">
        <f t="array" ref="R21">IFERROR(INDEX('MASTER LIST'!#REF!,SMALL(IF('MASTER LIST'!$N:$N=$C$2,ROW('MASTER LIST'!$N:$N),""),ROWS(R$5:R21))),"")</f>
        <v/>
      </c>
      <c r="S21" s="53" t="str" cm="1">
        <f t="array" ref="S21">IFERROR(INDEX('MASTER LIST'!#REF!,SMALL(IF('MASTER LIST'!$N:$N=$C$2,ROW('MASTER LIST'!$N:$N),""),ROWS(S$5:S21))),"")</f>
        <v/>
      </c>
      <c r="T21" s="53" t="str" cm="1">
        <f t="array" ref="T21">IFERROR(INDEX('MASTER LIST'!#REF!,SMALL(IF('MASTER LIST'!$N:$N=$C$2,ROW('MASTER LIST'!$N:$N),""),ROWS(T$5:T21))),"")</f>
        <v/>
      </c>
      <c r="U21" s="40" t="str" cm="1">
        <f t="array" ref="U21">IFERROR(INDEX('MASTER LIST'!S:S,SMALL(IF('MASTER LIST'!$N:$N=$C$2,ROW('MASTER LIST'!$N:$N),""),ROWS(U$5:U21))),"")</f>
        <v/>
      </c>
      <c r="V21" s="40" t="str" cm="1">
        <f t="array" ref="V21">IFERROR(INDEX('MASTER LIST'!T:T,SMALL(IF('MASTER LIST'!$N:$N=$C$2,ROW('MASTER LIST'!$N:$N),""),ROWS(V$5:V21))),"")</f>
        <v/>
      </c>
      <c r="W21" s="40" t="str" cm="1">
        <f t="array" ref="W21">IFERROR(INDEX('MASTER LIST'!U:U,SMALL(IF('MASTER LIST'!$N:$N=$C$2,ROW('MASTER LIST'!$N:$N),""),ROWS(W$5:W21))),"")</f>
        <v/>
      </c>
      <c r="X21" s="39" t="str" cm="1">
        <f t="array" ref="X21">IFERROR(INDEX('MASTER LIST'!V:V,SMALL(IF('MASTER LIST'!$N:$N=$C$2,ROW('MASTER LIST'!$N:$N),""),ROWS(X$5:X21))),"")</f>
        <v/>
      </c>
      <c r="Y21" s="41" t="str" cm="1">
        <f t="array" ref="Y21">IFERROR(INDEX('MASTER LIST'!W:W,SMALL(IF('MASTER LIST'!$N:$N=$C$2,ROW('MASTER LIST'!$N:$N),""),ROWS(Y$5:Y21))),"")</f>
        <v/>
      </c>
    </row>
    <row r="22" spans="2:25">
      <c r="B22" s="38" t="str" cm="1">
        <f t="array" ref="B22">IFERROR(INDEX('MASTER LIST'!B:B,SMALL(IF('MASTER LIST'!$N:$N=$C$2,ROW('MASTER LIST'!$N:$N),""),ROWS(B$5:B22))),"")</f>
        <v/>
      </c>
      <c r="C22" s="39" t="str" cm="1">
        <f t="array" ref="C22">IFERROR(INDEX('MASTER LIST'!C:C,SMALL(IF('MASTER LIST'!$N:$N=$C$2,ROW('MASTER LIST'!$N:$N),""),ROWS(C$5:C22))),"")</f>
        <v/>
      </c>
      <c r="D22" s="40" t="str" cm="1">
        <f t="array" ref="D22">IFERROR(INDEX('MASTER LIST'!D:D,SMALL(IF('MASTER LIST'!$N:$N=$C$2,ROW('MASTER LIST'!$N:$N),""),ROWS(D$5:D22))),"")</f>
        <v/>
      </c>
      <c r="E22" s="40" t="str" cm="1">
        <f t="array" ref="E22">IFERROR(INDEX('MASTER LIST'!E:E,SMALL(IF('MASTER LIST'!$N:$N=$C$2,ROW('MASTER LIST'!$N:$N),""),ROWS(E$5:E22))),"")</f>
        <v/>
      </c>
      <c r="F22" s="40" t="str" cm="1">
        <f t="array" ref="F22">IFERROR(INDEX('MASTER LIST'!G:G,SMALL(IF('MASTER LIST'!$N:$N=$C$2,ROW('MASTER LIST'!$N:$N),""),ROWS(F$5:F22))),"")</f>
        <v/>
      </c>
      <c r="G22" s="40" t="str" cm="1">
        <f t="array" ref="G22">IFERROR(INDEX('MASTER LIST'!H:H,SMALL(IF('MASTER LIST'!$N:$N=$C$2,ROW('MASTER LIST'!$N:$N),""),ROWS(G$5:G22))),"")</f>
        <v/>
      </c>
      <c r="H22" s="40" t="str" cm="1">
        <f t="array" ref="H22">IFERROR(INDEX('MASTER LIST'!I:I,SMALL(IF('MASTER LIST'!$N:$N=$C$2,ROW('MASTER LIST'!$N:$N),""),ROWS(H$5:H22))),"")</f>
        <v/>
      </c>
      <c r="I22" s="40" t="str" cm="1">
        <f t="array" ref="I22">IFERROR(INDEX('MASTER LIST'!J:J,SMALL(IF('MASTER LIST'!$N:$N=$C$2,ROW('MASTER LIST'!$N:$N),""),ROWS(I$5:I22))),"")</f>
        <v/>
      </c>
      <c r="J22" s="40" t="str" cm="1">
        <f t="array" ref="J22">IFERROR(INDEX('MASTER LIST'!K:K,SMALL(IF('MASTER LIST'!$N:$N=$C$2,ROW('MASTER LIST'!$N:$N),""),ROWS(J$5:J22))),"")</f>
        <v/>
      </c>
      <c r="K22" s="40" t="str" cm="1">
        <f t="array" ref="K22">IFERROR(INDEX('MASTER LIST'!L:L,SMALL(IF('MASTER LIST'!$N:$N=$C$2,ROW('MASTER LIST'!$N:$N),""),ROWS(K$5:K22))),"")</f>
        <v/>
      </c>
      <c r="L22" s="40" t="str" cm="1">
        <f t="array" ref="L22">IFERROR(INDEX('MASTER LIST'!M:M,SMALL(IF('MASTER LIST'!$N:$N=$C$2,ROW('MASTER LIST'!$N:$N),""),ROWS(L$5:L22))),"")</f>
        <v/>
      </c>
      <c r="M22" s="40" t="str" cm="1">
        <f t="array" ref="M22">IFERROR(INDEX('MASTER LIST'!N:N,SMALL(IF('MASTER LIST'!$N:$N=$C$2,ROW('MASTER LIST'!$N:$N),""),ROWS(M$5:M22))),"")</f>
        <v/>
      </c>
      <c r="N22" s="40" t="str" cm="1">
        <f t="array" ref="N22">IFERROR(INDEX('MASTER LIST'!P:P,SMALL(IF('MASTER LIST'!$N:$N=$C$2,ROW('MASTER LIST'!$N:$N),""),ROWS(N$5:N22))),"")</f>
        <v/>
      </c>
      <c r="O22" s="40" t="str" cm="1">
        <f t="array" ref="O22">IFERROR(INDEX('MASTER LIST'!Q:Q,SMALL(IF('MASTER LIST'!$N:$N=$C$2,ROW('MASTER LIST'!$N:$N),""),ROWS(O$5:O22))),"")</f>
        <v/>
      </c>
      <c r="P22" s="40" t="str" cm="1">
        <f t="array" ref="P22">IFERROR(INDEX('MASTER LIST'!#REF!,SMALL(IF('MASTER LIST'!$N:$N=$C$2,ROW('MASTER LIST'!$N:$N),""),ROWS(P$5:P22))),"")</f>
        <v/>
      </c>
      <c r="Q22" s="53" t="str" cm="1">
        <f t="array" ref="Q22">IFERROR(INDEX('MASTER LIST'!R:R,SMALL(IF('MASTER LIST'!$N:$N=$C$2,ROW('MASTER LIST'!$N:$N),""),ROWS(Q$5:Q22))),"")</f>
        <v/>
      </c>
      <c r="R22" s="53" t="str" cm="1">
        <f t="array" ref="R22">IFERROR(INDEX('MASTER LIST'!#REF!,SMALL(IF('MASTER LIST'!$N:$N=$C$2,ROW('MASTER LIST'!$N:$N),""),ROWS(R$5:R22))),"")</f>
        <v/>
      </c>
      <c r="S22" s="53" t="str" cm="1">
        <f t="array" ref="S22">IFERROR(INDEX('MASTER LIST'!#REF!,SMALL(IF('MASTER LIST'!$N:$N=$C$2,ROW('MASTER LIST'!$N:$N),""),ROWS(S$5:S22))),"")</f>
        <v/>
      </c>
      <c r="T22" s="53" t="str" cm="1">
        <f t="array" ref="T22">IFERROR(INDEX('MASTER LIST'!#REF!,SMALL(IF('MASTER LIST'!$N:$N=$C$2,ROW('MASTER LIST'!$N:$N),""),ROWS(T$5:T22))),"")</f>
        <v/>
      </c>
      <c r="U22" s="40" t="str" cm="1">
        <f t="array" ref="U22">IFERROR(INDEX('MASTER LIST'!S:S,SMALL(IF('MASTER LIST'!$N:$N=$C$2,ROW('MASTER LIST'!$N:$N),""),ROWS(U$5:U22))),"")</f>
        <v/>
      </c>
      <c r="V22" s="40" t="str" cm="1">
        <f t="array" ref="V22">IFERROR(INDEX('MASTER LIST'!T:T,SMALL(IF('MASTER LIST'!$N:$N=$C$2,ROW('MASTER LIST'!$N:$N),""),ROWS(V$5:V22))),"")</f>
        <v/>
      </c>
      <c r="W22" s="40" t="str" cm="1">
        <f t="array" ref="W22">IFERROR(INDEX('MASTER LIST'!U:U,SMALL(IF('MASTER LIST'!$N:$N=$C$2,ROW('MASTER LIST'!$N:$N),""),ROWS(W$5:W22))),"")</f>
        <v/>
      </c>
      <c r="X22" s="39" t="str" cm="1">
        <f t="array" ref="X22">IFERROR(INDEX('MASTER LIST'!V:V,SMALL(IF('MASTER LIST'!$N:$N=$C$2,ROW('MASTER LIST'!$N:$N),""),ROWS(X$5:X22))),"")</f>
        <v/>
      </c>
      <c r="Y22" s="41" t="str" cm="1">
        <f t="array" ref="Y22">IFERROR(INDEX('MASTER LIST'!W:W,SMALL(IF('MASTER LIST'!$N:$N=$C$2,ROW('MASTER LIST'!$N:$N),""),ROWS(Y$5:Y22))),"")</f>
        <v/>
      </c>
    </row>
    <row r="23" spans="2:25">
      <c r="B23" s="38" t="str" cm="1">
        <f t="array" ref="B23">IFERROR(INDEX('MASTER LIST'!B:B,SMALL(IF('MASTER LIST'!$N:$N=$C$2,ROW('MASTER LIST'!$N:$N),""),ROWS(B$5:B23))),"")</f>
        <v/>
      </c>
      <c r="C23" s="39" t="str" cm="1">
        <f t="array" ref="C23">IFERROR(INDEX('MASTER LIST'!C:C,SMALL(IF('MASTER LIST'!$N:$N=$C$2,ROW('MASTER LIST'!$N:$N),""),ROWS(C$5:C23))),"")</f>
        <v/>
      </c>
      <c r="D23" s="40" t="str" cm="1">
        <f t="array" ref="D23">IFERROR(INDEX('MASTER LIST'!D:D,SMALL(IF('MASTER LIST'!$N:$N=$C$2,ROW('MASTER LIST'!$N:$N),""),ROWS(D$5:D23))),"")</f>
        <v/>
      </c>
      <c r="E23" s="40" t="str" cm="1">
        <f t="array" ref="E23">IFERROR(INDEX('MASTER LIST'!E:E,SMALL(IF('MASTER LIST'!$N:$N=$C$2,ROW('MASTER LIST'!$N:$N),""),ROWS(E$5:E23))),"")</f>
        <v/>
      </c>
      <c r="F23" s="40" t="str" cm="1">
        <f t="array" ref="F23">IFERROR(INDEX('MASTER LIST'!G:G,SMALL(IF('MASTER LIST'!$N:$N=$C$2,ROW('MASTER LIST'!$N:$N),""),ROWS(F$5:F23))),"")</f>
        <v/>
      </c>
      <c r="G23" s="40" t="str" cm="1">
        <f t="array" ref="G23">IFERROR(INDEX('MASTER LIST'!H:H,SMALL(IF('MASTER LIST'!$N:$N=$C$2,ROW('MASTER LIST'!$N:$N),""),ROWS(G$5:G23))),"")</f>
        <v/>
      </c>
      <c r="H23" s="40" t="str" cm="1">
        <f t="array" ref="H23">IFERROR(INDEX('MASTER LIST'!I:I,SMALL(IF('MASTER LIST'!$N:$N=$C$2,ROW('MASTER LIST'!$N:$N),""),ROWS(H$5:H23))),"")</f>
        <v/>
      </c>
      <c r="I23" s="40" t="str" cm="1">
        <f t="array" ref="I23">IFERROR(INDEX('MASTER LIST'!J:J,SMALL(IF('MASTER LIST'!$N:$N=$C$2,ROW('MASTER LIST'!$N:$N),""),ROWS(I$5:I23))),"")</f>
        <v/>
      </c>
      <c r="J23" s="40" t="str" cm="1">
        <f t="array" ref="J23">IFERROR(INDEX('MASTER LIST'!K:K,SMALL(IF('MASTER LIST'!$N:$N=$C$2,ROW('MASTER LIST'!$N:$N),""),ROWS(J$5:J23))),"")</f>
        <v/>
      </c>
      <c r="K23" s="40" t="str" cm="1">
        <f t="array" ref="K23">IFERROR(INDEX('MASTER LIST'!L:L,SMALL(IF('MASTER LIST'!$N:$N=$C$2,ROW('MASTER LIST'!$N:$N),""),ROWS(K$5:K23))),"")</f>
        <v/>
      </c>
      <c r="L23" s="40" t="str" cm="1">
        <f t="array" ref="L23">IFERROR(INDEX('MASTER LIST'!M:M,SMALL(IF('MASTER LIST'!$N:$N=$C$2,ROW('MASTER LIST'!$N:$N),""),ROWS(L$5:L23))),"")</f>
        <v/>
      </c>
      <c r="M23" s="40" t="str" cm="1">
        <f t="array" ref="M23">IFERROR(INDEX('MASTER LIST'!N:N,SMALL(IF('MASTER LIST'!$N:$N=$C$2,ROW('MASTER LIST'!$N:$N),""),ROWS(M$5:M23))),"")</f>
        <v/>
      </c>
      <c r="N23" s="40" t="str" cm="1">
        <f t="array" ref="N23">IFERROR(INDEX('MASTER LIST'!P:P,SMALL(IF('MASTER LIST'!$N:$N=$C$2,ROW('MASTER LIST'!$N:$N),""),ROWS(N$5:N23))),"")</f>
        <v/>
      </c>
      <c r="O23" s="40" t="str" cm="1">
        <f t="array" ref="O23">IFERROR(INDEX('MASTER LIST'!Q:Q,SMALL(IF('MASTER LIST'!$N:$N=$C$2,ROW('MASTER LIST'!$N:$N),""),ROWS(O$5:O23))),"")</f>
        <v/>
      </c>
      <c r="P23" s="40" t="str" cm="1">
        <f t="array" ref="P23">IFERROR(INDEX('MASTER LIST'!#REF!,SMALL(IF('MASTER LIST'!$N:$N=$C$2,ROW('MASTER LIST'!$N:$N),""),ROWS(P$5:P23))),"")</f>
        <v/>
      </c>
      <c r="Q23" s="53" t="str" cm="1">
        <f t="array" ref="Q23">IFERROR(INDEX('MASTER LIST'!R:R,SMALL(IF('MASTER LIST'!$N:$N=$C$2,ROW('MASTER LIST'!$N:$N),""),ROWS(Q$5:Q23))),"")</f>
        <v/>
      </c>
      <c r="R23" s="53" t="str" cm="1">
        <f t="array" ref="R23">IFERROR(INDEX('MASTER LIST'!#REF!,SMALL(IF('MASTER LIST'!$N:$N=$C$2,ROW('MASTER LIST'!$N:$N),""),ROWS(R$5:R23))),"")</f>
        <v/>
      </c>
      <c r="S23" s="53" t="str" cm="1">
        <f t="array" ref="S23">IFERROR(INDEX('MASTER LIST'!#REF!,SMALL(IF('MASTER LIST'!$N:$N=$C$2,ROW('MASTER LIST'!$N:$N),""),ROWS(S$5:S23))),"")</f>
        <v/>
      </c>
      <c r="T23" s="53" t="str" cm="1">
        <f t="array" ref="T23">IFERROR(INDEX('MASTER LIST'!#REF!,SMALL(IF('MASTER LIST'!$N:$N=$C$2,ROW('MASTER LIST'!$N:$N),""),ROWS(T$5:T23))),"")</f>
        <v/>
      </c>
      <c r="U23" s="40" t="str" cm="1">
        <f t="array" ref="U23">IFERROR(INDEX('MASTER LIST'!S:S,SMALL(IF('MASTER LIST'!$N:$N=$C$2,ROW('MASTER LIST'!$N:$N),""),ROWS(U$5:U23))),"")</f>
        <v/>
      </c>
      <c r="V23" s="40" t="str" cm="1">
        <f t="array" ref="V23">IFERROR(INDEX('MASTER LIST'!T:T,SMALL(IF('MASTER LIST'!$N:$N=$C$2,ROW('MASTER LIST'!$N:$N),""),ROWS(V$5:V23))),"")</f>
        <v/>
      </c>
      <c r="W23" s="40" t="str" cm="1">
        <f t="array" ref="W23">IFERROR(INDEX('MASTER LIST'!U:U,SMALL(IF('MASTER LIST'!$N:$N=$C$2,ROW('MASTER LIST'!$N:$N),""),ROWS(W$5:W23))),"")</f>
        <v/>
      </c>
      <c r="X23" s="39" t="str" cm="1">
        <f t="array" ref="X23">IFERROR(INDEX('MASTER LIST'!V:V,SMALL(IF('MASTER LIST'!$N:$N=$C$2,ROW('MASTER LIST'!$N:$N),""),ROWS(X$5:X23))),"")</f>
        <v/>
      </c>
      <c r="Y23" s="41" t="str" cm="1">
        <f t="array" ref="Y23">IFERROR(INDEX('MASTER LIST'!W:W,SMALL(IF('MASTER LIST'!$N:$N=$C$2,ROW('MASTER LIST'!$N:$N),""),ROWS(Y$5:Y23))),"")</f>
        <v/>
      </c>
    </row>
    <row r="24" spans="2:25">
      <c r="B24" s="38" t="str" cm="1">
        <f t="array" ref="B24">IFERROR(INDEX('MASTER LIST'!B:B,SMALL(IF('MASTER LIST'!$N:$N=$C$2,ROW('MASTER LIST'!$N:$N),""),ROWS(B$5:B24))),"")</f>
        <v/>
      </c>
      <c r="C24" s="39" t="str" cm="1">
        <f t="array" ref="C24">IFERROR(INDEX('MASTER LIST'!C:C,SMALL(IF('MASTER LIST'!$N:$N=$C$2,ROW('MASTER LIST'!$N:$N),""),ROWS(C$5:C24))),"")</f>
        <v/>
      </c>
      <c r="D24" s="40" t="str" cm="1">
        <f t="array" ref="D24">IFERROR(INDEX('MASTER LIST'!D:D,SMALL(IF('MASTER LIST'!$N:$N=$C$2,ROW('MASTER LIST'!$N:$N),""),ROWS(D$5:D24))),"")</f>
        <v/>
      </c>
      <c r="E24" s="40" t="str" cm="1">
        <f t="array" ref="E24">IFERROR(INDEX('MASTER LIST'!E:E,SMALL(IF('MASTER LIST'!$N:$N=$C$2,ROW('MASTER LIST'!$N:$N),""),ROWS(E$5:E24))),"")</f>
        <v/>
      </c>
      <c r="F24" s="40" t="str" cm="1">
        <f t="array" ref="F24">IFERROR(INDEX('MASTER LIST'!G:G,SMALL(IF('MASTER LIST'!$N:$N=$C$2,ROW('MASTER LIST'!$N:$N),""),ROWS(F$5:F24))),"")</f>
        <v/>
      </c>
      <c r="G24" s="40" t="str" cm="1">
        <f t="array" ref="G24">IFERROR(INDEX('MASTER LIST'!H:H,SMALL(IF('MASTER LIST'!$N:$N=$C$2,ROW('MASTER LIST'!$N:$N),""),ROWS(G$5:G24))),"")</f>
        <v/>
      </c>
      <c r="H24" s="40" t="str" cm="1">
        <f t="array" ref="H24">IFERROR(INDEX('MASTER LIST'!I:I,SMALL(IF('MASTER LIST'!$N:$N=$C$2,ROW('MASTER LIST'!$N:$N),""),ROWS(H$5:H24))),"")</f>
        <v/>
      </c>
      <c r="I24" s="40" t="str" cm="1">
        <f t="array" ref="I24">IFERROR(INDEX('MASTER LIST'!J:J,SMALL(IF('MASTER LIST'!$N:$N=$C$2,ROW('MASTER LIST'!$N:$N),""),ROWS(I$5:I24))),"")</f>
        <v/>
      </c>
      <c r="J24" s="40" t="str" cm="1">
        <f t="array" ref="J24">IFERROR(INDEX('MASTER LIST'!K:K,SMALL(IF('MASTER LIST'!$N:$N=$C$2,ROW('MASTER LIST'!$N:$N),""),ROWS(J$5:J24))),"")</f>
        <v/>
      </c>
      <c r="K24" s="40" t="str" cm="1">
        <f t="array" ref="K24">IFERROR(INDEX('MASTER LIST'!L:L,SMALL(IF('MASTER LIST'!$N:$N=$C$2,ROW('MASTER LIST'!$N:$N),""),ROWS(K$5:K24))),"")</f>
        <v/>
      </c>
      <c r="L24" s="40" t="str" cm="1">
        <f t="array" ref="L24">IFERROR(INDEX('MASTER LIST'!M:M,SMALL(IF('MASTER LIST'!$N:$N=$C$2,ROW('MASTER LIST'!$N:$N),""),ROWS(L$5:L24))),"")</f>
        <v/>
      </c>
      <c r="M24" s="40" t="str" cm="1">
        <f t="array" ref="M24">IFERROR(INDEX('MASTER LIST'!N:N,SMALL(IF('MASTER LIST'!$N:$N=$C$2,ROW('MASTER LIST'!$N:$N),""),ROWS(M$5:M24))),"")</f>
        <v/>
      </c>
      <c r="N24" s="40" t="str" cm="1">
        <f t="array" ref="N24">IFERROR(INDEX('MASTER LIST'!P:P,SMALL(IF('MASTER LIST'!$N:$N=$C$2,ROW('MASTER LIST'!$N:$N),""),ROWS(N$5:N24))),"")</f>
        <v/>
      </c>
      <c r="O24" s="40" t="str" cm="1">
        <f t="array" ref="O24">IFERROR(INDEX('MASTER LIST'!Q:Q,SMALL(IF('MASTER LIST'!$N:$N=$C$2,ROW('MASTER LIST'!$N:$N),""),ROWS(O$5:O24))),"")</f>
        <v/>
      </c>
      <c r="P24" s="40" t="str" cm="1">
        <f t="array" ref="P24">IFERROR(INDEX('MASTER LIST'!#REF!,SMALL(IF('MASTER LIST'!$N:$N=$C$2,ROW('MASTER LIST'!$N:$N),""),ROWS(P$5:P24))),"")</f>
        <v/>
      </c>
      <c r="Q24" s="53" t="str" cm="1">
        <f t="array" ref="Q24">IFERROR(INDEX('MASTER LIST'!R:R,SMALL(IF('MASTER LIST'!$N:$N=$C$2,ROW('MASTER LIST'!$N:$N),""),ROWS(Q$5:Q24))),"")</f>
        <v/>
      </c>
      <c r="R24" s="53" t="str" cm="1">
        <f t="array" ref="R24">IFERROR(INDEX('MASTER LIST'!#REF!,SMALL(IF('MASTER LIST'!$N:$N=$C$2,ROW('MASTER LIST'!$N:$N),""),ROWS(R$5:R24))),"")</f>
        <v/>
      </c>
      <c r="S24" s="53" t="str" cm="1">
        <f t="array" ref="S24">IFERROR(INDEX('MASTER LIST'!#REF!,SMALL(IF('MASTER LIST'!$N:$N=$C$2,ROW('MASTER LIST'!$N:$N),""),ROWS(S$5:S24))),"")</f>
        <v/>
      </c>
      <c r="T24" s="53" t="str" cm="1">
        <f t="array" ref="T24">IFERROR(INDEX('MASTER LIST'!#REF!,SMALL(IF('MASTER LIST'!$N:$N=$C$2,ROW('MASTER LIST'!$N:$N),""),ROWS(T$5:T24))),"")</f>
        <v/>
      </c>
      <c r="U24" s="40" t="str" cm="1">
        <f t="array" ref="U24">IFERROR(INDEX('MASTER LIST'!S:S,SMALL(IF('MASTER LIST'!$N:$N=$C$2,ROW('MASTER LIST'!$N:$N),""),ROWS(U$5:U24))),"")</f>
        <v/>
      </c>
      <c r="V24" s="40" t="str" cm="1">
        <f t="array" ref="V24">IFERROR(INDEX('MASTER LIST'!T:T,SMALL(IF('MASTER LIST'!$N:$N=$C$2,ROW('MASTER LIST'!$N:$N),""),ROWS(V$5:V24))),"")</f>
        <v/>
      </c>
      <c r="W24" s="40" t="str" cm="1">
        <f t="array" ref="W24">IFERROR(INDEX('MASTER LIST'!U:U,SMALL(IF('MASTER LIST'!$N:$N=$C$2,ROW('MASTER LIST'!$N:$N),""),ROWS(W$5:W24))),"")</f>
        <v/>
      </c>
      <c r="X24" s="39" t="str" cm="1">
        <f t="array" ref="X24">IFERROR(INDEX('MASTER LIST'!V:V,SMALL(IF('MASTER LIST'!$N:$N=$C$2,ROW('MASTER LIST'!$N:$N),""),ROWS(X$5:X24))),"")</f>
        <v/>
      </c>
      <c r="Y24" s="41" t="str" cm="1">
        <f t="array" ref="Y24">IFERROR(INDEX('MASTER LIST'!W:W,SMALL(IF('MASTER LIST'!$N:$N=$C$2,ROW('MASTER LIST'!$N:$N),""),ROWS(Y$5:Y24))),"")</f>
        <v/>
      </c>
    </row>
    <row r="25" spans="2:25" ht="15" thickBot="1">
      <c r="B25" s="42" t="str" cm="1">
        <f t="array" ref="B25">IFERROR(INDEX('MASTER LIST'!B:B,SMALL(IF('MASTER LIST'!$N:$N=$C$2,ROW('MASTER LIST'!$N:$N),""),ROWS(B$5:B25))),"")</f>
        <v/>
      </c>
      <c r="C25" s="43" t="str" cm="1">
        <f t="array" ref="C25">IFERROR(INDEX('MASTER LIST'!C:C,SMALL(IF('MASTER LIST'!$N:$N=$C$2,ROW('MASTER LIST'!$N:$N),""),ROWS(C$5:C25))),"")</f>
        <v/>
      </c>
      <c r="D25" s="44" t="str" cm="1">
        <f t="array" ref="D25">IFERROR(INDEX('MASTER LIST'!D:D,SMALL(IF('MASTER LIST'!$N:$N=$C$2,ROW('MASTER LIST'!$N:$N),""),ROWS(D$5:D25))),"")</f>
        <v/>
      </c>
      <c r="E25" s="44" t="str" cm="1">
        <f t="array" ref="E25">IFERROR(INDEX('MASTER LIST'!E:E,SMALL(IF('MASTER LIST'!$N:$N=$C$2,ROW('MASTER LIST'!$N:$N),""),ROWS(E$5:E25))),"")</f>
        <v/>
      </c>
      <c r="F25" s="44" t="str" cm="1">
        <f t="array" ref="F25">IFERROR(INDEX('MASTER LIST'!G:G,SMALL(IF('MASTER LIST'!$N:$N=$C$2,ROW('MASTER LIST'!$N:$N),""),ROWS(F$5:F25))),"")</f>
        <v/>
      </c>
      <c r="G25" s="44" t="str" cm="1">
        <f t="array" ref="G25">IFERROR(INDEX('MASTER LIST'!H:H,SMALL(IF('MASTER LIST'!$N:$N=$C$2,ROW('MASTER LIST'!$N:$N),""),ROWS(G$5:G25))),"")</f>
        <v/>
      </c>
      <c r="H25" s="44" t="str" cm="1">
        <f t="array" ref="H25">IFERROR(INDEX('MASTER LIST'!I:I,SMALL(IF('MASTER LIST'!$N:$N=$C$2,ROW('MASTER LIST'!$N:$N),""),ROWS(H$5:H25))),"")</f>
        <v/>
      </c>
      <c r="I25" s="44" t="str" cm="1">
        <f t="array" ref="I25">IFERROR(INDEX('MASTER LIST'!J:J,SMALL(IF('MASTER LIST'!$N:$N=$C$2,ROW('MASTER LIST'!$N:$N),""),ROWS(I$5:I25))),"")</f>
        <v/>
      </c>
      <c r="J25" s="44" t="str" cm="1">
        <f t="array" ref="J25">IFERROR(INDEX('MASTER LIST'!K:K,SMALL(IF('MASTER LIST'!$N:$N=$C$2,ROW('MASTER LIST'!$N:$N),""),ROWS(J$5:J25))),"")</f>
        <v/>
      </c>
      <c r="K25" s="44" t="str" cm="1">
        <f t="array" ref="K25">IFERROR(INDEX('MASTER LIST'!L:L,SMALL(IF('MASTER LIST'!$N:$N=$C$2,ROW('MASTER LIST'!$N:$N),""),ROWS(K$5:K25))),"")</f>
        <v/>
      </c>
      <c r="L25" s="44" t="str" cm="1">
        <f t="array" ref="L25">IFERROR(INDEX('MASTER LIST'!M:M,SMALL(IF('MASTER LIST'!$N:$N=$C$2,ROW('MASTER LIST'!$N:$N),""),ROWS(L$5:L25))),"")</f>
        <v/>
      </c>
      <c r="M25" s="44" t="str" cm="1">
        <f t="array" ref="M25">IFERROR(INDEX('MASTER LIST'!N:N,SMALL(IF('MASTER LIST'!$N:$N=$C$2,ROW('MASTER LIST'!$N:$N),""),ROWS(M$5:M25))),"")</f>
        <v/>
      </c>
      <c r="N25" s="44" t="str" cm="1">
        <f t="array" ref="N25">IFERROR(INDEX('MASTER LIST'!P:P,SMALL(IF('MASTER LIST'!$N:$N=$C$2,ROW('MASTER LIST'!$N:$N),""),ROWS(N$5:N25))),"")</f>
        <v/>
      </c>
      <c r="O25" s="44" t="str" cm="1">
        <f t="array" ref="O25">IFERROR(INDEX('MASTER LIST'!Q:Q,SMALL(IF('MASTER LIST'!$N:$N=$C$2,ROW('MASTER LIST'!$N:$N),""),ROWS(O$5:O25))),"")</f>
        <v/>
      </c>
      <c r="P25" s="44" t="str" cm="1">
        <f t="array" ref="P25">IFERROR(INDEX('MASTER LIST'!#REF!,SMALL(IF('MASTER LIST'!$N:$N=$C$2,ROW('MASTER LIST'!$N:$N),""),ROWS(P$5:P25))),"")</f>
        <v/>
      </c>
      <c r="Q25" s="54" t="str" cm="1">
        <f t="array" ref="Q25">IFERROR(INDEX('MASTER LIST'!R:R,SMALL(IF('MASTER LIST'!$N:$N=$C$2,ROW('MASTER LIST'!$N:$N),""),ROWS(Q$5:Q25))),"")</f>
        <v/>
      </c>
      <c r="R25" s="54" t="str" cm="1">
        <f t="array" ref="R25">IFERROR(INDEX('MASTER LIST'!#REF!,SMALL(IF('MASTER LIST'!$N:$N=$C$2,ROW('MASTER LIST'!$N:$N),""),ROWS(R$5:R25))),"")</f>
        <v/>
      </c>
      <c r="S25" s="54" t="str" cm="1">
        <f t="array" ref="S25">IFERROR(INDEX('MASTER LIST'!#REF!,SMALL(IF('MASTER LIST'!$N:$N=$C$2,ROW('MASTER LIST'!$N:$N),""),ROWS(S$5:S25))),"")</f>
        <v/>
      </c>
      <c r="T25" s="54" t="str" cm="1">
        <f t="array" ref="T25">IFERROR(INDEX('MASTER LIST'!#REF!,SMALL(IF('MASTER LIST'!$N:$N=$C$2,ROW('MASTER LIST'!$N:$N),""),ROWS(T$5:T25))),"")</f>
        <v/>
      </c>
      <c r="U25" s="44" t="str" cm="1">
        <f t="array" ref="U25">IFERROR(INDEX('MASTER LIST'!S:S,SMALL(IF('MASTER LIST'!$N:$N=$C$2,ROW('MASTER LIST'!$N:$N),""),ROWS(U$5:U25))),"")</f>
        <v/>
      </c>
      <c r="V25" s="44" t="str" cm="1">
        <f t="array" ref="V25">IFERROR(INDEX('MASTER LIST'!T:T,SMALL(IF('MASTER LIST'!$N:$N=$C$2,ROW('MASTER LIST'!$N:$N),""),ROWS(V$5:V25))),"")</f>
        <v/>
      </c>
      <c r="W25" s="44" t="str" cm="1">
        <f t="array" ref="W25">IFERROR(INDEX('MASTER LIST'!U:U,SMALL(IF('MASTER LIST'!$N:$N=$C$2,ROW('MASTER LIST'!$N:$N),""),ROWS(W$5:W25))),"")</f>
        <v/>
      </c>
      <c r="X25" s="43" t="str" cm="1">
        <f t="array" ref="X25">IFERROR(INDEX('MASTER LIST'!V:V,SMALL(IF('MASTER LIST'!$N:$N=$C$2,ROW('MASTER LIST'!$N:$N),""),ROWS(X$5:X25))),"")</f>
        <v/>
      </c>
      <c r="Y25" s="45" t="str" cm="1">
        <f t="array" ref="Y25">IFERROR(INDEX('MASTER LIST'!W:W,SMALL(IF('MASTER LIST'!$N:$N=$C$2,ROW('MASTER LIST'!$N:$N),""),ROWS(Y$5:Y25))),"")</f>
        <v/>
      </c>
    </row>
    <row r="26" spans="2:25" ht="15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D3A0-10DC-498B-91B1-0910CE38A903}">
  <sheetPr codeName="Sheet3" filterMode="1">
    <tabColor rgb="FFFFFF00"/>
  </sheetPr>
  <dimension ref="A1:Z1114"/>
  <sheetViews>
    <sheetView tabSelected="1" topLeftCell="B3" zoomScale="81" zoomScaleNormal="85" workbookViewId="0">
      <pane ySplit="1" topLeftCell="A1098" activePane="bottomLeft" state="frozen"/>
      <selection activeCell="A3" sqref="A3"/>
      <selection pane="bottomLeft" activeCell="G1114" sqref="G1114"/>
    </sheetView>
  </sheetViews>
  <sheetFormatPr defaultColWidth="9.1796875" defaultRowHeight="14.5"/>
  <cols>
    <col min="1" max="1" width="9.1796875" style="55"/>
    <col min="2" max="3" width="16.81640625" style="55" bestFit="1" customWidth="1"/>
    <col min="4" max="4" width="39.26953125" style="55" bestFit="1" customWidth="1"/>
    <col min="5" max="5" width="16.81640625" style="55" bestFit="1" customWidth="1"/>
    <col min="6" max="6" width="16.81640625" style="55" customWidth="1"/>
    <col min="7" max="7" width="23.81640625" style="55" bestFit="1" customWidth="1"/>
    <col min="8" max="8" width="16.81640625" style="55" bestFit="1" customWidth="1"/>
    <col min="9" max="9" width="49" style="55" customWidth="1"/>
    <col min="10" max="12" width="16.81640625" style="55" customWidth="1"/>
    <col min="13" max="13" width="5.1796875" style="55" customWidth="1"/>
    <col min="14" max="14" width="16.81640625" style="55" bestFit="1" customWidth="1"/>
    <col min="15" max="15" width="16.81640625" style="2" customWidth="1"/>
    <col min="16" max="16" width="44.26953125" style="55" bestFit="1" customWidth="1"/>
    <col min="17" max="17" width="16.81640625" style="55" bestFit="1" customWidth="1"/>
    <col min="18" max="18" width="11.81640625" style="56" customWidth="1"/>
    <col min="19" max="19" width="9.1796875" style="55"/>
    <col min="20" max="20" width="13.1796875" style="55" customWidth="1"/>
    <col min="21" max="21" width="16.81640625" style="55" bestFit="1" customWidth="1"/>
    <col min="22" max="22" width="16.7265625" style="56" bestFit="1" customWidth="1"/>
    <col min="23" max="23" width="18.81640625" style="56" bestFit="1" customWidth="1"/>
    <col min="24" max="24" width="9.1796875" style="55"/>
    <col min="25" max="25" width="33.453125" style="55" bestFit="1" customWidth="1"/>
    <col min="26" max="26" width="33.453125" style="55" customWidth="1"/>
    <col min="27" max="16384" width="9.1796875" style="55"/>
  </cols>
  <sheetData>
    <row r="1" spans="1:26" ht="38.25" customHeight="1">
      <c r="R1" s="56" t="s">
        <v>25</v>
      </c>
      <c r="T1" s="55" t="s">
        <v>26</v>
      </c>
    </row>
    <row r="2" spans="1:26" ht="38.25" customHeight="1" thickBot="1"/>
    <row r="3" spans="1:26" ht="42.5" thickBot="1">
      <c r="A3" s="26" t="s">
        <v>27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3666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3633</v>
      </c>
      <c r="L3" s="1" t="s">
        <v>9</v>
      </c>
      <c r="M3" s="1" t="s">
        <v>10</v>
      </c>
      <c r="N3" s="1" t="s">
        <v>11</v>
      </c>
      <c r="P3" s="1" t="s">
        <v>12</v>
      </c>
      <c r="Q3" s="1" t="s">
        <v>13</v>
      </c>
      <c r="R3" s="26" t="s">
        <v>15</v>
      </c>
      <c r="S3" s="1" t="s">
        <v>19</v>
      </c>
      <c r="T3" s="1" t="s">
        <v>20</v>
      </c>
      <c r="U3" s="1" t="s">
        <v>21</v>
      </c>
      <c r="V3" s="26" t="s">
        <v>22</v>
      </c>
      <c r="W3" s="26" t="s">
        <v>23</v>
      </c>
      <c r="X3" s="46" t="s">
        <v>28</v>
      </c>
      <c r="Y3" s="46" t="s">
        <v>29</v>
      </c>
      <c r="Z3" s="46" t="s">
        <v>30</v>
      </c>
    </row>
    <row r="4" spans="1:26" customFormat="1" hidden="1">
      <c r="A4">
        <f t="shared" ref="A4:A17" ca="1" si="0">IF(V4="",(TODAY()-C4),(V4-C4))</f>
        <v>42115</v>
      </c>
      <c r="B4" s="49" t="s">
        <v>52</v>
      </c>
      <c r="C4" s="2">
        <v>2021</v>
      </c>
      <c r="D4" s="2" t="s">
        <v>53</v>
      </c>
      <c r="E4" s="2" t="s">
        <v>3663</v>
      </c>
      <c r="F4" s="2"/>
      <c r="G4" s="2" t="s">
        <v>54</v>
      </c>
      <c r="H4" s="2" t="s">
        <v>34</v>
      </c>
      <c r="I4" s="2" t="s">
        <v>55</v>
      </c>
      <c r="J4" s="2" t="s">
        <v>56</v>
      </c>
      <c r="K4" s="2" t="e">
        <f>IF(E4="KTG","KTG",(VLOOKUP(J4,'list of outsource'!B:H,2,0)))</f>
        <v>#N/A</v>
      </c>
      <c r="L4" s="2" t="s">
        <v>57</v>
      </c>
      <c r="M4" s="2"/>
      <c r="N4" s="49" t="s">
        <v>58</v>
      </c>
      <c r="O4" s="2"/>
      <c r="P4" s="2" t="s">
        <v>59</v>
      </c>
      <c r="Q4" s="2"/>
      <c r="R4" s="23"/>
      <c r="S4" s="2">
        <v>2</v>
      </c>
      <c r="T4" s="2"/>
      <c r="U4" s="2"/>
      <c r="V4" s="23">
        <v>44136</v>
      </c>
      <c r="W4" s="23"/>
      <c r="X4" s="2"/>
    </row>
    <row r="5" spans="1:26" customFormat="1" hidden="1">
      <c r="A5">
        <f t="shared" ca="1" si="0"/>
        <v>42114</v>
      </c>
      <c r="B5" s="49" t="s">
        <v>52</v>
      </c>
      <c r="C5" s="12">
        <v>2022</v>
      </c>
      <c r="D5" s="4" t="s">
        <v>53</v>
      </c>
      <c r="E5" s="4" t="s">
        <v>3663</v>
      </c>
      <c r="F5" s="4"/>
      <c r="G5" s="4" t="s">
        <v>54</v>
      </c>
      <c r="H5" s="4" t="s">
        <v>34</v>
      </c>
      <c r="I5" s="4" t="s">
        <v>55</v>
      </c>
      <c r="J5" s="4" t="s">
        <v>56</v>
      </c>
      <c r="K5" s="4" t="e">
        <f>IF(E5="KTG","KTG",(VLOOKUP(J5,'list of outsource'!B:H,2,0)))</f>
        <v>#N/A</v>
      </c>
      <c r="L5" s="4" t="s">
        <v>57</v>
      </c>
      <c r="M5" s="4"/>
      <c r="N5" s="49" t="s">
        <v>58</v>
      </c>
      <c r="O5" s="2"/>
      <c r="P5" s="4" t="s">
        <v>59</v>
      </c>
      <c r="Q5" s="4"/>
      <c r="R5" s="12"/>
      <c r="S5" s="4">
        <v>2</v>
      </c>
      <c r="T5" s="4"/>
      <c r="U5" s="4"/>
      <c r="V5" s="10">
        <v>44136</v>
      </c>
      <c r="W5" s="12"/>
    </row>
    <row r="6" spans="1:26" customFormat="1" hidden="1">
      <c r="A6">
        <f t="shared" ca="1" si="0"/>
        <v>42115</v>
      </c>
      <c r="B6" s="49" t="s">
        <v>60</v>
      </c>
      <c r="C6" s="2">
        <v>2021</v>
      </c>
      <c r="D6" s="2" t="s">
        <v>53</v>
      </c>
      <c r="E6" s="2" t="s">
        <v>3663</v>
      </c>
      <c r="F6" s="2"/>
      <c r="G6" s="2" t="s">
        <v>54</v>
      </c>
      <c r="H6" s="2" t="s">
        <v>34</v>
      </c>
      <c r="I6" s="2" t="s">
        <v>61</v>
      </c>
      <c r="J6" s="2" t="s">
        <v>56</v>
      </c>
      <c r="K6" s="2" t="e">
        <f>IF(E6="KTG","KTG",(VLOOKUP(J6,'list of outsource'!B:H,2,0)))</f>
        <v>#N/A</v>
      </c>
      <c r="L6" s="2" t="s">
        <v>57</v>
      </c>
      <c r="M6" s="2"/>
      <c r="N6" s="49" t="s">
        <v>62</v>
      </c>
      <c r="O6" s="2"/>
      <c r="P6" s="2" t="s">
        <v>63</v>
      </c>
      <c r="Q6" s="2"/>
      <c r="R6" s="23"/>
      <c r="S6" s="2">
        <v>2</v>
      </c>
      <c r="T6" s="2"/>
      <c r="U6" s="2"/>
      <c r="V6" s="23">
        <v>44136</v>
      </c>
      <c r="W6" s="23"/>
      <c r="X6" s="2"/>
    </row>
    <row r="7" spans="1:26" customFormat="1" hidden="1">
      <c r="A7">
        <f t="shared" ca="1" si="0"/>
        <v>42114</v>
      </c>
      <c r="B7" s="49" t="s">
        <v>60</v>
      </c>
      <c r="C7" s="12">
        <v>2022</v>
      </c>
      <c r="D7" s="4" t="s">
        <v>53</v>
      </c>
      <c r="E7" s="4" t="s">
        <v>3663</v>
      </c>
      <c r="F7" s="4"/>
      <c r="G7" s="4" t="s">
        <v>54</v>
      </c>
      <c r="H7" s="4" t="s">
        <v>34</v>
      </c>
      <c r="I7" s="4" t="s">
        <v>61</v>
      </c>
      <c r="J7" s="4" t="s">
        <v>56</v>
      </c>
      <c r="K7" s="4" t="e">
        <f>IF(E7="KTG","KTG",(VLOOKUP(J7,'list of outsource'!B:H,2,0)))</f>
        <v>#N/A</v>
      </c>
      <c r="L7" s="4" t="s">
        <v>57</v>
      </c>
      <c r="M7" s="4"/>
      <c r="N7" s="49" t="s">
        <v>62</v>
      </c>
      <c r="O7" s="2"/>
      <c r="P7" s="4" t="s">
        <v>63</v>
      </c>
      <c r="Q7" s="4"/>
      <c r="R7" s="12"/>
      <c r="S7" s="4">
        <v>2</v>
      </c>
      <c r="T7" s="4"/>
      <c r="U7" s="4"/>
      <c r="V7" s="10">
        <v>44136</v>
      </c>
      <c r="W7" s="12"/>
    </row>
    <row r="8" spans="1:26" customFormat="1" hidden="1">
      <c r="A8">
        <f t="shared" ca="1" si="0"/>
        <v>42115</v>
      </c>
      <c r="B8" s="49" t="s">
        <v>64</v>
      </c>
      <c r="C8" s="2">
        <v>2021</v>
      </c>
      <c r="D8" s="2" t="s">
        <v>53</v>
      </c>
      <c r="E8" s="2" t="s">
        <v>3663</v>
      </c>
      <c r="F8" s="2"/>
      <c r="G8" s="2" t="s">
        <v>54</v>
      </c>
      <c r="H8" s="2" t="s">
        <v>34</v>
      </c>
      <c r="I8" s="2" t="s">
        <v>65</v>
      </c>
      <c r="J8" s="2" t="s">
        <v>56</v>
      </c>
      <c r="K8" s="2" t="e">
        <f>IF(E8="KTG","KTG",(VLOOKUP(J8,'list of outsource'!B:H,2,0)))</f>
        <v>#N/A</v>
      </c>
      <c r="L8" s="2" t="s">
        <v>57</v>
      </c>
      <c r="M8" s="2"/>
      <c r="N8" s="49" t="s">
        <v>66</v>
      </c>
      <c r="O8" s="2"/>
      <c r="P8" s="2" t="s">
        <v>67</v>
      </c>
      <c r="Q8" s="2"/>
      <c r="R8" s="23"/>
      <c r="S8" s="2">
        <v>2</v>
      </c>
      <c r="T8" s="2"/>
      <c r="U8" s="2"/>
      <c r="V8" s="23">
        <v>44136</v>
      </c>
      <c r="W8" s="23"/>
      <c r="X8" s="2"/>
    </row>
    <row r="9" spans="1:26" customFormat="1" hidden="1">
      <c r="A9">
        <f t="shared" ca="1" si="0"/>
        <v>42114</v>
      </c>
      <c r="B9" s="49" t="s">
        <v>64</v>
      </c>
      <c r="C9" s="12">
        <v>2022</v>
      </c>
      <c r="D9" s="4" t="s">
        <v>53</v>
      </c>
      <c r="E9" s="4" t="s">
        <v>3663</v>
      </c>
      <c r="F9" s="4"/>
      <c r="G9" s="4" t="s">
        <v>54</v>
      </c>
      <c r="H9" s="4" t="s">
        <v>34</v>
      </c>
      <c r="I9" s="4" t="s">
        <v>65</v>
      </c>
      <c r="J9" s="4" t="s">
        <v>56</v>
      </c>
      <c r="K9" s="4" t="e">
        <f>IF(E9="KTG","KTG",(VLOOKUP(J9,'list of outsource'!B:H,2,0)))</f>
        <v>#N/A</v>
      </c>
      <c r="L9" s="4" t="s">
        <v>57</v>
      </c>
      <c r="M9" s="4"/>
      <c r="N9" s="49" t="s">
        <v>66</v>
      </c>
      <c r="O9" s="2"/>
      <c r="P9" s="4" t="s">
        <v>67</v>
      </c>
      <c r="Q9" s="4"/>
      <c r="R9" s="12"/>
      <c r="S9" s="4">
        <v>2</v>
      </c>
      <c r="T9" s="4"/>
      <c r="U9" s="4"/>
      <c r="V9" s="10">
        <v>44136</v>
      </c>
      <c r="W9" s="12"/>
    </row>
    <row r="10" spans="1:26" customFormat="1" hidden="1">
      <c r="A10">
        <f t="shared" ca="1" si="0"/>
        <v>42115</v>
      </c>
      <c r="B10" s="49" t="s">
        <v>68</v>
      </c>
      <c r="C10" s="12">
        <v>2021</v>
      </c>
      <c r="D10" s="4" t="s">
        <v>53</v>
      </c>
      <c r="E10" s="4" t="s">
        <v>3663</v>
      </c>
      <c r="F10" s="4"/>
      <c r="G10" s="4" t="s">
        <v>54</v>
      </c>
      <c r="H10" s="4" t="s">
        <v>34</v>
      </c>
      <c r="I10" s="4" t="s">
        <v>69</v>
      </c>
      <c r="J10" s="4" t="s">
        <v>56</v>
      </c>
      <c r="K10" s="4" t="e">
        <f>IF(E10="KTG","KTG",(VLOOKUP(J10,'list of outsource'!B:H,2,0)))</f>
        <v>#N/A</v>
      </c>
      <c r="L10" s="4" t="s">
        <v>57</v>
      </c>
      <c r="M10" s="4"/>
      <c r="N10" s="49" t="s">
        <v>70</v>
      </c>
      <c r="O10" s="2"/>
      <c r="P10" s="4" t="s">
        <v>71</v>
      </c>
      <c r="Q10" s="4"/>
      <c r="R10" s="12"/>
      <c r="S10" s="4">
        <v>2</v>
      </c>
      <c r="T10" s="4"/>
      <c r="U10" s="4"/>
      <c r="V10" s="10">
        <v>44136</v>
      </c>
      <c r="W10" s="12"/>
    </row>
    <row r="11" spans="1:26" customFormat="1" hidden="1">
      <c r="A11">
        <f t="shared" ca="1" si="0"/>
        <v>42114</v>
      </c>
      <c r="B11" s="49" t="s">
        <v>68</v>
      </c>
      <c r="C11" s="12">
        <v>2022</v>
      </c>
      <c r="D11" s="4" t="s">
        <v>53</v>
      </c>
      <c r="E11" s="4" t="s">
        <v>3663</v>
      </c>
      <c r="F11" s="4"/>
      <c r="G11" s="4" t="s">
        <v>54</v>
      </c>
      <c r="H11" s="4" t="s">
        <v>34</v>
      </c>
      <c r="I11" s="4" t="s">
        <v>69</v>
      </c>
      <c r="J11" s="4" t="s">
        <v>56</v>
      </c>
      <c r="K11" s="4" t="e">
        <f>IF(E11="KTG","KTG",(VLOOKUP(J11,'list of outsource'!B:H,2,0)))</f>
        <v>#N/A</v>
      </c>
      <c r="L11" s="4" t="s">
        <v>57</v>
      </c>
      <c r="M11" s="4"/>
      <c r="N11" s="49" t="s">
        <v>70</v>
      </c>
      <c r="O11" s="2"/>
      <c r="P11" s="4" t="s">
        <v>71</v>
      </c>
      <c r="Q11" s="4"/>
      <c r="R11" s="12"/>
      <c r="S11" s="4">
        <v>2</v>
      </c>
      <c r="T11" s="4"/>
      <c r="U11" s="4"/>
      <c r="V11" s="10">
        <v>44136</v>
      </c>
      <c r="W11" s="12"/>
    </row>
    <row r="12" spans="1:26" customFormat="1" hidden="1">
      <c r="A12">
        <f t="shared" ca="1" si="0"/>
        <v>42115</v>
      </c>
      <c r="B12" s="49" t="s">
        <v>72</v>
      </c>
      <c r="C12" s="12">
        <v>2021</v>
      </c>
      <c r="D12" s="4" t="s">
        <v>53</v>
      </c>
      <c r="E12" s="4" t="s">
        <v>3663</v>
      </c>
      <c r="F12" s="4"/>
      <c r="G12" s="4" t="s">
        <v>54</v>
      </c>
      <c r="H12" s="4" t="s">
        <v>34</v>
      </c>
      <c r="I12" s="4" t="s">
        <v>73</v>
      </c>
      <c r="J12" s="4" t="s">
        <v>56</v>
      </c>
      <c r="K12" s="4" t="e">
        <f>IF(E12="KTG","KTG",(VLOOKUP(J12,'list of outsource'!B:H,2,0)))</f>
        <v>#N/A</v>
      </c>
      <c r="L12" s="4" t="s">
        <v>57</v>
      </c>
      <c r="M12" s="4"/>
      <c r="N12" s="49" t="s">
        <v>74</v>
      </c>
      <c r="O12" s="2"/>
      <c r="P12" s="4" t="s">
        <v>75</v>
      </c>
      <c r="Q12" s="4"/>
      <c r="R12" s="12"/>
      <c r="S12" s="4">
        <v>2</v>
      </c>
      <c r="T12" s="4"/>
      <c r="U12" s="4"/>
      <c r="V12" s="10">
        <v>44136</v>
      </c>
      <c r="W12" s="12"/>
    </row>
    <row r="13" spans="1:26" customFormat="1" hidden="1">
      <c r="A13">
        <f t="shared" ca="1" si="0"/>
        <v>42114</v>
      </c>
      <c r="B13" s="49" t="s">
        <v>72</v>
      </c>
      <c r="C13" s="12">
        <v>2022</v>
      </c>
      <c r="D13" s="4" t="s">
        <v>53</v>
      </c>
      <c r="E13" s="4" t="s">
        <v>3663</v>
      </c>
      <c r="F13" s="4"/>
      <c r="G13" s="4" t="s">
        <v>54</v>
      </c>
      <c r="H13" s="4" t="s">
        <v>34</v>
      </c>
      <c r="I13" s="4" t="s">
        <v>73</v>
      </c>
      <c r="J13" s="4" t="s">
        <v>56</v>
      </c>
      <c r="K13" s="4" t="e">
        <f>IF(E13="KTG","KTG",(VLOOKUP(J13,'list of outsource'!B:H,2,0)))</f>
        <v>#N/A</v>
      </c>
      <c r="L13" s="4" t="s">
        <v>57</v>
      </c>
      <c r="M13" s="4"/>
      <c r="N13" s="49" t="s">
        <v>74</v>
      </c>
      <c r="O13" s="2"/>
      <c r="P13" s="4" t="s">
        <v>75</v>
      </c>
      <c r="Q13" s="4"/>
      <c r="R13" s="12"/>
      <c r="S13" s="4">
        <v>2</v>
      </c>
      <c r="T13" s="4"/>
      <c r="U13" s="4"/>
      <c r="V13" s="10">
        <v>44136</v>
      </c>
      <c r="W13" s="12"/>
    </row>
    <row r="14" spans="1:26" customFormat="1" hidden="1">
      <c r="A14">
        <f t="shared" ca="1" si="0"/>
        <v>42115</v>
      </c>
      <c r="B14" s="49" t="s">
        <v>76</v>
      </c>
      <c r="C14" s="12">
        <v>2021</v>
      </c>
      <c r="D14" s="4" t="s">
        <v>53</v>
      </c>
      <c r="E14" s="4" t="s">
        <v>3663</v>
      </c>
      <c r="F14" s="4"/>
      <c r="G14" s="4" t="s">
        <v>54</v>
      </c>
      <c r="H14" s="4" t="s">
        <v>34</v>
      </c>
      <c r="I14" s="4" t="s">
        <v>77</v>
      </c>
      <c r="J14" s="4" t="s">
        <v>56</v>
      </c>
      <c r="K14" s="4" t="e">
        <f>IF(E14="KTG","KTG",(VLOOKUP(J14,'list of outsource'!B:H,2,0)))</f>
        <v>#N/A</v>
      </c>
      <c r="L14" s="4" t="s">
        <v>57</v>
      </c>
      <c r="M14" s="4"/>
      <c r="N14" s="49" t="s">
        <v>78</v>
      </c>
      <c r="O14" s="2"/>
      <c r="P14" s="4" t="s">
        <v>79</v>
      </c>
      <c r="Q14" s="4"/>
      <c r="R14" s="12"/>
      <c r="S14" s="4">
        <v>2</v>
      </c>
      <c r="T14" s="4"/>
      <c r="U14" s="4"/>
      <c r="V14" s="10">
        <v>44136</v>
      </c>
      <c r="W14" s="12"/>
    </row>
    <row r="15" spans="1:26" customFormat="1" hidden="1">
      <c r="A15">
        <f t="shared" ca="1" si="0"/>
        <v>42114</v>
      </c>
      <c r="B15" s="49" t="s">
        <v>76</v>
      </c>
      <c r="C15" s="12">
        <v>2022</v>
      </c>
      <c r="D15" s="4" t="s">
        <v>53</v>
      </c>
      <c r="E15" s="4" t="s">
        <v>3663</v>
      </c>
      <c r="F15" s="4"/>
      <c r="G15" s="4" t="s">
        <v>54</v>
      </c>
      <c r="H15" s="4" t="s">
        <v>34</v>
      </c>
      <c r="I15" s="4" t="s">
        <v>77</v>
      </c>
      <c r="J15" s="4" t="s">
        <v>56</v>
      </c>
      <c r="K15" s="4" t="e">
        <f>IF(E15="KTG","KTG",(VLOOKUP(J15,'list of outsource'!B:H,2,0)))</f>
        <v>#N/A</v>
      </c>
      <c r="L15" s="4" t="s">
        <v>57</v>
      </c>
      <c r="M15" s="4"/>
      <c r="N15" s="49" t="s">
        <v>78</v>
      </c>
      <c r="O15" s="2"/>
      <c r="P15" s="4" t="s">
        <v>79</v>
      </c>
      <c r="Q15" s="4"/>
      <c r="R15" s="12"/>
      <c r="S15" s="4">
        <v>2</v>
      </c>
      <c r="T15" s="4"/>
      <c r="U15" s="4"/>
      <c r="V15" s="10">
        <v>44136</v>
      </c>
      <c r="W15" s="12"/>
    </row>
    <row r="16" spans="1:26" customFormat="1" hidden="1">
      <c r="A16">
        <f t="shared" ca="1" si="0"/>
        <v>42115</v>
      </c>
      <c r="B16" s="49" t="s">
        <v>80</v>
      </c>
      <c r="C16" s="12">
        <v>2021</v>
      </c>
      <c r="D16" s="4" t="s">
        <v>53</v>
      </c>
      <c r="E16" s="4" t="s">
        <v>3663</v>
      </c>
      <c r="F16" s="4"/>
      <c r="G16" s="4" t="s">
        <v>54</v>
      </c>
      <c r="H16" s="4" t="s">
        <v>34</v>
      </c>
      <c r="I16" s="4" t="s">
        <v>81</v>
      </c>
      <c r="J16" s="4" t="s">
        <v>56</v>
      </c>
      <c r="K16" s="4" t="e">
        <f>IF(E16="KTG","KTG",(VLOOKUP(J16,'list of outsource'!B:H,2,0)))</f>
        <v>#N/A</v>
      </c>
      <c r="L16" s="4" t="s">
        <v>57</v>
      </c>
      <c r="M16" s="4"/>
      <c r="N16" s="49" t="s">
        <v>82</v>
      </c>
      <c r="O16" s="2"/>
      <c r="P16" s="4" t="s">
        <v>83</v>
      </c>
      <c r="Q16" s="4"/>
      <c r="R16" s="12"/>
      <c r="S16" s="4">
        <v>2</v>
      </c>
      <c r="T16" s="4"/>
      <c r="U16" s="4"/>
      <c r="V16" s="10">
        <v>44136</v>
      </c>
      <c r="W16" s="12"/>
    </row>
    <row r="17" spans="1:23" customFormat="1" hidden="1">
      <c r="A17">
        <f t="shared" ca="1" si="0"/>
        <v>42114</v>
      </c>
      <c r="B17" s="49" t="s">
        <v>80</v>
      </c>
      <c r="C17" s="12">
        <v>2022</v>
      </c>
      <c r="D17" s="4" t="s">
        <v>53</v>
      </c>
      <c r="E17" s="4" t="s">
        <v>3663</v>
      </c>
      <c r="F17" s="4"/>
      <c r="G17" s="4" t="s">
        <v>54</v>
      </c>
      <c r="H17" s="4" t="s">
        <v>34</v>
      </c>
      <c r="I17" s="4" t="s">
        <v>81</v>
      </c>
      <c r="J17" s="4" t="s">
        <v>56</v>
      </c>
      <c r="K17" s="4" t="e">
        <f>IF(E17="KTG","KTG",(VLOOKUP(J17,'list of outsource'!B:H,2,0)))</f>
        <v>#N/A</v>
      </c>
      <c r="L17" s="4" t="s">
        <v>57</v>
      </c>
      <c r="M17" s="4"/>
      <c r="N17" s="49" t="s">
        <v>82</v>
      </c>
      <c r="O17" s="2"/>
      <c r="P17" s="4" t="s">
        <v>83</v>
      </c>
      <c r="Q17" s="4"/>
      <c r="R17" s="12"/>
      <c r="S17" s="4">
        <v>2</v>
      </c>
      <c r="T17" s="4"/>
      <c r="U17" s="4"/>
      <c r="V17" s="10">
        <v>44136</v>
      </c>
      <c r="W17" s="12"/>
    </row>
    <row r="18" spans="1:23" customFormat="1">
      <c r="A18">
        <f t="shared" ref="A18:A80" ca="1" si="1">IF(V18="",(TODAY()-C18),(V18-C18))</f>
        <v>102</v>
      </c>
      <c r="B18" s="49" t="s">
        <v>465</v>
      </c>
      <c r="C18" s="12">
        <v>44879</v>
      </c>
      <c r="D18" s="4" t="s">
        <v>129</v>
      </c>
      <c r="E18" s="4" t="s">
        <v>3662</v>
      </c>
      <c r="F18" s="4">
        <v>5123</v>
      </c>
      <c r="G18" s="106" t="s">
        <v>174</v>
      </c>
      <c r="H18" s="106" t="s">
        <v>34</v>
      </c>
      <c r="I18" s="49" t="s">
        <v>466</v>
      </c>
      <c r="J18" s="4" t="s">
        <v>302</v>
      </c>
      <c r="K18" s="4" t="str">
        <f>IF(E18="KTG","KTG",(VLOOKUP(J18,'list of outsource'!B:H,2,0)))</f>
        <v>ETC</v>
      </c>
      <c r="L18" s="4" t="s">
        <v>303</v>
      </c>
      <c r="M18" s="4"/>
      <c r="N18" s="4" t="s">
        <v>467</v>
      </c>
      <c r="O18" s="2" t="s">
        <v>3671</v>
      </c>
      <c r="P18" s="4" t="s">
        <v>468</v>
      </c>
      <c r="Q18" s="4">
        <v>1198485921</v>
      </c>
      <c r="R18" s="12"/>
      <c r="S18" s="4">
        <v>2</v>
      </c>
      <c r="T18" s="4"/>
      <c r="U18" s="4" t="s">
        <v>39</v>
      </c>
      <c r="V18" s="10">
        <v>44981</v>
      </c>
      <c r="W18" s="12"/>
    </row>
    <row r="19" spans="1:23" customFormat="1">
      <c r="A19">
        <f t="shared" ca="1" si="1"/>
        <v>102</v>
      </c>
      <c r="B19" s="49" t="s">
        <v>473</v>
      </c>
      <c r="C19" s="12">
        <v>44879</v>
      </c>
      <c r="D19" s="4" t="s">
        <v>129</v>
      </c>
      <c r="E19" s="4" t="s">
        <v>3662</v>
      </c>
      <c r="F19" s="4">
        <v>5124</v>
      </c>
      <c r="G19" s="106" t="s">
        <v>174</v>
      </c>
      <c r="H19" s="106" t="s">
        <v>34</v>
      </c>
      <c r="I19" s="49" t="s">
        <v>474</v>
      </c>
      <c r="J19" s="4" t="s">
        <v>302</v>
      </c>
      <c r="K19" s="4" t="str">
        <f>IF(E19="KTG","KTG",(VLOOKUP(J19,'list of outsource'!B:H,2,0)))</f>
        <v>ETC</v>
      </c>
      <c r="L19" s="4" t="s">
        <v>303</v>
      </c>
      <c r="M19" s="4"/>
      <c r="N19" s="4" t="s">
        <v>475</v>
      </c>
      <c r="O19" s="2" t="s">
        <v>3671</v>
      </c>
      <c r="P19" s="4" t="s">
        <v>474</v>
      </c>
      <c r="Q19" s="4">
        <v>1199854155</v>
      </c>
      <c r="R19" s="12"/>
      <c r="S19" s="4">
        <v>2</v>
      </c>
      <c r="T19" s="4"/>
      <c r="U19" s="4" t="s">
        <v>39</v>
      </c>
      <c r="V19" s="10">
        <v>44981</v>
      </c>
      <c r="W19" s="12"/>
    </row>
    <row r="20" spans="1:23" customFormat="1">
      <c r="A20">
        <f t="shared" ca="1" si="1"/>
        <v>102</v>
      </c>
      <c r="B20" s="49" t="s">
        <v>476</v>
      </c>
      <c r="C20" s="12">
        <v>44879</v>
      </c>
      <c r="D20" s="4" t="s">
        <v>129</v>
      </c>
      <c r="E20" s="4" t="s">
        <v>3662</v>
      </c>
      <c r="F20" s="4">
        <v>5125</v>
      </c>
      <c r="G20" s="106" t="s">
        <v>174</v>
      </c>
      <c r="H20" s="106" t="s">
        <v>34</v>
      </c>
      <c r="I20" s="49" t="s">
        <v>477</v>
      </c>
      <c r="J20" s="4" t="s">
        <v>302</v>
      </c>
      <c r="K20" s="4" t="str">
        <f>IF(E20="KTG","KTG",(VLOOKUP(J20,'list of outsource'!B:H,2,0)))</f>
        <v>ETC</v>
      </c>
      <c r="L20" s="4" t="s">
        <v>303</v>
      </c>
      <c r="M20" s="4"/>
      <c r="N20" s="4" t="s">
        <v>478</v>
      </c>
      <c r="O20" s="2" t="s">
        <v>3671</v>
      </c>
      <c r="P20" s="4" t="s">
        <v>477</v>
      </c>
      <c r="Q20" s="4">
        <v>1199292910</v>
      </c>
      <c r="R20" s="12"/>
      <c r="S20" s="4">
        <v>2</v>
      </c>
      <c r="T20" s="4"/>
      <c r="U20" s="4" t="s">
        <v>39</v>
      </c>
      <c r="V20" s="10">
        <v>44981</v>
      </c>
      <c r="W20" s="12"/>
    </row>
    <row r="21" spans="1:23" customFormat="1">
      <c r="A21">
        <f t="shared" ca="1" si="1"/>
        <v>102</v>
      </c>
      <c r="B21" s="49" t="s">
        <v>482</v>
      </c>
      <c r="C21" s="12">
        <v>44879</v>
      </c>
      <c r="D21" s="4" t="s">
        <v>129</v>
      </c>
      <c r="E21" s="4" t="s">
        <v>3662</v>
      </c>
      <c r="F21" s="4">
        <v>5126</v>
      </c>
      <c r="G21" s="106" t="s">
        <v>174</v>
      </c>
      <c r="H21" s="106" t="s">
        <v>34</v>
      </c>
      <c r="I21" s="49" t="s">
        <v>483</v>
      </c>
      <c r="J21" s="4" t="s">
        <v>302</v>
      </c>
      <c r="K21" s="4" t="str">
        <f>IF(E21="KTG","KTG",(VLOOKUP(J21,'list of outsource'!B:H,2,0)))</f>
        <v>ETC</v>
      </c>
      <c r="L21" s="4" t="s">
        <v>303</v>
      </c>
      <c r="M21" s="4"/>
      <c r="N21" s="4" t="s">
        <v>484</v>
      </c>
      <c r="O21" s="2" t="s">
        <v>3671</v>
      </c>
      <c r="P21" s="4" t="s">
        <v>483</v>
      </c>
      <c r="Q21" s="4">
        <v>1196335819</v>
      </c>
      <c r="R21" s="12"/>
      <c r="S21" s="4">
        <v>2</v>
      </c>
      <c r="T21" s="4"/>
      <c r="U21" s="4" t="s">
        <v>39</v>
      </c>
      <c r="V21" s="10">
        <v>44981</v>
      </c>
      <c r="W21" s="12"/>
    </row>
    <row r="22" spans="1:23" customFormat="1" hidden="1">
      <c r="A22">
        <f t="shared" ca="1" si="1"/>
        <v>41976</v>
      </c>
      <c r="B22" s="4" t="s">
        <v>31</v>
      </c>
      <c r="C22" s="12">
        <v>2021</v>
      </c>
      <c r="D22" s="4" t="s">
        <v>32</v>
      </c>
      <c r="E22" s="4" t="s">
        <v>3663</v>
      </c>
      <c r="F22" s="4">
        <v>104</v>
      </c>
      <c r="G22" s="4" t="s">
        <v>33</v>
      </c>
      <c r="H22" s="4" t="s">
        <v>34</v>
      </c>
      <c r="I22" s="4">
        <v>95850329</v>
      </c>
      <c r="J22" s="4" t="s">
        <v>35</v>
      </c>
      <c r="K22" s="4" t="e">
        <f>IF(E22="KTG","KTG",(VLOOKUP(J22,'list of outsource'!B:H,2,0)))</f>
        <v>#N/A</v>
      </c>
      <c r="L22" s="4" t="s">
        <v>36</v>
      </c>
      <c r="M22" s="4"/>
      <c r="N22" s="4" t="s">
        <v>37</v>
      </c>
      <c r="O22" s="2"/>
      <c r="P22" s="4" t="s">
        <v>38</v>
      </c>
      <c r="Q22" s="4"/>
      <c r="R22" s="12"/>
      <c r="S22" s="4">
        <v>4</v>
      </c>
      <c r="T22" s="4"/>
      <c r="U22" s="4" t="s">
        <v>39</v>
      </c>
      <c r="V22" s="10">
        <v>43997</v>
      </c>
      <c r="W22" s="12">
        <v>44067</v>
      </c>
    </row>
    <row r="23" spans="1:23" customFormat="1" hidden="1">
      <c r="A23">
        <f t="shared" ca="1" si="1"/>
        <v>41975</v>
      </c>
      <c r="B23" s="4" t="s">
        <v>31</v>
      </c>
      <c r="C23" s="12">
        <v>2022</v>
      </c>
      <c r="D23" s="4" t="s">
        <v>32</v>
      </c>
      <c r="E23" s="4" t="s">
        <v>3663</v>
      </c>
      <c r="F23" s="4">
        <v>104</v>
      </c>
      <c r="G23" s="4" t="s">
        <v>33</v>
      </c>
      <c r="H23" s="4" t="s">
        <v>34</v>
      </c>
      <c r="I23" s="4">
        <v>95850329</v>
      </c>
      <c r="J23" s="4" t="s">
        <v>35</v>
      </c>
      <c r="K23" s="4" t="e">
        <f>IF(E23="KTG","KTG",(VLOOKUP(J23,'list of outsource'!B:H,2,0)))</f>
        <v>#N/A</v>
      </c>
      <c r="L23" s="4" t="s">
        <v>36</v>
      </c>
      <c r="M23" s="4"/>
      <c r="N23" s="4"/>
      <c r="O23" s="2"/>
      <c r="P23" s="4" t="s">
        <v>38</v>
      </c>
      <c r="Q23" s="4"/>
      <c r="R23" s="12"/>
      <c r="S23" s="4">
        <v>4</v>
      </c>
      <c r="T23" s="4"/>
      <c r="U23" s="4" t="s">
        <v>39</v>
      </c>
      <c r="V23" s="10">
        <v>43997</v>
      </c>
      <c r="W23" s="12">
        <v>44067</v>
      </c>
    </row>
    <row r="24" spans="1:23" customFormat="1" hidden="1">
      <c r="A24">
        <f t="shared" ca="1" si="1"/>
        <v>41976</v>
      </c>
      <c r="B24" s="4" t="s">
        <v>40</v>
      </c>
      <c r="C24" s="12">
        <v>2021</v>
      </c>
      <c r="D24" s="4" t="s">
        <v>32</v>
      </c>
      <c r="E24" s="4" t="s">
        <v>3663</v>
      </c>
      <c r="F24" s="4">
        <v>107</v>
      </c>
      <c r="G24" s="4" t="s">
        <v>33</v>
      </c>
      <c r="H24" s="4" t="s">
        <v>34</v>
      </c>
      <c r="I24" s="4">
        <v>95850330</v>
      </c>
      <c r="J24" s="4" t="s">
        <v>35</v>
      </c>
      <c r="K24" s="4" t="e">
        <f>IF(E24="KTG","KTG",(VLOOKUP(J24,'list of outsource'!B:H,2,0)))</f>
        <v>#N/A</v>
      </c>
      <c r="L24" s="4" t="s">
        <v>36</v>
      </c>
      <c r="M24" s="4"/>
      <c r="N24" s="4" t="s">
        <v>41</v>
      </c>
      <c r="O24" s="2"/>
      <c r="P24" s="4" t="s">
        <v>42</v>
      </c>
      <c r="Q24" s="4"/>
      <c r="R24" s="12"/>
      <c r="S24" s="4">
        <v>4</v>
      </c>
      <c r="T24" s="4"/>
      <c r="U24" s="4" t="s">
        <v>39</v>
      </c>
      <c r="V24" s="10">
        <v>43997</v>
      </c>
      <c r="W24" s="12">
        <v>44067</v>
      </c>
    </row>
    <row r="25" spans="1:23" customFormat="1" hidden="1">
      <c r="A25">
        <f t="shared" ca="1" si="1"/>
        <v>41975</v>
      </c>
      <c r="B25" s="4" t="s">
        <v>40</v>
      </c>
      <c r="C25" s="12">
        <v>2022</v>
      </c>
      <c r="D25" s="4" t="s">
        <v>32</v>
      </c>
      <c r="E25" s="4" t="s">
        <v>3663</v>
      </c>
      <c r="F25" s="4">
        <v>107</v>
      </c>
      <c r="G25" s="4" t="s">
        <v>33</v>
      </c>
      <c r="H25" s="4" t="s">
        <v>34</v>
      </c>
      <c r="I25" s="4">
        <v>95850330</v>
      </c>
      <c r="J25" s="4" t="s">
        <v>35</v>
      </c>
      <c r="K25" s="4" t="e">
        <f>IF(E25="KTG","KTG",(VLOOKUP(J25,'list of outsource'!B:H,2,0)))</f>
        <v>#N/A</v>
      </c>
      <c r="L25" s="4" t="s">
        <v>36</v>
      </c>
      <c r="M25" s="4"/>
      <c r="N25" s="4"/>
      <c r="O25" s="2"/>
      <c r="P25" s="4" t="s">
        <v>42</v>
      </c>
      <c r="Q25" s="4"/>
      <c r="R25" s="12"/>
      <c r="S25" s="4">
        <v>4</v>
      </c>
      <c r="T25" s="4"/>
      <c r="U25" s="4" t="s">
        <v>39</v>
      </c>
      <c r="V25" s="10">
        <v>43997</v>
      </c>
      <c r="W25" s="12">
        <v>44067</v>
      </c>
    </row>
    <row r="26" spans="1:23" customFormat="1" hidden="1">
      <c r="A26">
        <f t="shared" ca="1" si="1"/>
        <v>41976</v>
      </c>
      <c r="B26" s="4" t="s">
        <v>43</v>
      </c>
      <c r="C26" s="12">
        <v>2021</v>
      </c>
      <c r="D26" s="4" t="s">
        <v>32</v>
      </c>
      <c r="E26" s="4" t="s">
        <v>3663</v>
      </c>
      <c r="F26" s="4">
        <v>108</v>
      </c>
      <c r="G26" s="4" t="s">
        <v>33</v>
      </c>
      <c r="H26" s="4" t="s">
        <v>34</v>
      </c>
      <c r="I26" s="4">
        <v>95850331</v>
      </c>
      <c r="J26" s="4" t="s">
        <v>35</v>
      </c>
      <c r="K26" s="4" t="e">
        <f>IF(E26="KTG","KTG",(VLOOKUP(J26,'list of outsource'!B:H,2,0)))</f>
        <v>#N/A</v>
      </c>
      <c r="L26" s="4" t="s">
        <v>36</v>
      </c>
      <c r="M26" s="4"/>
      <c r="N26" s="4" t="s">
        <v>44</v>
      </c>
      <c r="O26" s="2"/>
      <c r="P26" s="4" t="s">
        <v>45</v>
      </c>
      <c r="Q26" s="4"/>
      <c r="R26" s="12"/>
      <c r="S26" s="4">
        <v>4</v>
      </c>
      <c r="T26" s="4"/>
      <c r="U26" s="4" t="s">
        <v>39</v>
      </c>
      <c r="V26" s="10">
        <v>43997</v>
      </c>
      <c r="W26" s="12">
        <v>44067</v>
      </c>
    </row>
    <row r="27" spans="1:23" customFormat="1" hidden="1">
      <c r="A27">
        <f t="shared" ca="1" si="1"/>
        <v>41975</v>
      </c>
      <c r="B27" s="4" t="s">
        <v>43</v>
      </c>
      <c r="C27" s="12">
        <v>2022</v>
      </c>
      <c r="D27" s="4" t="s">
        <v>32</v>
      </c>
      <c r="E27" s="4" t="s">
        <v>3663</v>
      </c>
      <c r="F27" s="4">
        <v>108</v>
      </c>
      <c r="G27" s="4" t="s">
        <v>33</v>
      </c>
      <c r="H27" s="4" t="s">
        <v>34</v>
      </c>
      <c r="I27" s="4">
        <v>95850331</v>
      </c>
      <c r="J27" s="4" t="s">
        <v>35</v>
      </c>
      <c r="K27" s="4" t="e">
        <f>IF(E27="KTG","KTG",(VLOOKUP(J27,'list of outsource'!B:H,2,0)))</f>
        <v>#N/A</v>
      </c>
      <c r="L27" s="4" t="s">
        <v>36</v>
      </c>
      <c r="M27" s="4"/>
      <c r="N27" s="4"/>
      <c r="O27" s="2"/>
      <c r="P27" s="4" t="s">
        <v>45</v>
      </c>
      <c r="Q27" s="4"/>
      <c r="R27" s="12"/>
      <c r="S27" s="4">
        <v>4</v>
      </c>
      <c r="T27" s="4"/>
      <c r="U27" s="4" t="s">
        <v>39</v>
      </c>
      <c r="V27" s="10">
        <v>43997</v>
      </c>
      <c r="W27" s="12">
        <v>44067</v>
      </c>
    </row>
    <row r="28" spans="1:23" customFormat="1" hidden="1">
      <c r="A28">
        <f t="shared" ca="1" si="1"/>
        <v>41976</v>
      </c>
      <c r="B28" s="4" t="s">
        <v>46</v>
      </c>
      <c r="C28" s="12">
        <v>2021</v>
      </c>
      <c r="D28" s="4" t="s">
        <v>32</v>
      </c>
      <c r="E28" s="4" t="s">
        <v>3663</v>
      </c>
      <c r="F28" s="4">
        <v>105</v>
      </c>
      <c r="G28" s="4" t="s">
        <v>33</v>
      </c>
      <c r="H28" s="4" t="s">
        <v>34</v>
      </c>
      <c r="I28" s="4">
        <v>95850332</v>
      </c>
      <c r="J28" s="4" t="s">
        <v>35</v>
      </c>
      <c r="K28" s="4" t="e">
        <f>IF(E28="KTG","KTG",(VLOOKUP(J28,'list of outsource'!B:H,2,0)))</f>
        <v>#N/A</v>
      </c>
      <c r="L28" s="4" t="s">
        <v>36</v>
      </c>
      <c r="M28" s="4"/>
      <c r="N28" s="4" t="s">
        <v>47</v>
      </c>
      <c r="O28" s="2"/>
      <c r="P28" s="4" t="s">
        <v>48</v>
      </c>
      <c r="Q28" s="4"/>
      <c r="R28" s="12"/>
      <c r="S28" s="4">
        <v>4</v>
      </c>
      <c r="T28" s="4"/>
      <c r="U28" s="4" t="s">
        <v>39</v>
      </c>
      <c r="V28" s="10">
        <v>43997</v>
      </c>
      <c r="W28" s="12">
        <v>44067</v>
      </c>
    </row>
    <row r="29" spans="1:23" customFormat="1" hidden="1">
      <c r="A29">
        <f t="shared" ca="1" si="1"/>
        <v>41975</v>
      </c>
      <c r="B29" s="4" t="s">
        <v>46</v>
      </c>
      <c r="C29" s="12">
        <v>2022</v>
      </c>
      <c r="D29" s="4" t="s">
        <v>32</v>
      </c>
      <c r="E29" s="4" t="s">
        <v>3663</v>
      </c>
      <c r="F29" s="4">
        <v>105</v>
      </c>
      <c r="G29" s="4" t="s">
        <v>33</v>
      </c>
      <c r="H29" s="4" t="s">
        <v>34</v>
      </c>
      <c r="I29" s="4">
        <v>95850332</v>
      </c>
      <c r="J29" s="4" t="s">
        <v>35</v>
      </c>
      <c r="K29" s="4" t="e">
        <f>IF(E29="KTG","KTG",(VLOOKUP(J29,'list of outsource'!B:H,2,0)))</f>
        <v>#N/A</v>
      </c>
      <c r="L29" s="4" t="s">
        <v>36</v>
      </c>
      <c r="M29" s="4"/>
      <c r="N29" s="4"/>
      <c r="O29" s="2"/>
      <c r="P29" s="4" t="s">
        <v>48</v>
      </c>
      <c r="Q29" s="4"/>
      <c r="R29" s="12"/>
      <c r="S29" s="4">
        <v>4</v>
      </c>
      <c r="T29" s="4"/>
      <c r="U29" s="4" t="s">
        <v>39</v>
      </c>
      <c r="V29" s="10">
        <v>43997</v>
      </c>
      <c r="W29" s="12">
        <v>44067</v>
      </c>
    </row>
    <row r="30" spans="1:23" customFormat="1" hidden="1">
      <c r="A30">
        <f t="shared" ca="1" si="1"/>
        <v>41976</v>
      </c>
      <c r="B30" s="4" t="s">
        <v>49</v>
      </c>
      <c r="C30" s="12">
        <v>2021</v>
      </c>
      <c r="D30" s="4" t="s">
        <v>32</v>
      </c>
      <c r="E30" s="4" t="s">
        <v>3663</v>
      </c>
      <c r="F30" s="4">
        <v>103</v>
      </c>
      <c r="G30" s="4" t="s">
        <v>33</v>
      </c>
      <c r="H30" s="4" t="s">
        <v>34</v>
      </c>
      <c r="I30" s="4">
        <v>95850007</v>
      </c>
      <c r="J30" s="4" t="s">
        <v>35</v>
      </c>
      <c r="K30" s="4" t="e">
        <f>IF(E30="KTG","KTG",(VLOOKUP(J30,'list of outsource'!B:H,2,0)))</f>
        <v>#N/A</v>
      </c>
      <c r="L30" s="4" t="s">
        <v>36</v>
      </c>
      <c r="M30" s="4"/>
      <c r="N30" s="4" t="s">
        <v>50</v>
      </c>
      <c r="O30" s="2"/>
      <c r="P30" s="4" t="s">
        <v>51</v>
      </c>
      <c r="Q30" s="4"/>
      <c r="R30" s="12"/>
      <c r="S30" s="4">
        <v>4</v>
      </c>
      <c r="T30" s="4"/>
      <c r="U30" s="4" t="s">
        <v>39</v>
      </c>
      <c r="V30" s="10">
        <v>43997</v>
      </c>
      <c r="W30" s="12">
        <v>44067</v>
      </c>
    </row>
    <row r="31" spans="1:23" customFormat="1" hidden="1">
      <c r="A31">
        <f t="shared" ca="1" si="1"/>
        <v>41975</v>
      </c>
      <c r="B31" s="4" t="s">
        <v>49</v>
      </c>
      <c r="C31" s="12">
        <v>2022</v>
      </c>
      <c r="D31" s="4" t="s">
        <v>32</v>
      </c>
      <c r="E31" s="4" t="s">
        <v>3663</v>
      </c>
      <c r="F31" s="4">
        <v>103</v>
      </c>
      <c r="G31" s="4" t="s">
        <v>33</v>
      </c>
      <c r="H31" s="4" t="s">
        <v>34</v>
      </c>
      <c r="I31" s="4">
        <v>95850007</v>
      </c>
      <c r="J31" s="4" t="s">
        <v>35</v>
      </c>
      <c r="K31" s="4" t="e">
        <f>IF(E31="KTG","KTG",(VLOOKUP(J31,'list of outsource'!B:H,2,0)))</f>
        <v>#N/A</v>
      </c>
      <c r="L31" s="4" t="s">
        <v>36</v>
      </c>
      <c r="M31" s="4"/>
      <c r="N31" s="4"/>
      <c r="O31" s="2"/>
      <c r="P31" s="4" t="s">
        <v>51</v>
      </c>
      <c r="Q31" s="4"/>
      <c r="R31" s="12"/>
      <c r="S31" s="4">
        <v>4</v>
      </c>
      <c r="T31" s="4"/>
      <c r="U31" s="4" t="s">
        <v>39</v>
      </c>
      <c r="V31" s="10">
        <v>43997</v>
      </c>
      <c r="W31" s="12">
        <v>44067</v>
      </c>
    </row>
    <row r="32" spans="1:23" customFormat="1">
      <c r="A32">
        <f t="shared" ca="1" si="1"/>
        <v>102</v>
      </c>
      <c r="B32" s="49" t="s">
        <v>485</v>
      </c>
      <c r="C32" s="12">
        <v>44879</v>
      </c>
      <c r="D32" s="4" t="s">
        <v>129</v>
      </c>
      <c r="E32" s="4" t="s">
        <v>3662</v>
      </c>
      <c r="F32" s="4">
        <v>5127</v>
      </c>
      <c r="G32" s="106" t="s">
        <v>174</v>
      </c>
      <c r="H32" s="106" t="s">
        <v>34</v>
      </c>
      <c r="I32" s="49" t="s">
        <v>486</v>
      </c>
      <c r="J32" s="4" t="s">
        <v>302</v>
      </c>
      <c r="K32" s="4" t="str">
        <f>IF(E32="KTG","KTG",(VLOOKUP(J32,'list of outsource'!B:H,2,0)))</f>
        <v>ETC</v>
      </c>
      <c r="L32" s="4" t="s">
        <v>303</v>
      </c>
      <c r="M32" s="4"/>
      <c r="N32" s="4" t="s">
        <v>487</v>
      </c>
      <c r="O32" s="2" t="s">
        <v>3671</v>
      </c>
      <c r="P32" s="4" t="s">
        <v>486</v>
      </c>
      <c r="Q32" s="4">
        <v>1199295023</v>
      </c>
      <c r="R32" s="12"/>
      <c r="S32" s="4">
        <v>2</v>
      </c>
      <c r="T32" s="4"/>
      <c r="U32" s="4" t="s">
        <v>39</v>
      </c>
      <c r="V32" s="10">
        <v>44981</v>
      </c>
      <c r="W32" s="12"/>
    </row>
    <row r="33" spans="1:26" customFormat="1">
      <c r="A33">
        <f t="shared" ca="1" si="1"/>
        <v>102</v>
      </c>
      <c r="B33" s="49" t="s">
        <v>488</v>
      </c>
      <c r="C33" s="12">
        <v>44879</v>
      </c>
      <c r="D33" s="4" t="s">
        <v>129</v>
      </c>
      <c r="E33" s="4" t="s">
        <v>3662</v>
      </c>
      <c r="F33" s="4">
        <v>5128</v>
      </c>
      <c r="G33" s="106" t="s">
        <v>174</v>
      </c>
      <c r="H33" s="106" t="s">
        <v>34</v>
      </c>
      <c r="I33" s="49" t="s">
        <v>489</v>
      </c>
      <c r="J33" s="4" t="s">
        <v>490</v>
      </c>
      <c r="K33" s="4" t="str">
        <f>IF(E33="KTG","KTG",(VLOOKUP(J33,'list of outsource'!B:H,2,0)))</f>
        <v>ETC</v>
      </c>
      <c r="L33" s="4" t="s">
        <v>491</v>
      </c>
      <c r="M33" s="4"/>
      <c r="N33" s="4" t="s">
        <v>492</v>
      </c>
      <c r="O33" s="2" t="s">
        <v>3671</v>
      </c>
      <c r="P33" s="4" t="s">
        <v>489</v>
      </c>
      <c r="Q33" s="4">
        <v>1199871420</v>
      </c>
      <c r="R33" s="12"/>
      <c r="S33" s="4">
        <v>2</v>
      </c>
      <c r="T33" s="4"/>
      <c r="U33" s="4" t="s">
        <v>39</v>
      </c>
      <c r="V33" s="10">
        <v>44981</v>
      </c>
      <c r="W33" s="12"/>
    </row>
    <row r="34" spans="1:26" customFormat="1">
      <c r="A34">
        <f t="shared" ca="1" si="1"/>
        <v>102</v>
      </c>
      <c r="B34" s="49" t="s">
        <v>493</v>
      </c>
      <c r="C34" s="12">
        <v>44879</v>
      </c>
      <c r="D34" s="4" t="s">
        <v>129</v>
      </c>
      <c r="E34" s="4" t="s">
        <v>3662</v>
      </c>
      <c r="F34" s="4">
        <v>5129</v>
      </c>
      <c r="G34" s="106" t="s">
        <v>174</v>
      </c>
      <c r="H34" s="106" t="s">
        <v>34</v>
      </c>
      <c r="I34" s="49" t="s">
        <v>494</v>
      </c>
      <c r="J34" s="4" t="s">
        <v>302</v>
      </c>
      <c r="K34" s="4" t="str">
        <f>IF(E34="KTG","KTG",(VLOOKUP(J34,'list of outsource'!B:H,2,0)))</f>
        <v>ETC</v>
      </c>
      <c r="L34" s="4" t="s">
        <v>303</v>
      </c>
      <c r="M34" s="4"/>
      <c r="N34" s="4" t="s">
        <v>495</v>
      </c>
      <c r="O34" s="2" t="s">
        <v>3671</v>
      </c>
      <c r="P34" s="4" t="s">
        <v>496</v>
      </c>
      <c r="Q34" s="4">
        <v>1196335595</v>
      </c>
      <c r="R34" s="12"/>
      <c r="S34" s="4">
        <v>2</v>
      </c>
      <c r="T34" s="4"/>
      <c r="U34" s="4" t="s">
        <v>39</v>
      </c>
      <c r="V34" s="10">
        <v>44981</v>
      </c>
      <c r="W34" s="12"/>
    </row>
    <row r="35" spans="1:26" customFormat="1">
      <c r="A35">
        <f t="shared" ca="1" si="1"/>
        <v>102</v>
      </c>
      <c r="B35" s="49" t="s">
        <v>497</v>
      </c>
      <c r="C35" s="12">
        <v>44879</v>
      </c>
      <c r="D35" s="4" t="s">
        <v>129</v>
      </c>
      <c r="E35" s="4" t="s">
        <v>3662</v>
      </c>
      <c r="F35" s="4">
        <v>5130</v>
      </c>
      <c r="G35" s="106" t="s">
        <v>174</v>
      </c>
      <c r="H35" s="106" t="s">
        <v>34</v>
      </c>
      <c r="I35" s="49" t="s">
        <v>498</v>
      </c>
      <c r="J35" s="4" t="s">
        <v>490</v>
      </c>
      <c r="K35" s="4" t="str">
        <f>IF(E35="KTG","KTG",(VLOOKUP(J35,'list of outsource'!B:H,2,0)))</f>
        <v>ETC</v>
      </c>
      <c r="L35" s="4" t="s">
        <v>491</v>
      </c>
      <c r="M35" s="4"/>
      <c r="N35" s="4" t="s">
        <v>499</v>
      </c>
      <c r="O35" s="2" t="s">
        <v>3671</v>
      </c>
      <c r="P35" s="4" t="s">
        <v>498</v>
      </c>
      <c r="Q35" s="4">
        <v>1199874872</v>
      </c>
      <c r="R35" s="12"/>
      <c r="S35" s="4">
        <v>2</v>
      </c>
      <c r="T35" s="4"/>
      <c r="U35" s="4" t="s">
        <v>39</v>
      </c>
      <c r="V35" s="10">
        <v>44981</v>
      </c>
      <c r="W35" s="12"/>
    </row>
    <row r="36" spans="1:26" customFormat="1">
      <c r="A36">
        <f t="shared" ca="1" si="1"/>
        <v>34</v>
      </c>
      <c r="B36" s="49" t="s">
        <v>691</v>
      </c>
      <c r="C36" s="12">
        <v>44995</v>
      </c>
      <c r="D36" s="4" t="s">
        <v>504</v>
      </c>
      <c r="E36" s="4" t="s">
        <v>3662</v>
      </c>
      <c r="F36" s="4">
        <v>5131</v>
      </c>
      <c r="G36" s="106" t="s">
        <v>174</v>
      </c>
      <c r="H36" s="106" t="s">
        <v>34</v>
      </c>
      <c r="I36" s="49" t="s">
        <v>692</v>
      </c>
      <c r="J36" s="4" t="s">
        <v>302</v>
      </c>
      <c r="K36" s="4" t="str">
        <f>IF(E36="KTG","KTG",(VLOOKUP(J36,'list of outsource'!B:H,2,0)))</f>
        <v>ETC</v>
      </c>
      <c r="L36" s="4" t="s">
        <v>303</v>
      </c>
      <c r="M36" s="4"/>
      <c r="N36" s="4" t="s">
        <v>693</v>
      </c>
      <c r="O36" s="2" t="s">
        <v>3671</v>
      </c>
      <c r="P36" s="4" t="s">
        <v>692</v>
      </c>
      <c r="Q36" s="4">
        <v>1212621816</v>
      </c>
      <c r="R36" s="12"/>
      <c r="S36" s="4">
        <v>4</v>
      </c>
      <c r="T36" s="4"/>
      <c r="U36" s="4" t="s">
        <v>39</v>
      </c>
      <c r="V36" s="10" t="s">
        <v>639</v>
      </c>
      <c r="W36" s="12" t="s">
        <v>694</v>
      </c>
    </row>
    <row r="37" spans="1:26" customFormat="1">
      <c r="A37">
        <f t="shared" ca="1" si="1"/>
        <v>34</v>
      </c>
      <c r="B37" s="49" t="s">
        <v>695</v>
      </c>
      <c r="C37" s="12">
        <v>44995</v>
      </c>
      <c r="D37" s="4" t="s">
        <v>504</v>
      </c>
      <c r="E37" s="4" t="s">
        <v>3662</v>
      </c>
      <c r="F37" s="4">
        <v>5132</v>
      </c>
      <c r="G37" s="106" t="s">
        <v>174</v>
      </c>
      <c r="H37" s="106" t="s">
        <v>34</v>
      </c>
      <c r="I37" s="49" t="s">
        <v>696</v>
      </c>
      <c r="J37" s="4" t="s">
        <v>302</v>
      </c>
      <c r="K37" s="4" t="str">
        <f>IF(E37="KTG","KTG",(VLOOKUP(J37,'list of outsource'!B:H,2,0)))</f>
        <v>ETC</v>
      </c>
      <c r="L37" s="4" t="s">
        <v>303</v>
      </c>
      <c r="M37" s="4"/>
      <c r="N37" s="4" t="s">
        <v>697</v>
      </c>
      <c r="O37" s="2" t="s">
        <v>3671</v>
      </c>
      <c r="P37" s="4" t="s">
        <v>696</v>
      </c>
      <c r="Q37" s="4">
        <v>1212622204</v>
      </c>
      <c r="R37" s="12"/>
      <c r="S37" s="4">
        <v>4</v>
      </c>
      <c r="T37" s="4"/>
      <c r="U37" s="4" t="s">
        <v>39</v>
      </c>
      <c r="V37" s="10" t="s">
        <v>639</v>
      </c>
      <c r="W37" s="12" t="s">
        <v>694</v>
      </c>
    </row>
    <row r="38" spans="1:26" customFormat="1">
      <c r="A38">
        <f t="shared" ca="1" si="1"/>
        <v>34</v>
      </c>
      <c r="B38" s="49" t="s">
        <v>698</v>
      </c>
      <c r="C38" s="12">
        <v>44995</v>
      </c>
      <c r="D38" s="4" t="s">
        <v>504</v>
      </c>
      <c r="E38" s="4" t="s">
        <v>3662</v>
      </c>
      <c r="F38" s="4">
        <v>5133</v>
      </c>
      <c r="G38" s="106" t="s">
        <v>174</v>
      </c>
      <c r="H38" s="106" t="s">
        <v>34</v>
      </c>
      <c r="I38" s="49" t="s">
        <v>699</v>
      </c>
      <c r="J38" s="4" t="s">
        <v>302</v>
      </c>
      <c r="K38" s="4" t="str">
        <f>IF(E38="KTG","KTG",(VLOOKUP(J38,'list of outsource'!B:H,2,0)))</f>
        <v>ETC</v>
      </c>
      <c r="L38" s="4" t="s">
        <v>303</v>
      </c>
      <c r="M38" s="4"/>
      <c r="N38" s="4" t="s">
        <v>700</v>
      </c>
      <c r="O38" s="2" t="s">
        <v>3671</v>
      </c>
      <c r="P38" s="4" t="s">
        <v>699</v>
      </c>
      <c r="Q38" s="4">
        <v>1212622233</v>
      </c>
      <c r="R38" s="12"/>
      <c r="S38" s="4">
        <v>4</v>
      </c>
      <c r="T38" s="4"/>
      <c r="U38" s="4" t="s">
        <v>39</v>
      </c>
      <c r="V38" s="10" t="s">
        <v>639</v>
      </c>
      <c r="W38" s="12" t="s">
        <v>694</v>
      </c>
    </row>
    <row r="39" spans="1:26" customFormat="1">
      <c r="A39">
        <f t="shared" ca="1" si="1"/>
        <v>36</v>
      </c>
      <c r="B39" s="104" t="s">
        <v>2071</v>
      </c>
      <c r="C39" s="16">
        <v>45538</v>
      </c>
      <c r="D39" s="6" t="s">
        <v>129</v>
      </c>
      <c r="E39" s="6" t="s">
        <v>3662</v>
      </c>
      <c r="F39" s="6">
        <v>5134</v>
      </c>
      <c r="G39" s="106" t="s">
        <v>174</v>
      </c>
      <c r="H39" s="106" t="s">
        <v>34</v>
      </c>
      <c r="I39" s="49" t="s">
        <v>2072</v>
      </c>
      <c r="J39" s="6" t="s">
        <v>302</v>
      </c>
      <c r="K39" s="6" t="str">
        <f>IF(E39="KTG","KTG",(VLOOKUP(J39,'list of outsource'!B:H,2,0)))</f>
        <v>ETC</v>
      </c>
      <c r="L39" s="6" t="s">
        <v>303</v>
      </c>
      <c r="M39" s="6">
        <v>63</v>
      </c>
      <c r="N39" s="6" t="s">
        <v>2073</v>
      </c>
      <c r="O39" s="2" t="s">
        <v>3671</v>
      </c>
      <c r="P39" s="6" t="s">
        <v>2072</v>
      </c>
      <c r="Q39" s="6" t="s">
        <v>2074</v>
      </c>
      <c r="R39" s="16">
        <v>45544</v>
      </c>
      <c r="S39" s="6">
        <v>4</v>
      </c>
      <c r="T39" s="6" t="s">
        <v>1258</v>
      </c>
      <c r="U39" s="6" t="s">
        <v>39</v>
      </c>
      <c r="V39" s="17">
        <v>45574</v>
      </c>
      <c r="W39" s="16"/>
      <c r="Z39" t="e">
        <v>#N/A</v>
      </c>
    </row>
    <row r="40" spans="1:26" customFormat="1">
      <c r="A40">
        <f t="shared" ca="1" si="1"/>
        <v>0</v>
      </c>
      <c r="B40" s="49" t="s">
        <v>2484</v>
      </c>
      <c r="C40" s="12">
        <v>45790</v>
      </c>
      <c r="D40" s="4" t="s">
        <v>504</v>
      </c>
      <c r="E40" s="4" t="s">
        <v>3663</v>
      </c>
      <c r="F40" s="4">
        <v>5135</v>
      </c>
      <c r="G40" s="106" t="s">
        <v>174</v>
      </c>
      <c r="H40" s="106" t="s">
        <v>34</v>
      </c>
      <c r="I40" s="49" t="s">
        <v>2485</v>
      </c>
      <c r="J40" s="4"/>
      <c r="K40" s="4" t="e">
        <f>IF(E40="KTG","KTG",(VLOOKUP(J40,'list of outsource'!B:H,2,0)))</f>
        <v>#N/A</v>
      </c>
      <c r="L40" s="4"/>
      <c r="M40" s="4"/>
      <c r="N40" s="4" t="s">
        <v>2486</v>
      </c>
      <c r="O40" s="2" t="s">
        <v>3671</v>
      </c>
      <c r="P40" s="4" t="s">
        <v>2487</v>
      </c>
      <c r="Q40" s="4"/>
      <c r="R40" s="12"/>
      <c r="S40" s="4">
        <v>4</v>
      </c>
      <c r="T40" s="4" t="s">
        <v>307</v>
      </c>
      <c r="U40" s="4" t="s">
        <v>39</v>
      </c>
      <c r="V40" s="10">
        <v>45790</v>
      </c>
      <c r="W40" s="12">
        <v>45217</v>
      </c>
      <c r="X40" t="s">
        <v>2171</v>
      </c>
      <c r="Z40" t="e">
        <v>#N/A</v>
      </c>
    </row>
    <row r="41" spans="1:26" customFormat="1">
      <c r="A41">
        <f t="shared" ca="1" si="1"/>
        <v>22</v>
      </c>
      <c r="B41" s="104" t="s">
        <v>2878</v>
      </c>
      <c r="C41" s="16">
        <v>45852</v>
      </c>
      <c r="D41" s="6" t="s">
        <v>1946</v>
      </c>
      <c r="E41" s="6" t="s">
        <v>3663</v>
      </c>
      <c r="F41" s="6">
        <v>5136</v>
      </c>
      <c r="G41" s="106" t="s">
        <v>174</v>
      </c>
      <c r="H41" s="106" t="s">
        <v>34</v>
      </c>
      <c r="I41" s="49" t="s">
        <v>2879</v>
      </c>
      <c r="J41" s="6"/>
      <c r="K41" s="6" t="e">
        <f>IF(E41="KTG","KTG",(VLOOKUP(J41,'list of outsource'!B:H,2,0)))</f>
        <v>#N/A</v>
      </c>
      <c r="L41" s="6"/>
      <c r="M41" s="6"/>
      <c r="N41" s="6" t="s">
        <v>2880</v>
      </c>
      <c r="O41" s="2" t="s">
        <v>3671</v>
      </c>
      <c r="P41" s="6" t="s">
        <v>2881</v>
      </c>
      <c r="Q41" s="6"/>
      <c r="R41" s="16"/>
      <c r="S41" s="6">
        <v>4</v>
      </c>
      <c r="T41" s="6" t="s">
        <v>307</v>
      </c>
      <c r="U41" s="6" t="s">
        <v>550</v>
      </c>
      <c r="V41" s="17">
        <v>45874</v>
      </c>
      <c r="W41" s="16"/>
      <c r="X41" t="s">
        <v>2171</v>
      </c>
      <c r="Z41" t="e">
        <v>#N/A</v>
      </c>
    </row>
    <row r="42" spans="1:26" customFormat="1">
      <c r="A42">
        <f t="shared" ca="1" si="1"/>
        <v>41</v>
      </c>
      <c r="B42" s="49" t="s">
        <v>3474</v>
      </c>
      <c r="C42" s="12">
        <v>45097</v>
      </c>
      <c r="D42" s="4" t="s">
        <v>504</v>
      </c>
      <c r="E42" s="4" t="s">
        <v>3662</v>
      </c>
      <c r="F42" s="4">
        <v>5137</v>
      </c>
      <c r="G42" s="106" t="s">
        <v>301</v>
      </c>
      <c r="H42" s="106" t="s">
        <v>34</v>
      </c>
      <c r="I42" s="49">
        <v>35758280</v>
      </c>
      <c r="J42" s="4" t="s">
        <v>222</v>
      </c>
      <c r="K42" s="4" t="str">
        <f>IF(E42="KTG","KTG",(VLOOKUP(J42,'list of outsource'!B:H,2,0)))</f>
        <v>ETC</v>
      </c>
      <c r="L42" s="4" t="s">
        <v>223</v>
      </c>
      <c r="M42" s="4">
        <v>4</v>
      </c>
      <c r="N42" s="4" t="s">
        <v>918</v>
      </c>
      <c r="O42" s="2" t="s">
        <v>3672</v>
      </c>
      <c r="P42" s="4" t="s">
        <v>919</v>
      </c>
      <c r="Q42" s="4">
        <v>1242955812</v>
      </c>
      <c r="R42" s="12" t="s">
        <v>549</v>
      </c>
      <c r="S42" s="4">
        <v>2</v>
      </c>
      <c r="T42" s="4"/>
      <c r="U42" s="4" t="s">
        <v>39</v>
      </c>
      <c r="V42" s="10">
        <v>45138</v>
      </c>
      <c r="W42" s="12">
        <v>45268</v>
      </c>
    </row>
    <row r="43" spans="1:26" customFormat="1">
      <c r="A43">
        <f t="shared" ca="1" si="1"/>
        <v>8</v>
      </c>
      <c r="B43" s="49" t="s">
        <v>3474</v>
      </c>
      <c r="C43" s="12">
        <v>45600</v>
      </c>
      <c r="D43" s="4" t="s">
        <v>1070</v>
      </c>
      <c r="E43" s="4" t="s">
        <v>3662</v>
      </c>
      <c r="F43" s="4">
        <v>5137</v>
      </c>
      <c r="G43" s="106" t="s">
        <v>301</v>
      </c>
      <c r="H43" s="106" t="s">
        <v>34</v>
      </c>
      <c r="I43" s="49">
        <v>35758280</v>
      </c>
      <c r="J43" s="4" t="s">
        <v>222</v>
      </c>
      <c r="K43" s="4" t="str">
        <f>IF(E43="KTG","KTG",(VLOOKUP(J43,'list of outsource'!B:H,2,0)))</f>
        <v>ETC</v>
      </c>
      <c r="L43" s="4" t="s">
        <v>223</v>
      </c>
      <c r="M43" s="4">
        <v>10</v>
      </c>
      <c r="N43" s="4" t="s">
        <v>918</v>
      </c>
      <c r="O43" s="2" t="s">
        <v>3672</v>
      </c>
      <c r="P43" s="4" t="s">
        <v>919</v>
      </c>
      <c r="Q43" s="4" t="s">
        <v>1081</v>
      </c>
      <c r="R43" s="12" t="s">
        <v>549</v>
      </c>
      <c r="S43" s="4">
        <v>2</v>
      </c>
      <c r="T43" s="4" t="s">
        <v>307</v>
      </c>
      <c r="U43" s="4" t="s">
        <v>183</v>
      </c>
      <c r="V43" s="10">
        <v>45608</v>
      </c>
      <c r="W43" s="12">
        <v>45615</v>
      </c>
      <c r="Z43" t="e">
        <v>#N/A</v>
      </c>
    </row>
    <row r="44" spans="1:26" customFormat="1">
      <c r="A44">
        <f t="shared" ca="1" si="1"/>
        <v>36</v>
      </c>
      <c r="B44" s="49" t="s">
        <v>3476</v>
      </c>
      <c r="C44" s="12">
        <v>45295</v>
      </c>
      <c r="D44" s="4" t="s">
        <v>1070</v>
      </c>
      <c r="E44" s="4" t="s">
        <v>3662</v>
      </c>
      <c r="F44" s="4">
        <v>5138</v>
      </c>
      <c r="G44" s="106" t="s">
        <v>301</v>
      </c>
      <c r="H44" s="106" t="s">
        <v>34</v>
      </c>
      <c r="I44" s="49">
        <v>35738191</v>
      </c>
      <c r="J44" s="4" t="s">
        <v>222</v>
      </c>
      <c r="K44" s="4" t="str">
        <f>IF(E44="KTG","KTG",(VLOOKUP(J44,'list of outsource'!B:H,2,0)))</f>
        <v>ETC</v>
      </c>
      <c r="L44" s="4" t="s">
        <v>223</v>
      </c>
      <c r="M44" s="4" t="s">
        <v>1311</v>
      </c>
      <c r="N44" s="4" t="s">
        <v>310</v>
      </c>
      <c r="O44" s="2" t="s">
        <v>3672</v>
      </c>
      <c r="P44" s="4" t="s">
        <v>1312</v>
      </c>
      <c r="Q44" s="4">
        <v>1250962102</v>
      </c>
      <c r="R44" s="12" t="s">
        <v>549</v>
      </c>
      <c r="S44" s="4">
        <v>4</v>
      </c>
      <c r="T44" s="4" t="s">
        <v>607</v>
      </c>
      <c r="U44" s="4" t="s">
        <v>39</v>
      </c>
      <c r="V44" s="10">
        <v>45331</v>
      </c>
      <c r="W44" s="12">
        <v>45440</v>
      </c>
      <c r="Z44" t="e">
        <v>#N/A</v>
      </c>
    </row>
    <row r="45" spans="1:26" customFormat="1" hidden="1">
      <c r="A45">
        <f t="shared" ca="1" si="1"/>
        <v>42529</v>
      </c>
      <c r="B45" s="49" t="s">
        <v>128</v>
      </c>
      <c r="C45" s="12">
        <v>2021</v>
      </c>
      <c r="D45" s="4" t="s">
        <v>129</v>
      </c>
      <c r="E45" s="4" t="s">
        <v>3663</v>
      </c>
      <c r="F45" s="4">
        <v>105</v>
      </c>
      <c r="G45" s="4" t="s">
        <v>33</v>
      </c>
      <c r="H45" s="4" t="s">
        <v>34</v>
      </c>
      <c r="I45" s="4">
        <v>95850332</v>
      </c>
      <c r="J45" s="4" t="s">
        <v>35</v>
      </c>
      <c r="K45" s="4" t="e">
        <f>IF(E45="KTG","KTG",(VLOOKUP(J45,'list of outsource'!B:H,2,0)))</f>
        <v>#N/A</v>
      </c>
      <c r="L45" s="4" t="s">
        <v>36</v>
      </c>
      <c r="M45" s="4"/>
      <c r="N45" s="4" t="s">
        <v>47</v>
      </c>
      <c r="O45" s="2"/>
      <c r="P45" s="4" t="s">
        <v>48</v>
      </c>
      <c r="Q45" s="4"/>
      <c r="R45" s="12"/>
      <c r="S45" s="4">
        <v>1</v>
      </c>
      <c r="T45" s="4"/>
      <c r="U45" s="4" t="s">
        <v>130</v>
      </c>
      <c r="V45" s="10">
        <v>44550</v>
      </c>
      <c r="W45" s="12"/>
    </row>
    <row r="46" spans="1:26" customFormat="1" hidden="1">
      <c r="A46">
        <f t="shared" ca="1" si="1"/>
        <v>42528</v>
      </c>
      <c r="B46" s="49" t="s">
        <v>128</v>
      </c>
      <c r="C46" s="12">
        <v>2022</v>
      </c>
      <c r="D46" s="4" t="s">
        <v>129</v>
      </c>
      <c r="E46" s="4" t="s">
        <v>3663</v>
      </c>
      <c r="F46" s="4">
        <v>105</v>
      </c>
      <c r="G46" s="4" t="s">
        <v>33</v>
      </c>
      <c r="H46" s="4" t="s">
        <v>34</v>
      </c>
      <c r="I46" s="4">
        <v>95850332</v>
      </c>
      <c r="J46" s="4" t="s">
        <v>35</v>
      </c>
      <c r="K46" s="4" t="e">
        <f>IF(E46="KTG","KTG",(VLOOKUP(J46,'list of outsource'!B:H,2,0)))</f>
        <v>#N/A</v>
      </c>
      <c r="L46" s="4" t="s">
        <v>36</v>
      </c>
      <c r="M46" s="4"/>
      <c r="N46" s="4"/>
      <c r="O46" s="2"/>
      <c r="P46" s="4" t="s">
        <v>48</v>
      </c>
      <c r="Q46" s="4"/>
      <c r="R46" s="12"/>
      <c r="S46" s="4">
        <v>1</v>
      </c>
      <c r="T46" s="4"/>
      <c r="U46" s="4" t="s">
        <v>130</v>
      </c>
      <c r="V46" s="10">
        <v>44550</v>
      </c>
      <c r="W46" s="12"/>
    </row>
    <row r="47" spans="1:26" customFormat="1" hidden="1">
      <c r="A47">
        <f t="shared" ca="1" si="1"/>
        <v>42529</v>
      </c>
      <c r="B47" s="49" t="s">
        <v>131</v>
      </c>
      <c r="C47" s="12">
        <v>2021</v>
      </c>
      <c r="D47" s="4" t="s">
        <v>129</v>
      </c>
      <c r="E47" s="4" t="s">
        <v>3663</v>
      </c>
      <c r="F47" s="4">
        <v>103</v>
      </c>
      <c r="G47" s="4" t="s">
        <v>33</v>
      </c>
      <c r="H47" s="4" t="s">
        <v>34</v>
      </c>
      <c r="I47" s="4">
        <v>95850007</v>
      </c>
      <c r="J47" s="4" t="s">
        <v>35</v>
      </c>
      <c r="K47" s="4" t="e">
        <f>IF(E47="KTG","KTG",(VLOOKUP(J47,'list of outsource'!B:H,2,0)))</f>
        <v>#N/A</v>
      </c>
      <c r="L47" s="4" t="s">
        <v>36</v>
      </c>
      <c r="M47" s="4"/>
      <c r="N47" s="4" t="s">
        <v>50</v>
      </c>
      <c r="O47" s="2"/>
      <c r="P47" s="4" t="s">
        <v>51</v>
      </c>
      <c r="Q47" s="4"/>
      <c r="R47" s="12"/>
      <c r="S47" s="4">
        <v>1</v>
      </c>
      <c r="T47" s="4"/>
      <c r="U47" s="4" t="s">
        <v>130</v>
      </c>
      <c r="V47" s="10">
        <v>44550</v>
      </c>
      <c r="W47" s="12"/>
    </row>
    <row r="48" spans="1:26" customFormat="1" hidden="1">
      <c r="A48">
        <f t="shared" ca="1" si="1"/>
        <v>42528</v>
      </c>
      <c r="B48" s="49" t="s">
        <v>131</v>
      </c>
      <c r="C48" s="12">
        <v>2022</v>
      </c>
      <c r="D48" s="4" t="s">
        <v>129</v>
      </c>
      <c r="E48" s="4" t="s">
        <v>3663</v>
      </c>
      <c r="F48" s="4">
        <v>103</v>
      </c>
      <c r="G48" s="4" t="s">
        <v>33</v>
      </c>
      <c r="H48" s="4" t="s">
        <v>34</v>
      </c>
      <c r="I48" s="4">
        <v>95850007</v>
      </c>
      <c r="J48" s="4" t="s">
        <v>35</v>
      </c>
      <c r="K48" s="4" t="e">
        <f>IF(E48="KTG","KTG",(VLOOKUP(J48,'list of outsource'!B:H,2,0)))</f>
        <v>#N/A</v>
      </c>
      <c r="L48" s="4" t="s">
        <v>36</v>
      </c>
      <c r="M48" s="4"/>
      <c r="N48" s="4"/>
      <c r="O48" s="2"/>
      <c r="P48" s="4" t="s">
        <v>51</v>
      </c>
      <c r="Q48" s="4"/>
      <c r="R48" s="12"/>
      <c r="S48" s="4">
        <v>1</v>
      </c>
      <c r="T48" s="4"/>
      <c r="U48" s="4" t="s">
        <v>130</v>
      </c>
      <c r="V48" s="10">
        <v>44550</v>
      </c>
      <c r="W48" s="12"/>
    </row>
    <row r="49" spans="1:26" customFormat="1" hidden="1">
      <c r="A49">
        <f t="shared" ca="1" si="1"/>
        <v>21</v>
      </c>
      <c r="B49" s="8" t="s">
        <v>3335</v>
      </c>
      <c r="C49" s="16">
        <v>45951</v>
      </c>
      <c r="D49" s="6" t="s">
        <v>129</v>
      </c>
      <c r="E49" s="6" t="s">
        <v>3665</v>
      </c>
      <c r="F49" s="6">
        <v>4046</v>
      </c>
      <c r="G49" s="6" t="s">
        <v>133</v>
      </c>
      <c r="H49" s="6" t="s">
        <v>34</v>
      </c>
      <c r="I49" s="6" t="s">
        <v>142</v>
      </c>
      <c r="J49" s="6" t="s">
        <v>108</v>
      </c>
      <c r="K49" s="6" t="str">
        <f>IF(E49="KTG","KTG",(VLOOKUP(J49,'list of outsource'!B:H,2,0)))</f>
        <v>UPM</v>
      </c>
      <c r="L49" s="6" t="s">
        <v>109</v>
      </c>
      <c r="M49" s="6">
        <v>47</v>
      </c>
      <c r="N49" s="6" t="s">
        <v>143</v>
      </c>
      <c r="O49" s="2"/>
      <c r="P49" s="6" t="s">
        <v>794</v>
      </c>
      <c r="Q49" s="6" t="s">
        <v>2176</v>
      </c>
      <c r="R49" s="16">
        <v>45968</v>
      </c>
      <c r="S49" s="6">
        <v>4</v>
      </c>
      <c r="T49" s="6" t="s">
        <v>307</v>
      </c>
      <c r="U49" s="6" t="s">
        <v>550</v>
      </c>
      <c r="V49" s="17">
        <v>45972</v>
      </c>
      <c r="W49" s="16"/>
    </row>
    <row r="50" spans="1:26" customFormat="1" hidden="1">
      <c r="A50">
        <f t="shared" ca="1" si="1"/>
        <v>5983</v>
      </c>
      <c r="B50" s="4" t="s">
        <v>132</v>
      </c>
      <c r="C50" s="12">
        <v>38546</v>
      </c>
      <c r="D50" s="4" t="s">
        <v>129</v>
      </c>
      <c r="E50" s="4" t="s">
        <v>3665</v>
      </c>
      <c r="F50" s="4">
        <v>4045</v>
      </c>
      <c r="G50" s="4" t="s">
        <v>133</v>
      </c>
      <c r="H50" s="4" t="s">
        <v>34</v>
      </c>
      <c r="I50" s="4" t="s">
        <v>134</v>
      </c>
      <c r="J50" s="4" t="s">
        <v>108</v>
      </c>
      <c r="K50" s="4" t="str">
        <f>IF(E50="KTG","KTG",(VLOOKUP(J50,'list of outsource'!B:H,2,0)))</f>
        <v>UPM</v>
      </c>
      <c r="L50" s="4" t="s">
        <v>109</v>
      </c>
      <c r="M50" s="4"/>
      <c r="N50" s="4" t="s">
        <v>135</v>
      </c>
      <c r="O50" s="2"/>
      <c r="P50" s="4" t="s">
        <v>136</v>
      </c>
      <c r="Q50" s="4"/>
      <c r="R50" s="12"/>
      <c r="S50" s="4">
        <v>2</v>
      </c>
      <c r="T50" s="4"/>
      <c r="U50" s="4" t="s">
        <v>39</v>
      </c>
      <c r="V50" s="10">
        <v>44529</v>
      </c>
      <c r="W50" s="12"/>
    </row>
    <row r="51" spans="1:26" customFormat="1" hidden="1">
      <c r="A51">
        <f t="shared" ca="1" si="1"/>
        <v>5983</v>
      </c>
      <c r="B51" s="4" t="s">
        <v>132</v>
      </c>
      <c r="C51" s="12">
        <v>38546</v>
      </c>
      <c r="D51" s="4" t="s">
        <v>129</v>
      </c>
      <c r="E51" s="4" t="s">
        <v>3665</v>
      </c>
      <c r="F51" s="4">
        <v>4045</v>
      </c>
      <c r="G51" s="4" t="s">
        <v>133</v>
      </c>
      <c r="H51" s="4" t="s">
        <v>34</v>
      </c>
      <c r="I51" s="4" t="s">
        <v>134</v>
      </c>
      <c r="J51" s="4" t="s">
        <v>108</v>
      </c>
      <c r="K51" s="4" t="str">
        <f>IF(E51="KTG","KTG",(VLOOKUP(J51,'list of outsource'!B:H,2,0)))</f>
        <v>UPM</v>
      </c>
      <c r="L51" s="4" t="s">
        <v>109</v>
      </c>
      <c r="M51" s="4"/>
      <c r="N51" s="4" t="s">
        <v>135</v>
      </c>
      <c r="O51" s="2"/>
      <c r="P51" s="4" t="s">
        <v>136</v>
      </c>
      <c r="Q51" s="4"/>
      <c r="R51" s="12"/>
      <c r="S51" s="4">
        <v>2</v>
      </c>
      <c r="T51" s="4"/>
      <c r="U51" s="4" t="s">
        <v>39</v>
      </c>
      <c r="V51" s="10">
        <v>44529</v>
      </c>
      <c r="W51" s="12"/>
    </row>
    <row r="52" spans="1:26" customFormat="1" hidden="1">
      <c r="A52">
        <f t="shared" ca="1" si="1"/>
        <v>61</v>
      </c>
      <c r="B52" s="8" t="s">
        <v>132</v>
      </c>
      <c r="C52" s="16">
        <v>45190</v>
      </c>
      <c r="D52" s="6" t="s">
        <v>129</v>
      </c>
      <c r="E52" s="6" t="s">
        <v>3665</v>
      </c>
      <c r="F52" s="6">
        <v>4045</v>
      </c>
      <c r="G52" s="6" t="s">
        <v>133</v>
      </c>
      <c r="H52" s="6" t="s">
        <v>34</v>
      </c>
      <c r="I52" s="6" t="s">
        <v>134</v>
      </c>
      <c r="J52" s="6" t="s">
        <v>108</v>
      </c>
      <c r="K52" s="6" t="str">
        <f>IF(E52="KTG","KTG",(VLOOKUP(J52,'list of outsource'!B:H,2,0)))</f>
        <v>UPM</v>
      </c>
      <c r="L52" s="6" t="s">
        <v>109</v>
      </c>
      <c r="M52" s="6">
        <v>34</v>
      </c>
      <c r="N52" s="6" t="s">
        <v>135</v>
      </c>
      <c r="O52" s="2"/>
      <c r="P52" s="6" t="s">
        <v>1231</v>
      </c>
      <c r="Q52" s="6" t="s">
        <v>1232</v>
      </c>
      <c r="R52" s="16"/>
      <c r="S52" s="6">
        <v>4</v>
      </c>
      <c r="T52" s="6"/>
      <c r="U52" s="6" t="s">
        <v>183</v>
      </c>
      <c r="V52" s="17">
        <v>45251</v>
      </c>
      <c r="W52" s="16"/>
      <c r="Z52" t="e">
        <v>#N/A</v>
      </c>
    </row>
    <row r="53" spans="1:26" customFormat="1" hidden="1">
      <c r="A53">
        <f t="shared" ca="1" si="1"/>
        <v>27</v>
      </c>
      <c r="B53" s="8" t="s">
        <v>132</v>
      </c>
      <c r="C53" s="16">
        <v>45541</v>
      </c>
      <c r="D53" s="6" t="s">
        <v>129</v>
      </c>
      <c r="E53" s="6" t="s">
        <v>3665</v>
      </c>
      <c r="F53" s="6">
        <v>4045</v>
      </c>
      <c r="G53" s="6" t="s">
        <v>133</v>
      </c>
      <c r="H53" s="6" t="s">
        <v>34</v>
      </c>
      <c r="I53" s="6" t="s">
        <v>134</v>
      </c>
      <c r="J53" s="6" t="s">
        <v>108</v>
      </c>
      <c r="K53" s="6" t="str">
        <f>IF(E53="KTG","KTG",(VLOOKUP(J53,'list of outsource'!B:H,2,0)))</f>
        <v>UPM</v>
      </c>
      <c r="L53" s="6" t="s">
        <v>109</v>
      </c>
      <c r="M53" s="6">
        <v>45</v>
      </c>
      <c r="N53" s="6" t="s">
        <v>135</v>
      </c>
      <c r="O53" s="2"/>
      <c r="P53" s="6" t="s">
        <v>1231</v>
      </c>
      <c r="Q53" s="6" t="s">
        <v>1232</v>
      </c>
      <c r="R53" s="16">
        <v>45544</v>
      </c>
      <c r="S53" s="6">
        <v>2</v>
      </c>
      <c r="T53" s="6" t="s">
        <v>307</v>
      </c>
      <c r="U53" s="6" t="s">
        <v>183</v>
      </c>
      <c r="V53" s="17">
        <v>45568</v>
      </c>
      <c r="W53" s="16"/>
      <c r="Z53" t="e">
        <v>#N/A</v>
      </c>
    </row>
    <row r="54" spans="1:26" customFormat="1" hidden="1">
      <c r="A54">
        <f t="shared" ca="1" si="1"/>
        <v>20</v>
      </c>
      <c r="B54" s="8" t="s">
        <v>132</v>
      </c>
      <c r="C54" s="16">
        <v>45910</v>
      </c>
      <c r="D54" s="6" t="s">
        <v>129</v>
      </c>
      <c r="E54" s="6" t="s">
        <v>3665</v>
      </c>
      <c r="F54" s="6">
        <v>4045</v>
      </c>
      <c r="G54" s="6" t="s">
        <v>133</v>
      </c>
      <c r="H54" s="6" t="s">
        <v>34</v>
      </c>
      <c r="I54" s="6" t="s">
        <v>134</v>
      </c>
      <c r="J54" s="6" t="s">
        <v>108</v>
      </c>
      <c r="K54" s="6" t="str">
        <f>IF(E54="KTG","KTG",(VLOOKUP(J54,'list of outsource'!B:H,2,0)))</f>
        <v>UPM</v>
      </c>
      <c r="L54" s="6" t="s">
        <v>109</v>
      </c>
      <c r="M54" s="6">
        <v>46</v>
      </c>
      <c r="N54" s="6" t="s">
        <v>135</v>
      </c>
      <c r="O54" s="2"/>
      <c r="P54" s="6" t="s">
        <v>1231</v>
      </c>
      <c r="Q54" s="6" t="s">
        <v>1232</v>
      </c>
      <c r="R54" s="16">
        <v>45912</v>
      </c>
      <c r="S54" s="6">
        <v>2</v>
      </c>
      <c r="T54" s="6" t="s">
        <v>307</v>
      </c>
      <c r="U54" s="6" t="s">
        <v>183</v>
      </c>
      <c r="V54" s="17">
        <v>45930</v>
      </c>
      <c r="W54" s="16"/>
    </row>
    <row r="55" spans="1:26" customFormat="1" hidden="1">
      <c r="A55">
        <f t="shared" ca="1" si="1"/>
        <v>5983</v>
      </c>
      <c r="B55" s="49" t="s">
        <v>137</v>
      </c>
      <c r="C55" s="12">
        <v>38546</v>
      </c>
      <c r="D55" s="4" t="s">
        <v>129</v>
      </c>
      <c r="E55" s="4" t="s">
        <v>3665</v>
      </c>
      <c r="F55" s="4"/>
      <c r="G55" s="4" t="s">
        <v>133</v>
      </c>
      <c r="H55" s="4" t="s">
        <v>34</v>
      </c>
      <c r="I55" s="4" t="s">
        <v>138</v>
      </c>
      <c r="J55" s="4" t="s">
        <v>108</v>
      </c>
      <c r="K55" s="4" t="str">
        <f>IF(E55="KTG","KTG",(VLOOKUP(J55,'list of outsource'!B:H,2,0)))</f>
        <v>UPM</v>
      </c>
      <c r="L55" s="4" t="s">
        <v>109</v>
      </c>
      <c r="M55" s="4"/>
      <c r="N55" s="49" t="s">
        <v>139</v>
      </c>
      <c r="O55" s="2"/>
      <c r="P55" s="4" t="s">
        <v>140</v>
      </c>
      <c r="Q55" s="4"/>
      <c r="R55" s="12"/>
      <c r="S55" s="4">
        <v>2</v>
      </c>
      <c r="T55" s="4"/>
      <c r="U55" s="4" t="s">
        <v>39</v>
      </c>
      <c r="V55" s="10">
        <v>44529</v>
      </c>
      <c r="W55" s="12"/>
    </row>
    <row r="56" spans="1:26" customFormat="1" hidden="1">
      <c r="A56">
        <f t="shared" ca="1" si="1"/>
        <v>5983</v>
      </c>
      <c r="B56" s="49" t="s">
        <v>137</v>
      </c>
      <c r="C56" s="12">
        <v>38546</v>
      </c>
      <c r="D56" s="4" t="s">
        <v>129</v>
      </c>
      <c r="E56" s="4" t="s">
        <v>3665</v>
      </c>
      <c r="F56" s="4"/>
      <c r="G56" s="4" t="s">
        <v>133</v>
      </c>
      <c r="H56" s="4" t="s">
        <v>34</v>
      </c>
      <c r="I56" s="4" t="s">
        <v>138</v>
      </c>
      <c r="J56" s="4" t="s">
        <v>108</v>
      </c>
      <c r="K56" s="4" t="str">
        <f>IF(E56="KTG","KTG",(VLOOKUP(J56,'list of outsource'!B:H,2,0)))</f>
        <v>UPM</v>
      </c>
      <c r="L56" s="4" t="s">
        <v>109</v>
      </c>
      <c r="M56" s="4"/>
      <c r="N56" s="49" t="s">
        <v>139</v>
      </c>
      <c r="O56" s="2"/>
      <c r="P56" s="4" t="s">
        <v>140</v>
      </c>
      <c r="Q56" s="4"/>
      <c r="R56" s="12"/>
      <c r="S56" s="4">
        <v>2</v>
      </c>
      <c r="T56" s="4"/>
      <c r="U56" s="4" t="s">
        <v>39</v>
      </c>
      <c r="V56" s="10">
        <v>44529</v>
      </c>
      <c r="W56" s="12"/>
    </row>
    <row r="57" spans="1:26" customFormat="1" hidden="1">
      <c r="A57">
        <f t="shared" ca="1" si="1"/>
        <v>5983</v>
      </c>
      <c r="B57" s="4" t="s">
        <v>141</v>
      </c>
      <c r="C57" s="12">
        <v>38546</v>
      </c>
      <c r="D57" s="4" t="s">
        <v>129</v>
      </c>
      <c r="E57" s="4" t="s">
        <v>3665</v>
      </c>
      <c r="F57" s="4">
        <v>4046</v>
      </c>
      <c r="G57" s="4" t="s">
        <v>133</v>
      </c>
      <c r="H57" s="4" t="s">
        <v>34</v>
      </c>
      <c r="I57" s="4" t="s">
        <v>142</v>
      </c>
      <c r="J57" s="4" t="s">
        <v>108</v>
      </c>
      <c r="K57" s="4" t="str">
        <f>IF(E57="KTG","KTG",(VLOOKUP(J57,'list of outsource'!B:H,2,0)))</f>
        <v>UPM</v>
      </c>
      <c r="L57" s="4" t="s">
        <v>109</v>
      </c>
      <c r="M57" s="4"/>
      <c r="N57" s="4" t="s">
        <v>143</v>
      </c>
      <c r="O57" s="2"/>
      <c r="P57" s="4" t="s">
        <v>144</v>
      </c>
      <c r="Q57" s="4"/>
      <c r="R57" s="12"/>
      <c r="S57" s="4">
        <v>2</v>
      </c>
      <c r="T57" s="4"/>
      <c r="U57" s="4" t="s">
        <v>39</v>
      </c>
      <c r="V57" s="10">
        <v>44529</v>
      </c>
      <c r="W57" s="12"/>
    </row>
    <row r="58" spans="1:26" customFormat="1" hidden="1">
      <c r="A58">
        <f t="shared" ca="1" si="1"/>
        <v>5983</v>
      </c>
      <c r="B58" s="4" t="s">
        <v>141</v>
      </c>
      <c r="C58" s="12">
        <v>38546</v>
      </c>
      <c r="D58" s="4" t="s">
        <v>129</v>
      </c>
      <c r="E58" s="4" t="s">
        <v>3665</v>
      </c>
      <c r="F58" s="4">
        <v>4046</v>
      </c>
      <c r="G58" s="4" t="s">
        <v>133</v>
      </c>
      <c r="H58" s="4" t="s">
        <v>34</v>
      </c>
      <c r="I58" s="4" t="s">
        <v>142</v>
      </c>
      <c r="J58" s="4" t="s">
        <v>108</v>
      </c>
      <c r="K58" s="4" t="str">
        <f>IF(E58="KTG","KTG",(VLOOKUP(J58,'list of outsource'!B:H,2,0)))</f>
        <v>UPM</v>
      </c>
      <c r="L58" s="4" t="s">
        <v>109</v>
      </c>
      <c r="M58" s="4"/>
      <c r="N58" s="4" t="s">
        <v>143</v>
      </c>
      <c r="O58" s="2"/>
      <c r="P58" s="4" t="s">
        <v>144</v>
      </c>
      <c r="Q58" s="4"/>
      <c r="R58" s="12"/>
      <c r="S58" s="4">
        <v>2</v>
      </c>
      <c r="T58" s="4"/>
      <c r="U58" s="4" t="s">
        <v>39</v>
      </c>
      <c r="V58" s="10">
        <v>44529</v>
      </c>
      <c r="W58" s="12"/>
    </row>
    <row r="59" spans="1:26" customFormat="1" hidden="1">
      <c r="A59">
        <f t="shared" ca="1" si="1"/>
        <v>34</v>
      </c>
      <c r="B59" s="8" t="s">
        <v>141</v>
      </c>
      <c r="C59" s="16">
        <v>45035</v>
      </c>
      <c r="D59" s="6" t="s">
        <v>129</v>
      </c>
      <c r="E59" s="6" t="s">
        <v>3665</v>
      </c>
      <c r="F59" s="6">
        <v>4046</v>
      </c>
      <c r="G59" s="6" t="s">
        <v>133</v>
      </c>
      <c r="H59" s="6" t="s">
        <v>34</v>
      </c>
      <c r="I59" s="6" t="s">
        <v>142</v>
      </c>
      <c r="J59" s="6" t="s">
        <v>108</v>
      </c>
      <c r="K59" s="6" t="str">
        <f>IF(E59="KTG","KTG",(VLOOKUP(J59,'list of outsource'!B:H,2,0)))</f>
        <v>UPM</v>
      </c>
      <c r="L59" s="6" t="s">
        <v>109</v>
      </c>
      <c r="M59" s="6"/>
      <c r="N59" s="6" t="s">
        <v>143</v>
      </c>
      <c r="O59" s="2"/>
      <c r="P59" s="6" t="s">
        <v>794</v>
      </c>
      <c r="Q59" s="6" t="s">
        <v>795</v>
      </c>
      <c r="R59" s="16"/>
      <c r="S59" s="6">
        <v>2</v>
      </c>
      <c r="T59" s="6"/>
      <c r="U59" s="6" t="s">
        <v>183</v>
      </c>
      <c r="V59" s="17">
        <v>45069</v>
      </c>
      <c r="W59" s="16"/>
    </row>
    <row r="60" spans="1:26" customFormat="1" hidden="1">
      <c r="A60">
        <f t="shared" ca="1" si="1"/>
        <v>32</v>
      </c>
      <c r="B60" s="8" t="s">
        <v>141</v>
      </c>
      <c r="C60" s="16">
        <v>45576</v>
      </c>
      <c r="D60" s="6" t="s">
        <v>129</v>
      </c>
      <c r="E60" s="6" t="s">
        <v>3665</v>
      </c>
      <c r="F60" s="6">
        <v>4046</v>
      </c>
      <c r="G60" s="6" t="s">
        <v>133</v>
      </c>
      <c r="H60" s="6" t="s">
        <v>34</v>
      </c>
      <c r="I60" s="6" t="s">
        <v>142</v>
      </c>
      <c r="J60" s="6" t="s">
        <v>108</v>
      </c>
      <c r="K60" s="6" t="str">
        <f>IF(E60="KTG","KTG",(VLOOKUP(J60,'list of outsource'!B:H,2,0)))</f>
        <v>UPM</v>
      </c>
      <c r="L60" s="6" t="s">
        <v>109</v>
      </c>
      <c r="M60" s="6">
        <v>45</v>
      </c>
      <c r="N60" s="6" t="s">
        <v>143</v>
      </c>
      <c r="O60" s="2"/>
      <c r="P60" s="6" t="s">
        <v>794</v>
      </c>
      <c r="Q60" s="6" t="s">
        <v>2176</v>
      </c>
      <c r="R60" s="16"/>
      <c r="S60" s="6">
        <v>4</v>
      </c>
      <c r="T60" s="6" t="s">
        <v>307</v>
      </c>
      <c r="U60" s="6" t="s">
        <v>183</v>
      </c>
      <c r="V60" s="17">
        <v>45608</v>
      </c>
      <c r="W60" s="16"/>
      <c r="Z60" t="e">
        <v>#N/A</v>
      </c>
    </row>
    <row r="61" spans="1:26" customFormat="1" hidden="1">
      <c r="A61">
        <f t="shared" ca="1" si="1"/>
        <v>57</v>
      </c>
      <c r="B61" s="8" t="s">
        <v>2934</v>
      </c>
      <c r="C61" s="16">
        <v>45873</v>
      </c>
      <c r="D61" s="6" t="s">
        <v>129</v>
      </c>
      <c r="E61" s="6" t="s">
        <v>3665</v>
      </c>
      <c r="F61" s="6">
        <v>4048</v>
      </c>
      <c r="G61" s="6" t="s">
        <v>133</v>
      </c>
      <c r="H61" s="6" t="s">
        <v>34</v>
      </c>
      <c r="I61" s="6" t="s">
        <v>2935</v>
      </c>
      <c r="J61" s="6" t="s">
        <v>96</v>
      </c>
      <c r="K61" s="6" t="str">
        <f>IF(E61="KTG","KTG",(VLOOKUP(J61,'list of outsource'!B:H,2,0)))</f>
        <v>Woer</v>
      </c>
      <c r="L61" s="6" t="s">
        <v>97</v>
      </c>
      <c r="M61" s="6">
        <v>56</v>
      </c>
      <c r="N61" s="6" t="s">
        <v>2936</v>
      </c>
      <c r="O61" s="2"/>
      <c r="P61" s="6" t="s">
        <v>2937</v>
      </c>
      <c r="Q61" s="6" t="s">
        <v>2938</v>
      </c>
      <c r="R61" s="16">
        <v>45912</v>
      </c>
      <c r="S61" s="6">
        <v>4</v>
      </c>
      <c r="T61" s="6" t="s">
        <v>1465</v>
      </c>
      <c r="U61" s="6" t="s">
        <v>39</v>
      </c>
      <c r="V61" s="17">
        <v>45930</v>
      </c>
      <c r="W61" s="16"/>
      <c r="X61" t="s">
        <v>2171</v>
      </c>
    </row>
    <row r="62" spans="1:26" customFormat="1" hidden="1">
      <c r="A62">
        <f t="shared" ca="1" si="1"/>
        <v>36</v>
      </c>
      <c r="B62" s="8" t="s">
        <v>2952</v>
      </c>
      <c r="C62" s="16">
        <v>45873</v>
      </c>
      <c r="D62" s="6" t="s">
        <v>129</v>
      </c>
      <c r="E62" s="61" t="s">
        <v>3662</v>
      </c>
      <c r="F62" s="61">
        <v>4047</v>
      </c>
      <c r="G62" s="6" t="s">
        <v>133</v>
      </c>
      <c r="H62" s="6" t="s">
        <v>34</v>
      </c>
      <c r="I62" s="6" t="s">
        <v>2953</v>
      </c>
      <c r="J62" s="6" t="s">
        <v>928</v>
      </c>
      <c r="K62" s="6" t="str">
        <f>IF(E62="KTG","KTG",(VLOOKUP(J62,'list of outsource'!B:H,2,0)))</f>
        <v>ETC</v>
      </c>
      <c r="L62" s="6" t="s">
        <v>929</v>
      </c>
      <c r="M62" s="6">
        <v>18</v>
      </c>
      <c r="N62" s="6" t="s">
        <v>2954</v>
      </c>
      <c r="O62" s="2"/>
      <c r="P62" s="6" t="s">
        <v>2955</v>
      </c>
      <c r="Q62" s="6" t="s">
        <v>2956</v>
      </c>
      <c r="R62" s="16"/>
      <c r="S62" s="6" t="s">
        <v>2939</v>
      </c>
      <c r="T62" s="6" t="s">
        <v>1465</v>
      </c>
      <c r="U62" s="6" t="s">
        <v>39</v>
      </c>
      <c r="V62" s="17">
        <v>45909</v>
      </c>
      <c r="W62" s="16"/>
      <c r="X62" t="s">
        <v>2171</v>
      </c>
      <c r="Y62" t="s">
        <v>2957</v>
      </c>
    </row>
    <row r="63" spans="1:26" customFormat="1" hidden="1">
      <c r="A63">
        <f t="shared" ca="1" si="1"/>
        <v>42684</v>
      </c>
      <c r="B63" s="4" t="s">
        <v>173</v>
      </c>
      <c r="C63" s="12">
        <v>2022</v>
      </c>
      <c r="D63" s="4" t="s">
        <v>156</v>
      </c>
      <c r="E63" s="4" t="s">
        <v>3664</v>
      </c>
      <c r="F63" s="4">
        <v>71</v>
      </c>
      <c r="G63" s="4" t="s">
        <v>174</v>
      </c>
      <c r="H63" s="4" t="s">
        <v>34</v>
      </c>
      <c r="I63" s="4" t="s">
        <v>175</v>
      </c>
      <c r="J63" s="4" t="s">
        <v>176</v>
      </c>
      <c r="K63" s="4" t="e">
        <f>IF(E63="KTG","KTG",(VLOOKUP(J63,'list of outsource'!B:H,2,0)))</f>
        <v>#N/A</v>
      </c>
      <c r="L63" s="4" t="s">
        <v>177</v>
      </c>
      <c r="M63" s="4"/>
      <c r="N63" s="4" t="s">
        <v>175</v>
      </c>
      <c r="O63" s="2"/>
      <c r="P63" s="4" t="s">
        <v>176</v>
      </c>
      <c r="Q63" s="4"/>
      <c r="R63" s="12"/>
      <c r="S63" s="4">
        <v>2</v>
      </c>
      <c r="T63" s="4"/>
      <c r="U63" s="4" t="s">
        <v>39</v>
      </c>
      <c r="V63" s="10">
        <v>44706</v>
      </c>
      <c r="W63" s="12">
        <v>44830</v>
      </c>
    </row>
    <row r="64" spans="1:26" customFormat="1">
      <c r="A64">
        <f t="shared" ca="1" si="1"/>
        <v>36</v>
      </c>
      <c r="B64" s="49" t="s">
        <v>3484</v>
      </c>
      <c r="C64" s="12">
        <v>45295</v>
      </c>
      <c r="D64" s="4" t="s">
        <v>1070</v>
      </c>
      <c r="E64" s="4" t="s">
        <v>3662</v>
      </c>
      <c r="F64" s="4">
        <v>5139</v>
      </c>
      <c r="G64" s="106" t="s">
        <v>301</v>
      </c>
      <c r="H64" s="106" t="s">
        <v>34</v>
      </c>
      <c r="I64" s="49">
        <v>35738187</v>
      </c>
      <c r="J64" s="4" t="s">
        <v>302</v>
      </c>
      <c r="K64" s="4" t="str">
        <f>IF(E64="KTG","KTG",(VLOOKUP(J64,'list of outsource'!B:H,2,0)))</f>
        <v>ETC</v>
      </c>
      <c r="L64" s="4" t="s">
        <v>303</v>
      </c>
      <c r="M64" s="4" t="s">
        <v>1311</v>
      </c>
      <c r="N64" s="4" t="s">
        <v>1488</v>
      </c>
      <c r="O64" s="2" t="s">
        <v>3672</v>
      </c>
      <c r="P64" s="4" t="s">
        <v>1489</v>
      </c>
      <c r="Q64" s="4">
        <v>1289729958</v>
      </c>
      <c r="R64" s="12" t="s">
        <v>549</v>
      </c>
      <c r="S64" s="4">
        <v>4</v>
      </c>
      <c r="T64" s="4" t="s">
        <v>607</v>
      </c>
      <c r="U64" s="4" t="s">
        <v>39</v>
      </c>
      <c r="V64" s="10">
        <v>45331</v>
      </c>
      <c r="W64" s="12">
        <v>45440</v>
      </c>
      <c r="Z64" t="e">
        <v>#N/A</v>
      </c>
    </row>
    <row r="65" spans="1:26" customFormat="1">
      <c r="A65">
        <f t="shared" ca="1" si="1"/>
        <v>28</v>
      </c>
      <c r="B65" s="49" t="s">
        <v>3485</v>
      </c>
      <c r="C65" s="12">
        <v>45912</v>
      </c>
      <c r="D65" s="4" t="s">
        <v>300</v>
      </c>
      <c r="E65" s="4" t="s">
        <v>3662</v>
      </c>
      <c r="F65" s="4">
        <v>5140</v>
      </c>
      <c r="G65" s="106" t="s">
        <v>301</v>
      </c>
      <c r="H65" s="106" t="s">
        <v>34</v>
      </c>
      <c r="I65" s="49">
        <v>35738193</v>
      </c>
      <c r="J65" s="4" t="s">
        <v>222</v>
      </c>
      <c r="K65" s="4" t="str">
        <f>IF(E65="KTG","KTG",(VLOOKUP(J65,'list of outsource'!B:H,2,0)))</f>
        <v>ETC</v>
      </c>
      <c r="L65" s="4" t="s">
        <v>223</v>
      </c>
      <c r="M65" s="4" t="s">
        <v>3099</v>
      </c>
      <c r="N65" s="4" t="s">
        <v>1491</v>
      </c>
      <c r="O65" s="2" t="s">
        <v>3672</v>
      </c>
      <c r="P65" s="4" t="s">
        <v>1492</v>
      </c>
      <c r="Q65" s="4" t="s">
        <v>3100</v>
      </c>
      <c r="R65" s="12">
        <v>45923</v>
      </c>
      <c r="S65" s="4">
        <v>4</v>
      </c>
      <c r="T65" s="4" t="s">
        <v>607</v>
      </c>
      <c r="U65" s="4" t="s">
        <v>39</v>
      </c>
      <c r="V65" s="10">
        <v>45940</v>
      </c>
      <c r="W65" s="12">
        <v>45946</v>
      </c>
    </row>
    <row r="66" spans="1:26" customFormat="1">
      <c r="A66">
        <f t="shared" ca="1" si="1"/>
        <v>46008</v>
      </c>
      <c r="B66" s="104" t="s">
        <v>3485</v>
      </c>
      <c r="C66" s="27"/>
      <c r="D66" s="28" t="s">
        <v>1490</v>
      </c>
      <c r="E66" s="28" t="s">
        <v>3662</v>
      </c>
      <c r="F66" s="28">
        <v>5140</v>
      </c>
      <c r="G66" s="106" t="s">
        <v>301</v>
      </c>
      <c r="H66" s="106" t="s">
        <v>34</v>
      </c>
      <c r="I66" s="49">
        <v>35738193</v>
      </c>
      <c r="J66" s="28" t="s">
        <v>222</v>
      </c>
      <c r="K66" s="28" t="str">
        <f>IF(E66="KTG","KTG",(VLOOKUP(J66,'list of outsource'!B:H,2,0)))</f>
        <v>ETC</v>
      </c>
      <c r="L66" s="28" t="s">
        <v>223</v>
      </c>
      <c r="M66" s="29" t="s">
        <v>1311</v>
      </c>
      <c r="N66" s="28" t="s">
        <v>1491</v>
      </c>
      <c r="O66" s="2" t="s">
        <v>3672</v>
      </c>
      <c r="P66" s="28" t="s">
        <v>1492</v>
      </c>
      <c r="Q66" s="28">
        <v>1289739461</v>
      </c>
      <c r="R66" s="27" t="s">
        <v>549</v>
      </c>
      <c r="S66" s="28">
        <v>4</v>
      </c>
      <c r="T66" s="28" t="s">
        <v>607</v>
      </c>
      <c r="U66" s="28" t="s">
        <v>39</v>
      </c>
      <c r="V66" s="30"/>
      <c r="W66" s="27"/>
      <c r="Z66" t="e">
        <v>#N/A</v>
      </c>
    </row>
    <row r="67" spans="1:26" customFormat="1">
      <c r="A67">
        <f t="shared" ca="1" si="1"/>
        <v>5</v>
      </c>
      <c r="B67" s="49" t="s">
        <v>3401</v>
      </c>
      <c r="C67" s="12">
        <v>45960</v>
      </c>
      <c r="D67" s="4" t="s">
        <v>300</v>
      </c>
      <c r="E67" s="4" t="s">
        <v>3662</v>
      </c>
      <c r="F67" s="4">
        <v>5141</v>
      </c>
      <c r="G67" s="106" t="s">
        <v>301</v>
      </c>
      <c r="H67" s="106" t="s">
        <v>34</v>
      </c>
      <c r="I67" s="49">
        <v>35738194</v>
      </c>
      <c r="J67" s="4" t="s">
        <v>222</v>
      </c>
      <c r="K67" s="4" t="str">
        <f>IF(E67="KTG","KTG",(VLOOKUP(J67,'list of outsource'!B:H,2,0)))</f>
        <v>ETC</v>
      </c>
      <c r="L67" s="4" t="s">
        <v>223</v>
      </c>
      <c r="M67" s="4" t="s">
        <v>1311</v>
      </c>
      <c r="N67" s="4" t="s">
        <v>318</v>
      </c>
      <c r="O67" s="2" t="s">
        <v>3672</v>
      </c>
      <c r="P67" s="4" t="s">
        <v>1493</v>
      </c>
      <c r="Q67" s="4" t="s">
        <v>3370</v>
      </c>
      <c r="R67" s="12" t="s">
        <v>549</v>
      </c>
      <c r="S67" s="4">
        <v>4</v>
      </c>
      <c r="T67" s="4" t="s">
        <v>607</v>
      </c>
      <c r="U67" s="4" t="s">
        <v>39</v>
      </c>
      <c r="V67" s="10">
        <v>45965</v>
      </c>
      <c r="W67" s="12">
        <v>45966</v>
      </c>
      <c r="Z67" t="e">
        <v>#N/A</v>
      </c>
    </row>
    <row r="68" spans="1:26" customFormat="1">
      <c r="A68">
        <f t="shared" ca="1" si="1"/>
        <v>36</v>
      </c>
      <c r="B68" s="49" t="s">
        <v>3486</v>
      </c>
      <c r="C68" s="12">
        <v>45295</v>
      </c>
      <c r="D68" s="4" t="s">
        <v>1070</v>
      </c>
      <c r="E68" s="4" t="s">
        <v>3662</v>
      </c>
      <c r="F68" s="4">
        <v>5142</v>
      </c>
      <c r="G68" s="106" t="s">
        <v>301</v>
      </c>
      <c r="H68" s="106" t="s">
        <v>34</v>
      </c>
      <c r="I68" s="49">
        <v>35758201</v>
      </c>
      <c r="J68" s="4" t="s">
        <v>302</v>
      </c>
      <c r="K68" s="4" t="str">
        <f>IF(E68="KTG","KTG",(VLOOKUP(J68,'list of outsource'!B:H,2,0)))</f>
        <v>ETC</v>
      </c>
      <c r="L68" s="4" t="s">
        <v>303</v>
      </c>
      <c r="M68" s="4" t="s">
        <v>1311</v>
      </c>
      <c r="N68" s="4" t="s">
        <v>1494</v>
      </c>
      <c r="O68" s="2" t="s">
        <v>3672</v>
      </c>
      <c r="P68" s="4" t="s">
        <v>1495</v>
      </c>
      <c r="Q68" s="4">
        <v>1289761217</v>
      </c>
      <c r="R68" s="12" t="s">
        <v>549</v>
      </c>
      <c r="S68" s="4">
        <v>4</v>
      </c>
      <c r="T68" s="4" t="s">
        <v>607</v>
      </c>
      <c r="U68" s="4" t="s">
        <v>39</v>
      </c>
      <c r="V68" s="10">
        <v>45331</v>
      </c>
      <c r="W68" s="12">
        <v>45440</v>
      </c>
      <c r="Z68" t="e">
        <v>#N/A</v>
      </c>
    </row>
    <row r="69" spans="1:26" customFormat="1">
      <c r="A69">
        <f t="shared" ca="1" si="1"/>
        <v>46008</v>
      </c>
      <c r="B69" s="104" t="s">
        <v>3488</v>
      </c>
      <c r="C69" s="27"/>
      <c r="D69" s="28" t="s">
        <v>1490</v>
      </c>
      <c r="E69" s="28" t="s">
        <v>3662</v>
      </c>
      <c r="F69" s="28">
        <v>5143</v>
      </c>
      <c r="G69" s="106" t="s">
        <v>301</v>
      </c>
      <c r="H69" s="106" t="s">
        <v>34</v>
      </c>
      <c r="I69" s="49">
        <v>35758211</v>
      </c>
      <c r="J69" s="28" t="s">
        <v>302</v>
      </c>
      <c r="K69" s="28" t="str">
        <f>IF(E69="KTG","KTG",(VLOOKUP(J69,'list of outsource'!B:H,2,0)))</f>
        <v>ETC</v>
      </c>
      <c r="L69" s="28" t="s">
        <v>303</v>
      </c>
      <c r="M69" s="29" t="s">
        <v>1554</v>
      </c>
      <c r="N69" s="28" t="s">
        <v>1555</v>
      </c>
      <c r="O69" s="2" t="s">
        <v>3672</v>
      </c>
      <c r="P69" s="28" t="s">
        <v>1556</v>
      </c>
      <c r="Q69" s="28">
        <v>1289762327</v>
      </c>
      <c r="R69" s="27" t="s">
        <v>549</v>
      </c>
      <c r="S69" s="28">
        <v>4</v>
      </c>
      <c r="T69" s="28" t="s">
        <v>607</v>
      </c>
      <c r="U69" s="28" t="s">
        <v>39</v>
      </c>
      <c r="V69" s="30"/>
      <c r="W69" s="27"/>
      <c r="Z69" t="e">
        <v>#N/A</v>
      </c>
    </row>
    <row r="70" spans="1:26" customFormat="1">
      <c r="A70">
        <f t="shared" ca="1" si="1"/>
        <v>36</v>
      </c>
      <c r="B70" s="49" t="s">
        <v>3489</v>
      </c>
      <c r="C70" s="12">
        <v>45295</v>
      </c>
      <c r="D70" s="4" t="s">
        <v>1070</v>
      </c>
      <c r="E70" s="4" t="s">
        <v>3662</v>
      </c>
      <c r="F70" s="4">
        <v>5144</v>
      </c>
      <c r="G70" s="106" t="s">
        <v>301</v>
      </c>
      <c r="H70" s="106" t="s">
        <v>34</v>
      </c>
      <c r="I70" s="49">
        <v>35758221</v>
      </c>
      <c r="J70" s="4" t="s">
        <v>302</v>
      </c>
      <c r="K70" s="4" t="str">
        <f>IF(E70="KTG","KTG",(VLOOKUP(J70,'list of outsource'!B:H,2,0)))</f>
        <v>ETC</v>
      </c>
      <c r="L70" s="4" t="s">
        <v>303</v>
      </c>
      <c r="M70" s="4" t="s">
        <v>1311</v>
      </c>
      <c r="N70" s="4" t="s">
        <v>1591</v>
      </c>
      <c r="O70" s="2" t="s">
        <v>3672</v>
      </c>
      <c r="P70" s="4" t="s">
        <v>1592</v>
      </c>
      <c r="Q70" s="4">
        <v>1289763405</v>
      </c>
      <c r="R70" s="12" t="s">
        <v>549</v>
      </c>
      <c r="S70" s="4">
        <v>4</v>
      </c>
      <c r="T70" s="4" t="s">
        <v>607</v>
      </c>
      <c r="U70" s="4" t="s">
        <v>39</v>
      </c>
      <c r="V70" s="10">
        <v>45331</v>
      </c>
      <c r="W70" s="12">
        <v>45400</v>
      </c>
      <c r="Z70" t="e">
        <v>#N/A</v>
      </c>
    </row>
    <row r="71" spans="1:26" customFormat="1">
      <c r="A71">
        <f t="shared" ca="1" si="1"/>
        <v>39</v>
      </c>
      <c r="B71" s="104" t="s">
        <v>3497</v>
      </c>
      <c r="C71" s="16">
        <v>45604</v>
      </c>
      <c r="D71" s="6" t="s">
        <v>129</v>
      </c>
      <c r="E71" s="6" t="s">
        <v>3662</v>
      </c>
      <c r="F71" s="6"/>
      <c r="G71" s="106" t="s">
        <v>301</v>
      </c>
      <c r="H71" s="106" t="s">
        <v>34</v>
      </c>
      <c r="I71" s="49">
        <v>35758275</v>
      </c>
      <c r="J71" s="6" t="s">
        <v>222</v>
      </c>
      <c r="K71" s="6" t="str">
        <f>IF(E71="KTG","KTG",(VLOOKUP(J71,'list of outsource'!B:H,2,0)))</f>
        <v>ETC</v>
      </c>
      <c r="L71" s="6" t="s">
        <v>223</v>
      </c>
      <c r="M71" s="6" t="s">
        <v>1311</v>
      </c>
      <c r="N71" s="6" t="s">
        <v>314</v>
      </c>
      <c r="O71" s="2" t="s">
        <v>3672</v>
      </c>
      <c r="P71" s="6" t="s">
        <v>578</v>
      </c>
      <c r="Q71" s="6" t="s">
        <v>2197</v>
      </c>
      <c r="R71" s="16"/>
      <c r="S71" s="6">
        <v>4</v>
      </c>
      <c r="T71" s="6" t="s">
        <v>1465</v>
      </c>
      <c r="U71" s="6" t="s">
        <v>39</v>
      </c>
      <c r="V71" s="17">
        <v>45643</v>
      </c>
      <c r="W71" s="16"/>
      <c r="Z71" t="e">
        <v>#N/A</v>
      </c>
    </row>
    <row r="72" spans="1:26" customFormat="1">
      <c r="A72">
        <f t="shared" ca="1" si="1"/>
        <v>24</v>
      </c>
      <c r="B72" s="49" t="s">
        <v>3499</v>
      </c>
      <c r="C72" s="12">
        <v>45768</v>
      </c>
      <c r="D72" s="4" t="s">
        <v>300</v>
      </c>
      <c r="E72" s="4" t="s">
        <v>3662</v>
      </c>
      <c r="F72" s="4"/>
      <c r="G72" s="106" t="s">
        <v>301</v>
      </c>
      <c r="H72" s="106" t="s">
        <v>34</v>
      </c>
      <c r="I72" s="49">
        <v>35758259</v>
      </c>
      <c r="J72" s="4" t="s">
        <v>525</v>
      </c>
      <c r="K72" s="4" t="str">
        <f>IF(E72="KTG","KTG",(VLOOKUP(J72,'list of outsource'!B:H,2,0)))</f>
        <v>ETC</v>
      </c>
      <c r="L72" s="4" t="s">
        <v>526</v>
      </c>
      <c r="M72" s="4">
        <v>2</v>
      </c>
      <c r="N72" s="4" t="s">
        <v>2455</v>
      </c>
      <c r="O72" s="2" t="s">
        <v>3672</v>
      </c>
      <c r="P72" s="4" t="s">
        <v>2456</v>
      </c>
      <c r="Q72" s="4" t="s">
        <v>2457</v>
      </c>
      <c r="R72" s="12"/>
      <c r="S72" s="4">
        <v>4</v>
      </c>
      <c r="T72" s="4" t="s">
        <v>607</v>
      </c>
      <c r="U72" s="4" t="s">
        <v>39</v>
      </c>
      <c r="V72" s="10">
        <v>45792</v>
      </c>
      <c r="W72" s="12">
        <v>45820</v>
      </c>
      <c r="Z72">
        <v>0</v>
      </c>
    </row>
    <row r="73" spans="1:26" customFormat="1">
      <c r="A73">
        <f t="shared" ca="1" si="1"/>
        <v>28</v>
      </c>
      <c r="B73" s="104" t="s">
        <v>3500</v>
      </c>
      <c r="C73" s="12">
        <v>45861</v>
      </c>
      <c r="D73" s="4" t="s">
        <v>300</v>
      </c>
      <c r="E73" s="4" t="s">
        <v>3662</v>
      </c>
      <c r="F73" s="4"/>
      <c r="G73" s="106" t="s">
        <v>301</v>
      </c>
      <c r="H73" s="106" t="s">
        <v>34</v>
      </c>
      <c r="I73" s="49">
        <v>35738176</v>
      </c>
      <c r="J73" s="4" t="s">
        <v>525</v>
      </c>
      <c r="K73" s="4" t="str">
        <f>IF(E73="KTG","KTG",(VLOOKUP(J73,'list of outsource'!B:H,2,0)))</f>
        <v>ETC</v>
      </c>
      <c r="L73" s="4" t="s">
        <v>526</v>
      </c>
      <c r="M73" s="47">
        <v>2</v>
      </c>
      <c r="N73" s="4" t="s">
        <v>1788</v>
      </c>
      <c r="O73" s="2" t="s">
        <v>3672</v>
      </c>
      <c r="P73" s="4" t="s">
        <v>2940</v>
      </c>
      <c r="Q73" s="4" t="s">
        <v>2941</v>
      </c>
      <c r="R73" s="12"/>
      <c r="S73" s="4">
        <v>4</v>
      </c>
      <c r="T73" s="4" t="s">
        <v>1258</v>
      </c>
      <c r="U73" s="4" t="s">
        <v>39</v>
      </c>
      <c r="V73" s="10">
        <v>45889</v>
      </c>
      <c r="W73" s="12">
        <v>45898</v>
      </c>
    </row>
    <row r="74" spans="1:26" customFormat="1">
      <c r="A74">
        <f t="shared" ca="1" si="1"/>
        <v>28</v>
      </c>
      <c r="B74" s="104" t="s">
        <v>3501</v>
      </c>
      <c r="C74" s="12">
        <v>45861</v>
      </c>
      <c r="D74" s="4" t="s">
        <v>300</v>
      </c>
      <c r="E74" s="4" t="s">
        <v>3662</v>
      </c>
      <c r="F74" s="4"/>
      <c r="G74" s="106" t="s">
        <v>301</v>
      </c>
      <c r="H74" s="106" t="s">
        <v>34</v>
      </c>
      <c r="I74" s="49">
        <v>35758276</v>
      </c>
      <c r="J74" s="4" t="s">
        <v>222</v>
      </c>
      <c r="K74" s="4" t="str">
        <f>IF(E74="KTG","KTG",(VLOOKUP(J74,'list of outsource'!B:H,2,0)))</f>
        <v>ETC</v>
      </c>
      <c r="L74" s="4" t="s">
        <v>223</v>
      </c>
      <c r="M74" s="47">
        <v>6</v>
      </c>
      <c r="N74" s="4" t="s">
        <v>1066</v>
      </c>
      <c r="O74" s="2" t="s">
        <v>3672</v>
      </c>
      <c r="P74" s="4" t="s">
        <v>2942</v>
      </c>
      <c r="Q74" s="4" t="s">
        <v>2943</v>
      </c>
      <c r="R74" s="12"/>
      <c r="S74" s="4">
        <v>4</v>
      </c>
      <c r="T74" s="4" t="s">
        <v>1258</v>
      </c>
      <c r="U74" s="4" t="s">
        <v>39</v>
      </c>
      <c r="V74" s="10">
        <v>45889</v>
      </c>
      <c r="W74" s="12">
        <v>45898</v>
      </c>
    </row>
    <row r="75" spans="1:26" customFormat="1">
      <c r="A75">
        <f t="shared" ca="1" si="1"/>
        <v>28</v>
      </c>
      <c r="B75" s="104" t="s">
        <v>3502</v>
      </c>
      <c r="C75" s="12">
        <v>45861</v>
      </c>
      <c r="D75" s="4" t="s">
        <v>300</v>
      </c>
      <c r="E75" s="4" t="s">
        <v>3662</v>
      </c>
      <c r="F75" s="4"/>
      <c r="G75" s="106" t="s">
        <v>301</v>
      </c>
      <c r="H75" s="106" t="s">
        <v>34</v>
      </c>
      <c r="I75" s="49">
        <v>35758271</v>
      </c>
      <c r="J75" s="4" t="s">
        <v>222</v>
      </c>
      <c r="K75" s="4" t="str">
        <f>IF(E75="KTG","KTG",(VLOOKUP(J75,'list of outsource'!B:H,2,0)))</f>
        <v>ETC</v>
      </c>
      <c r="L75" s="4" t="s">
        <v>223</v>
      </c>
      <c r="M75" s="47">
        <v>6</v>
      </c>
      <c r="N75" s="4" t="s">
        <v>2944</v>
      </c>
      <c r="O75" s="2" t="s">
        <v>3672</v>
      </c>
      <c r="P75" s="4" t="s">
        <v>2945</v>
      </c>
      <c r="Q75" s="4" t="s">
        <v>2946</v>
      </c>
      <c r="R75" s="12"/>
      <c r="S75" s="4">
        <v>4</v>
      </c>
      <c r="T75" s="4" t="s">
        <v>1258</v>
      </c>
      <c r="U75" s="4" t="s">
        <v>39</v>
      </c>
      <c r="V75" s="10">
        <v>45889</v>
      </c>
      <c r="W75" s="12">
        <v>45898</v>
      </c>
    </row>
    <row r="76" spans="1:26" customFormat="1">
      <c r="A76">
        <f t="shared" ca="1" si="1"/>
        <v>15</v>
      </c>
      <c r="B76" s="49" t="s">
        <v>3503</v>
      </c>
      <c r="C76" s="12">
        <v>45896</v>
      </c>
      <c r="D76" s="4" t="s">
        <v>300</v>
      </c>
      <c r="E76" s="4" t="s">
        <v>3662</v>
      </c>
      <c r="F76" s="4"/>
      <c r="G76" s="106" t="s">
        <v>301</v>
      </c>
      <c r="H76" s="106" t="s">
        <v>34</v>
      </c>
      <c r="I76" s="49">
        <v>35758273</v>
      </c>
      <c r="J76" s="4" t="s">
        <v>222</v>
      </c>
      <c r="K76" s="4" t="str">
        <f>IF(E76="KTG","KTG",(VLOOKUP(J76,'list of outsource'!B:H,2,0)))</f>
        <v>ETC</v>
      </c>
      <c r="L76" s="4" t="s">
        <v>223</v>
      </c>
      <c r="M76" s="4">
        <v>6</v>
      </c>
      <c r="N76" s="4" t="s">
        <v>3073</v>
      </c>
      <c r="O76" s="2" t="s">
        <v>3672</v>
      </c>
      <c r="P76" s="4" t="s">
        <v>3074</v>
      </c>
      <c r="Q76" s="4" t="s">
        <v>3075</v>
      </c>
      <c r="R76" s="12"/>
      <c r="S76" s="4">
        <v>3</v>
      </c>
      <c r="T76" s="4" t="s">
        <v>1258</v>
      </c>
      <c r="U76" s="4" t="s">
        <v>39</v>
      </c>
      <c r="V76" s="10">
        <v>45911</v>
      </c>
      <c r="W76" s="12">
        <v>45912</v>
      </c>
    </row>
    <row r="77" spans="1:26" customFormat="1">
      <c r="A77">
        <f t="shared" ca="1" si="1"/>
        <v>15</v>
      </c>
      <c r="B77" s="49" t="s">
        <v>3504</v>
      </c>
      <c r="C77" s="12">
        <v>45896</v>
      </c>
      <c r="D77" s="4" t="s">
        <v>300</v>
      </c>
      <c r="E77" s="4" t="s">
        <v>3665</v>
      </c>
      <c r="F77" s="4"/>
      <c r="G77" s="106" t="s">
        <v>301</v>
      </c>
      <c r="H77" s="106" t="s">
        <v>34</v>
      </c>
      <c r="I77" s="49">
        <v>35758190</v>
      </c>
      <c r="J77" s="4" t="s">
        <v>151</v>
      </c>
      <c r="K77" s="4" t="str">
        <f>IF(E77="KTG","KTG",(VLOOKUP(J77,'list of outsource'!B:H,2,0)))</f>
        <v>UPM</v>
      </c>
      <c r="L77" s="4" t="s">
        <v>381</v>
      </c>
      <c r="M77" s="4">
        <v>1</v>
      </c>
      <c r="N77" s="4" t="s">
        <v>3076</v>
      </c>
      <c r="O77" s="2" t="s">
        <v>3672</v>
      </c>
      <c r="P77" s="4" t="s">
        <v>3077</v>
      </c>
      <c r="Q77" s="4" t="s">
        <v>3078</v>
      </c>
      <c r="R77" s="12">
        <v>45903</v>
      </c>
      <c r="S77" s="4">
        <v>3</v>
      </c>
      <c r="T77" s="4" t="s">
        <v>1258</v>
      </c>
      <c r="U77" s="4" t="s">
        <v>39</v>
      </c>
      <c r="V77" s="10">
        <v>45911</v>
      </c>
      <c r="W77" s="12">
        <v>45919</v>
      </c>
    </row>
    <row r="78" spans="1:26" customFormat="1">
      <c r="A78">
        <f t="shared" ca="1" si="1"/>
        <v>1</v>
      </c>
      <c r="B78" s="49" t="s">
        <v>3505</v>
      </c>
      <c r="C78" s="12">
        <v>45909</v>
      </c>
      <c r="D78" s="4" t="s">
        <v>300</v>
      </c>
      <c r="E78" s="4" t="s">
        <v>3662</v>
      </c>
      <c r="F78" s="4"/>
      <c r="G78" s="106" t="s">
        <v>301</v>
      </c>
      <c r="H78" s="106" t="s">
        <v>34</v>
      </c>
      <c r="I78" s="49">
        <v>35758215</v>
      </c>
      <c r="J78" s="4" t="s">
        <v>302</v>
      </c>
      <c r="K78" s="4" t="str">
        <f>IF(E78="KTG","KTG",(VLOOKUP(J78,'list of outsource'!B:H,2,0)))</f>
        <v>ETC</v>
      </c>
      <c r="L78" s="4" t="s">
        <v>303</v>
      </c>
      <c r="M78" s="4">
        <v>10</v>
      </c>
      <c r="N78" s="4" t="s">
        <v>304</v>
      </c>
      <c r="O78" s="2" t="s">
        <v>3672</v>
      </c>
      <c r="P78" s="4" t="s">
        <v>305</v>
      </c>
      <c r="Q78" s="4" t="s">
        <v>306</v>
      </c>
      <c r="R78" s="12"/>
      <c r="S78" s="4">
        <v>3</v>
      </c>
      <c r="T78" s="4" t="s">
        <v>307</v>
      </c>
      <c r="U78" s="4" t="s">
        <v>39</v>
      </c>
      <c r="V78" s="10">
        <v>45910</v>
      </c>
      <c r="W78" s="12">
        <v>45919</v>
      </c>
    </row>
    <row r="79" spans="1:26" customFormat="1">
      <c r="A79">
        <f t="shared" ca="1" si="1"/>
        <v>25</v>
      </c>
      <c r="B79" s="49" t="s">
        <v>3506</v>
      </c>
      <c r="C79" s="12">
        <v>45919</v>
      </c>
      <c r="D79" s="4" t="s">
        <v>300</v>
      </c>
      <c r="E79" s="4" t="s">
        <v>3662</v>
      </c>
      <c r="F79" s="4"/>
      <c r="G79" s="106" t="s">
        <v>301</v>
      </c>
      <c r="H79" s="106" t="s">
        <v>34</v>
      </c>
      <c r="I79" s="49">
        <v>35738192</v>
      </c>
      <c r="J79" s="4" t="s">
        <v>222</v>
      </c>
      <c r="K79" s="4" t="str">
        <f>IF(E79="KTG","KTG",(VLOOKUP(J79,'list of outsource'!B:H,2,0)))</f>
        <v>ETC</v>
      </c>
      <c r="L79" s="4" t="s">
        <v>223</v>
      </c>
      <c r="M79" s="4" t="s">
        <v>3099</v>
      </c>
      <c r="N79" s="4" t="s">
        <v>582</v>
      </c>
      <c r="O79" s="2" t="s">
        <v>3672</v>
      </c>
      <c r="P79" s="4" t="s">
        <v>583</v>
      </c>
      <c r="Q79" s="4" t="s">
        <v>3108</v>
      </c>
      <c r="R79" s="12">
        <v>45924</v>
      </c>
      <c r="S79" s="4">
        <v>3</v>
      </c>
      <c r="T79" s="4" t="s">
        <v>1258</v>
      </c>
      <c r="U79" s="4" t="s">
        <v>39</v>
      </c>
      <c r="V79" s="10">
        <v>45944</v>
      </c>
      <c r="W79" s="12">
        <v>45946</v>
      </c>
    </row>
    <row r="80" spans="1:26" customFormat="1">
      <c r="A80">
        <f t="shared" ca="1" si="1"/>
        <v>26</v>
      </c>
      <c r="B80" s="49" t="s">
        <v>3362</v>
      </c>
      <c r="C80" s="12">
        <v>45931</v>
      </c>
      <c r="D80" s="4" t="s">
        <v>300</v>
      </c>
      <c r="E80" s="4" t="s">
        <v>3662</v>
      </c>
      <c r="F80" s="4"/>
      <c r="G80" s="106" t="s">
        <v>301</v>
      </c>
      <c r="H80" s="106" t="s">
        <v>34</v>
      </c>
      <c r="I80" s="49">
        <v>35738188</v>
      </c>
      <c r="J80" s="4" t="s">
        <v>302</v>
      </c>
      <c r="K80" s="4" t="str">
        <f>IF(E80="KTG","KTG",(VLOOKUP(J80,'list of outsource'!B:H,2,0)))</f>
        <v>ETC</v>
      </c>
      <c r="L80" s="4" t="s">
        <v>303</v>
      </c>
      <c r="M80" s="4">
        <v>11</v>
      </c>
      <c r="N80" s="4" t="s">
        <v>1724</v>
      </c>
      <c r="O80" s="2" t="s">
        <v>3672</v>
      </c>
      <c r="P80" s="4" t="s">
        <v>1725</v>
      </c>
      <c r="Q80" s="4" t="s">
        <v>3358</v>
      </c>
      <c r="R80" s="12">
        <v>45951</v>
      </c>
      <c r="S80" s="4">
        <v>3</v>
      </c>
      <c r="T80" s="4" t="s">
        <v>1258</v>
      </c>
      <c r="U80" s="4" t="s">
        <v>39</v>
      </c>
      <c r="V80" s="10">
        <v>45957</v>
      </c>
      <c r="W80" s="12">
        <v>45966</v>
      </c>
    </row>
    <row r="81" spans="1:26" customFormat="1">
      <c r="A81">
        <f t="shared" ref="A81:A143" ca="1" si="2">IF(V81="",(TODAY()-C81),(V81-C81))</f>
        <v>26</v>
      </c>
      <c r="B81" s="49" t="s">
        <v>3363</v>
      </c>
      <c r="C81" s="12">
        <v>45931</v>
      </c>
      <c r="D81" s="4" t="s">
        <v>300</v>
      </c>
      <c r="E81" s="4" t="s">
        <v>3662</v>
      </c>
      <c r="F81" s="4"/>
      <c r="G81" s="106" t="s">
        <v>301</v>
      </c>
      <c r="H81" s="106" t="s">
        <v>34</v>
      </c>
      <c r="I81" s="49">
        <v>35758207</v>
      </c>
      <c r="J81" s="4" t="s">
        <v>302</v>
      </c>
      <c r="K81" s="4" t="str">
        <f>IF(E81="KTG","KTG",(VLOOKUP(J81,'list of outsource'!B:H,2,0)))</f>
        <v>ETC</v>
      </c>
      <c r="L81" s="4" t="s">
        <v>303</v>
      </c>
      <c r="M81" s="4">
        <v>11</v>
      </c>
      <c r="N81" s="4" t="s">
        <v>3113</v>
      </c>
      <c r="O81" s="2" t="s">
        <v>3672</v>
      </c>
      <c r="P81" s="4" t="s">
        <v>3114</v>
      </c>
      <c r="Q81" s="4" t="s">
        <v>3359</v>
      </c>
      <c r="R81" s="12">
        <v>45951</v>
      </c>
      <c r="S81" s="4">
        <v>3</v>
      </c>
      <c r="T81" s="4" t="s">
        <v>1258</v>
      </c>
      <c r="U81" s="4" t="s">
        <v>39</v>
      </c>
      <c r="V81" s="10">
        <v>45957</v>
      </c>
      <c r="W81" s="12">
        <v>45966</v>
      </c>
    </row>
    <row r="82" spans="1:26" customFormat="1">
      <c r="A82">
        <f t="shared" ca="1" si="2"/>
        <v>26</v>
      </c>
      <c r="B82" s="49" t="s">
        <v>3364</v>
      </c>
      <c r="C82" s="12">
        <v>45931</v>
      </c>
      <c r="D82" s="4" t="s">
        <v>300</v>
      </c>
      <c r="E82" s="4" t="s">
        <v>3662</v>
      </c>
      <c r="F82" s="4"/>
      <c r="G82" s="106" t="s">
        <v>301</v>
      </c>
      <c r="H82" s="106" t="s">
        <v>34</v>
      </c>
      <c r="I82" s="49">
        <v>35758214</v>
      </c>
      <c r="J82" s="4" t="s">
        <v>302</v>
      </c>
      <c r="K82" s="4" t="str">
        <f>IF(E82="KTG","KTG",(VLOOKUP(J82,'list of outsource'!B:H,2,0)))</f>
        <v>ETC</v>
      </c>
      <c r="L82" s="4" t="s">
        <v>303</v>
      </c>
      <c r="M82" s="4">
        <v>11</v>
      </c>
      <c r="N82" s="4" t="s">
        <v>2712</v>
      </c>
      <c r="O82" s="2" t="s">
        <v>3672</v>
      </c>
      <c r="P82" s="4" t="s">
        <v>3115</v>
      </c>
      <c r="Q82" s="4" t="s">
        <v>3360</v>
      </c>
      <c r="R82" s="12">
        <v>45951</v>
      </c>
      <c r="S82" s="4">
        <v>3</v>
      </c>
      <c r="T82" s="4" t="s">
        <v>1258</v>
      </c>
      <c r="U82" s="4" t="s">
        <v>39</v>
      </c>
      <c r="V82" s="10">
        <v>45957</v>
      </c>
      <c r="W82" s="12">
        <v>45966</v>
      </c>
    </row>
    <row r="83" spans="1:26" customFormat="1">
      <c r="A83">
        <f t="shared" ca="1" si="2"/>
        <v>26</v>
      </c>
      <c r="B83" s="49" t="s">
        <v>3365</v>
      </c>
      <c r="C83" s="12">
        <v>45931</v>
      </c>
      <c r="D83" s="4" t="s">
        <v>300</v>
      </c>
      <c r="E83" s="4" t="s">
        <v>3662</v>
      </c>
      <c r="F83" s="4"/>
      <c r="G83" s="106" t="s">
        <v>301</v>
      </c>
      <c r="H83" s="106" t="s">
        <v>34</v>
      </c>
      <c r="I83" s="49">
        <v>35758225</v>
      </c>
      <c r="J83" s="4" t="s">
        <v>302</v>
      </c>
      <c r="K83" s="4" t="str">
        <f>IF(E83="KTG","KTG",(VLOOKUP(J83,'list of outsource'!B:H,2,0)))</f>
        <v>ETC</v>
      </c>
      <c r="L83" s="4" t="s">
        <v>303</v>
      </c>
      <c r="M83" s="4">
        <v>11</v>
      </c>
      <c r="N83" s="4" t="s">
        <v>3116</v>
      </c>
      <c r="O83" s="2" t="s">
        <v>3672</v>
      </c>
      <c r="P83" s="4" t="s">
        <v>3117</v>
      </c>
      <c r="Q83" s="4" t="s">
        <v>3361</v>
      </c>
      <c r="R83" s="12">
        <v>45951</v>
      </c>
      <c r="S83" s="4">
        <v>3</v>
      </c>
      <c r="T83" s="4" t="s">
        <v>1258</v>
      </c>
      <c r="U83" s="4" t="s">
        <v>39</v>
      </c>
      <c r="V83" s="10">
        <v>45957</v>
      </c>
      <c r="W83" s="12">
        <v>45966</v>
      </c>
    </row>
    <row r="84" spans="1:26" customFormat="1">
      <c r="A84">
        <f t="shared" ca="1" si="2"/>
        <v>10</v>
      </c>
      <c r="B84" s="49" t="s">
        <v>3510</v>
      </c>
      <c r="C84" s="12">
        <v>45979</v>
      </c>
      <c r="D84" s="4" t="s">
        <v>300</v>
      </c>
      <c r="E84" s="4" t="s">
        <v>3662</v>
      </c>
      <c r="F84" s="4"/>
      <c r="G84" s="106" t="s">
        <v>301</v>
      </c>
      <c r="H84" s="106" t="s">
        <v>34</v>
      </c>
      <c r="I84" s="49">
        <v>35758209</v>
      </c>
      <c r="J84" s="4" t="s">
        <v>302</v>
      </c>
      <c r="K84" s="4" t="str">
        <f>IF(E84="KTG","KTG",(VLOOKUP(J84,'list of outsource'!B:H,2,0)))</f>
        <v>ETC</v>
      </c>
      <c r="L84" s="4" t="s">
        <v>303</v>
      </c>
      <c r="M84" s="4">
        <v>76</v>
      </c>
      <c r="N84" s="4" t="s">
        <v>1747</v>
      </c>
      <c r="O84" s="2" t="s">
        <v>3672</v>
      </c>
      <c r="P84" s="4" t="s">
        <v>1748</v>
      </c>
      <c r="Q84" s="4" t="s">
        <v>3538</v>
      </c>
      <c r="R84" s="12">
        <v>45870</v>
      </c>
      <c r="S84" s="4">
        <v>3</v>
      </c>
      <c r="T84" s="4" t="s">
        <v>1465</v>
      </c>
      <c r="U84" s="4" t="s">
        <v>39</v>
      </c>
      <c r="V84" s="10">
        <v>45989</v>
      </c>
      <c r="W84" s="12">
        <v>46000</v>
      </c>
    </row>
    <row r="85" spans="1:26" customFormat="1">
      <c r="A85">
        <f t="shared" ca="1" si="2"/>
        <v>10</v>
      </c>
      <c r="B85" s="49" t="s">
        <v>3511</v>
      </c>
      <c r="C85" s="12">
        <v>45979</v>
      </c>
      <c r="D85" s="4" t="s">
        <v>300</v>
      </c>
      <c r="E85" s="4" t="s">
        <v>3662</v>
      </c>
      <c r="F85" s="4"/>
      <c r="G85" s="106" t="s">
        <v>301</v>
      </c>
      <c r="H85" s="106" t="s">
        <v>34</v>
      </c>
      <c r="I85" s="49">
        <v>35758237</v>
      </c>
      <c r="J85" s="4" t="s">
        <v>1253</v>
      </c>
      <c r="K85" s="4" t="str">
        <f>IF(E85="KTG","KTG",(VLOOKUP(J85,'list of outsource'!B:H,2,0)))</f>
        <v>ETC</v>
      </c>
      <c r="L85" s="4" t="s">
        <v>1254</v>
      </c>
      <c r="M85" s="4">
        <v>23</v>
      </c>
      <c r="N85" s="4" t="s">
        <v>2426</v>
      </c>
      <c r="O85" s="2" t="s">
        <v>3672</v>
      </c>
      <c r="P85" s="4" t="s">
        <v>2427</v>
      </c>
      <c r="Q85" s="4" t="s">
        <v>3539</v>
      </c>
      <c r="R85" s="12">
        <v>45762</v>
      </c>
      <c r="S85" s="4">
        <v>3</v>
      </c>
      <c r="T85" s="4" t="s">
        <v>1465</v>
      </c>
      <c r="U85" s="4" t="s">
        <v>39</v>
      </c>
      <c r="V85" s="10">
        <v>45989</v>
      </c>
      <c r="W85" s="12">
        <v>46000</v>
      </c>
    </row>
    <row r="86" spans="1:26" customFormat="1">
      <c r="A86">
        <f t="shared" ca="1" si="2"/>
        <v>6</v>
      </c>
      <c r="B86" s="104" t="s">
        <v>3545</v>
      </c>
      <c r="C86" s="16">
        <v>45993</v>
      </c>
      <c r="D86" s="6" t="s">
        <v>129</v>
      </c>
      <c r="E86" s="6" t="s">
        <v>3662</v>
      </c>
      <c r="F86" s="6"/>
      <c r="G86" s="106" t="s">
        <v>301</v>
      </c>
      <c r="H86" s="106" t="s">
        <v>34</v>
      </c>
      <c r="I86" s="49">
        <v>35738190</v>
      </c>
      <c r="J86" s="6" t="s">
        <v>302</v>
      </c>
      <c r="K86" s="6" t="str">
        <f>IF(E86="KTG","KTG",(VLOOKUP(J86,'list of outsource'!B:H,2,0)))</f>
        <v>ETC</v>
      </c>
      <c r="L86" s="6" t="s">
        <v>303</v>
      </c>
      <c r="M86" s="6">
        <v>11</v>
      </c>
      <c r="N86" s="6" t="s">
        <v>1752</v>
      </c>
      <c r="O86" s="2" t="s">
        <v>3672</v>
      </c>
      <c r="P86" s="6" t="s">
        <v>3544</v>
      </c>
      <c r="Q86" s="6" t="s">
        <v>3546</v>
      </c>
      <c r="R86" s="16">
        <v>45852</v>
      </c>
      <c r="S86" s="6">
        <v>3</v>
      </c>
      <c r="T86" s="6" t="s">
        <v>1465</v>
      </c>
      <c r="U86" s="6" t="s">
        <v>39</v>
      </c>
      <c r="V86" s="17">
        <v>45999</v>
      </c>
      <c r="W86" s="16"/>
    </row>
    <row r="87" spans="1:26" customFormat="1">
      <c r="A87">
        <f t="shared" ca="1" si="2"/>
        <v>52</v>
      </c>
      <c r="B87" s="49" t="s">
        <v>3507</v>
      </c>
      <c r="C87" s="12">
        <v>45195</v>
      </c>
      <c r="D87" s="4" t="s">
        <v>504</v>
      </c>
      <c r="E87" s="4" t="s">
        <v>3662</v>
      </c>
      <c r="F87" s="4"/>
      <c r="G87" s="108" t="s">
        <v>301</v>
      </c>
      <c r="H87" s="108" t="s">
        <v>379</v>
      </c>
      <c r="I87" s="49">
        <v>35758202</v>
      </c>
      <c r="J87" s="4" t="s">
        <v>302</v>
      </c>
      <c r="K87" s="4" t="str">
        <f>IF(E87="KTG","KTG",(VLOOKUP(J87,'list of outsource'!B:H,2,0)))</f>
        <v>ETC</v>
      </c>
      <c r="L87" s="4" t="s">
        <v>303</v>
      </c>
      <c r="M87" s="4">
        <v>4</v>
      </c>
      <c r="N87" s="4" t="s">
        <v>1496</v>
      </c>
      <c r="O87" s="2" t="s">
        <v>3672</v>
      </c>
      <c r="P87" s="4" t="s">
        <v>2969</v>
      </c>
      <c r="Q87" s="4" t="s">
        <v>2970</v>
      </c>
      <c r="R87" s="12" t="s">
        <v>549</v>
      </c>
      <c r="S87" s="4">
        <v>4</v>
      </c>
      <c r="T87" s="4"/>
      <c r="U87" s="4" t="s">
        <v>39</v>
      </c>
      <c r="V87" s="10">
        <v>45247</v>
      </c>
      <c r="W87" s="12">
        <v>45266</v>
      </c>
      <c r="Z87" t="e">
        <v>#N/A</v>
      </c>
    </row>
    <row r="88" spans="1:26" customFormat="1">
      <c r="A88">
        <f t="shared" ca="1" si="2"/>
        <v>31</v>
      </c>
      <c r="B88" s="49" t="s">
        <v>3508</v>
      </c>
      <c r="C88" s="12">
        <v>45551</v>
      </c>
      <c r="D88" s="4" t="s">
        <v>1070</v>
      </c>
      <c r="E88" s="4" t="s">
        <v>3665</v>
      </c>
      <c r="F88" s="4"/>
      <c r="G88" s="108" t="s">
        <v>301</v>
      </c>
      <c r="H88" s="108" t="s">
        <v>379</v>
      </c>
      <c r="I88" s="49">
        <v>35758196</v>
      </c>
      <c r="J88" s="4" t="s">
        <v>2971</v>
      </c>
      <c r="K88" s="4" t="str">
        <f>IF(E88="KTG","KTG",(VLOOKUP(J88,'list of outsource'!B:H,2,0)))</f>
        <v>UPM</v>
      </c>
      <c r="L88" s="4" t="s">
        <v>2972</v>
      </c>
      <c r="M88" s="4">
        <v>9</v>
      </c>
      <c r="N88" s="4" t="s">
        <v>2973</v>
      </c>
      <c r="O88" s="2" t="s">
        <v>3672</v>
      </c>
      <c r="P88" s="4" t="s">
        <v>2974</v>
      </c>
      <c r="Q88" s="4" t="s">
        <v>2975</v>
      </c>
      <c r="R88" s="12"/>
      <c r="S88" s="4">
        <v>4</v>
      </c>
      <c r="T88" s="4" t="s">
        <v>1258</v>
      </c>
      <c r="U88" s="4" t="s">
        <v>39</v>
      </c>
      <c r="V88" s="10">
        <v>45582</v>
      </c>
      <c r="W88" s="12">
        <v>45623</v>
      </c>
      <c r="Z88" t="e">
        <v>#N/A</v>
      </c>
    </row>
    <row r="89" spans="1:26" customFormat="1">
      <c r="A89">
        <f t="shared" ca="1" si="2"/>
        <v>31</v>
      </c>
      <c r="B89" s="49" t="s">
        <v>3509</v>
      </c>
      <c r="C89" s="12">
        <v>45551</v>
      </c>
      <c r="D89" s="4" t="s">
        <v>1070</v>
      </c>
      <c r="E89" s="4" t="s">
        <v>3662</v>
      </c>
      <c r="F89" s="4"/>
      <c r="G89" s="108" t="s">
        <v>301</v>
      </c>
      <c r="H89" s="108" t="s">
        <v>379</v>
      </c>
      <c r="I89" s="49">
        <v>35758212</v>
      </c>
      <c r="J89" s="4" t="s">
        <v>302</v>
      </c>
      <c r="K89" s="4" t="str">
        <f>IF(E89="KTG","KTG",(VLOOKUP(J89,'list of outsource'!B:H,2,0)))</f>
        <v>ETC</v>
      </c>
      <c r="L89" s="4" t="s">
        <v>303</v>
      </c>
      <c r="M89" s="4">
        <v>62</v>
      </c>
      <c r="N89" s="4" t="s">
        <v>2976</v>
      </c>
      <c r="O89" s="2" t="s">
        <v>3672</v>
      </c>
      <c r="P89" s="4" t="s">
        <v>2977</v>
      </c>
      <c r="Q89" s="4" t="s">
        <v>2978</v>
      </c>
      <c r="R89" s="12"/>
      <c r="S89" s="4">
        <v>4</v>
      </c>
      <c r="T89" s="4" t="s">
        <v>1258</v>
      </c>
      <c r="U89" s="4" t="s">
        <v>39</v>
      </c>
      <c r="V89" s="10">
        <v>45582</v>
      </c>
      <c r="W89" s="12">
        <v>45623</v>
      </c>
      <c r="Z89" t="e">
        <v>#N/A</v>
      </c>
    </row>
    <row r="90" spans="1:26" customFormat="1">
      <c r="A90">
        <f t="shared" ca="1" si="2"/>
        <v>30</v>
      </c>
      <c r="B90" s="49" t="s">
        <v>625</v>
      </c>
      <c r="C90" s="12">
        <v>44958</v>
      </c>
      <c r="D90" s="4" t="s">
        <v>504</v>
      </c>
      <c r="E90" s="4" t="s">
        <v>3665</v>
      </c>
      <c r="F90" s="4"/>
      <c r="G90" s="106" t="s">
        <v>626</v>
      </c>
      <c r="H90" s="106"/>
      <c r="I90" s="49" t="s">
        <v>627</v>
      </c>
      <c r="J90" s="4" t="s">
        <v>151</v>
      </c>
      <c r="K90" s="4" t="str">
        <f>IF(E90="KTG","KTG",(VLOOKUP(J90,'list of outsource'!B:H,2,0)))</f>
        <v>UPM</v>
      </c>
      <c r="L90" s="4" t="s">
        <v>381</v>
      </c>
      <c r="M90" s="4"/>
      <c r="N90" s="4" t="s">
        <v>628</v>
      </c>
      <c r="O90" s="2" t="s">
        <v>3673</v>
      </c>
      <c r="P90" s="4" t="s">
        <v>629</v>
      </c>
      <c r="Q90" s="4">
        <v>1201810614</v>
      </c>
      <c r="R90" s="12"/>
      <c r="S90" s="4">
        <v>2</v>
      </c>
      <c r="T90" s="4"/>
      <c r="U90" s="4" t="s">
        <v>39</v>
      </c>
      <c r="V90" s="10">
        <v>44988</v>
      </c>
      <c r="W90" s="12">
        <v>45093</v>
      </c>
      <c r="Z90" t="e">
        <v>#N/A</v>
      </c>
    </row>
    <row r="91" spans="1:26" customFormat="1">
      <c r="A91">
        <f t="shared" ca="1" si="2"/>
        <v>45</v>
      </c>
      <c r="B91" s="49" t="s">
        <v>1214</v>
      </c>
      <c r="C91" s="12">
        <v>45188</v>
      </c>
      <c r="D91" s="4" t="s">
        <v>1070</v>
      </c>
      <c r="E91" s="4" t="s">
        <v>3665</v>
      </c>
      <c r="F91" s="4"/>
      <c r="G91" s="106" t="s">
        <v>626</v>
      </c>
      <c r="H91" s="106" t="s">
        <v>379</v>
      </c>
      <c r="I91" s="49" t="s">
        <v>1215</v>
      </c>
      <c r="J91" s="4" t="s">
        <v>151</v>
      </c>
      <c r="K91" s="4" t="str">
        <f>IF(E91="KTG","KTG",(VLOOKUP(J91,'list of outsource'!B:H,2,0)))</f>
        <v>UPM</v>
      </c>
      <c r="L91" s="4" t="s">
        <v>381</v>
      </c>
      <c r="M91" s="4">
        <v>23</v>
      </c>
      <c r="N91" s="4" t="s">
        <v>1089</v>
      </c>
      <c r="O91" s="2" t="s">
        <v>3673</v>
      </c>
      <c r="P91" s="4" t="s">
        <v>1090</v>
      </c>
      <c r="Q91" s="4" t="s">
        <v>1216</v>
      </c>
      <c r="R91" s="12"/>
      <c r="S91" s="4">
        <v>4</v>
      </c>
      <c r="T91" s="4"/>
      <c r="U91" s="4" t="s">
        <v>39</v>
      </c>
      <c r="V91" s="10">
        <v>45233</v>
      </c>
      <c r="W91" s="12">
        <v>45366</v>
      </c>
      <c r="Z91" t="e">
        <v>#N/A</v>
      </c>
    </row>
    <row r="92" spans="1:26" customFormat="1">
      <c r="A92">
        <f t="shared" ca="1" si="2"/>
        <v>45</v>
      </c>
      <c r="B92" s="49" t="s">
        <v>1221</v>
      </c>
      <c r="C92" s="12">
        <v>45188</v>
      </c>
      <c r="D92" s="4" t="s">
        <v>1070</v>
      </c>
      <c r="E92" s="4" t="s">
        <v>3665</v>
      </c>
      <c r="F92" s="4"/>
      <c r="G92" s="106" t="s">
        <v>626</v>
      </c>
      <c r="H92" s="106" t="s">
        <v>379</v>
      </c>
      <c r="I92" s="49" t="s">
        <v>1222</v>
      </c>
      <c r="J92" s="4" t="s">
        <v>151</v>
      </c>
      <c r="K92" s="4" t="str">
        <f>IF(E92="KTG","KTG",(VLOOKUP(J92,'list of outsource'!B:H,2,0)))</f>
        <v>UPM</v>
      </c>
      <c r="L92" s="4" t="s">
        <v>381</v>
      </c>
      <c r="M92" s="4">
        <v>23</v>
      </c>
      <c r="N92" s="4" t="s">
        <v>543</v>
      </c>
      <c r="O92" s="2" t="s">
        <v>3673</v>
      </c>
      <c r="P92" s="4" t="s">
        <v>1223</v>
      </c>
      <c r="Q92" s="4" t="s">
        <v>1224</v>
      </c>
      <c r="R92" s="12"/>
      <c r="S92" s="4">
        <v>4</v>
      </c>
      <c r="T92" s="4"/>
      <c r="U92" s="4" t="s">
        <v>39</v>
      </c>
      <c r="V92" s="10">
        <v>45233</v>
      </c>
      <c r="W92" s="12">
        <v>45316</v>
      </c>
      <c r="Z92" t="e">
        <v>#N/A</v>
      </c>
    </row>
    <row r="93" spans="1:26" customFormat="1">
      <c r="A93">
        <f t="shared" ca="1" si="2"/>
        <v>26</v>
      </c>
      <c r="B93" s="104" t="s">
        <v>1100</v>
      </c>
      <c r="C93" s="16">
        <v>45147</v>
      </c>
      <c r="D93" s="6" t="s">
        <v>129</v>
      </c>
      <c r="E93" s="6" t="s">
        <v>3665</v>
      </c>
      <c r="F93" s="6"/>
      <c r="G93" s="106" t="s">
        <v>1101</v>
      </c>
      <c r="H93" s="106" t="s">
        <v>34</v>
      </c>
      <c r="I93" s="49">
        <v>55592</v>
      </c>
      <c r="J93" s="6" t="s">
        <v>212</v>
      </c>
      <c r="K93" s="6" t="str">
        <f>IF(E93="KTG","KTG",(VLOOKUP(J93,'list of outsource'!B:H,2,0)))</f>
        <v>UPM</v>
      </c>
      <c r="L93" s="6" t="s">
        <v>213</v>
      </c>
      <c r="M93" s="6"/>
      <c r="N93" s="6" t="s">
        <v>270</v>
      </c>
      <c r="O93" s="2" t="s">
        <v>3674</v>
      </c>
      <c r="P93" s="6" t="s">
        <v>1102</v>
      </c>
      <c r="Q93" s="6">
        <v>1253019517</v>
      </c>
      <c r="R93" s="16"/>
      <c r="S93" s="6">
        <v>2</v>
      </c>
      <c r="T93" s="6"/>
      <c r="U93" s="6" t="s">
        <v>39</v>
      </c>
      <c r="V93" s="17">
        <v>45173</v>
      </c>
      <c r="W93" s="16"/>
      <c r="Z93" t="e">
        <v>#N/A</v>
      </c>
    </row>
    <row r="94" spans="1:26" customFormat="1">
      <c r="A94">
        <f t="shared" ca="1" si="2"/>
        <v>26</v>
      </c>
      <c r="B94" s="104" t="s">
        <v>1103</v>
      </c>
      <c r="C94" s="16">
        <v>45147</v>
      </c>
      <c r="D94" s="6" t="s">
        <v>129</v>
      </c>
      <c r="E94" s="6" t="s">
        <v>3665</v>
      </c>
      <c r="F94" s="6"/>
      <c r="G94" s="106" t="s">
        <v>1101</v>
      </c>
      <c r="H94" s="106" t="s">
        <v>34</v>
      </c>
      <c r="I94" s="49">
        <v>55593</v>
      </c>
      <c r="J94" s="6" t="s">
        <v>212</v>
      </c>
      <c r="K94" s="6" t="str">
        <f>IF(E94="KTG","KTG",(VLOOKUP(J94,'list of outsource'!B:H,2,0)))</f>
        <v>UPM</v>
      </c>
      <c r="L94" s="6" t="s">
        <v>213</v>
      </c>
      <c r="M94" s="6"/>
      <c r="N94" s="6" t="s">
        <v>1104</v>
      </c>
      <c r="O94" s="2" t="s">
        <v>3674</v>
      </c>
      <c r="P94" s="6" t="s">
        <v>1105</v>
      </c>
      <c r="Q94" s="6">
        <v>1253390788</v>
      </c>
      <c r="R94" s="16"/>
      <c r="S94" s="6">
        <v>2</v>
      </c>
      <c r="T94" s="6"/>
      <c r="U94" s="6" t="s">
        <v>39</v>
      </c>
      <c r="V94" s="17">
        <v>45173</v>
      </c>
      <c r="W94" s="16"/>
      <c r="Z94" t="e">
        <v>#N/A</v>
      </c>
    </row>
    <row r="95" spans="1:26" customFormat="1">
      <c r="A95">
        <f t="shared" ca="1" si="2"/>
        <v>6</v>
      </c>
      <c r="B95" s="49" t="s">
        <v>2151</v>
      </c>
      <c r="C95" s="12">
        <v>45561</v>
      </c>
      <c r="D95" s="4" t="s">
        <v>1958</v>
      </c>
      <c r="E95" s="4" t="s">
        <v>3662</v>
      </c>
      <c r="F95" s="4"/>
      <c r="G95" s="106" t="s">
        <v>2152</v>
      </c>
      <c r="H95" s="106" t="s">
        <v>146</v>
      </c>
      <c r="I95" s="49" t="s">
        <v>2153</v>
      </c>
      <c r="J95" s="4" t="s">
        <v>2154</v>
      </c>
      <c r="K95" s="4" t="e">
        <f>IF(E95="KTG","KTG",(VLOOKUP(J95,'list of outsource'!B:H,2,0)))</f>
        <v>#N/A</v>
      </c>
      <c r="L95" s="4" t="s">
        <v>2155</v>
      </c>
      <c r="M95" s="4"/>
      <c r="N95" s="4" t="s">
        <v>2156</v>
      </c>
      <c r="O95" s="2" t="s">
        <v>3676</v>
      </c>
      <c r="P95" s="4" t="s">
        <v>2157</v>
      </c>
      <c r="Q95" s="4" t="s">
        <v>2158</v>
      </c>
      <c r="R95" s="12"/>
      <c r="S95" s="4"/>
      <c r="T95" s="4"/>
      <c r="U95" s="4" t="s">
        <v>1598</v>
      </c>
      <c r="V95" s="10">
        <v>45567</v>
      </c>
      <c r="W95" s="12"/>
      <c r="Z95" t="e">
        <v>#N/A</v>
      </c>
    </row>
    <row r="96" spans="1:26" customFormat="1">
      <c r="A96">
        <f t="shared" ca="1" si="2"/>
        <v>23</v>
      </c>
      <c r="B96" s="104" t="s">
        <v>3529</v>
      </c>
      <c r="C96" s="16">
        <v>45985</v>
      </c>
      <c r="D96" s="6" t="s">
        <v>129</v>
      </c>
      <c r="E96" s="6" t="s">
        <v>3662</v>
      </c>
      <c r="F96" s="6"/>
      <c r="G96" s="106" t="s">
        <v>1890</v>
      </c>
      <c r="H96" s="106" t="s">
        <v>34</v>
      </c>
      <c r="I96" s="49">
        <v>713516</v>
      </c>
      <c r="J96" s="6" t="s">
        <v>302</v>
      </c>
      <c r="K96" s="6" t="str">
        <f>IF(E96="KTG","KTG",(VLOOKUP(J96,'list of outsource'!B:H,2,0)))</f>
        <v>ETC</v>
      </c>
      <c r="L96" s="6" t="s">
        <v>303</v>
      </c>
      <c r="M96" s="6">
        <v>73</v>
      </c>
      <c r="N96" s="6" t="s">
        <v>752</v>
      </c>
      <c r="O96" s="2" t="s">
        <v>3677</v>
      </c>
      <c r="P96" s="6" t="s">
        <v>753</v>
      </c>
      <c r="Q96" s="6" t="s">
        <v>3530</v>
      </c>
      <c r="R96" s="16"/>
      <c r="S96" s="6">
        <v>1</v>
      </c>
      <c r="T96" s="6" t="s">
        <v>307</v>
      </c>
      <c r="U96" s="6" t="s">
        <v>3531</v>
      </c>
      <c r="V96" s="17"/>
      <c r="W96" s="16"/>
    </row>
    <row r="97" spans="1:26" customFormat="1">
      <c r="A97">
        <f t="shared" ca="1" si="2"/>
        <v>43</v>
      </c>
      <c r="B97" s="49" t="s">
        <v>1186</v>
      </c>
      <c r="C97" s="12">
        <v>45175</v>
      </c>
      <c r="D97" s="4" t="s">
        <v>504</v>
      </c>
      <c r="E97" s="4" t="s">
        <v>3662</v>
      </c>
      <c r="F97" s="4"/>
      <c r="G97" s="106" t="s">
        <v>645</v>
      </c>
      <c r="H97" s="106" t="s">
        <v>34</v>
      </c>
      <c r="I97" s="49">
        <v>35758254</v>
      </c>
      <c r="J97" s="4" t="s">
        <v>525</v>
      </c>
      <c r="K97" s="4" t="str">
        <f>IF(E97="KTG","KTG",(VLOOKUP(J97,'list of outsource'!B:H,2,0)))</f>
        <v>ETC</v>
      </c>
      <c r="L97" s="4" t="s">
        <v>526</v>
      </c>
      <c r="M97" s="4"/>
      <c r="N97" s="4" t="s">
        <v>1187</v>
      </c>
      <c r="O97" s="2" t="s">
        <v>3678</v>
      </c>
      <c r="P97" s="4" t="s">
        <v>1188</v>
      </c>
      <c r="Q97" s="4">
        <v>1265952282</v>
      </c>
      <c r="R97" s="12"/>
      <c r="S97" s="4">
        <v>4</v>
      </c>
      <c r="T97" s="4"/>
      <c r="U97" s="4" t="s">
        <v>39</v>
      </c>
      <c r="V97" s="10">
        <v>45218</v>
      </c>
      <c r="W97" s="12">
        <v>45218</v>
      </c>
      <c r="Z97" t="e">
        <v>#N/A</v>
      </c>
    </row>
    <row r="98" spans="1:26" customFormat="1">
      <c r="A98">
        <f t="shared" ca="1" si="2"/>
        <v>57</v>
      </c>
      <c r="B98" s="104" t="s">
        <v>3332</v>
      </c>
      <c r="C98" s="58">
        <v>45951</v>
      </c>
      <c r="D98" s="18" t="s">
        <v>1946</v>
      </c>
      <c r="E98" s="18" t="s">
        <v>3665</v>
      </c>
      <c r="F98" s="18"/>
      <c r="G98" s="107" t="s">
        <v>2411</v>
      </c>
      <c r="H98" s="107" t="s">
        <v>34</v>
      </c>
      <c r="I98" s="104" t="s">
        <v>3330</v>
      </c>
      <c r="J98" s="18" t="s">
        <v>89</v>
      </c>
      <c r="K98" s="18" t="str">
        <f>IF(E98="KTG","KTG",(VLOOKUP(J98,'list of outsource'!B:H,2,0)))</f>
        <v>UPM</v>
      </c>
      <c r="L98" s="18" t="s">
        <v>90</v>
      </c>
      <c r="M98" s="59"/>
      <c r="N98" s="18" t="s">
        <v>3327</v>
      </c>
      <c r="O98" s="2" t="s">
        <v>3679</v>
      </c>
      <c r="P98" s="18" t="s">
        <v>3328</v>
      </c>
      <c r="Q98" s="18"/>
      <c r="R98" s="58">
        <v>45973</v>
      </c>
      <c r="S98" s="18">
        <v>3</v>
      </c>
      <c r="T98" s="18" t="s">
        <v>1465</v>
      </c>
      <c r="U98" s="18" t="s">
        <v>39</v>
      </c>
      <c r="V98" s="60"/>
      <c r="W98" s="58"/>
      <c r="X98" s="55"/>
      <c r="Y98" s="55"/>
      <c r="Z98" s="55"/>
    </row>
    <row r="99" spans="1:26" customFormat="1">
      <c r="A99">
        <f t="shared" ca="1" si="2"/>
        <v>42749</v>
      </c>
      <c r="B99" s="49" t="s">
        <v>155</v>
      </c>
      <c r="C99" s="12">
        <v>2022</v>
      </c>
      <c r="D99" s="4" t="s">
        <v>156</v>
      </c>
      <c r="E99" s="4" t="s">
        <v>3662</v>
      </c>
      <c r="F99" s="4"/>
      <c r="G99" s="106" t="s">
        <v>158</v>
      </c>
      <c r="H99" s="106" t="s">
        <v>34</v>
      </c>
      <c r="I99" s="49" t="s">
        <v>159</v>
      </c>
      <c r="J99" s="4" t="s">
        <v>160</v>
      </c>
      <c r="K99" s="4" t="str">
        <f>IF(E99="KTG","KTG",(VLOOKUP(J99,'list of outsource'!B:H,2,0)))</f>
        <v>Kebao</v>
      </c>
      <c r="L99" s="4" t="s">
        <v>161</v>
      </c>
      <c r="M99" s="4"/>
      <c r="N99" s="4" t="s">
        <v>162</v>
      </c>
      <c r="O99" s="2" t="s">
        <v>3680</v>
      </c>
      <c r="P99" s="4" t="s">
        <v>163</v>
      </c>
      <c r="Q99" s="4"/>
      <c r="R99" s="12"/>
      <c r="S99" s="4">
        <v>2</v>
      </c>
      <c r="T99" s="4"/>
      <c r="U99" s="4" t="s">
        <v>39</v>
      </c>
      <c r="V99" s="10">
        <v>44771</v>
      </c>
      <c r="W99" s="12">
        <v>44778</v>
      </c>
    </row>
    <row r="100" spans="1:26" customFormat="1">
      <c r="A100">
        <f t="shared" ca="1" si="2"/>
        <v>50</v>
      </c>
      <c r="B100" s="49" t="s">
        <v>651</v>
      </c>
      <c r="C100" s="12">
        <v>44978</v>
      </c>
      <c r="D100" s="4" t="s">
        <v>504</v>
      </c>
      <c r="E100" s="4" t="s">
        <v>3665</v>
      </c>
      <c r="F100" s="4"/>
      <c r="G100" s="106" t="s">
        <v>158</v>
      </c>
      <c r="H100" s="106" t="s">
        <v>34</v>
      </c>
      <c r="I100" s="49" t="s">
        <v>652</v>
      </c>
      <c r="J100" s="4" t="s">
        <v>96</v>
      </c>
      <c r="K100" s="4" t="str">
        <f>IF(E100="KTG","KTG",(VLOOKUP(J100,'list of outsource'!B:H,2,0)))</f>
        <v>Woer</v>
      </c>
      <c r="L100" s="4" t="s">
        <v>97</v>
      </c>
      <c r="M100" s="4"/>
      <c r="N100" s="4" t="s">
        <v>653</v>
      </c>
      <c r="O100" s="2" t="s">
        <v>3680</v>
      </c>
      <c r="P100" s="4" t="s">
        <v>654</v>
      </c>
      <c r="Q100" s="4">
        <v>1212251748</v>
      </c>
      <c r="R100" s="12"/>
      <c r="S100" s="4">
        <v>2</v>
      </c>
      <c r="T100" s="4"/>
      <c r="U100" s="4" t="s">
        <v>39</v>
      </c>
      <c r="V100" s="10" t="s">
        <v>655</v>
      </c>
      <c r="W100" s="12">
        <v>45061</v>
      </c>
    </row>
    <row r="101" spans="1:26" customFormat="1">
      <c r="A101">
        <f t="shared" ca="1" si="2"/>
        <v>54</v>
      </c>
      <c r="B101" s="49" t="s">
        <v>741</v>
      </c>
      <c r="C101" s="12">
        <v>45015</v>
      </c>
      <c r="D101" s="4" t="s">
        <v>504</v>
      </c>
      <c r="E101" s="4" t="s">
        <v>3665</v>
      </c>
      <c r="F101" s="4"/>
      <c r="G101" s="106" t="s">
        <v>158</v>
      </c>
      <c r="H101" s="106" t="s">
        <v>34</v>
      </c>
      <c r="I101" s="49" t="s">
        <v>742</v>
      </c>
      <c r="J101" s="4" t="s">
        <v>108</v>
      </c>
      <c r="K101" s="4" t="str">
        <f>IF(E101="KTG","KTG",(VLOOKUP(J101,'list of outsource'!B:H,2,0)))</f>
        <v>UPM</v>
      </c>
      <c r="L101" s="4" t="s">
        <v>109</v>
      </c>
      <c r="M101" s="4"/>
      <c r="N101" s="4" t="s">
        <v>743</v>
      </c>
      <c r="O101" s="2" t="s">
        <v>3680</v>
      </c>
      <c r="P101" s="4" t="s">
        <v>744</v>
      </c>
      <c r="Q101" s="4">
        <v>1223074418</v>
      </c>
      <c r="R101" s="12"/>
      <c r="S101" s="4">
        <v>2</v>
      </c>
      <c r="T101" s="4"/>
      <c r="U101" s="4" t="s">
        <v>39</v>
      </c>
      <c r="V101" s="10">
        <v>45069</v>
      </c>
      <c r="W101" s="12" t="s">
        <v>745</v>
      </c>
    </row>
    <row r="102" spans="1:26" customFormat="1">
      <c r="A102">
        <f t="shared" ca="1" si="2"/>
        <v>54</v>
      </c>
      <c r="B102" s="49" t="s">
        <v>746</v>
      </c>
      <c r="C102" s="12">
        <v>45015</v>
      </c>
      <c r="D102" s="4" t="s">
        <v>504</v>
      </c>
      <c r="E102" s="4" t="s">
        <v>3665</v>
      </c>
      <c r="F102" s="4"/>
      <c r="G102" s="106" t="s">
        <v>158</v>
      </c>
      <c r="H102" s="106" t="s">
        <v>34</v>
      </c>
      <c r="I102" s="49" t="s">
        <v>747</v>
      </c>
      <c r="J102" s="4" t="s">
        <v>108</v>
      </c>
      <c r="K102" s="4" t="str">
        <f>IF(E102="KTG","KTG",(VLOOKUP(J102,'list of outsource'!B:H,2,0)))</f>
        <v>UPM</v>
      </c>
      <c r="L102" s="4" t="s">
        <v>109</v>
      </c>
      <c r="M102" s="4"/>
      <c r="N102" s="4" t="s">
        <v>748</v>
      </c>
      <c r="O102" s="2" t="s">
        <v>3680</v>
      </c>
      <c r="P102" s="4" t="s">
        <v>749</v>
      </c>
      <c r="Q102" s="4">
        <v>1223136747</v>
      </c>
      <c r="R102" s="12"/>
      <c r="S102" s="4">
        <v>2</v>
      </c>
      <c r="T102" s="4"/>
      <c r="U102" s="4" t="s">
        <v>39</v>
      </c>
      <c r="V102" s="10">
        <v>45069</v>
      </c>
      <c r="W102" s="12" t="s">
        <v>745</v>
      </c>
    </row>
    <row r="103" spans="1:26" customFormat="1">
      <c r="A103">
        <f t="shared" ca="1" si="2"/>
        <v>245</v>
      </c>
      <c r="B103" s="49" t="s">
        <v>457</v>
      </c>
      <c r="C103" s="12">
        <v>44817</v>
      </c>
      <c r="D103" s="4" t="s">
        <v>129</v>
      </c>
      <c r="E103" s="4" t="s">
        <v>3665</v>
      </c>
      <c r="F103" s="4"/>
      <c r="G103" s="106" t="s">
        <v>158</v>
      </c>
      <c r="H103" s="106" t="s">
        <v>34</v>
      </c>
      <c r="I103" s="49" t="s">
        <v>458</v>
      </c>
      <c r="J103" s="4" t="s">
        <v>108</v>
      </c>
      <c r="K103" s="4" t="str">
        <f>IF(E103="KTG","KTG",(VLOOKUP(J103,'list of outsource'!B:H,2,0)))</f>
        <v>UPM</v>
      </c>
      <c r="L103" s="4" t="s">
        <v>109</v>
      </c>
      <c r="M103" s="4"/>
      <c r="N103" s="4" t="s">
        <v>238</v>
      </c>
      <c r="O103" s="2" t="s">
        <v>3680</v>
      </c>
      <c r="P103" s="4" t="s">
        <v>459</v>
      </c>
      <c r="Q103" s="4">
        <v>1220870158</v>
      </c>
      <c r="R103" s="12"/>
      <c r="S103" s="4">
        <v>2</v>
      </c>
      <c r="T103" s="4"/>
      <c r="U103" s="4" t="s">
        <v>39</v>
      </c>
      <c r="V103" s="10">
        <v>45062</v>
      </c>
      <c r="W103" s="12"/>
    </row>
    <row r="104" spans="1:26" customFormat="1">
      <c r="A104">
        <f t="shared" ca="1" si="2"/>
        <v>219</v>
      </c>
      <c r="B104" s="49" t="s">
        <v>460</v>
      </c>
      <c r="C104" s="12">
        <v>44825</v>
      </c>
      <c r="D104" s="4" t="s">
        <v>129</v>
      </c>
      <c r="E104" s="4" t="s">
        <v>3665</v>
      </c>
      <c r="F104" s="4"/>
      <c r="G104" s="106" t="s">
        <v>158</v>
      </c>
      <c r="H104" s="106" t="s">
        <v>34</v>
      </c>
      <c r="I104" s="49" t="s">
        <v>461</v>
      </c>
      <c r="J104" s="4" t="s">
        <v>108</v>
      </c>
      <c r="K104" s="4" t="str">
        <f>IF(E104="KTG","KTG",(VLOOKUP(J104,'list of outsource'!B:H,2,0)))</f>
        <v>UPM</v>
      </c>
      <c r="L104" s="4" t="s">
        <v>109</v>
      </c>
      <c r="M104" s="4"/>
      <c r="N104" s="4" t="s">
        <v>462</v>
      </c>
      <c r="O104" s="2" t="s">
        <v>3680</v>
      </c>
      <c r="P104" s="4" t="s">
        <v>463</v>
      </c>
      <c r="Q104" s="4">
        <v>1216298197</v>
      </c>
      <c r="R104" s="12"/>
      <c r="S104" s="4">
        <v>2</v>
      </c>
      <c r="T104" s="4"/>
      <c r="U104" s="4" t="s">
        <v>39</v>
      </c>
      <c r="V104" s="10" t="s">
        <v>464</v>
      </c>
      <c r="W104" s="12"/>
    </row>
    <row r="105" spans="1:26" customFormat="1">
      <c r="A105">
        <f t="shared" ca="1" si="2"/>
        <v>64</v>
      </c>
      <c r="B105" s="104" t="s">
        <v>1274</v>
      </c>
      <c r="C105" s="16">
        <v>45215</v>
      </c>
      <c r="D105" s="6" t="s">
        <v>129</v>
      </c>
      <c r="E105" s="6" t="s">
        <v>3665</v>
      </c>
      <c r="F105" s="6"/>
      <c r="G105" s="106" t="s">
        <v>158</v>
      </c>
      <c r="H105" s="106" t="s">
        <v>34</v>
      </c>
      <c r="I105" s="49" t="s">
        <v>1275</v>
      </c>
      <c r="J105" s="6" t="s">
        <v>1276</v>
      </c>
      <c r="K105" s="6" t="str">
        <f>IF(E105="KTG","KTG",(VLOOKUP(J105,'list of outsource'!B:H,2,0)))</f>
        <v>UPM</v>
      </c>
      <c r="L105" s="6" t="s">
        <v>1277</v>
      </c>
      <c r="M105" s="6">
        <v>4</v>
      </c>
      <c r="N105" s="6" t="s">
        <v>1278</v>
      </c>
      <c r="O105" s="2" t="s">
        <v>3680</v>
      </c>
      <c r="P105" s="6" t="s">
        <v>1279</v>
      </c>
      <c r="Q105" s="6">
        <v>1278418736</v>
      </c>
      <c r="R105" s="16" t="s">
        <v>549</v>
      </c>
      <c r="S105" s="6">
        <v>4</v>
      </c>
      <c r="T105" s="6"/>
      <c r="U105" s="6" t="s">
        <v>39</v>
      </c>
      <c r="V105" s="17">
        <v>45279</v>
      </c>
      <c r="W105" s="16"/>
      <c r="Z105" t="e">
        <v>#N/A</v>
      </c>
    </row>
    <row r="106" spans="1:26" customFormat="1">
      <c r="A106">
        <f t="shared" ca="1" si="2"/>
        <v>61</v>
      </c>
      <c r="B106" s="104" t="s">
        <v>1284</v>
      </c>
      <c r="C106" s="16">
        <v>45218</v>
      </c>
      <c r="D106" s="6" t="s">
        <v>129</v>
      </c>
      <c r="E106" s="6" t="s">
        <v>3665</v>
      </c>
      <c r="F106" s="6"/>
      <c r="G106" s="106" t="s">
        <v>158</v>
      </c>
      <c r="H106" s="106" t="s">
        <v>34</v>
      </c>
      <c r="I106" s="49" t="s">
        <v>1285</v>
      </c>
      <c r="J106" s="6" t="s">
        <v>1276</v>
      </c>
      <c r="K106" s="6" t="str">
        <f>IF(E106="KTG","KTG",(VLOOKUP(J106,'list of outsource'!B:H,2,0)))</f>
        <v>UPM</v>
      </c>
      <c r="L106" s="6" t="s">
        <v>1277</v>
      </c>
      <c r="M106" s="6">
        <v>4</v>
      </c>
      <c r="N106" s="6" t="s">
        <v>1286</v>
      </c>
      <c r="O106" s="2" t="s">
        <v>3680</v>
      </c>
      <c r="P106" s="6" t="s">
        <v>1287</v>
      </c>
      <c r="Q106" s="6">
        <v>1278838777</v>
      </c>
      <c r="R106" s="16" t="s">
        <v>549</v>
      </c>
      <c r="S106" s="6">
        <v>4</v>
      </c>
      <c r="T106" s="6"/>
      <c r="U106" s="6" t="s">
        <v>39</v>
      </c>
      <c r="V106" s="17">
        <v>45279</v>
      </c>
      <c r="W106" s="16"/>
      <c r="Z106" t="e">
        <v>#N/A</v>
      </c>
    </row>
    <row r="107" spans="1:26" customFormat="1">
      <c r="A107">
        <f t="shared" ca="1" si="2"/>
        <v>61</v>
      </c>
      <c r="B107" s="104" t="s">
        <v>1288</v>
      </c>
      <c r="C107" s="16">
        <v>45218</v>
      </c>
      <c r="D107" s="6" t="s">
        <v>129</v>
      </c>
      <c r="E107" s="6" t="s">
        <v>3665</v>
      </c>
      <c r="F107" s="6"/>
      <c r="G107" s="106" t="s">
        <v>158</v>
      </c>
      <c r="H107" s="106" t="s">
        <v>34</v>
      </c>
      <c r="I107" s="49" t="s">
        <v>1289</v>
      </c>
      <c r="J107" s="6" t="s">
        <v>1276</v>
      </c>
      <c r="K107" s="6" t="str">
        <f>IF(E107="KTG","KTG",(VLOOKUP(J107,'list of outsource'!B:H,2,0)))</f>
        <v>UPM</v>
      </c>
      <c r="L107" s="6" t="s">
        <v>1277</v>
      </c>
      <c r="M107" s="6">
        <v>4</v>
      </c>
      <c r="N107" s="6" t="s">
        <v>1290</v>
      </c>
      <c r="O107" s="2" t="s">
        <v>3680</v>
      </c>
      <c r="P107" s="6" t="s">
        <v>1291</v>
      </c>
      <c r="Q107" s="6">
        <v>1278900502</v>
      </c>
      <c r="R107" s="16" t="s">
        <v>549</v>
      </c>
      <c r="S107" s="6">
        <v>4</v>
      </c>
      <c r="T107" s="6"/>
      <c r="U107" s="6" t="s">
        <v>39</v>
      </c>
      <c r="V107" s="17">
        <v>45279</v>
      </c>
      <c r="W107" s="16"/>
      <c r="Z107" t="e">
        <v>#N/A</v>
      </c>
    </row>
    <row r="108" spans="1:26" customFormat="1">
      <c r="A108">
        <f t="shared" ca="1" si="2"/>
        <v>61</v>
      </c>
      <c r="B108" s="104" t="s">
        <v>1292</v>
      </c>
      <c r="C108" s="16">
        <v>45218</v>
      </c>
      <c r="D108" s="6" t="s">
        <v>129</v>
      </c>
      <c r="E108" s="6" t="s">
        <v>3665</v>
      </c>
      <c r="F108" s="6"/>
      <c r="G108" s="106" t="s">
        <v>158</v>
      </c>
      <c r="H108" s="106" t="s">
        <v>34</v>
      </c>
      <c r="I108" s="49" t="s">
        <v>1293</v>
      </c>
      <c r="J108" s="6" t="s">
        <v>1276</v>
      </c>
      <c r="K108" s="6" t="str">
        <f>IF(E108="KTG","KTG",(VLOOKUP(J108,'list of outsource'!B:H,2,0)))</f>
        <v>UPM</v>
      </c>
      <c r="L108" s="6" t="s">
        <v>1277</v>
      </c>
      <c r="M108" s="6">
        <v>4</v>
      </c>
      <c r="N108" s="6" t="s">
        <v>1294</v>
      </c>
      <c r="O108" s="2" t="s">
        <v>3680</v>
      </c>
      <c r="P108" s="6" t="s">
        <v>1295</v>
      </c>
      <c r="Q108" s="6">
        <v>1278905318</v>
      </c>
      <c r="R108" s="16" t="s">
        <v>549</v>
      </c>
      <c r="S108" s="6">
        <v>4</v>
      </c>
      <c r="T108" s="6"/>
      <c r="U108" s="6" t="s">
        <v>39</v>
      </c>
      <c r="V108" s="17">
        <v>45279</v>
      </c>
      <c r="W108" s="16"/>
      <c r="Z108" t="e">
        <v>#N/A</v>
      </c>
    </row>
    <row r="109" spans="1:26" customFormat="1">
      <c r="A109">
        <f t="shared" ca="1" si="2"/>
        <v>50</v>
      </c>
      <c r="B109" s="104" t="s">
        <v>1313</v>
      </c>
      <c r="C109" s="16">
        <v>45229</v>
      </c>
      <c r="D109" s="6" t="s">
        <v>129</v>
      </c>
      <c r="E109" s="6" t="s">
        <v>3665</v>
      </c>
      <c r="F109" s="6"/>
      <c r="G109" s="106" t="s">
        <v>158</v>
      </c>
      <c r="H109" s="106" t="s">
        <v>34</v>
      </c>
      <c r="I109" s="49" t="s">
        <v>1314</v>
      </c>
      <c r="J109" s="6" t="s">
        <v>1276</v>
      </c>
      <c r="K109" s="6" t="str">
        <f>IF(E109="KTG","KTG",(VLOOKUP(J109,'list of outsource'!B:H,2,0)))</f>
        <v>UPM</v>
      </c>
      <c r="L109" s="6" t="s">
        <v>1277</v>
      </c>
      <c r="M109" s="6">
        <v>4</v>
      </c>
      <c r="N109" s="6" t="s">
        <v>1315</v>
      </c>
      <c r="O109" s="2" t="s">
        <v>3680</v>
      </c>
      <c r="P109" s="6" t="s">
        <v>1316</v>
      </c>
      <c r="Q109" s="6">
        <v>1286191261</v>
      </c>
      <c r="R109" s="16" t="s">
        <v>549</v>
      </c>
      <c r="S109" s="6">
        <v>4</v>
      </c>
      <c r="T109" s="6"/>
      <c r="U109" s="6" t="s">
        <v>39</v>
      </c>
      <c r="V109" s="17">
        <v>45279</v>
      </c>
      <c r="W109" s="16"/>
      <c r="Z109" t="e">
        <v>#N/A</v>
      </c>
    </row>
    <row r="110" spans="1:26" customFormat="1">
      <c r="A110">
        <f t="shared" ca="1" si="2"/>
        <v>50</v>
      </c>
      <c r="B110" s="104" t="s">
        <v>1317</v>
      </c>
      <c r="C110" s="16">
        <v>45229</v>
      </c>
      <c r="D110" s="6" t="s">
        <v>129</v>
      </c>
      <c r="E110" s="6" t="s">
        <v>3665</v>
      </c>
      <c r="F110" s="6"/>
      <c r="G110" s="106" t="s">
        <v>158</v>
      </c>
      <c r="H110" s="106" t="s">
        <v>34</v>
      </c>
      <c r="I110" s="49" t="s">
        <v>1318</v>
      </c>
      <c r="J110" s="6" t="s">
        <v>1276</v>
      </c>
      <c r="K110" s="6" t="str">
        <f>IF(E110="KTG","KTG",(VLOOKUP(J110,'list of outsource'!B:H,2,0)))</f>
        <v>UPM</v>
      </c>
      <c r="L110" s="6" t="s">
        <v>1277</v>
      </c>
      <c r="M110" s="6">
        <v>4</v>
      </c>
      <c r="N110" s="6" t="s">
        <v>1319</v>
      </c>
      <c r="O110" s="2" t="s">
        <v>3680</v>
      </c>
      <c r="P110" s="6" t="s">
        <v>1320</v>
      </c>
      <c r="Q110" s="6">
        <v>1286196709</v>
      </c>
      <c r="R110" s="16" t="s">
        <v>549</v>
      </c>
      <c r="S110" s="6">
        <v>4</v>
      </c>
      <c r="T110" s="6"/>
      <c r="U110" s="6" t="s">
        <v>39</v>
      </c>
      <c r="V110" s="17">
        <v>45279</v>
      </c>
      <c r="W110" s="16"/>
      <c r="Z110" t="e">
        <v>#N/A</v>
      </c>
    </row>
    <row r="111" spans="1:26" customFormat="1">
      <c r="A111">
        <f t="shared" ca="1" si="2"/>
        <v>50</v>
      </c>
      <c r="B111" s="104" t="s">
        <v>1321</v>
      </c>
      <c r="C111" s="16">
        <v>45229</v>
      </c>
      <c r="D111" s="6" t="s">
        <v>129</v>
      </c>
      <c r="E111" s="6" t="s">
        <v>3665</v>
      </c>
      <c r="F111" s="6"/>
      <c r="G111" s="106" t="s">
        <v>158</v>
      </c>
      <c r="H111" s="106" t="s">
        <v>34</v>
      </c>
      <c r="I111" s="49" t="s">
        <v>1322</v>
      </c>
      <c r="J111" s="6" t="s">
        <v>1276</v>
      </c>
      <c r="K111" s="6" t="str">
        <f>IF(E111="KTG","KTG",(VLOOKUP(J111,'list of outsource'!B:H,2,0)))</f>
        <v>UPM</v>
      </c>
      <c r="L111" s="6" t="s">
        <v>1277</v>
      </c>
      <c r="M111" s="6">
        <v>4</v>
      </c>
      <c r="N111" s="6" t="s">
        <v>1323</v>
      </c>
      <c r="O111" s="2" t="s">
        <v>3680</v>
      </c>
      <c r="P111" s="6" t="s">
        <v>1324</v>
      </c>
      <c r="Q111" s="6">
        <v>1286708271</v>
      </c>
      <c r="R111" s="16" t="s">
        <v>549</v>
      </c>
      <c r="S111" s="6">
        <v>4</v>
      </c>
      <c r="T111" s="6"/>
      <c r="U111" s="6" t="s">
        <v>39</v>
      </c>
      <c r="V111" s="17">
        <v>45279</v>
      </c>
      <c r="W111" s="16"/>
      <c r="Z111" t="e">
        <v>#N/A</v>
      </c>
    </row>
    <row r="112" spans="1:26" customFormat="1">
      <c r="A112">
        <f t="shared" ca="1" si="2"/>
        <v>50</v>
      </c>
      <c r="B112" s="104" t="s">
        <v>1325</v>
      </c>
      <c r="C112" s="16">
        <v>45229</v>
      </c>
      <c r="D112" s="6" t="s">
        <v>129</v>
      </c>
      <c r="E112" s="6" t="s">
        <v>3665</v>
      </c>
      <c r="F112" s="6"/>
      <c r="G112" s="106" t="s">
        <v>158</v>
      </c>
      <c r="H112" s="106" t="s">
        <v>34</v>
      </c>
      <c r="I112" s="49" t="s">
        <v>1326</v>
      </c>
      <c r="J112" s="6" t="s">
        <v>1276</v>
      </c>
      <c r="K112" s="6" t="str">
        <f>IF(E112="KTG","KTG",(VLOOKUP(J112,'list of outsource'!B:H,2,0)))</f>
        <v>UPM</v>
      </c>
      <c r="L112" s="6" t="s">
        <v>1277</v>
      </c>
      <c r="M112" s="6">
        <v>4</v>
      </c>
      <c r="N112" s="6" t="s">
        <v>1327</v>
      </c>
      <c r="O112" s="2" t="s">
        <v>3680</v>
      </c>
      <c r="P112" s="6" t="s">
        <v>1328</v>
      </c>
      <c r="Q112" s="6">
        <v>1286709314</v>
      </c>
      <c r="R112" s="16" t="s">
        <v>549</v>
      </c>
      <c r="S112" s="6">
        <v>4</v>
      </c>
      <c r="T112" s="6"/>
      <c r="U112" s="6" t="s">
        <v>39</v>
      </c>
      <c r="V112" s="17">
        <v>45279</v>
      </c>
      <c r="W112" s="16"/>
      <c r="Z112" t="e">
        <v>#N/A</v>
      </c>
    </row>
    <row r="113" spans="1:26" customFormat="1">
      <c r="A113">
        <f t="shared" ca="1" si="2"/>
        <v>50</v>
      </c>
      <c r="B113" s="104" t="s">
        <v>1329</v>
      </c>
      <c r="C113" s="16">
        <v>45229</v>
      </c>
      <c r="D113" s="6" t="s">
        <v>129</v>
      </c>
      <c r="E113" s="6" t="s">
        <v>3665</v>
      </c>
      <c r="F113" s="6"/>
      <c r="G113" s="106" t="s">
        <v>158</v>
      </c>
      <c r="H113" s="106" t="s">
        <v>34</v>
      </c>
      <c r="I113" s="49" t="s">
        <v>1330</v>
      </c>
      <c r="J113" s="6" t="s">
        <v>1276</v>
      </c>
      <c r="K113" s="6" t="str">
        <f>IF(E113="KTG","KTG",(VLOOKUP(J113,'list of outsource'!B:H,2,0)))</f>
        <v>UPM</v>
      </c>
      <c r="L113" s="6" t="s">
        <v>1277</v>
      </c>
      <c r="M113" s="6">
        <v>4</v>
      </c>
      <c r="N113" s="6" t="s">
        <v>1331</v>
      </c>
      <c r="O113" s="2" t="s">
        <v>3680</v>
      </c>
      <c r="P113" s="6" t="s">
        <v>1332</v>
      </c>
      <c r="Q113" s="6">
        <v>1286710225</v>
      </c>
      <c r="R113" s="16" t="s">
        <v>549</v>
      </c>
      <c r="S113" s="6">
        <v>4</v>
      </c>
      <c r="T113" s="6"/>
      <c r="U113" s="6" t="s">
        <v>39</v>
      </c>
      <c r="V113" s="17">
        <v>45279</v>
      </c>
      <c r="W113" s="16"/>
      <c r="Z113" t="e">
        <v>#N/A</v>
      </c>
    </row>
    <row r="114" spans="1:26" customFormat="1">
      <c r="A114">
        <f t="shared" ca="1" si="2"/>
        <v>50</v>
      </c>
      <c r="B114" s="104" t="s">
        <v>1333</v>
      </c>
      <c r="C114" s="16">
        <v>45229</v>
      </c>
      <c r="D114" s="6" t="s">
        <v>129</v>
      </c>
      <c r="E114" s="6" t="s">
        <v>3665</v>
      </c>
      <c r="F114" s="6"/>
      <c r="G114" s="106" t="s">
        <v>158</v>
      </c>
      <c r="H114" s="106" t="s">
        <v>34</v>
      </c>
      <c r="I114" s="49" t="s">
        <v>1334</v>
      </c>
      <c r="J114" s="6" t="s">
        <v>1276</v>
      </c>
      <c r="K114" s="6" t="str">
        <f>IF(E114="KTG","KTG",(VLOOKUP(J114,'list of outsource'!B:H,2,0)))</f>
        <v>UPM</v>
      </c>
      <c r="L114" s="6" t="s">
        <v>1277</v>
      </c>
      <c r="M114" s="6">
        <v>4</v>
      </c>
      <c r="N114" s="6" t="s">
        <v>1335</v>
      </c>
      <c r="O114" s="2" t="s">
        <v>3680</v>
      </c>
      <c r="P114" s="6" t="s">
        <v>1336</v>
      </c>
      <c r="Q114" s="6">
        <v>1285187444</v>
      </c>
      <c r="R114" s="16" t="s">
        <v>549</v>
      </c>
      <c r="S114" s="6">
        <v>4</v>
      </c>
      <c r="T114" s="6"/>
      <c r="U114" s="6" t="s">
        <v>39</v>
      </c>
      <c r="V114" s="17">
        <v>45279</v>
      </c>
      <c r="W114" s="16"/>
      <c r="Z114" t="e">
        <v>#N/A</v>
      </c>
    </row>
    <row r="115" spans="1:26" customFormat="1">
      <c r="A115">
        <f t="shared" ca="1" si="2"/>
        <v>50</v>
      </c>
      <c r="B115" s="104" t="s">
        <v>1337</v>
      </c>
      <c r="C115" s="16">
        <v>45229</v>
      </c>
      <c r="D115" s="6" t="s">
        <v>129</v>
      </c>
      <c r="E115" s="6" t="s">
        <v>3665</v>
      </c>
      <c r="F115" s="6"/>
      <c r="G115" s="106" t="s">
        <v>158</v>
      </c>
      <c r="H115" s="106" t="s">
        <v>34</v>
      </c>
      <c r="I115" s="49" t="s">
        <v>1338</v>
      </c>
      <c r="J115" s="6" t="s">
        <v>1276</v>
      </c>
      <c r="K115" s="6" t="str">
        <f>IF(E115="KTG","KTG",(VLOOKUP(J115,'list of outsource'!B:H,2,0)))</f>
        <v>UPM</v>
      </c>
      <c r="L115" s="6" t="s">
        <v>1277</v>
      </c>
      <c r="M115" s="6">
        <v>4</v>
      </c>
      <c r="N115" s="6" t="s">
        <v>1339</v>
      </c>
      <c r="O115" s="2" t="s">
        <v>3680</v>
      </c>
      <c r="P115" s="6" t="s">
        <v>1340</v>
      </c>
      <c r="Q115" s="6">
        <v>1286189209</v>
      </c>
      <c r="R115" s="16" t="s">
        <v>549</v>
      </c>
      <c r="S115" s="6">
        <v>4</v>
      </c>
      <c r="T115" s="6"/>
      <c r="U115" s="6" t="s">
        <v>39</v>
      </c>
      <c r="V115" s="17">
        <v>45279</v>
      </c>
      <c r="W115" s="16"/>
      <c r="Z115" t="e">
        <v>#N/A</v>
      </c>
    </row>
    <row r="116" spans="1:26" customFormat="1">
      <c r="A116">
        <f t="shared" ca="1" si="2"/>
        <v>50</v>
      </c>
      <c r="B116" s="104" t="s">
        <v>1341</v>
      </c>
      <c r="C116" s="16">
        <v>45229</v>
      </c>
      <c r="D116" s="6" t="s">
        <v>129</v>
      </c>
      <c r="E116" s="6" t="s">
        <v>3665</v>
      </c>
      <c r="F116" s="6"/>
      <c r="G116" s="106" t="s">
        <v>158</v>
      </c>
      <c r="H116" s="106" t="s">
        <v>34</v>
      </c>
      <c r="I116" s="49" t="s">
        <v>1342</v>
      </c>
      <c r="J116" s="6" t="s">
        <v>1276</v>
      </c>
      <c r="K116" s="6" t="str">
        <f>IF(E116="KTG","KTG",(VLOOKUP(J116,'list of outsource'!B:H,2,0)))</f>
        <v>UPM</v>
      </c>
      <c r="L116" s="6" t="s">
        <v>1277</v>
      </c>
      <c r="M116" s="6">
        <v>4</v>
      </c>
      <c r="N116" s="6" t="s">
        <v>1343</v>
      </c>
      <c r="O116" s="2" t="s">
        <v>3680</v>
      </c>
      <c r="P116" s="6" t="s">
        <v>1344</v>
      </c>
      <c r="Q116" s="6">
        <v>1286189984</v>
      </c>
      <c r="R116" s="16" t="s">
        <v>549</v>
      </c>
      <c r="S116" s="6">
        <v>4</v>
      </c>
      <c r="T116" s="6"/>
      <c r="U116" s="6" t="s">
        <v>39</v>
      </c>
      <c r="V116" s="17">
        <v>45279</v>
      </c>
      <c r="W116" s="16"/>
      <c r="Z116" t="e">
        <v>#N/A</v>
      </c>
    </row>
    <row r="117" spans="1:26" customFormat="1">
      <c r="A117">
        <f t="shared" ca="1" si="2"/>
        <v>50</v>
      </c>
      <c r="B117" s="104" t="s">
        <v>1345</v>
      </c>
      <c r="C117" s="16">
        <v>45229</v>
      </c>
      <c r="D117" s="6" t="s">
        <v>129</v>
      </c>
      <c r="E117" s="6" t="s">
        <v>3665</v>
      </c>
      <c r="F117" s="6"/>
      <c r="G117" s="106" t="s">
        <v>158</v>
      </c>
      <c r="H117" s="106" t="s">
        <v>34</v>
      </c>
      <c r="I117" s="49" t="s">
        <v>1346</v>
      </c>
      <c r="J117" s="6" t="s">
        <v>1276</v>
      </c>
      <c r="K117" s="6" t="str">
        <f>IF(E117="KTG","KTG",(VLOOKUP(J117,'list of outsource'!B:H,2,0)))</f>
        <v>UPM</v>
      </c>
      <c r="L117" s="6" t="s">
        <v>1277</v>
      </c>
      <c r="M117" s="6">
        <v>4</v>
      </c>
      <c r="N117" s="6" t="s">
        <v>1347</v>
      </c>
      <c r="O117" s="2" t="s">
        <v>3680</v>
      </c>
      <c r="P117" s="6" t="s">
        <v>1348</v>
      </c>
      <c r="Q117" s="6">
        <v>1286190651</v>
      </c>
      <c r="R117" s="16" t="s">
        <v>549</v>
      </c>
      <c r="S117" s="6">
        <v>4</v>
      </c>
      <c r="T117" s="6"/>
      <c r="U117" s="6" t="s">
        <v>39</v>
      </c>
      <c r="V117" s="17">
        <v>45279</v>
      </c>
      <c r="W117" s="16"/>
      <c r="Z117" t="e">
        <v>#N/A</v>
      </c>
    </row>
    <row r="118" spans="1:26" customFormat="1">
      <c r="A118">
        <f t="shared" ca="1" si="2"/>
        <v>50</v>
      </c>
      <c r="B118" s="104" t="s">
        <v>1349</v>
      </c>
      <c r="C118" s="16">
        <v>45229</v>
      </c>
      <c r="D118" s="6" t="s">
        <v>129</v>
      </c>
      <c r="E118" s="6" t="s">
        <v>3665</v>
      </c>
      <c r="F118" s="6"/>
      <c r="G118" s="106" t="s">
        <v>158</v>
      </c>
      <c r="H118" s="106" t="s">
        <v>34</v>
      </c>
      <c r="I118" s="49" t="s">
        <v>1350</v>
      </c>
      <c r="J118" s="6" t="s">
        <v>1276</v>
      </c>
      <c r="K118" s="6" t="str">
        <f>IF(E118="KTG","KTG",(VLOOKUP(J118,'list of outsource'!B:H,2,0)))</f>
        <v>UPM</v>
      </c>
      <c r="L118" s="6" t="s">
        <v>1277</v>
      </c>
      <c r="M118" s="6">
        <v>4</v>
      </c>
      <c r="N118" s="6" t="s">
        <v>1351</v>
      </c>
      <c r="O118" s="2" t="s">
        <v>3680</v>
      </c>
      <c r="P118" s="6" t="s">
        <v>1352</v>
      </c>
      <c r="Q118" s="6">
        <v>1286191648</v>
      </c>
      <c r="R118" s="16" t="s">
        <v>549</v>
      </c>
      <c r="S118" s="6">
        <v>4</v>
      </c>
      <c r="T118" s="6"/>
      <c r="U118" s="6" t="s">
        <v>39</v>
      </c>
      <c r="V118" s="17">
        <v>45279</v>
      </c>
      <c r="W118" s="16"/>
      <c r="Z118" t="e">
        <v>#N/A</v>
      </c>
    </row>
    <row r="119" spans="1:26" customFormat="1" hidden="1">
      <c r="A119">
        <f t="shared" ca="1" si="2"/>
        <v>42724</v>
      </c>
      <c r="B119" s="4" t="s">
        <v>433</v>
      </c>
      <c r="C119" s="12">
        <v>2022</v>
      </c>
      <c r="D119" s="4" t="s">
        <v>129</v>
      </c>
      <c r="E119" s="4" t="s">
        <v>3665</v>
      </c>
      <c r="F119" s="4">
        <v>114</v>
      </c>
      <c r="G119" s="4" t="s">
        <v>33</v>
      </c>
      <c r="H119" s="4" t="s">
        <v>34</v>
      </c>
      <c r="I119" s="4">
        <v>95821077</v>
      </c>
      <c r="J119" s="4" t="s">
        <v>89</v>
      </c>
      <c r="K119" s="4" t="str">
        <f>IF(E119="KTG","KTG",(VLOOKUP(J119,'list of outsource'!B:H,2,0)))</f>
        <v>UPM</v>
      </c>
      <c r="L119" s="4" t="s">
        <v>90</v>
      </c>
      <c r="M119" s="4"/>
      <c r="N119" s="4" t="s">
        <v>434</v>
      </c>
      <c r="O119" s="2"/>
      <c r="P119" s="4" t="s">
        <v>435</v>
      </c>
      <c r="Q119" s="4"/>
      <c r="R119" s="12"/>
      <c r="S119" s="4">
        <v>2</v>
      </c>
      <c r="T119" s="4"/>
      <c r="U119" s="4" t="s">
        <v>39</v>
      </c>
      <c r="V119" s="10">
        <v>44746</v>
      </c>
      <c r="W119" s="12"/>
    </row>
    <row r="120" spans="1:26" customFormat="1" hidden="1">
      <c r="A120">
        <f t="shared" ca="1" si="2"/>
        <v>18</v>
      </c>
      <c r="B120" s="4" t="s">
        <v>2668</v>
      </c>
      <c r="C120" s="12">
        <v>45838</v>
      </c>
      <c r="D120" s="4" t="s">
        <v>300</v>
      </c>
      <c r="E120" s="4" t="s">
        <v>3662</v>
      </c>
      <c r="F120" s="4">
        <v>115</v>
      </c>
      <c r="G120" s="4" t="s">
        <v>33</v>
      </c>
      <c r="H120" s="4" t="s">
        <v>34</v>
      </c>
      <c r="I120" s="4">
        <v>95849363</v>
      </c>
      <c r="J120" s="4" t="s">
        <v>525</v>
      </c>
      <c r="K120" s="4" t="str">
        <f>IF(E120="KTG","KTG",(VLOOKUP(J120,'list of outsource'!B:H,2,0)))</f>
        <v>ETC</v>
      </c>
      <c r="L120" s="4" t="s">
        <v>526</v>
      </c>
      <c r="M120" s="4">
        <v>20</v>
      </c>
      <c r="N120" s="4" t="s">
        <v>1765</v>
      </c>
      <c r="O120" s="2"/>
      <c r="P120" s="4" t="s">
        <v>1766</v>
      </c>
      <c r="Q120" s="4" t="s">
        <v>2669</v>
      </c>
      <c r="R120" s="12"/>
      <c r="S120" s="4">
        <v>4</v>
      </c>
      <c r="T120" s="4" t="s">
        <v>307</v>
      </c>
      <c r="U120" s="4" t="s">
        <v>39</v>
      </c>
      <c r="V120" s="10">
        <v>45856</v>
      </c>
      <c r="W120" s="12">
        <v>45860</v>
      </c>
      <c r="X120" t="s">
        <v>2171</v>
      </c>
      <c r="Z120" t="e">
        <v>#N/A</v>
      </c>
    </row>
    <row r="121" spans="1:26" customFormat="1" hidden="1">
      <c r="A121">
        <f t="shared" ca="1" si="2"/>
        <v>18</v>
      </c>
      <c r="B121" s="4" t="s">
        <v>2670</v>
      </c>
      <c r="C121" s="12">
        <v>45838</v>
      </c>
      <c r="D121" s="4" t="s">
        <v>300</v>
      </c>
      <c r="E121" s="4" t="s">
        <v>3663</v>
      </c>
      <c r="F121" s="4">
        <v>111</v>
      </c>
      <c r="G121" s="4" t="s">
        <v>33</v>
      </c>
      <c r="H121" s="4" t="s">
        <v>34</v>
      </c>
      <c r="I121" s="4">
        <v>95850698</v>
      </c>
      <c r="J121" s="4"/>
      <c r="K121" s="4" t="e">
        <f>IF(E121="KTG","KTG",(VLOOKUP(J121,'list of outsource'!B:H,2,0)))</f>
        <v>#N/A</v>
      </c>
      <c r="L121" s="4"/>
      <c r="M121" s="4"/>
      <c r="N121" s="4" t="s">
        <v>2671</v>
      </c>
      <c r="O121" s="2"/>
      <c r="P121" s="4" t="s">
        <v>2672</v>
      </c>
      <c r="Q121" s="4"/>
      <c r="R121" s="12"/>
      <c r="S121" s="4">
        <v>4</v>
      </c>
      <c r="T121" s="4" t="s">
        <v>307</v>
      </c>
      <c r="U121" s="4" t="s">
        <v>39</v>
      </c>
      <c r="V121" s="10">
        <v>45856</v>
      </c>
      <c r="W121" s="12">
        <v>45860</v>
      </c>
      <c r="X121" t="s">
        <v>2171</v>
      </c>
      <c r="Z121" t="e">
        <v>#N/A</v>
      </c>
    </row>
    <row r="122" spans="1:26" customFormat="1" hidden="1">
      <c r="A122">
        <f t="shared" ca="1" si="2"/>
        <v>18</v>
      </c>
      <c r="B122" s="4" t="s">
        <v>2673</v>
      </c>
      <c r="C122" s="12">
        <v>45838</v>
      </c>
      <c r="D122" s="4" t="s">
        <v>300</v>
      </c>
      <c r="E122" s="4" t="s">
        <v>3663</v>
      </c>
      <c r="F122" s="4">
        <v>109</v>
      </c>
      <c r="G122" s="4" t="s">
        <v>33</v>
      </c>
      <c r="H122" s="4" t="s">
        <v>34</v>
      </c>
      <c r="I122" s="4">
        <v>95890015</v>
      </c>
      <c r="J122" s="4"/>
      <c r="K122" s="4" t="e">
        <f>IF(E122="KTG","KTG",(VLOOKUP(J122,'list of outsource'!B:H,2,0)))</f>
        <v>#N/A</v>
      </c>
      <c r="L122" s="4"/>
      <c r="M122" s="4"/>
      <c r="N122" s="4" t="s">
        <v>2674</v>
      </c>
      <c r="O122" s="2"/>
      <c r="P122" s="4" t="s">
        <v>2675</v>
      </c>
      <c r="Q122" s="4"/>
      <c r="R122" s="12"/>
      <c r="S122" s="4">
        <v>4</v>
      </c>
      <c r="T122" s="4" t="s">
        <v>307</v>
      </c>
      <c r="U122" s="4" t="s">
        <v>39</v>
      </c>
      <c r="V122" s="10">
        <v>45856</v>
      </c>
      <c r="W122" s="12">
        <v>45860</v>
      </c>
      <c r="X122" t="s">
        <v>2171</v>
      </c>
      <c r="Z122" t="e">
        <v>#N/A</v>
      </c>
    </row>
    <row r="123" spans="1:26" customFormat="1" hidden="1">
      <c r="A123">
        <f t="shared" ca="1" si="2"/>
        <v>20</v>
      </c>
      <c r="B123" s="4" t="s">
        <v>3110</v>
      </c>
      <c r="C123" s="12">
        <v>45926</v>
      </c>
      <c r="D123" s="4" t="s">
        <v>300</v>
      </c>
      <c r="E123" s="4" t="s">
        <v>3663</v>
      </c>
      <c r="F123" s="4">
        <v>110</v>
      </c>
      <c r="G123" s="4" t="s">
        <v>33</v>
      </c>
      <c r="H123" s="4" t="s">
        <v>34</v>
      </c>
      <c r="I123" s="4">
        <v>95850340</v>
      </c>
      <c r="J123" s="4"/>
      <c r="K123" s="4" t="e">
        <f>IF(E123="KTG","KTG",(VLOOKUP(J123,'list of outsource'!B:H,2,0)))</f>
        <v>#N/A</v>
      </c>
      <c r="L123" s="4"/>
      <c r="M123" s="4"/>
      <c r="N123" s="4" t="s">
        <v>3111</v>
      </c>
      <c r="O123" s="2"/>
      <c r="P123" s="4" t="s">
        <v>3112</v>
      </c>
      <c r="Q123" s="4"/>
      <c r="R123" s="12">
        <v>45943</v>
      </c>
      <c r="S123" s="4">
        <v>4</v>
      </c>
      <c r="T123" s="4" t="s">
        <v>307</v>
      </c>
      <c r="U123" s="4" t="s">
        <v>39</v>
      </c>
      <c r="V123" s="10">
        <v>45946</v>
      </c>
      <c r="W123" s="12">
        <v>45947</v>
      </c>
      <c r="X123" t="s">
        <v>2171</v>
      </c>
    </row>
    <row r="124" spans="1:26" customFormat="1">
      <c r="A124">
        <f t="shared" ca="1" si="2"/>
        <v>50</v>
      </c>
      <c r="B124" s="104" t="s">
        <v>1353</v>
      </c>
      <c r="C124" s="16">
        <v>45229</v>
      </c>
      <c r="D124" s="6" t="s">
        <v>129</v>
      </c>
      <c r="E124" s="6" t="s">
        <v>3665</v>
      </c>
      <c r="F124" s="6"/>
      <c r="G124" s="106" t="s">
        <v>158</v>
      </c>
      <c r="H124" s="106" t="s">
        <v>34</v>
      </c>
      <c r="I124" s="49" t="s">
        <v>1354</v>
      </c>
      <c r="J124" s="6" t="s">
        <v>1276</v>
      </c>
      <c r="K124" s="6" t="str">
        <f>IF(E124="KTG","KTG",(VLOOKUP(J124,'list of outsource'!B:H,2,0)))</f>
        <v>UPM</v>
      </c>
      <c r="L124" s="6" t="s">
        <v>1277</v>
      </c>
      <c r="M124" s="6">
        <v>4</v>
      </c>
      <c r="N124" s="6" t="s">
        <v>1355</v>
      </c>
      <c r="O124" s="2" t="s">
        <v>3680</v>
      </c>
      <c r="P124" s="6" t="s">
        <v>1356</v>
      </c>
      <c r="Q124" s="6">
        <v>1286192312</v>
      </c>
      <c r="R124" s="16" t="s">
        <v>549</v>
      </c>
      <c r="S124" s="6">
        <v>4</v>
      </c>
      <c r="T124" s="6"/>
      <c r="U124" s="6" t="s">
        <v>39</v>
      </c>
      <c r="V124" s="17">
        <v>45279</v>
      </c>
      <c r="W124" s="16"/>
      <c r="Z124" t="e">
        <v>#N/A</v>
      </c>
    </row>
    <row r="125" spans="1:26" customFormat="1">
      <c r="A125">
        <f t="shared" ca="1" si="2"/>
        <v>546</v>
      </c>
      <c r="B125" s="49" t="s">
        <v>1945</v>
      </c>
      <c r="C125" s="12">
        <v>45462</v>
      </c>
      <c r="D125" s="4" t="s">
        <v>1946</v>
      </c>
      <c r="E125" s="4" t="s">
        <v>3662</v>
      </c>
      <c r="F125" s="4"/>
      <c r="G125" s="106" t="s">
        <v>158</v>
      </c>
      <c r="H125" s="106" t="s">
        <v>34</v>
      </c>
      <c r="I125" s="49" t="s">
        <v>1947</v>
      </c>
      <c r="J125" s="4" t="s">
        <v>1948</v>
      </c>
      <c r="K125" s="4" t="str">
        <f>IF(E125="KTG","KTG",(VLOOKUP(J125,'list of outsource'!B:H,2,0)))</f>
        <v>Pass</v>
      </c>
      <c r="L125" s="4" t="s">
        <v>1949</v>
      </c>
      <c r="M125" s="4"/>
      <c r="N125" s="4" t="s">
        <v>1950</v>
      </c>
      <c r="O125" s="2" t="s">
        <v>3680</v>
      </c>
      <c r="P125" s="4" t="s">
        <v>1951</v>
      </c>
      <c r="Q125" s="4"/>
      <c r="R125" s="12">
        <v>45503</v>
      </c>
      <c r="S125" s="4">
        <v>4</v>
      </c>
      <c r="T125" s="4" t="s">
        <v>1258</v>
      </c>
      <c r="U125" s="4" t="s">
        <v>39</v>
      </c>
      <c r="V125" s="10"/>
      <c r="W125" s="12"/>
      <c r="Z125" t="e">
        <v>#N/A</v>
      </c>
    </row>
    <row r="126" spans="1:26" customFormat="1">
      <c r="A126">
        <f t="shared" ca="1" si="2"/>
        <v>0</v>
      </c>
      <c r="B126" s="104" t="s">
        <v>2548</v>
      </c>
      <c r="C126" s="12">
        <v>45793</v>
      </c>
      <c r="D126" s="4" t="s">
        <v>2549</v>
      </c>
      <c r="E126" s="4" t="s">
        <v>3663</v>
      </c>
      <c r="F126" s="4"/>
      <c r="G126" s="106" t="s">
        <v>158</v>
      </c>
      <c r="H126" s="106" t="s">
        <v>34</v>
      </c>
      <c r="I126" s="49" t="s">
        <v>2550</v>
      </c>
      <c r="J126" s="4"/>
      <c r="K126" s="4" t="e">
        <f>IF(E126="KTG","KTG",(VLOOKUP(J126,'list of outsource'!B:H,2,0)))</f>
        <v>#N/A</v>
      </c>
      <c r="L126" s="4"/>
      <c r="M126" s="47"/>
      <c r="N126" s="4" t="s">
        <v>2551</v>
      </c>
      <c r="O126" s="2" t="s">
        <v>3680</v>
      </c>
      <c r="P126" s="4" t="s">
        <v>2552</v>
      </c>
      <c r="Q126" s="4"/>
      <c r="R126" s="12"/>
      <c r="S126" s="4">
        <v>1</v>
      </c>
      <c r="T126" s="4" t="s">
        <v>307</v>
      </c>
      <c r="U126" s="4" t="s">
        <v>183</v>
      </c>
      <c r="V126" s="10">
        <v>45793</v>
      </c>
      <c r="W126" s="12">
        <v>43329</v>
      </c>
      <c r="X126" t="s">
        <v>2171</v>
      </c>
      <c r="Y126" t="s">
        <v>2553</v>
      </c>
      <c r="Z126" t="e">
        <v>#N/A</v>
      </c>
    </row>
    <row r="127" spans="1:26" customFormat="1">
      <c r="A127">
        <f t="shared" ca="1" si="2"/>
        <v>35</v>
      </c>
      <c r="B127" s="104" t="s">
        <v>2572</v>
      </c>
      <c r="C127" s="16">
        <v>45800</v>
      </c>
      <c r="D127" s="6" t="s">
        <v>129</v>
      </c>
      <c r="E127" s="6" t="s">
        <v>3665</v>
      </c>
      <c r="F127" s="6"/>
      <c r="G127" s="106" t="s">
        <v>158</v>
      </c>
      <c r="H127" s="106" t="s">
        <v>34</v>
      </c>
      <c r="I127" s="49" t="s">
        <v>2573</v>
      </c>
      <c r="J127" s="6" t="s">
        <v>108</v>
      </c>
      <c r="K127" s="6" t="str">
        <f>IF(E127="KTG","KTG",(VLOOKUP(J127,'list of outsource'!B:H,2,0)))</f>
        <v>UPM</v>
      </c>
      <c r="L127" s="6" t="s">
        <v>109</v>
      </c>
      <c r="M127" s="6">
        <v>45</v>
      </c>
      <c r="N127" s="6" t="s">
        <v>2574</v>
      </c>
      <c r="O127" s="2" t="s">
        <v>3680</v>
      </c>
      <c r="P127" s="6" t="s">
        <v>2575</v>
      </c>
      <c r="Q127" s="6" t="s">
        <v>2576</v>
      </c>
      <c r="R127" s="16"/>
      <c r="S127" s="6">
        <v>4</v>
      </c>
      <c r="T127" s="6" t="s">
        <v>607</v>
      </c>
      <c r="U127" s="6" t="s">
        <v>39</v>
      </c>
      <c r="V127" s="17">
        <v>45835</v>
      </c>
      <c r="W127" s="16"/>
      <c r="X127" t="s">
        <v>2171</v>
      </c>
      <c r="Z127" t="s">
        <v>2577</v>
      </c>
    </row>
    <row r="128" spans="1:26" customFormat="1">
      <c r="A128">
        <f t="shared" ca="1" si="2"/>
        <v>0</v>
      </c>
      <c r="B128" s="104" t="s">
        <v>2613</v>
      </c>
      <c r="C128" s="12">
        <v>45818</v>
      </c>
      <c r="D128" s="4" t="s">
        <v>2549</v>
      </c>
      <c r="E128" s="4" t="s">
        <v>3663</v>
      </c>
      <c r="F128" s="4"/>
      <c r="G128" s="106" t="s">
        <v>158</v>
      </c>
      <c r="H128" s="106" t="s">
        <v>34</v>
      </c>
      <c r="I128" s="49" t="s">
        <v>2614</v>
      </c>
      <c r="J128" s="4"/>
      <c r="K128" s="4" t="e">
        <f>IF(E128="KTG","KTG",(VLOOKUP(J128,'list of outsource'!B:H,2,0)))</f>
        <v>#N/A</v>
      </c>
      <c r="L128" s="4"/>
      <c r="M128" s="47"/>
      <c r="N128" s="4" t="s">
        <v>2615</v>
      </c>
      <c r="O128" s="2" t="s">
        <v>3680</v>
      </c>
      <c r="P128" s="4" t="s">
        <v>2616</v>
      </c>
      <c r="Q128" s="4"/>
      <c r="R128" s="12"/>
      <c r="S128" s="4">
        <v>1</v>
      </c>
      <c r="T128" s="4" t="s">
        <v>1258</v>
      </c>
      <c r="U128" s="4" t="s">
        <v>183</v>
      </c>
      <c r="V128" s="10">
        <v>45818</v>
      </c>
      <c r="W128" s="12">
        <v>43348</v>
      </c>
      <c r="X128" t="s">
        <v>2171</v>
      </c>
      <c r="Z128" t="e">
        <v>#N/A</v>
      </c>
    </row>
    <row r="129" spans="1:26" customFormat="1">
      <c r="A129">
        <f t="shared" ca="1" si="2"/>
        <v>36</v>
      </c>
      <c r="B129" s="104" t="s">
        <v>2690</v>
      </c>
      <c r="C129" s="16">
        <v>45838</v>
      </c>
      <c r="D129" s="6" t="s">
        <v>1946</v>
      </c>
      <c r="E129" s="6" t="s">
        <v>3665</v>
      </c>
      <c r="F129" s="6"/>
      <c r="G129" s="106" t="s">
        <v>158</v>
      </c>
      <c r="H129" s="106" t="s">
        <v>34</v>
      </c>
      <c r="I129" s="49" t="s">
        <v>2691</v>
      </c>
      <c r="J129" s="6" t="s">
        <v>108</v>
      </c>
      <c r="K129" s="6" t="str">
        <f>IF(E129="KTG","KTG",(VLOOKUP(J129,'list of outsource'!B:H,2,0)))</f>
        <v>UPM</v>
      </c>
      <c r="L129" s="6" t="s">
        <v>109</v>
      </c>
      <c r="M129" s="6"/>
      <c r="N129" s="6" t="s">
        <v>2692</v>
      </c>
      <c r="O129" s="2" t="s">
        <v>3680</v>
      </c>
      <c r="P129" s="6" t="s">
        <v>2693</v>
      </c>
      <c r="Q129" s="6"/>
      <c r="R129" s="16"/>
      <c r="S129" s="6">
        <v>4</v>
      </c>
      <c r="T129" s="6" t="s">
        <v>307</v>
      </c>
      <c r="U129" s="6" t="s">
        <v>39</v>
      </c>
      <c r="V129" s="17">
        <v>45874</v>
      </c>
      <c r="W129" s="16"/>
      <c r="X129" t="s">
        <v>2171</v>
      </c>
      <c r="Z129" t="e">
        <v>#N/A</v>
      </c>
    </row>
    <row r="130" spans="1:26" customFormat="1">
      <c r="A130">
        <f t="shared" ca="1" si="2"/>
        <v>28</v>
      </c>
      <c r="B130" s="104" t="s">
        <v>2875</v>
      </c>
      <c r="C130" s="16">
        <v>45852</v>
      </c>
      <c r="D130" s="6" t="s">
        <v>129</v>
      </c>
      <c r="E130" s="6" t="s">
        <v>3665</v>
      </c>
      <c r="F130" s="6"/>
      <c r="G130" s="106" t="s">
        <v>158</v>
      </c>
      <c r="H130" s="106" t="s">
        <v>34</v>
      </c>
      <c r="I130" s="49" t="s">
        <v>2876</v>
      </c>
      <c r="J130" s="6" t="s">
        <v>108</v>
      </c>
      <c r="K130" s="6" t="str">
        <f>IF(E130="KTG","KTG",(VLOOKUP(J130,'list of outsource'!B:H,2,0)))</f>
        <v>UPM</v>
      </c>
      <c r="L130" s="6" t="s">
        <v>109</v>
      </c>
      <c r="M130" s="6">
        <v>46</v>
      </c>
      <c r="N130" s="6" t="s">
        <v>431</v>
      </c>
      <c r="O130" s="2" t="s">
        <v>3680</v>
      </c>
      <c r="P130" s="6" t="s">
        <v>667</v>
      </c>
      <c r="Q130" s="6" t="s">
        <v>2877</v>
      </c>
      <c r="R130" s="16"/>
      <c r="S130" s="6">
        <v>4</v>
      </c>
      <c r="T130" s="6" t="s">
        <v>307</v>
      </c>
      <c r="U130" s="6" t="s">
        <v>39</v>
      </c>
      <c r="V130" s="17">
        <v>45880</v>
      </c>
      <c r="W130" s="16"/>
      <c r="X130" t="s">
        <v>2171</v>
      </c>
      <c r="Z130">
        <v>0</v>
      </c>
    </row>
    <row r="131" spans="1:26" customFormat="1">
      <c r="A131">
        <f t="shared" ca="1" si="2"/>
        <v>5</v>
      </c>
      <c r="B131" s="49" t="s">
        <v>3104</v>
      </c>
      <c r="C131" s="12">
        <v>45918</v>
      </c>
      <c r="D131" s="4" t="s">
        <v>300</v>
      </c>
      <c r="E131" s="4" t="s">
        <v>3663</v>
      </c>
      <c r="F131" s="4"/>
      <c r="G131" s="106" t="s">
        <v>158</v>
      </c>
      <c r="H131" s="106" t="s">
        <v>34</v>
      </c>
      <c r="I131" s="49" t="s">
        <v>3105</v>
      </c>
      <c r="J131" s="4"/>
      <c r="K131" s="4" t="e">
        <f>IF(E131="KTG","KTG",(VLOOKUP(J131,'list of outsource'!B:H,2,0)))</f>
        <v>#N/A</v>
      </c>
      <c r="L131" s="4"/>
      <c r="M131" s="4"/>
      <c r="N131" s="4" t="s">
        <v>3106</v>
      </c>
      <c r="O131" s="2" t="s">
        <v>3680</v>
      </c>
      <c r="P131" s="4" t="s">
        <v>3107</v>
      </c>
      <c r="Q131" s="4"/>
      <c r="R131" s="12"/>
      <c r="S131" s="4">
        <v>3</v>
      </c>
      <c r="T131" s="4" t="s">
        <v>307</v>
      </c>
      <c r="U131" s="4" t="s">
        <v>39</v>
      </c>
      <c r="V131" s="10">
        <v>45923</v>
      </c>
      <c r="W131" s="12">
        <v>45924</v>
      </c>
    </row>
    <row r="132" spans="1:26" customFormat="1" hidden="1">
      <c r="A132">
        <f t="shared" ca="1" si="2"/>
        <v>6222</v>
      </c>
      <c r="B132" s="4" t="s">
        <v>418</v>
      </c>
      <c r="C132" s="12">
        <v>38546</v>
      </c>
      <c r="D132" s="4" t="s">
        <v>156</v>
      </c>
      <c r="E132" s="4" t="s">
        <v>3665</v>
      </c>
      <c r="F132" s="4">
        <v>4045</v>
      </c>
      <c r="G132" s="4" t="s">
        <v>133</v>
      </c>
      <c r="H132" s="4" t="s">
        <v>34</v>
      </c>
      <c r="I132" s="4" t="s">
        <v>134</v>
      </c>
      <c r="J132" s="4" t="s">
        <v>108</v>
      </c>
      <c r="K132" s="4" t="str">
        <f>IF(E132="KTG","KTG",(VLOOKUP(J132,'list of outsource'!B:H,2,0)))</f>
        <v>UPM</v>
      </c>
      <c r="L132" s="4" t="s">
        <v>109</v>
      </c>
      <c r="M132" s="4"/>
      <c r="N132" s="4" t="s">
        <v>135</v>
      </c>
      <c r="O132" s="2"/>
      <c r="P132" s="4" t="s">
        <v>136</v>
      </c>
      <c r="Q132" s="4"/>
      <c r="R132" s="12"/>
      <c r="S132" s="4">
        <v>2</v>
      </c>
      <c r="T132" s="4"/>
      <c r="U132" s="4" t="s">
        <v>183</v>
      </c>
      <c r="V132" s="10">
        <v>44768</v>
      </c>
      <c r="W132" s="12">
        <v>44771</v>
      </c>
    </row>
    <row r="133" spans="1:26" customFormat="1">
      <c r="A133">
        <f t="shared" ca="1" si="2"/>
        <v>7</v>
      </c>
      <c r="B133" s="104" t="s">
        <v>2979</v>
      </c>
      <c r="C133" s="16">
        <v>45888</v>
      </c>
      <c r="D133" s="6" t="s">
        <v>2980</v>
      </c>
      <c r="E133" s="6" t="s">
        <v>3663</v>
      </c>
      <c r="F133" s="6"/>
      <c r="G133" s="108" t="s">
        <v>158</v>
      </c>
      <c r="H133" s="108" t="s">
        <v>379</v>
      </c>
      <c r="I133" s="49" t="s">
        <v>2981</v>
      </c>
      <c r="J133" s="6"/>
      <c r="K133" s="6" t="e">
        <f>IF(E133="KTG","KTG",(VLOOKUP(J133,'list of outsource'!B:H,2,0)))</f>
        <v>#N/A</v>
      </c>
      <c r="L133" s="6"/>
      <c r="M133" s="6"/>
      <c r="N133" s="6" t="s">
        <v>2982</v>
      </c>
      <c r="O133" s="2" t="s">
        <v>3681</v>
      </c>
      <c r="P133" s="6" t="s">
        <v>2983</v>
      </c>
      <c r="Q133" s="6"/>
      <c r="R133" s="16"/>
      <c r="S133" s="6" t="s">
        <v>2984</v>
      </c>
      <c r="T133" s="6" t="s">
        <v>307</v>
      </c>
      <c r="U133" s="6" t="s">
        <v>39</v>
      </c>
      <c r="V133" s="17">
        <v>45895</v>
      </c>
      <c r="W133" s="16"/>
      <c r="X133" t="s">
        <v>2171</v>
      </c>
    </row>
    <row r="134" spans="1:26" customFormat="1">
      <c r="A134">
        <f t="shared" ca="1" si="2"/>
        <v>7</v>
      </c>
      <c r="B134" s="104" t="s">
        <v>2985</v>
      </c>
      <c r="C134" s="16">
        <v>45888</v>
      </c>
      <c r="D134" s="6" t="s">
        <v>2980</v>
      </c>
      <c r="E134" s="6" t="s">
        <v>3663</v>
      </c>
      <c r="F134" s="6"/>
      <c r="G134" s="108" t="s">
        <v>158</v>
      </c>
      <c r="H134" s="108" t="s">
        <v>379</v>
      </c>
      <c r="I134" s="49" t="s">
        <v>2986</v>
      </c>
      <c r="J134" s="6"/>
      <c r="K134" s="6" t="e">
        <f>IF(E134="KTG","KTG",(VLOOKUP(J134,'list of outsource'!B:H,2,0)))</f>
        <v>#N/A</v>
      </c>
      <c r="L134" s="6"/>
      <c r="M134" s="6"/>
      <c r="N134" s="6" t="s">
        <v>2987</v>
      </c>
      <c r="O134" s="2" t="s">
        <v>3681</v>
      </c>
      <c r="P134" s="6" t="s">
        <v>2988</v>
      </c>
      <c r="Q134" s="6"/>
      <c r="R134" s="16"/>
      <c r="S134" s="6" t="s">
        <v>2984</v>
      </c>
      <c r="T134" s="6" t="s">
        <v>307</v>
      </c>
      <c r="U134" s="6" t="s">
        <v>39</v>
      </c>
      <c r="V134" s="17">
        <v>45895</v>
      </c>
      <c r="W134" s="16"/>
      <c r="X134" t="s">
        <v>2171</v>
      </c>
    </row>
    <row r="135" spans="1:26" customFormat="1">
      <c r="A135">
        <f t="shared" ca="1" si="2"/>
        <v>7</v>
      </c>
      <c r="B135" s="104" t="s">
        <v>2989</v>
      </c>
      <c r="C135" s="16">
        <v>45888</v>
      </c>
      <c r="D135" s="6" t="s">
        <v>2980</v>
      </c>
      <c r="E135" s="6" t="s">
        <v>3663</v>
      </c>
      <c r="F135" s="6"/>
      <c r="G135" s="108" t="s">
        <v>158</v>
      </c>
      <c r="H135" s="108" t="s">
        <v>379</v>
      </c>
      <c r="I135" s="49" t="s">
        <v>2990</v>
      </c>
      <c r="J135" s="6"/>
      <c r="K135" s="6" t="e">
        <f>IF(E135="KTG","KTG",(VLOOKUP(J135,'list of outsource'!B:H,2,0)))</f>
        <v>#N/A</v>
      </c>
      <c r="L135" s="6"/>
      <c r="M135" s="6"/>
      <c r="N135" s="6" t="s">
        <v>2991</v>
      </c>
      <c r="O135" s="2" t="s">
        <v>3681</v>
      </c>
      <c r="P135" s="6" t="s">
        <v>2992</v>
      </c>
      <c r="Q135" s="6"/>
      <c r="R135" s="16"/>
      <c r="S135" s="6" t="s">
        <v>2984</v>
      </c>
      <c r="T135" s="6" t="s">
        <v>307</v>
      </c>
      <c r="U135" s="6" t="s">
        <v>39</v>
      </c>
      <c r="V135" s="17">
        <v>45895</v>
      </c>
      <c r="W135" s="16"/>
      <c r="X135" t="s">
        <v>2171</v>
      </c>
    </row>
    <row r="136" spans="1:26" customFormat="1" hidden="1">
      <c r="A136">
        <f t="shared" ca="1" si="2"/>
        <v>24</v>
      </c>
      <c r="B136" s="8" t="s">
        <v>3465</v>
      </c>
      <c r="C136" s="16">
        <v>45972</v>
      </c>
      <c r="D136" s="6" t="s">
        <v>129</v>
      </c>
      <c r="E136" s="6" t="s">
        <v>3665</v>
      </c>
      <c r="F136" s="6">
        <v>4497</v>
      </c>
      <c r="G136" s="6" t="s">
        <v>420</v>
      </c>
      <c r="H136" s="6" t="s">
        <v>379</v>
      </c>
      <c r="I136" s="6" t="s">
        <v>123</v>
      </c>
      <c r="J136" s="6" t="s">
        <v>89</v>
      </c>
      <c r="K136" s="6" t="str">
        <f>IF(E136="KTG","KTG",(VLOOKUP(J136,'list of outsource'!B:H,2,0)))</f>
        <v>UPM</v>
      </c>
      <c r="L136" s="6" t="s">
        <v>90</v>
      </c>
      <c r="M136" s="6">
        <v>17</v>
      </c>
      <c r="N136" s="6" t="s">
        <v>124</v>
      </c>
      <c r="O136" s="2"/>
      <c r="P136" s="6" t="s">
        <v>3468</v>
      </c>
      <c r="Q136" s="6" t="s">
        <v>3466</v>
      </c>
      <c r="R136" s="16">
        <v>45978</v>
      </c>
      <c r="S136" s="6">
        <v>1</v>
      </c>
      <c r="T136" s="6" t="s">
        <v>307</v>
      </c>
      <c r="U136" s="6" t="s">
        <v>183</v>
      </c>
      <c r="V136" s="17">
        <v>45996</v>
      </c>
      <c r="W136" s="16"/>
    </row>
    <row r="137" spans="1:26" customFormat="1" hidden="1">
      <c r="A137">
        <f t="shared" ca="1" si="2"/>
        <v>24</v>
      </c>
      <c r="B137" s="8" t="s">
        <v>3464</v>
      </c>
      <c r="C137" s="16">
        <v>45972</v>
      </c>
      <c r="D137" s="6" t="s">
        <v>129</v>
      </c>
      <c r="E137" s="6" t="s">
        <v>3665</v>
      </c>
      <c r="F137" s="6">
        <v>4496</v>
      </c>
      <c r="G137" s="6" t="s">
        <v>420</v>
      </c>
      <c r="H137" s="6" t="s">
        <v>379</v>
      </c>
      <c r="I137" s="6" t="s">
        <v>88</v>
      </c>
      <c r="J137" s="6" t="s">
        <v>89</v>
      </c>
      <c r="K137" s="6" t="str">
        <f>IF(E137="KTG","KTG",(VLOOKUP(J137,'list of outsource'!B:H,2,0)))</f>
        <v>UPM</v>
      </c>
      <c r="L137" s="6" t="s">
        <v>90</v>
      </c>
      <c r="M137" s="6">
        <v>17</v>
      </c>
      <c r="N137" s="6" t="s">
        <v>91</v>
      </c>
      <c r="O137" s="2"/>
      <c r="P137" s="6" t="s">
        <v>3463</v>
      </c>
      <c r="Q137" s="6" t="s">
        <v>3462</v>
      </c>
      <c r="R137" s="16">
        <v>45978</v>
      </c>
      <c r="S137" s="6">
        <v>1</v>
      </c>
      <c r="T137" s="6" t="s">
        <v>307</v>
      </c>
      <c r="U137" s="6" t="s">
        <v>550</v>
      </c>
      <c r="V137" s="17">
        <v>45996</v>
      </c>
      <c r="W137" s="16"/>
    </row>
    <row r="138" spans="1:26" customFormat="1" hidden="1">
      <c r="A138">
        <f t="shared" ca="1" si="2"/>
        <v>42874</v>
      </c>
      <c r="B138" s="4" t="s">
        <v>419</v>
      </c>
      <c r="C138" s="12">
        <v>2022</v>
      </c>
      <c r="D138" s="4" t="s">
        <v>156</v>
      </c>
      <c r="E138" s="4" t="s">
        <v>3665</v>
      </c>
      <c r="F138" s="4">
        <v>4498</v>
      </c>
      <c r="G138" s="4" t="s">
        <v>420</v>
      </c>
      <c r="H138" s="4" t="s">
        <v>379</v>
      </c>
      <c r="I138" s="4" t="s">
        <v>421</v>
      </c>
      <c r="J138" s="4" t="s">
        <v>89</v>
      </c>
      <c r="K138" s="4" t="str">
        <f>IF(E138="KTG","KTG",(VLOOKUP(J138,'list of outsource'!B:H,2,0)))</f>
        <v>UPM</v>
      </c>
      <c r="L138" s="4" t="s">
        <v>90</v>
      </c>
      <c r="M138" s="4"/>
      <c r="N138" s="4" t="s">
        <v>422</v>
      </c>
      <c r="O138" s="2"/>
      <c r="P138" s="4" t="s">
        <v>423</v>
      </c>
      <c r="Q138" s="4"/>
      <c r="R138" s="12"/>
      <c r="S138" s="4">
        <v>2</v>
      </c>
      <c r="T138" s="4"/>
      <c r="U138" s="4" t="s">
        <v>39</v>
      </c>
      <c r="V138" s="10">
        <v>44896</v>
      </c>
      <c r="W138" s="12">
        <v>44915</v>
      </c>
    </row>
    <row r="139" spans="1:26" customFormat="1" hidden="1">
      <c r="A139">
        <f t="shared" ca="1" si="2"/>
        <v>0</v>
      </c>
      <c r="B139" s="4" t="s">
        <v>419</v>
      </c>
      <c r="C139" s="10">
        <v>44896</v>
      </c>
      <c r="D139" s="4" t="s">
        <v>156</v>
      </c>
      <c r="E139" s="4" t="s">
        <v>3665</v>
      </c>
      <c r="F139" s="4">
        <v>4498</v>
      </c>
      <c r="G139" s="4" t="s">
        <v>420</v>
      </c>
      <c r="H139" s="4" t="s">
        <v>379</v>
      </c>
      <c r="I139" s="4" t="s">
        <v>421</v>
      </c>
      <c r="J139" s="4" t="s">
        <v>89</v>
      </c>
      <c r="K139" s="4" t="str">
        <f>IF(E139="KTG","KTG",(VLOOKUP(J139,'list of outsource'!B:H,2,0)))</f>
        <v>UPM</v>
      </c>
      <c r="L139" s="4" t="s">
        <v>90</v>
      </c>
      <c r="M139" s="4"/>
      <c r="N139" s="4" t="s">
        <v>422</v>
      </c>
      <c r="O139" s="2"/>
      <c r="P139" s="4" t="s">
        <v>423</v>
      </c>
      <c r="Q139" s="4"/>
      <c r="R139" s="12"/>
      <c r="S139" s="4">
        <v>2</v>
      </c>
      <c r="T139" s="4"/>
      <c r="U139" s="4" t="s">
        <v>39</v>
      </c>
      <c r="V139" s="10">
        <v>44896</v>
      </c>
      <c r="W139" s="12">
        <v>44915</v>
      </c>
      <c r="Z139" t="e">
        <v>#N/A</v>
      </c>
    </row>
    <row r="140" spans="1:26" customFormat="1" hidden="1">
      <c r="A140">
        <f t="shared" ca="1" si="2"/>
        <v>41</v>
      </c>
      <c r="B140" s="8" t="s">
        <v>419</v>
      </c>
      <c r="C140" s="16">
        <v>45280</v>
      </c>
      <c r="D140" s="6" t="s">
        <v>129</v>
      </c>
      <c r="E140" s="6" t="s">
        <v>3665</v>
      </c>
      <c r="F140" s="6">
        <v>4498</v>
      </c>
      <c r="G140" s="6" t="s">
        <v>420</v>
      </c>
      <c r="H140" s="6" t="s">
        <v>379</v>
      </c>
      <c r="I140" s="6" t="s">
        <v>421</v>
      </c>
      <c r="J140" s="6" t="s">
        <v>89</v>
      </c>
      <c r="K140" s="6" t="str">
        <f>IF(E140="KTG","KTG",(VLOOKUP(J140,'list of outsource'!B:H,2,0)))</f>
        <v>UPM</v>
      </c>
      <c r="L140" s="6" t="s">
        <v>90</v>
      </c>
      <c r="M140" s="6">
        <v>14</v>
      </c>
      <c r="N140" s="6" t="s">
        <v>422</v>
      </c>
      <c r="O140" s="2"/>
      <c r="P140" s="6" t="s">
        <v>423</v>
      </c>
      <c r="Q140" s="6">
        <v>1173706697</v>
      </c>
      <c r="R140" s="16" t="s">
        <v>549</v>
      </c>
      <c r="S140" s="6">
        <v>1</v>
      </c>
      <c r="T140" s="6" t="s">
        <v>307</v>
      </c>
      <c r="U140" s="6" t="s">
        <v>550</v>
      </c>
      <c r="V140" s="17">
        <v>45321</v>
      </c>
      <c r="W140" s="16"/>
      <c r="Z140" t="e">
        <v>#N/A</v>
      </c>
    </row>
    <row r="141" spans="1:26" customFormat="1" hidden="1">
      <c r="A141">
        <f t="shared" ca="1" si="2"/>
        <v>16</v>
      </c>
      <c r="B141" s="8" t="s">
        <v>419</v>
      </c>
      <c r="C141" s="16">
        <v>45923</v>
      </c>
      <c r="D141" s="6" t="s">
        <v>129</v>
      </c>
      <c r="E141" s="6" t="s">
        <v>3665</v>
      </c>
      <c r="F141" s="6">
        <v>4498</v>
      </c>
      <c r="G141" s="6" t="s">
        <v>420</v>
      </c>
      <c r="H141" s="6" t="s">
        <v>379</v>
      </c>
      <c r="I141" s="6" t="s">
        <v>421</v>
      </c>
      <c r="J141" s="6" t="s">
        <v>89</v>
      </c>
      <c r="K141" s="6" t="str">
        <f>IF(E141="KTG","KTG",(VLOOKUP(J141,'list of outsource'!B:H,2,0)))</f>
        <v>UPM</v>
      </c>
      <c r="L141" s="6" t="s">
        <v>90</v>
      </c>
      <c r="M141" s="6">
        <v>16</v>
      </c>
      <c r="N141" s="6" t="s">
        <v>422</v>
      </c>
      <c r="O141" s="2"/>
      <c r="P141" s="6" t="s">
        <v>423</v>
      </c>
      <c r="Q141" s="6" t="s">
        <v>3109</v>
      </c>
      <c r="R141" s="16">
        <v>45931</v>
      </c>
      <c r="S141" s="6">
        <v>1</v>
      </c>
      <c r="T141" s="6" t="s">
        <v>307</v>
      </c>
      <c r="U141" s="6" t="s">
        <v>550</v>
      </c>
      <c r="V141" s="17">
        <v>45939</v>
      </c>
      <c r="W141" s="16"/>
    </row>
    <row r="142" spans="1:26" customFormat="1" hidden="1">
      <c r="A142">
        <f t="shared" ca="1" si="2"/>
        <v>0</v>
      </c>
      <c r="B142" s="49" t="s">
        <v>551</v>
      </c>
      <c r="C142" s="10">
        <v>44939</v>
      </c>
      <c r="D142" s="4" t="s">
        <v>504</v>
      </c>
      <c r="E142" s="4" t="s">
        <v>3665</v>
      </c>
      <c r="F142" s="4"/>
      <c r="G142" s="4" t="s">
        <v>420</v>
      </c>
      <c r="H142" s="4" t="s">
        <v>379</v>
      </c>
      <c r="I142" s="4" t="s">
        <v>552</v>
      </c>
      <c r="J142" s="4" t="s">
        <v>190</v>
      </c>
      <c r="K142" s="4" t="str">
        <f>IF(E142="KTG","KTG",(VLOOKUP(J142,'list of outsource'!B:H,2,0)))</f>
        <v>UPM</v>
      </c>
      <c r="L142" s="4" t="s">
        <v>191</v>
      </c>
      <c r="M142" s="4"/>
      <c r="N142" s="49" t="s">
        <v>553</v>
      </c>
      <c r="O142" s="2"/>
      <c r="P142" s="4" t="s">
        <v>554</v>
      </c>
      <c r="Q142" s="4"/>
      <c r="R142" s="12"/>
      <c r="S142" s="4">
        <v>2</v>
      </c>
      <c r="T142" s="4"/>
      <c r="U142" s="4" t="s">
        <v>39</v>
      </c>
      <c r="V142" s="10">
        <v>44939</v>
      </c>
      <c r="W142" s="12">
        <v>44943</v>
      </c>
      <c r="Z142" t="e">
        <v>#N/A</v>
      </c>
    </row>
    <row r="143" spans="1:26" customFormat="1" hidden="1">
      <c r="A143">
        <f t="shared" ca="1" si="2"/>
        <v>55</v>
      </c>
      <c r="B143" s="104" t="s">
        <v>551</v>
      </c>
      <c r="C143" s="16">
        <v>45308</v>
      </c>
      <c r="D143" s="6" t="s">
        <v>129</v>
      </c>
      <c r="E143" s="6" t="s">
        <v>3665</v>
      </c>
      <c r="F143" s="6"/>
      <c r="G143" s="6" t="s">
        <v>420</v>
      </c>
      <c r="H143" s="6" t="s">
        <v>379</v>
      </c>
      <c r="I143" s="6" t="s">
        <v>552</v>
      </c>
      <c r="J143" s="6" t="s">
        <v>190</v>
      </c>
      <c r="K143" s="6" t="str">
        <f>IF(E143="KTG","KTG",(VLOOKUP(J143,'list of outsource'!B:H,2,0)))</f>
        <v>UPM</v>
      </c>
      <c r="L143" s="6" t="s">
        <v>191</v>
      </c>
      <c r="M143" s="6">
        <v>12</v>
      </c>
      <c r="N143" s="49" t="s">
        <v>553</v>
      </c>
      <c r="O143" s="2"/>
      <c r="P143" s="6" t="s">
        <v>808</v>
      </c>
      <c r="Q143" s="6">
        <v>1177309185</v>
      </c>
      <c r="R143" s="16" t="s">
        <v>549</v>
      </c>
      <c r="S143" s="6">
        <v>1</v>
      </c>
      <c r="T143" s="6" t="s">
        <v>307</v>
      </c>
      <c r="U143" s="6" t="s">
        <v>183</v>
      </c>
      <c r="V143" s="17">
        <v>45363</v>
      </c>
      <c r="W143" s="16"/>
      <c r="Z143" t="e">
        <v>#N/A</v>
      </c>
    </row>
    <row r="144" spans="1:26" customFormat="1" hidden="1">
      <c r="A144">
        <f t="shared" ref="A144:A203" ca="1" si="3">IF(V144="",(TODAY()-C144),(V144-C144))</f>
        <v>0</v>
      </c>
      <c r="B144" s="49" t="s">
        <v>809</v>
      </c>
      <c r="C144" s="10">
        <v>44939</v>
      </c>
      <c r="D144" s="4" t="s">
        <v>504</v>
      </c>
      <c r="E144" s="4" t="s">
        <v>3662</v>
      </c>
      <c r="F144" s="4"/>
      <c r="G144" s="4" t="s">
        <v>420</v>
      </c>
      <c r="H144" s="4" t="s">
        <v>379</v>
      </c>
      <c r="I144" s="4" t="s">
        <v>810</v>
      </c>
      <c r="J144" s="4" t="s">
        <v>302</v>
      </c>
      <c r="K144" s="4" t="str">
        <f>IF(E144="KTG","KTG",(VLOOKUP(J144,'list of outsource'!B:H,2,0)))</f>
        <v>ETC</v>
      </c>
      <c r="L144" s="4" t="s">
        <v>303</v>
      </c>
      <c r="M144" s="4"/>
      <c r="N144" s="49" t="s">
        <v>811</v>
      </c>
      <c r="O144" s="2"/>
      <c r="P144" s="4" t="s">
        <v>812</v>
      </c>
      <c r="Q144" s="4"/>
      <c r="R144" s="12"/>
      <c r="S144" s="4">
        <v>2</v>
      </c>
      <c r="T144" s="4"/>
      <c r="U144" s="4" t="s">
        <v>39</v>
      </c>
      <c r="V144" s="10">
        <v>44939</v>
      </c>
      <c r="W144" s="12">
        <v>44951</v>
      </c>
      <c r="Z144" t="e">
        <v>#N/A</v>
      </c>
    </row>
    <row r="145" spans="1:26" customFormat="1" hidden="1">
      <c r="A145">
        <f t="shared" ca="1" si="3"/>
        <v>22</v>
      </c>
      <c r="B145" s="104" t="s">
        <v>809</v>
      </c>
      <c r="C145" s="16">
        <v>45316</v>
      </c>
      <c r="D145" s="6" t="s">
        <v>129</v>
      </c>
      <c r="E145" s="6" t="s">
        <v>3662</v>
      </c>
      <c r="F145" s="6"/>
      <c r="G145" s="6" t="s">
        <v>420</v>
      </c>
      <c r="H145" s="6" t="s">
        <v>379</v>
      </c>
      <c r="I145" s="6" t="s">
        <v>810</v>
      </c>
      <c r="J145" s="6" t="s">
        <v>302</v>
      </c>
      <c r="K145" s="6" t="str">
        <f>IF(E145="KTG","KTG",(VLOOKUP(J145,'list of outsource'!B:H,2,0)))</f>
        <v>ETC</v>
      </c>
      <c r="L145" s="6" t="s">
        <v>303</v>
      </c>
      <c r="M145" s="6">
        <v>57</v>
      </c>
      <c r="N145" s="49" t="s">
        <v>811</v>
      </c>
      <c r="O145" s="2"/>
      <c r="P145" s="6" t="s">
        <v>812</v>
      </c>
      <c r="Q145" s="6">
        <v>1187233533</v>
      </c>
      <c r="R145" s="16" t="s">
        <v>549</v>
      </c>
      <c r="S145" s="6">
        <v>1</v>
      </c>
      <c r="T145" s="6" t="s">
        <v>307</v>
      </c>
      <c r="U145" s="6" t="s">
        <v>183</v>
      </c>
      <c r="V145" s="17">
        <v>45338</v>
      </c>
      <c r="W145" s="16"/>
      <c r="Z145" t="e">
        <v>#N/A</v>
      </c>
    </row>
    <row r="146" spans="1:26" customFormat="1">
      <c r="A146">
        <f t="shared" ca="1" si="3"/>
        <v>7</v>
      </c>
      <c r="B146" s="104" t="s">
        <v>2993</v>
      </c>
      <c r="C146" s="16">
        <v>45888</v>
      </c>
      <c r="D146" s="6" t="s">
        <v>2980</v>
      </c>
      <c r="E146" s="6" t="s">
        <v>3663</v>
      </c>
      <c r="F146" s="6"/>
      <c r="G146" s="108" t="s">
        <v>158</v>
      </c>
      <c r="H146" s="108" t="s">
        <v>379</v>
      </c>
      <c r="I146" s="49" t="s">
        <v>2994</v>
      </c>
      <c r="J146" s="6"/>
      <c r="K146" s="6" t="e">
        <f>IF(E146="KTG","KTG",(VLOOKUP(J146,'list of outsource'!B:H,2,0)))</f>
        <v>#N/A</v>
      </c>
      <c r="L146" s="6"/>
      <c r="M146" s="6"/>
      <c r="N146" s="6" t="s">
        <v>2995</v>
      </c>
      <c r="O146" s="2" t="s">
        <v>3681</v>
      </c>
      <c r="P146" s="6" t="s">
        <v>2996</v>
      </c>
      <c r="Q146" s="6"/>
      <c r="R146" s="16"/>
      <c r="S146" s="6" t="s">
        <v>2984</v>
      </c>
      <c r="T146" s="6" t="s">
        <v>307</v>
      </c>
      <c r="U146" s="6" t="s">
        <v>39</v>
      </c>
      <c r="V146" s="17">
        <v>45895</v>
      </c>
      <c r="W146" s="16"/>
      <c r="X146" t="s">
        <v>2171</v>
      </c>
    </row>
    <row r="147" spans="1:26" customFormat="1" hidden="1">
      <c r="A147">
        <f t="shared" ca="1" si="3"/>
        <v>42</v>
      </c>
      <c r="B147" s="104" t="s">
        <v>816</v>
      </c>
      <c r="C147" s="16">
        <v>45049</v>
      </c>
      <c r="D147" s="6" t="s">
        <v>129</v>
      </c>
      <c r="E147" s="6" t="s">
        <v>3662</v>
      </c>
      <c r="F147" s="6"/>
      <c r="G147" s="6" t="s">
        <v>420</v>
      </c>
      <c r="H147" s="6" t="s">
        <v>379</v>
      </c>
      <c r="I147" s="6" t="s">
        <v>817</v>
      </c>
      <c r="J147" s="6" t="s">
        <v>302</v>
      </c>
      <c r="K147" s="6" t="str">
        <f>IF(E147="KTG","KTG",(VLOOKUP(J147,'list of outsource'!B:H,2,0)))</f>
        <v>ETC</v>
      </c>
      <c r="L147" s="6" t="s">
        <v>303</v>
      </c>
      <c r="M147" s="6"/>
      <c r="N147" s="49" t="s">
        <v>818</v>
      </c>
      <c r="O147" s="2"/>
      <c r="P147" s="6" t="s">
        <v>819</v>
      </c>
      <c r="Q147" s="6">
        <v>1230874098</v>
      </c>
      <c r="R147" s="16"/>
      <c r="S147" s="6">
        <v>2</v>
      </c>
      <c r="T147" s="6"/>
      <c r="U147" s="6" t="s">
        <v>39</v>
      </c>
      <c r="V147" s="17">
        <v>45091</v>
      </c>
      <c r="W147" s="16"/>
    </row>
    <row r="148" spans="1:26" customFormat="1" hidden="1">
      <c r="A148">
        <f t="shared" ca="1" si="3"/>
        <v>42</v>
      </c>
      <c r="B148" s="104" t="s">
        <v>820</v>
      </c>
      <c r="C148" s="16">
        <v>45049</v>
      </c>
      <c r="D148" s="6" t="s">
        <v>129</v>
      </c>
      <c r="E148" s="6" t="s">
        <v>3662</v>
      </c>
      <c r="F148" s="6"/>
      <c r="G148" s="6" t="s">
        <v>420</v>
      </c>
      <c r="H148" s="6" t="s">
        <v>379</v>
      </c>
      <c r="I148" s="6" t="s">
        <v>821</v>
      </c>
      <c r="J148" s="6" t="s">
        <v>302</v>
      </c>
      <c r="K148" s="6" t="str">
        <f>IF(E148="KTG","KTG",(VLOOKUP(J148,'list of outsource'!B:H,2,0)))</f>
        <v>ETC</v>
      </c>
      <c r="L148" s="6" t="s">
        <v>303</v>
      </c>
      <c r="M148" s="6"/>
      <c r="N148" s="49" t="s">
        <v>822</v>
      </c>
      <c r="O148" s="2"/>
      <c r="P148" s="6" t="s">
        <v>823</v>
      </c>
      <c r="Q148" s="6">
        <v>1231236825</v>
      </c>
      <c r="R148" s="16"/>
      <c r="S148" s="6">
        <v>2</v>
      </c>
      <c r="T148" s="6"/>
      <c r="U148" s="6" t="s">
        <v>39</v>
      </c>
      <c r="V148" s="17">
        <v>45091</v>
      </c>
      <c r="W148" s="16"/>
    </row>
    <row r="149" spans="1:26" customFormat="1">
      <c r="A149">
        <f t="shared" ca="1" si="3"/>
        <v>7</v>
      </c>
      <c r="B149" s="104" t="s">
        <v>2997</v>
      </c>
      <c r="C149" s="16">
        <v>45888</v>
      </c>
      <c r="D149" s="6" t="s">
        <v>2980</v>
      </c>
      <c r="E149" s="6" t="s">
        <v>3663</v>
      </c>
      <c r="F149" s="6"/>
      <c r="G149" s="108" t="s">
        <v>158</v>
      </c>
      <c r="H149" s="108" t="s">
        <v>379</v>
      </c>
      <c r="I149" s="49" t="s">
        <v>2998</v>
      </c>
      <c r="J149" s="6"/>
      <c r="K149" s="6" t="e">
        <f>IF(E149="KTG","KTG",(VLOOKUP(J149,'list of outsource'!B:H,2,0)))</f>
        <v>#N/A</v>
      </c>
      <c r="L149" s="6"/>
      <c r="M149" s="6"/>
      <c r="N149" s="6" t="s">
        <v>2999</v>
      </c>
      <c r="O149" s="2" t="s">
        <v>3681</v>
      </c>
      <c r="P149" s="6" t="s">
        <v>3000</v>
      </c>
      <c r="Q149" s="6"/>
      <c r="R149" s="16"/>
      <c r="S149" s="6" t="s">
        <v>2984</v>
      </c>
      <c r="T149" s="6" t="s">
        <v>307</v>
      </c>
      <c r="U149" s="6" t="s">
        <v>39</v>
      </c>
      <c r="V149" s="17">
        <v>45895</v>
      </c>
      <c r="W149" s="16"/>
      <c r="X149" t="s">
        <v>2171</v>
      </c>
    </row>
    <row r="150" spans="1:26" customFormat="1" hidden="1">
      <c r="A150">
        <f t="shared" ca="1" si="3"/>
        <v>42</v>
      </c>
      <c r="B150" s="104" t="s">
        <v>827</v>
      </c>
      <c r="C150" s="16">
        <v>45049</v>
      </c>
      <c r="D150" s="6" t="s">
        <v>129</v>
      </c>
      <c r="E150" s="6" t="s">
        <v>3662</v>
      </c>
      <c r="F150" s="6"/>
      <c r="G150" s="6" t="s">
        <v>420</v>
      </c>
      <c r="H150" s="6" t="s">
        <v>379</v>
      </c>
      <c r="I150" s="6" t="s">
        <v>828</v>
      </c>
      <c r="J150" s="6" t="s">
        <v>302</v>
      </c>
      <c r="K150" s="6" t="str">
        <f>IF(E150="KTG","KTG",(VLOOKUP(J150,'list of outsource'!B:H,2,0)))</f>
        <v>ETC</v>
      </c>
      <c r="L150" s="6" t="s">
        <v>303</v>
      </c>
      <c r="M150" s="6"/>
      <c r="N150" s="49" t="s">
        <v>829</v>
      </c>
      <c r="O150" s="2"/>
      <c r="P150" s="6" t="s">
        <v>830</v>
      </c>
      <c r="Q150" s="6">
        <v>1231251395</v>
      </c>
      <c r="R150" s="16"/>
      <c r="S150" s="6">
        <v>2</v>
      </c>
      <c r="T150" s="6"/>
      <c r="U150" s="6" t="s">
        <v>39</v>
      </c>
      <c r="V150" s="17">
        <v>45091</v>
      </c>
      <c r="W150" s="16"/>
    </row>
    <row r="151" spans="1:26" customFormat="1">
      <c r="A151">
        <f t="shared" ca="1" si="3"/>
        <v>7</v>
      </c>
      <c r="B151" s="104" t="s">
        <v>3001</v>
      </c>
      <c r="C151" s="16">
        <v>45888</v>
      </c>
      <c r="D151" s="6" t="s">
        <v>2980</v>
      </c>
      <c r="E151" s="6" t="s">
        <v>3663</v>
      </c>
      <c r="F151" s="6"/>
      <c r="G151" s="108" t="s">
        <v>158</v>
      </c>
      <c r="H151" s="108" t="s">
        <v>379</v>
      </c>
      <c r="I151" s="49" t="s">
        <v>3002</v>
      </c>
      <c r="J151" s="6"/>
      <c r="K151" s="6" t="e">
        <f>IF(E151="KTG","KTG",(VLOOKUP(J151,'list of outsource'!B:H,2,0)))</f>
        <v>#N/A</v>
      </c>
      <c r="L151" s="6"/>
      <c r="M151" s="6"/>
      <c r="N151" s="6" t="s">
        <v>3003</v>
      </c>
      <c r="O151" s="2" t="s">
        <v>3681</v>
      </c>
      <c r="P151" s="6" t="s">
        <v>3004</v>
      </c>
      <c r="Q151" s="6"/>
      <c r="R151" s="16"/>
      <c r="S151" s="6" t="s">
        <v>2984</v>
      </c>
      <c r="T151" s="6" t="s">
        <v>307</v>
      </c>
      <c r="U151" s="6" t="s">
        <v>39</v>
      </c>
      <c r="V151" s="17">
        <v>45895</v>
      </c>
      <c r="W151" s="16"/>
      <c r="X151" t="s">
        <v>2171</v>
      </c>
    </row>
    <row r="152" spans="1:26" customFormat="1">
      <c r="A152">
        <f t="shared" ca="1" si="3"/>
        <v>7</v>
      </c>
      <c r="B152" s="104" t="s">
        <v>3005</v>
      </c>
      <c r="C152" s="16">
        <v>45888</v>
      </c>
      <c r="D152" s="6" t="s">
        <v>2980</v>
      </c>
      <c r="E152" s="6" t="s">
        <v>3663</v>
      </c>
      <c r="F152" s="6"/>
      <c r="G152" s="108" t="s">
        <v>158</v>
      </c>
      <c r="H152" s="108" t="s">
        <v>379</v>
      </c>
      <c r="I152" s="49" t="s">
        <v>3006</v>
      </c>
      <c r="J152" s="6"/>
      <c r="K152" s="6" t="e">
        <f>IF(E152="KTG","KTG",(VLOOKUP(J152,'list of outsource'!B:H,2,0)))</f>
        <v>#N/A</v>
      </c>
      <c r="L152" s="6"/>
      <c r="M152" s="6"/>
      <c r="N152" s="6" t="s">
        <v>3007</v>
      </c>
      <c r="O152" s="2" t="s">
        <v>3681</v>
      </c>
      <c r="P152" s="6" t="s">
        <v>3008</v>
      </c>
      <c r="Q152" s="6"/>
      <c r="R152" s="16"/>
      <c r="S152" s="6" t="s">
        <v>2984</v>
      </c>
      <c r="T152" s="6" t="s">
        <v>307</v>
      </c>
      <c r="U152" s="6" t="s">
        <v>39</v>
      </c>
      <c r="V152" s="17">
        <v>45895</v>
      </c>
      <c r="W152" s="16"/>
      <c r="X152" t="s">
        <v>2171</v>
      </c>
    </row>
    <row r="153" spans="1:26" customFormat="1">
      <c r="A153">
        <f t="shared" ca="1" si="3"/>
        <v>7</v>
      </c>
      <c r="B153" s="104" t="s">
        <v>3009</v>
      </c>
      <c r="C153" s="16">
        <v>45888</v>
      </c>
      <c r="D153" s="6" t="s">
        <v>2980</v>
      </c>
      <c r="E153" s="6" t="s">
        <v>3663</v>
      </c>
      <c r="F153" s="6"/>
      <c r="G153" s="108" t="s">
        <v>158</v>
      </c>
      <c r="H153" s="108" t="s">
        <v>379</v>
      </c>
      <c r="I153" s="49" t="s">
        <v>3010</v>
      </c>
      <c r="J153" s="6"/>
      <c r="K153" s="6" t="e">
        <f>IF(E153="KTG","KTG",(VLOOKUP(J153,'list of outsource'!B:H,2,0)))</f>
        <v>#N/A</v>
      </c>
      <c r="L153" s="6"/>
      <c r="M153" s="6"/>
      <c r="N153" s="6" t="s">
        <v>3011</v>
      </c>
      <c r="O153" s="2" t="s">
        <v>3681</v>
      </c>
      <c r="P153" s="6" t="s">
        <v>3012</v>
      </c>
      <c r="Q153" s="6"/>
      <c r="R153" s="16"/>
      <c r="S153" s="6" t="s">
        <v>2984</v>
      </c>
      <c r="T153" s="6" t="s">
        <v>307</v>
      </c>
      <c r="U153" s="6" t="s">
        <v>39</v>
      </c>
      <c r="V153" s="17">
        <v>45895</v>
      </c>
      <c r="W153" s="16"/>
      <c r="X153" t="s">
        <v>2171</v>
      </c>
    </row>
    <row r="154" spans="1:26" customFormat="1">
      <c r="A154">
        <f t="shared" ca="1" si="3"/>
        <v>7</v>
      </c>
      <c r="B154" s="104" t="s">
        <v>3013</v>
      </c>
      <c r="C154" s="16">
        <v>45888</v>
      </c>
      <c r="D154" s="6" t="s">
        <v>2980</v>
      </c>
      <c r="E154" s="6" t="s">
        <v>3663</v>
      </c>
      <c r="F154" s="6"/>
      <c r="G154" s="108" t="s">
        <v>158</v>
      </c>
      <c r="H154" s="108" t="s">
        <v>379</v>
      </c>
      <c r="I154" s="49" t="s">
        <v>3014</v>
      </c>
      <c r="J154" s="6"/>
      <c r="K154" s="6" t="e">
        <f>IF(E154="KTG","KTG",(VLOOKUP(J154,'list of outsource'!B:H,2,0)))</f>
        <v>#N/A</v>
      </c>
      <c r="L154" s="6"/>
      <c r="M154" s="6"/>
      <c r="N154" s="6" t="s">
        <v>3015</v>
      </c>
      <c r="O154" s="2" t="s">
        <v>3681</v>
      </c>
      <c r="P154" s="6" t="s">
        <v>3016</v>
      </c>
      <c r="Q154" s="6"/>
      <c r="R154" s="16"/>
      <c r="S154" s="6" t="s">
        <v>2984</v>
      </c>
      <c r="T154" s="6" t="s">
        <v>307</v>
      </c>
      <c r="U154" s="6" t="s">
        <v>39</v>
      </c>
      <c r="V154" s="17">
        <v>45895</v>
      </c>
      <c r="W154" s="16"/>
      <c r="X154" t="s">
        <v>2171</v>
      </c>
    </row>
    <row r="155" spans="1:26" customFormat="1">
      <c r="A155">
        <f t="shared" ca="1" si="3"/>
        <v>7</v>
      </c>
      <c r="B155" s="104" t="s">
        <v>3017</v>
      </c>
      <c r="C155" s="16">
        <v>45888</v>
      </c>
      <c r="D155" s="6" t="s">
        <v>2980</v>
      </c>
      <c r="E155" s="6" t="s">
        <v>3663</v>
      </c>
      <c r="F155" s="6"/>
      <c r="G155" s="108" t="s">
        <v>158</v>
      </c>
      <c r="H155" s="108" t="s">
        <v>379</v>
      </c>
      <c r="I155" s="49" t="s">
        <v>3018</v>
      </c>
      <c r="J155" s="6"/>
      <c r="K155" s="6" t="e">
        <f>IF(E155="KTG","KTG",(VLOOKUP(J155,'list of outsource'!B:H,2,0)))</f>
        <v>#N/A</v>
      </c>
      <c r="L155" s="6"/>
      <c r="M155" s="6"/>
      <c r="N155" s="6" t="s">
        <v>3019</v>
      </c>
      <c r="O155" s="2" t="s">
        <v>3681</v>
      </c>
      <c r="P155" s="6" t="s">
        <v>3020</v>
      </c>
      <c r="Q155" s="6"/>
      <c r="R155" s="16"/>
      <c r="S155" s="6" t="s">
        <v>2984</v>
      </c>
      <c r="T155" s="6" t="s">
        <v>307</v>
      </c>
      <c r="U155" s="6" t="s">
        <v>39</v>
      </c>
      <c r="V155" s="17">
        <v>45895</v>
      </c>
      <c r="W155" s="16"/>
      <c r="X155" t="s">
        <v>2171</v>
      </c>
    </row>
    <row r="156" spans="1:26" customFormat="1">
      <c r="A156">
        <f t="shared" ca="1" si="3"/>
        <v>7</v>
      </c>
      <c r="B156" s="104" t="s">
        <v>3021</v>
      </c>
      <c r="C156" s="16">
        <v>45888</v>
      </c>
      <c r="D156" s="6" t="s">
        <v>2980</v>
      </c>
      <c r="E156" s="6" t="s">
        <v>3663</v>
      </c>
      <c r="F156" s="6"/>
      <c r="G156" s="108" t="s">
        <v>158</v>
      </c>
      <c r="H156" s="108" t="s">
        <v>379</v>
      </c>
      <c r="I156" s="49" t="s">
        <v>3022</v>
      </c>
      <c r="J156" s="6"/>
      <c r="K156" s="6" t="e">
        <f>IF(E156="KTG","KTG",(VLOOKUP(J156,'list of outsource'!B:H,2,0)))</f>
        <v>#N/A</v>
      </c>
      <c r="L156" s="6"/>
      <c r="M156" s="6"/>
      <c r="N156" s="6" t="s">
        <v>3023</v>
      </c>
      <c r="O156" s="2" t="s">
        <v>3681</v>
      </c>
      <c r="P156" s="6" t="s">
        <v>3024</v>
      </c>
      <c r="Q156" s="6"/>
      <c r="R156" s="16"/>
      <c r="S156" s="6" t="s">
        <v>2984</v>
      </c>
      <c r="T156" s="6" t="s">
        <v>307</v>
      </c>
      <c r="U156" s="6" t="s">
        <v>39</v>
      </c>
      <c r="V156" s="17">
        <v>45895</v>
      </c>
      <c r="W156" s="16"/>
      <c r="X156" t="s">
        <v>2171</v>
      </c>
    </row>
    <row r="157" spans="1:26" customFormat="1">
      <c r="A157">
        <f t="shared" ca="1" si="3"/>
        <v>7</v>
      </c>
      <c r="B157" s="104" t="s">
        <v>3025</v>
      </c>
      <c r="C157" s="16">
        <v>45888</v>
      </c>
      <c r="D157" s="6" t="s">
        <v>2980</v>
      </c>
      <c r="E157" s="6" t="s">
        <v>3663</v>
      </c>
      <c r="F157" s="6"/>
      <c r="G157" s="108" t="s">
        <v>158</v>
      </c>
      <c r="H157" s="108" t="s">
        <v>379</v>
      </c>
      <c r="I157" s="49" t="s">
        <v>3026</v>
      </c>
      <c r="J157" s="6"/>
      <c r="K157" s="6" t="e">
        <f>IF(E157="KTG","KTG",(VLOOKUP(J157,'list of outsource'!B:H,2,0)))</f>
        <v>#N/A</v>
      </c>
      <c r="L157" s="6"/>
      <c r="M157" s="6"/>
      <c r="N157" s="6" t="s">
        <v>3027</v>
      </c>
      <c r="O157" s="2" t="s">
        <v>3681</v>
      </c>
      <c r="P157" s="6" t="s">
        <v>3028</v>
      </c>
      <c r="Q157" s="6"/>
      <c r="R157" s="16"/>
      <c r="S157" s="6" t="s">
        <v>2984</v>
      </c>
      <c r="T157" s="6" t="s">
        <v>307</v>
      </c>
      <c r="U157" s="6" t="s">
        <v>39</v>
      </c>
      <c r="V157" s="17">
        <v>45895</v>
      </c>
      <c r="W157" s="16"/>
      <c r="X157" t="s">
        <v>2171</v>
      </c>
    </row>
    <row r="158" spans="1:26" customFormat="1">
      <c r="A158">
        <f t="shared" ca="1" si="3"/>
        <v>7</v>
      </c>
      <c r="B158" s="104" t="s">
        <v>3029</v>
      </c>
      <c r="C158" s="16">
        <v>45888</v>
      </c>
      <c r="D158" s="6" t="s">
        <v>2980</v>
      </c>
      <c r="E158" s="6" t="s">
        <v>3663</v>
      </c>
      <c r="F158" s="6"/>
      <c r="G158" s="108" t="s">
        <v>158</v>
      </c>
      <c r="H158" s="108" t="s">
        <v>379</v>
      </c>
      <c r="I158" s="49" t="s">
        <v>3030</v>
      </c>
      <c r="J158" s="6"/>
      <c r="K158" s="6" t="e">
        <f>IF(E158="KTG","KTG",(VLOOKUP(J158,'list of outsource'!B:H,2,0)))</f>
        <v>#N/A</v>
      </c>
      <c r="L158" s="6"/>
      <c r="M158" s="6"/>
      <c r="N158" s="6" t="s">
        <v>3031</v>
      </c>
      <c r="O158" s="2" t="s">
        <v>3681</v>
      </c>
      <c r="P158" s="6" t="s">
        <v>3032</v>
      </c>
      <c r="Q158" s="6"/>
      <c r="R158" s="16"/>
      <c r="S158" s="6" t="s">
        <v>2984</v>
      </c>
      <c r="T158" s="6" t="s">
        <v>307</v>
      </c>
      <c r="U158" s="6" t="s">
        <v>39</v>
      </c>
      <c r="V158" s="17">
        <v>45895</v>
      </c>
      <c r="W158" s="16"/>
      <c r="X158" t="s">
        <v>2171</v>
      </c>
    </row>
    <row r="159" spans="1:26" customFormat="1">
      <c r="A159">
        <f t="shared" ca="1" si="3"/>
        <v>7</v>
      </c>
      <c r="B159" s="104" t="s">
        <v>3033</v>
      </c>
      <c r="C159" s="16">
        <v>45888</v>
      </c>
      <c r="D159" s="6" t="s">
        <v>2980</v>
      </c>
      <c r="E159" s="6" t="s">
        <v>3663</v>
      </c>
      <c r="F159" s="6"/>
      <c r="G159" s="108" t="s">
        <v>158</v>
      </c>
      <c r="H159" s="108" t="s">
        <v>379</v>
      </c>
      <c r="I159" s="49" t="s">
        <v>3034</v>
      </c>
      <c r="J159" s="6"/>
      <c r="K159" s="6" t="e">
        <f>IF(E159="KTG","KTG",(VLOOKUP(J159,'list of outsource'!B:H,2,0)))</f>
        <v>#N/A</v>
      </c>
      <c r="L159" s="6"/>
      <c r="M159" s="6"/>
      <c r="N159" s="6" t="s">
        <v>3035</v>
      </c>
      <c r="O159" s="2" t="s">
        <v>3681</v>
      </c>
      <c r="P159" s="6" t="s">
        <v>3036</v>
      </c>
      <c r="Q159" s="6"/>
      <c r="R159" s="16"/>
      <c r="S159" s="6" t="s">
        <v>2984</v>
      </c>
      <c r="T159" s="6" t="s">
        <v>307</v>
      </c>
      <c r="U159" s="6" t="s">
        <v>39</v>
      </c>
      <c r="V159" s="17">
        <v>45895</v>
      </c>
      <c r="W159" s="16"/>
      <c r="X159" t="s">
        <v>2171</v>
      </c>
    </row>
    <row r="160" spans="1:26" customFormat="1">
      <c r="A160">
        <f t="shared" ca="1" si="3"/>
        <v>7</v>
      </c>
      <c r="B160" s="104" t="s">
        <v>3037</v>
      </c>
      <c r="C160" s="16">
        <v>45888</v>
      </c>
      <c r="D160" s="6" t="s">
        <v>2980</v>
      </c>
      <c r="E160" s="6" t="s">
        <v>3663</v>
      </c>
      <c r="F160" s="6"/>
      <c r="G160" s="108" t="s">
        <v>158</v>
      </c>
      <c r="H160" s="108" t="s">
        <v>379</v>
      </c>
      <c r="I160" s="49" t="s">
        <v>3038</v>
      </c>
      <c r="J160" s="6"/>
      <c r="K160" s="6" t="e">
        <f>IF(E160="KTG","KTG",(VLOOKUP(J160,'list of outsource'!B:H,2,0)))</f>
        <v>#N/A</v>
      </c>
      <c r="L160" s="6"/>
      <c r="M160" s="6"/>
      <c r="N160" s="6" t="s">
        <v>3039</v>
      </c>
      <c r="O160" s="2" t="s">
        <v>3681</v>
      </c>
      <c r="P160" s="6" t="s">
        <v>3040</v>
      </c>
      <c r="Q160" s="6"/>
      <c r="R160" s="16"/>
      <c r="S160" s="6" t="s">
        <v>2984</v>
      </c>
      <c r="T160" s="6" t="s">
        <v>307</v>
      </c>
      <c r="U160" s="6" t="s">
        <v>39</v>
      </c>
      <c r="V160" s="17">
        <v>45895</v>
      </c>
      <c r="W160" s="16"/>
      <c r="X160" t="s">
        <v>2171</v>
      </c>
    </row>
    <row r="161" spans="1:26" customFormat="1">
      <c r="A161">
        <f t="shared" ca="1" si="3"/>
        <v>7</v>
      </c>
      <c r="B161" s="104" t="s">
        <v>3041</v>
      </c>
      <c r="C161" s="16">
        <v>45888</v>
      </c>
      <c r="D161" s="6" t="s">
        <v>2980</v>
      </c>
      <c r="E161" s="6" t="s">
        <v>3663</v>
      </c>
      <c r="F161" s="6"/>
      <c r="G161" s="108" t="s">
        <v>158</v>
      </c>
      <c r="H161" s="108" t="s">
        <v>379</v>
      </c>
      <c r="I161" s="49" t="s">
        <v>3042</v>
      </c>
      <c r="J161" s="6"/>
      <c r="K161" s="6" t="e">
        <f>IF(E161="KTG","KTG",(VLOOKUP(J161,'list of outsource'!B:H,2,0)))</f>
        <v>#N/A</v>
      </c>
      <c r="L161" s="6"/>
      <c r="M161" s="6"/>
      <c r="N161" s="6" t="s">
        <v>3043</v>
      </c>
      <c r="O161" s="2" t="s">
        <v>3681</v>
      </c>
      <c r="P161" s="6" t="s">
        <v>3044</v>
      </c>
      <c r="Q161" s="6"/>
      <c r="R161" s="16"/>
      <c r="S161" s="6" t="s">
        <v>2984</v>
      </c>
      <c r="T161" s="6" t="s">
        <v>307</v>
      </c>
      <c r="U161" s="6" t="s">
        <v>39</v>
      </c>
      <c r="V161" s="17">
        <v>45895</v>
      </c>
      <c r="W161" s="16"/>
      <c r="X161" t="s">
        <v>2171</v>
      </c>
    </row>
    <row r="162" spans="1:26" customFormat="1">
      <c r="A162">
        <f t="shared" ca="1" si="3"/>
        <v>7</v>
      </c>
      <c r="B162" s="104" t="s">
        <v>3045</v>
      </c>
      <c r="C162" s="16">
        <v>45888</v>
      </c>
      <c r="D162" s="6" t="s">
        <v>2980</v>
      </c>
      <c r="E162" s="6" t="s">
        <v>3663</v>
      </c>
      <c r="F162" s="6"/>
      <c r="G162" s="108" t="s">
        <v>158</v>
      </c>
      <c r="H162" s="108" t="s">
        <v>379</v>
      </c>
      <c r="I162" s="49" t="s">
        <v>3046</v>
      </c>
      <c r="J162" s="6"/>
      <c r="K162" s="6" t="e">
        <f>IF(E162="KTG","KTG",(VLOOKUP(J162,'list of outsource'!B:H,2,0)))</f>
        <v>#N/A</v>
      </c>
      <c r="L162" s="6"/>
      <c r="M162" s="6"/>
      <c r="N162" s="6" t="s">
        <v>3047</v>
      </c>
      <c r="O162" s="2" t="s">
        <v>3681</v>
      </c>
      <c r="P162" s="6" t="s">
        <v>3048</v>
      </c>
      <c r="Q162" s="6"/>
      <c r="R162" s="16"/>
      <c r="S162" s="6" t="s">
        <v>2984</v>
      </c>
      <c r="T162" s="6" t="s">
        <v>307</v>
      </c>
      <c r="U162" s="6" t="s">
        <v>39</v>
      </c>
      <c r="V162" s="17">
        <v>45895</v>
      </c>
      <c r="W162" s="16"/>
      <c r="X162" t="s">
        <v>2171</v>
      </c>
    </row>
    <row r="163" spans="1:26" customFormat="1">
      <c r="A163">
        <f t="shared" ca="1" si="3"/>
        <v>7</v>
      </c>
      <c r="B163" s="104" t="s">
        <v>3049</v>
      </c>
      <c r="C163" s="16">
        <v>45888</v>
      </c>
      <c r="D163" s="6" t="s">
        <v>2980</v>
      </c>
      <c r="E163" s="6" t="s">
        <v>3663</v>
      </c>
      <c r="F163" s="6"/>
      <c r="G163" s="108" t="s">
        <v>158</v>
      </c>
      <c r="H163" s="108" t="s">
        <v>379</v>
      </c>
      <c r="I163" s="49" t="s">
        <v>3050</v>
      </c>
      <c r="J163" s="6"/>
      <c r="K163" s="6" t="e">
        <f>IF(E163="KTG","KTG",(VLOOKUP(J163,'list of outsource'!B:H,2,0)))</f>
        <v>#N/A</v>
      </c>
      <c r="L163" s="6"/>
      <c r="M163" s="6"/>
      <c r="N163" s="6" t="s">
        <v>3051</v>
      </c>
      <c r="O163" s="2" t="s">
        <v>3681</v>
      </c>
      <c r="P163" s="6" t="s">
        <v>3052</v>
      </c>
      <c r="Q163" s="6"/>
      <c r="R163" s="16"/>
      <c r="S163" s="6" t="s">
        <v>2984</v>
      </c>
      <c r="T163" s="6" t="s">
        <v>307</v>
      </c>
      <c r="U163" s="6" t="s">
        <v>39</v>
      </c>
      <c r="V163" s="17">
        <v>45895</v>
      </c>
      <c r="W163" s="16"/>
      <c r="X163" t="s">
        <v>2171</v>
      </c>
    </row>
    <row r="164" spans="1:26" customFormat="1">
      <c r="A164">
        <f t="shared" ca="1" si="3"/>
        <v>7</v>
      </c>
      <c r="B164" s="104" t="s">
        <v>3053</v>
      </c>
      <c r="C164" s="16">
        <v>45888</v>
      </c>
      <c r="D164" s="6" t="s">
        <v>2980</v>
      </c>
      <c r="E164" s="6" t="s">
        <v>3663</v>
      </c>
      <c r="F164" s="6"/>
      <c r="G164" s="108" t="s">
        <v>158</v>
      </c>
      <c r="H164" s="108" t="s">
        <v>379</v>
      </c>
      <c r="I164" s="49" t="s">
        <v>3054</v>
      </c>
      <c r="J164" s="6"/>
      <c r="K164" s="6" t="e">
        <f>IF(E164="KTG","KTG",(VLOOKUP(J164,'list of outsource'!B:H,2,0)))</f>
        <v>#N/A</v>
      </c>
      <c r="L164" s="6"/>
      <c r="M164" s="6"/>
      <c r="N164" s="6" t="s">
        <v>3055</v>
      </c>
      <c r="O164" s="2" t="s">
        <v>3681</v>
      </c>
      <c r="P164" s="6" t="s">
        <v>3056</v>
      </c>
      <c r="Q164" s="6"/>
      <c r="R164" s="16"/>
      <c r="S164" s="6" t="s">
        <v>2984</v>
      </c>
      <c r="T164" s="6" t="s">
        <v>307</v>
      </c>
      <c r="U164" s="6" t="s">
        <v>39</v>
      </c>
      <c r="V164" s="17">
        <v>45895</v>
      </c>
      <c r="W164" s="16"/>
      <c r="X164" t="s">
        <v>2171</v>
      </c>
    </row>
    <row r="165" spans="1:26" customFormat="1" hidden="1">
      <c r="A165">
        <f t="shared" ca="1" si="3"/>
        <v>42</v>
      </c>
      <c r="B165" s="104" t="s">
        <v>1538</v>
      </c>
      <c r="C165" s="16">
        <v>45049</v>
      </c>
      <c r="D165" s="6" t="s">
        <v>129</v>
      </c>
      <c r="E165" s="6" t="s">
        <v>3662</v>
      </c>
      <c r="F165" s="6"/>
      <c r="G165" s="6" t="s">
        <v>420</v>
      </c>
      <c r="H165" s="6" t="s">
        <v>379</v>
      </c>
      <c r="I165" s="6" t="s">
        <v>1539</v>
      </c>
      <c r="J165" s="6" t="s">
        <v>302</v>
      </c>
      <c r="K165" s="6" t="str">
        <f>IF(E165="KTG","KTG",(VLOOKUP(J165,'list of outsource'!B:H,2,0)))</f>
        <v>ETC</v>
      </c>
      <c r="L165" s="6" t="s">
        <v>303</v>
      </c>
      <c r="M165" s="6"/>
      <c r="N165" s="49" t="s">
        <v>1540</v>
      </c>
      <c r="O165" s="2"/>
      <c r="P165" s="6" t="s">
        <v>1541</v>
      </c>
      <c r="Q165" s="6">
        <v>1230870895</v>
      </c>
      <c r="R165" s="16"/>
      <c r="S165" s="6">
        <v>2</v>
      </c>
      <c r="T165" s="6"/>
      <c r="U165" s="6" t="s">
        <v>39</v>
      </c>
      <c r="V165" s="17">
        <v>45091</v>
      </c>
      <c r="W165" s="16"/>
    </row>
    <row r="166" spans="1:26" customFormat="1" hidden="1">
      <c r="A166">
        <f t="shared" ca="1" si="3"/>
        <v>17</v>
      </c>
      <c r="B166" s="104" t="s">
        <v>1538</v>
      </c>
      <c r="C166" s="16">
        <v>45818</v>
      </c>
      <c r="D166" s="6" t="s">
        <v>129</v>
      </c>
      <c r="E166" s="6" t="s">
        <v>3662</v>
      </c>
      <c r="F166" s="6"/>
      <c r="G166" s="6" t="s">
        <v>420</v>
      </c>
      <c r="H166" s="6" t="s">
        <v>379</v>
      </c>
      <c r="I166" s="6" t="s">
        <v>1539</v>
      </c>
      <c r="J166" s="6" t="s">
        <v>302</v>
      </c>
      <c r="K166" s="6" t="str">
        <f>IF(E166="KTG","KTG",(VLOOKUP(J166,'list of outsource'!B:H,2,0)))</f>
        <v>ETC</v>
      </c>
      <c r="L166" s="6" t="s">
        <v>303</v>
      </c>
      <c r="M166" s="6">
        <v>70</v>
      </c>
      <c r="N166" s="49" t="s">
        <v>1540</v>
      </c>
      <c r="O166" s="2"/>
      <c r="P166" s="6" t="s">
        <v>1541</v>
      </c>
      <c r="Q166" s="6" t="s">
        <v>2051</v>
      </c>
      <c r="R166" s="16"/>
      <c r="S166" s="6">
        <v>3</v>
      </c>
      <c r="T166" s="6" t="s">
        <v>307</v>
      </c>
      <c r="U166" s="6" t="s">
        <v>550</v>
      </c>
      <c r="V166" s="17">
        <v>45835</v>
      </c>
      <c r="W166" s="16"/>
      <c r="Z166" t="e">
        <v>#N/A</v>
      </c>
    </row>
    <row r="167" spans="1:26" customFormat="1">
      <c r="A167">
        <f t="shared" ca="1" si="3"/>
        <v>7</v>
      </c>
      <c r="B167" s="104" t="s">
        <v>3057</v>
      </c>
      <c r="C167" s="16">
        <v>45888</v>
      </c>
      <c r="D167" s="6" t="s">
        <v>2980</v>
      </c>
      <c r="E167" s="6" t="s">
        <v>3663</v>
      </c>
      <c r="F167" s="6"/>
      <c r="G167" s="108" t="s">
        <v>158</v>
      </c>
      <c r="H167" s="108" t="s">
        <v>379</v>
      </c>
      <c r="I167" s="49">
        <v>3013462</v>
      </c>
      <c r="J167" s="6"/>
      <c r="K167" s="6" t="e">
        <f>IF(E167="KTG","KTG",(VLOOKUP(J167,'list of outsource'!B:H,2,0)))</f>
        <v>#N/A</v>
      </c>
      <c r="L167" s="6"/>
      <c r="M167" s="6"/>
      <c r="N167" s="6" t="s">
        <v>2982</v>
      </c>
      <c r="O167" s="2" t="s">
        <v>3681</v>
      </c>
      <c r="P167" s="6" t="s">
        <v>2983</v>
      </c>
      <c r="Q167" s="6"/>
      <c r="R167" s="16"/>
      <c r="S167" s="6" t="s">
        <v>2984</v>
      </c>
      <c r="T167" s="6" t="s">
        <v>307</v>
      </c>
      <c r="U167" s="6" t="s">
        <v>39</v>
      </c>
      <c r="V167" s="17">
        <v>45895</v>
      </c>
      <c r="W167" s="16"/>
      <c r="X167" t="s">
        <v>2171</v>
      </c>
    </row>
    <row r="168" spans="1:26" customFormat="1">
      <c r="A168">
        <f t="shared" ca="1" si="3"/>
        <v>7</v>
      </c>
      <c r="B168" s="104" t="s">
        <v>3058</v>
      </c>
      <c r="C168" s="16">
        <v>45888</v>
      </c>
      <c r="D168" s="6" t="s">
        <v>2980</v>
      </c>
      <c r="E168" s="6" t="s">
        <v>3663</v>
      </c>
      <c r="F168" s="6"/>
      <c r="G168" s="108" t="s">
        <v>158</v>
      </c>
      <c r="H168" s="108" t="s">
        <v>379</v>
      </c>
      <c r="I168" s="49">
        <v>3013442</v>
      </c>
      <c r="J168" s="6"/>
      <c r="K168" s="6" t="e">
        <f>IF(E168="KTG","KTG",(VLOOKUP(J168,'list of outsource'!B:H,2,0)))</f>
        <v>#N/A</v>
      </c>
      <c r="L168" s="6"/>
      <c r="M168" s="6"/>
      <c r="N168" s="6" t="s">
        <v>3015</v>
      </c>
      <c r="O168" s="2" t="s">
        <v>3681</v>
      </c>
      <c r="P168" s="6" t="s">
        <v>3016</v>
      </c>
      <c r="Q168" s="6"/>
      <c r="R168" s="16"/>
      <c r="S168" s="6" t="s">
        <v>2984</v>
      </c>
      <c r="T168" s="6" t="s">
        <v>307</v>
      </c>
      <c r="U168" s="6" t="s">
        <v>39</v>
      </c>
      <c r="V168" s="17">
        <v>45895</v>
      </c>
      <c r="W168" s="16"/>
      <c r="X168" t="s">
        <v>2171</v>
      </c>
    </row>
    <row r="169" spans="1:26" customFormat="1" hidden="1">
      <c r="A169">
        <f t="shared" ca="1" si="3"/>
        <v>35</v>
      </c>
      <c r="B169" s="104" t="s">
        <v>2418</v>
      </c>
      <c r="C169" s="16">
        <v>45065</v>
      </c>
      <c r="D169" s="6" t="s">
        <v>129</v>
      </c>
      <c r="E169" s="6" t="s">
        <v>3662</v>
      </c>
      <c r="F169" s="6"/>
      <c r="G169" s="6" t="s">
        <v>420</v>
      </c>
      <c r="H169" s="6" t="s">
        <v>379</v>
      </c>
      <c r="I169" s="6" t="s">
        <v>2419</v>
      </c>
      <c r="J169" s="6" t="s">
        <v>490</v>
      </c>
      <c r="K169" s="6" t="str">
        <f>IF(E169="KTG","KTG",(VLOOKUP(J169,'list of outsource'!B:H,2,0)))</f>
        <v>ETC</v>
      </c>
      <c r="L169" s="6" t="s">
        <v>491</v>
      </c>
      <c r="M169" s="6"/>
      <c r="N169" s="49" t="s">
        <v>2420</v>
      </c>
      <c r="O169" s="2"/>
      <c r="P169" s="6" t="s">
        <v>2421</v>
      </c>
      <c r="Q169" s="6">
        <v>1233584997</v>
      </c>
      <c r="R169" s="16"/>
      <c r="S169" s="6">
        <v>2</v>
      </c>
      <c r="T169" s="6"/>
      <c r="U169" s="6" t="s">
        <v>39</v>
      </c>
      <c r="V169" s="17">
        <v>45100</v>
      </c>
      <c r="W169" s="16"/>
    </row>
    <row r="170" spans="1:26" customFormat="1" hidden="1">
      <c r="A170">
        <f t="shared" ca="1" si="3"/>
        <v>35</v>
      </c>
      <c r="B170" s="104" t="s">
        <v>2617</v>
      </c>
      <c r="C170" s="16">
        <v>45065</v>
      </c>
      <c r="D170" s="6" t="s">
        <v>129</v>
      </c>
      <c r="E170" s="6" t="s">
        <v>3662</v>
      </c>
      <c r="F170" s="6"/>
      <c r="G170" s="6" t="s">
        <v>420</v>
      </c>
      <c r="H170" s="6" t="s">
        <v>379</v>
      </c>
      <c r="I170" s="6" t="s">
        <v>2618</v>
      </c>
      <c r="J170" s="6" t="s">
        <v>302</v>
      </c>
      <c r="K170" s="6" t="str">
        <f>IF(E170="KTG","KTG",(VLOOKUP(J170,'list of outsource'!B:H,2,0)))</f>
        <v>ETC</v>
      </c>
      <c r="L170" s="6" t="s">
        <v>303</v>
      </c>
      <c r="M170" s="6"/>
      <c r="N170" s="49" t="s">
        <v>2619</v>
      </c>
      <c r="O170" s="2"/>
      <c r="P170" s="6" t="s">
        <v>2620</v>
      </c>
      <c r="Q170" s="6">
        <v>1233585997</v>
      </c>
      <c r="R170" s="16"/>
      <c r="S170" s="6">
        <v>2</v>
      </c>
      <c r="T170" s="6"/>
      <c r="U170" s="6" t="s">
        <v>39</v>
      </c>
      <c r="V170" s="17">
        <v>45100</v>
      </c>
      <c r="W170" s="16"/>
    </row>
    <row r="171" spans="1:26" customFormat="1" hidden="1">
      <c r="A171">
        <f t="shared" ca="1" si="3"/>
        <v>17</v>
      </c>
      <c r="B171" s="104" t="s">
        <v>2617</v>
      </c>
      <c r="C171" s="16">
        <v>45818</v>
      </c>
      <c r="D171" s="6" t="s">
        <v>129</v>
      </c>
      <c r="E171" s="6" t="s">
        <v>3662</v>
      </c>
      <c r="F171" s="6"/>
      <c r="G171" s="6" t="s">
        <v>420</v>
      </c>
      <c r="H171" s="6" t="s">
        <v>379</v>
      </c>
      <c r="I171" s="6" t="s">
        <v>2618</v>
      </c>
      <c r="J171" s="6" t="s">
        <v>302</v>
      </c>
      <c r="K171" s="6" t="str">
        <f>IF(E171="KTG","KTG",(VLOOKUP(J171,'list of outsource'!B:H,2,0)))</f>
        <v>ETC</v>
      </c>
      <c r="L171" s="6" t="s">
        <v>303</v>
      </c>
      <c r="M171" s="6">
        <v>70</v>
      </c>
      <c r="N171" s="49" t="s">
        <v>2619</v>
      </c>
      <c r="O171" s="2"/>
      <c r="P171" s="6" t="s">
        <v>2620</v>
      </c>
      <c r="Q171" s="6" t="s">
        <v>2621</v>
      </c>
      <c r="R171" s="16"/>
      <c r="S171" s="6">
        <v>3</v>
      </c>
      <c r="T171" s="6" t="s">
        <v>307</v>
      </c>
      <c r="U171" s="6" t="s">
        <v>550</v>
      </c>
      <c r="V171" s="17">
        <v>45835</v>
      </c>
      <c r="W171" s="16"/>
      <c r="Z171" t="e">
        <v>#N/A</v>
      </c>
    </row>
    <row r="172" spans="1:26" customFormat="1" hidden="1">
      <c r="A172">
        <f t="shared" ca="1" si="3"/>
        <v>21</v>
      </c>
      <c r="B172" s="8" t="s">
        <v>2622</v>
      </c>
      <c r="C172" s="16">
        <v>45112</v>
      </c>
      <c r="D172" s="6" t="s">
        <v>129</v>
      </c>
      <c r="E172" s="6" t="s">
        <v>3665</v>
      </c>
      <c r="F172" s="6">
        <v>4497</v>
      </c>
      <c r="G172" s="6" t="s">
        <v>420</v>
      </c>
      <c r="H172" s="6" t="s">
        <v>379</v>
      </c>
      <c r="I172" s="6" t="s">
        <v>123</v>
      </c>
      <c r="J172" s="6" t="s">
        <v>89</v>
      </c>
      <c r="K172" s="6" t="str">
        <f>IF(E172="KTG","KTG",(VLOOKUP(J172,'list of outsource'!B:H,2,0)))</f>
        <v>UPM</v>
      </c>
      <c r="L172" s="6" t="s">
        <v>90</v>
      </c>
      <c r="M172" s="6"/>
      <c r="N172" s="6" t="s">
        <v>124</v>
      </c>
      <c r="O172" s="2"/>
      <c r="P172" s="6" t="s">
        <v>3468</v>
      </c>
      <c r="Q172" s="6" t="s">
        <v>3466</v>
      </c>
      <c r="R172" s="16"/>
      <c r="S172" s="6">
        <v>1</v>
      </c>
      <c r="T172" s="6"/>
      <c r="U172" s="6" t="s">
        <v>183</v>
      </c>
      <c r="V172" s="17">
        <v>45133</v>
      </c>
      <c r="W172" s="16"/>
      <c r="Z172" t="e">
        <v>#N/A</v>
      </c>
    </row>
    <row r="173" spans="1:26" customFormat="1" hidden="1">
      <c r="A173">
        <f t="shared" ca="1" si="3"/>
        <v>30</v>
      </c>
      <c r="B173" s="8" t="s">
        <v>2622</v>
      </c>
      <c r="C173" s="16">
        <v>45511</v>
      </c>
      <c r="D173" s="6" t="s">
        <v>129</v>
      </c>
      <c r="E173" s="6" t="s">
        <v>3665</v>
      </c>
      <c r="F173" s="6">
        <v>4497</v>
      </c>
      <c r="G173" s="6" t="s">
        <v>420</v>
      </c>
      <c r="H173" s="6" t="s">
        <v>379</v>
      </c>
      <c r="I173" s="6" t="s">
        <v>123</v>
      </c>
      <c r="J173" s="6" t="s">
        <v>89</v>
      </c>
      <c r="K173" s="6" t="str">
        <f>IF(E173="KTG","KTG",(VLOOKUP(J173,'list of outsource'!B:H,2,0)))</f>
        <v>UPM</v>
      </c>
      <c r="L173" s="6" t="s">
        <v>90</v>
      </c>
      <c r="M173" s="6"/>
      <c r="N173" s="6" t="s">
        <v>124</v>
      </c>
      <c r="O173" s="2"/>
      <c r="P173" s="6" t="s">
        <v>3468</v>
      </c>
      <c r="Q173" s="6" t="s">
        <v>3466</v>
      </c>
      <c r="R173" s="16"/>
      <c r="S173" s="6">
        <v>1</v>
      </c>
      <c r="T173" s="6" t="s">
        <v>307</v>
      </c>
      <c r="U173" s="6" t="s">
        <v>183</v>
      </c>
      <c r="V173" s="17">
        <v>45541</v>
      </c>
      <c r="W173" s="16"/>
      <c r="Z173" t="e">
        <v>#N/A</v>
      </c>
    </row>
    <row r="174" spans="1:26" customFormat="1">
      <c r="A174">
        <f t="shared" ca="1" si="3"/>
        <v>7</v>
      </c>
      <c r="B174" s="104" t="s">
        <v>3059</v>
      </c>
      <c r="C174" s="16">
        <v>45888</v>
      </c>
      <c r="D174" s="6" t="s">
        <v>2980</v>
      </c>
      <c r="E174" s="6" t="s">
        <v>3663</v>
      </c>
      <c r="F174" s="6"/>
      <c r="G174" s="108" t="s">
        <v>158</v>
      </c>
      <c r="H174" s="108" t="s">
        <v>379</v>
      </c>
      <c r="I174" s="49">
        <v>3013582</v>
      </c>
      <c r="J174" s="6"/>
      <c r="K174" s="6" t="e">
        <f>IF(E174="KTG","KTG",(VLOOKUP(J174,'list of outsource'!B:H,2,0)))</f>
        <v>#N/A</v>
      </c>
      <c r="L174" s="6"/>
      <c r="M174" s="6"/>
      <c r="N174" s="6" t="s">
        <v>3047</v>
      </c>
      <c r="O174" s="2" t="s">
        <v>3681</v>
      </c>
      <c r="P174" s="6" t="s">
        <v>3048</v>
      </c>
      <c r="Q174" s="6"/>
      <c r="R174" s="16"/>
      <c r="S174" s="6" t="s">
        <v>2984</v>
      </c>
      <c r="T174" s="6" t="s">
        <v>307</v>
      </c>
      <c r="U174" s="6" t="s">
        <v>39</v>
      </c>
      <c r="V174" s="17">
        <v>45895</v>
      </c>
      <c r="W174" s="16"/>
      <c r="X174" t="s">
        <v>2171</v>
      </c>
    </row>
    <row r="175" spans="1:26" customFormat="1" hidden="1">
      <c r="A175">
        <f t="shared" ca="1" si="3"/>
        <v>34</v>
      </c>
      <c r="B175" s="8" t="s">
        <v>2624</v>
      </c>
      <c r="C175" s="16">
        <v>45302</v>
      </c>
      <c r="D175" s="6" t="s">
        <v>129</v>
      </c>
      <c r="E175" s="6" t="s">
        <v>3665</v>
      </c>
      <c r="F175" s="6">
        <v>4496</v>
      </c>
      <c r="G175" s="6" t="s">
        <v>420</v>
      </c>
      <c r="H175" s="6" t="s">
        <v>379</v>
      </c>
      <c r="I175" s="6" t="s">
        <v>88</v>
      </c>
      <c r="J175" s="6" t="s">
        <v>89</v>
      </c>
      <c r="K175" s="6" t="str">
        <f>IF(E175="KTG","KTG",(VLOOKUP(J175,'list of outsource'!B:H,2,0)))</f>
        <v>UPM</v>
      </c>
      <c r="L175" s="6" t="s">
        <v>90</v>
      </c>
      <c r="M175" s="6">
        <v>14</v>
      </c>
      <c r="N175" s="6" t="s">
        <v>91</v>
      </c>
      <c r="O175" s="2"/>
      <c r="P175" s="6" t="s">
        <v>3463</v>
      </c>
      <c r="Q175" s="6">
        <v>949767217</v>
      </c>
      <c r="R175" s="16" t="s">
        <v>549</v>
      </c>
      <c r="S175" s="6">
        <v>1</v>
      </c>
      <c r="T175" s="6" t="s">
        <v>307</v>
      </c>
      <c r="U175" s="6" t="s">
        <v>550</v>
      </c>
      <c r="V175" s="17">
        <v>45336</v>
      </c>
      <c r="W175" s="16"/>
      <c r="Z175" t="e">
        <v>#N/A</v>
      </c>
    </row>
    <row r="176" spans="1:26" customFormat="1">
      <c r="A176">
        <f t="shared" ca="1" si="3"/>
        <v>7</v>
      </c>
      <c r="B176" s="104" t="s">
        <v>3060</v>
      </c>
      <c r="C176" s="16">
        <v>45888</v>
      </c>
      <c r="D176" s="6" t="s">
        <v>2980</v>
      </c>
      <c r="E176" s="6" t="s">
        <v>3663</v>
      </c>
      <c r="F176" s="6"/>
      <c r="G176" s="108" t="s">
        <v>158</v>
      </c>
      <c r="H176" s="108" t="s">
        <v>379</v>
      </c>
      <c r="I176" s="49">
        <v>3013388</v>
      </c>
      <c r="J176" s="6"/>
      <c r="K176" s="6" t="e">
        <f>IF(E176="KTG","KTG",(VLOOKUP(J176,'list of outsource'!B:H,2,0)))</f>
        <v>#N/A</v>
      </c>
      <c r="L176" s="6"/>
      <c r="M176" s="6"/>
      <c r="N176" s="6" t="s">
        <v>3043</v>
      </c>
      <c r="O176" s="2" t="s">
        <v>3681</v>
      </c>
      <c r="P176" s="6" t="s">
        <v>3044</v>
      </c>
      <c r="Q176" s="6"/>
      <c r="R176" s="16"/>
      <c r="S176" s="6" t="s">
        <v>2984</v>
      </c>
      <c r="T176" s="6" t="s">
        <v>307</v>
      </c>
      <c r="U176" s="6" t="s">
        <v>39</v>
      </c>
      <c r="V176" s="17">
        <v>45895</v>
      </c>
      <c r="W176" s="16"/>
      <c r="X176" t="s">
        <v>2171</v>
      </c>
    </row>
    <row r="177" spans="1:26" customFormat="1">
      <c r="A177">
        <f t="shared" ca="1" si="3"/>
        <v>7</v>
      </c>
      <c r="B177" s="104" t="s">
        <v>3061</v>
      </c>
      <c r="C177" s="16">
        <v>45888</v>
      </c>
      <c r="D177" s="6" t="s">
        <v>2980</v>
      </c>
      <c r="E177" s="6" t="s">
        <v>3663</v>
      </c>
      <c r="F177" s="6"/>
      <c r="G177" s="108" t="s">
        <v>158</v>
      </c>
      <c r="H177" s="108" t="s">
        <v>379</v>
      </c>
      <c r="I177" s="49">
        <v>3013433</v>
      </c>
      <c r="J177" s="6"/>
      <c r="K177" s="6" t="e">
        <f>IF(E177="KTG","KTG",(VLOOKUP(J177,'list of outsource'!B:H,2,0)))</f>
        <v>#N/A</v>
      </c>
      <c r="L177" s="6"/>
      <c r="M177" s="6"/>
      <c r="N177" s="6" t="s">
        <v>3007</v>
      </c>
      <c r="O177" s="2" t="s">
        <v>3681</v>
      </c>
      <c r="P177" s="6" t="s">
        <v>3008</v>
      </c>
      <c r="Q177" s="6"/>
      <c r="R177" s="16"/>
      <c r="S177" s="6" t="s">
        <v>2984</v>
      </c>
      <c r="T177" s="6" t="s">
        <v>307</v>
      </c>
      <c r="U177" s="6" t="s">
        <v>39</v>
      </c>
      <c r="V177" s="17">
        <v>45895</v>
      </c>
      <c r="W177" s="16"/>
      <c r="X177" t="s">
        <v>2171</v>
      </c>
    </row>
    <row r="178" spans="1:26" customFormat="1">
      <c r="A178">
        <f t="shared" ca="1" si="3"/>
        <v>7</v>
      </c>
      <c r="B178" s="104" t="s">
        <v>3062</v>
      </c>
      <c r="C178" s="16">
        <v>45888</v>
      </c>
      <c r="D178" s="6" t="s">
        <v>2980</v>
      </c>
      <c r="E178" s="6" t="s">
        <v>3663</v>
      </c>
      <c r="F178" s="6"/>
      <c r="G178" s="108" t="s">
        <v>158</v>
      </c>
      <c r="H178" s="108" t="s">
        <v>379</v>
      </c>
      <c r="I178" s="49">
        <v>3013430</v>
      </c>
      <c r="J178" s="6"/>
      <c r="K178" s="6" t="e">
        <f>IF(E178="KTG","KTG",(VLOOKUP(J178,'list of outsource'!B:H,2,0)))</f>
        <v>#N/A</v>
      </c>
      <c r="L178" s="6"/>
      <c r="M178" s="6"/>
      <c r="N178" s="6" t="s">
        <v>3011</v>
      </c>
      <c r="O178" s="2" t="s">
        <v>3681</v>
      </c>
      <c r="P178" s="6" t="s">
        <v>3012</v>
      </c>
      <c r="Q178" s="6"/>
      <c r="R178" s="16"/>
      <c r="S178" s="6" t="s">
        <v>2984</v>
      </c>
      <c r="T178" s="6" t="s">
        <v>307</v>
      </c>
      <c r="U178" s="6" t="s">
        <v>39</v>
      </c>
      <c r="V178" s="17">
        <v>45895</v>
      </c>
      <c r="W178" s="16"/>
      <c r="X178" t="s">
        <v>2171</v>
      </c>
    </row>
    <row r="179" spans="1:26" customFormat="1" hidden="1">
      <c r="A179">
        <f t="shared" ca="1" si="3"/>
        <v>55</v>
      </c>
      <c r="B179" s="4" t="s">
        <v>1235</v>
      </c>
      <c r="C179" s="12">
        <v>45197</v>
      </c>
      <c r="D179" s="4" t="s">
        <v>504</v>
      </c>
      <c r="E179" s="4" t="s">
        <v>3665</v>
      </c>
      <c r="F179" s="4">
        <v>70</v>
      </c>
      <c r="G179" s="4" t="s">
        <v>438</v>
      </c>
      <c r="H179" s="4" t="s">
        <v>34</v>
      </c>
      <c r="I179" s="4" t="s">
        <v>439</v>
      </c>
      <c r="J179" s="4" t="s">
        <v>96</v>
      </c>
      <c r="K179" s="4" t="str">
        <f>IF(E179="KTG","KTG",(VLOOKUP(J179,'list of outsource'!B:H,2,0)))</f>
        <v>Woer</v>
      </c>
      <c r="L179" s="4" t="s">
        <v>97</v>
      </c>
      <c r="M179" s="4">
        <v>39</v>
      </c>
      <c r="N179" s="4" t="s">
        <v>440</v>
      </c>
      <c r="O179" s="2"/>
      <c r="P179" s="4" t="s">
        <v>441</v>
      </c>
      <c r="Q179" s="4">
        <v>1285136462</v>
      </c>
      <c r="R179" s="12" t="s">
        <v>549</v>
      </c>
      <c r="S179" s="4">
        <v>1</v>
      </c>
      <c r="T179" s="4"/>
      <c r="U179" s="4" t="s">
        <v>183</v>
      </c>
      <c r="V179" s="10">
        <v>45252</v>
      </c>
      <c r="W179" s="12">
        <v>45274</v>
      </c>
      <c r="Z179" t="e">
        <v>#N/A</v>
      </c>
    </row>
    <row r="180" spans="1:26" customFormat="1" hidden="1">
      <c r="A180">
        <f t="shared" ca="1" si="3"/>
        <v>26</v>
      </c>
      <c r="B180" s="8" t="s">
        <v>1235</v>
      </c>
      <c r="C180" s="16">
        <v>45722</v>
      </c>
      <c r="D180" s="6" t="s">
        <v>129</v>
      </c>
      <c r="E180" s="6" t="s">
        <v>3665</v>
      </c>
      <c r="F180" s="6">
        <v>70</v>
      </c>
      <c r="G180" s="6" t="s">
        <v>438</v>
      </c>
      <c r="H180" s="6" t="s">
        <v>34</v>
      </c>
      <c r="I180" s="6" t="s">
        <v>439</v>
      </c>
      <c r="J180" s="6" t="s">
        <v>96</v>
      </c>
      <c r="K180" s="6" t="str">
        <f>IF(E180="KTG","KTG",(VLOOKUP(J180,'list of outsource'!B:H,2,0)))</f>
        <v>Woer</v>
      </c>
      <c r="L180" s="6" t="s">
        <v>97</v>
      </c>
      <c r="M180" s="6">
        <v>39</v>
      </c>
      <c r="N180" s="6" t="s">
        <v>440</v>
      </c>
      <c r="O180" s="2"/>
      <c r="P180" s="6" t="s">
        <v>441</v>
      </c>
      <c r="Q180" s="6" t="s">
        <v>2395</v>
      </c>
      <c r="R180" s="16"/>
      <c r="S180" s="6">
        <v>1</v>
      </c>
      <c r="T180" s="6" t="s">
        <v>1258</v>
      </c>
      <c r="U180" s="6" t="s">
        <v>183</v>
      </c>
      <c r="V180" s="17">
        <v>45748</v>
      </c>
      <c r="W180" s="16"/>
      <c r="Z180" t="e">
        <v>#N/A</v>
      </c>
    </row>
    <row r="181" spans="1:26" customFormat="1" hidden="1">
      <c r="A181">
        <f t="shared" ca="1" si="3"/>
        <v>55</v>
      </c>
      <c r="B181" s="4" t="s">
        <v>1236</v>
      </c>
      <c r="C181" s="12">
        <v>45197</v>
      </c>
      <c r="D181" s="4" t="s">
        <v>504</v>
      </c>
      <c r="E181" s="4" t="s">
        <v>3665</v>
      </c>
      <c r="F181" s="4">
        <v>73</v>
      </c>
      <c r="G181" s="4" t="s">
        <v>438</v>
      </c>
      <c r="H181" s="4" t="s">
        <v>34</v>
      </c>
      <c r="I181" s="4" t="s">
        <v>443</v>
      </c>
      <c r="J181" s="4" t="s">
        <v>444</v>
      </c>
      <c r="K181" s="4" t="str">
        <f>IF(E181="KTG","KTG",(VLOOKUP(J181,'list of outsource'!B:H,2,0)))</f>
        <v>UPM</v>
      </c>
      <c r="L181" s="4" t="s">
        <v>445</v>
      </c>
      <c r="M181" s="4">
        <v>6</v>
      </c>
      <c r="N181" s="4" t="s">
        <v>446</v>
      </c>
      <c r="O181" s="2"/>
      <c r="P181" s="4" t="s">
        <v>447</v>
      </c>
      <c r="Q181" s="4">
        <v>1285137916</v>
      </c>
      <c r="R181" s="12" t="s">
        <v>549</v>
      </c>
      <c r="S181" s="4">
        <v>1</v>
      </c>
      <c r="T181" s="4"/>
      <c r="U181" s="4" t="s">
        <v>183</v>
      </c>
      <c r="V181" s="10">
        <v>45252</v>
      </c>
      <c r="W181" s="12">
        <v>45274</v>
      </c>
      <c r="Z181">
        <v>0</v>
      </c>
    </row>
    <row r="182" spans="1:26" customFormat="1" hidden="1">
      <c r="A182">
        <f t="shared" ca="1" si="3"/>
        <v>26</v>
      </c>
      <c r="B182" s="8" t="s">
        <v>1236</v>
      </c>
      <c r="C182" s="16">
        <v>45722</v>
      </c>
      <c r="D182" s="6" t="s">
        <v>129</v>
      </c>
      <c r="E182" s="6" t="s">
        <v>3665</v>
      </c>
      <c r="F182" s="6">
        <v>73</v>
      </c>
      <c r="G182" s="6" t="s">
        <v>438</v>
      </c>
      <c r="H182" s="6" t="s">
        <v>34</v>
      </c>
      <c r="I182" s="6" t="s">
        <v>443</v>
      </c>
      <c r="J182" s="6" t="s">
        <v>444</v>
      </c>
      <c r="K182" s="6" t="str">
        <f>IF(E182="KTG","KTG",(VLOOKUP(J182,'list of outsource'!B:H,2,0)))</f>
        <v>UPM</v>
      </c>
      <c r="L182" s="6" t="s">
        <v>445</v>
      </c>
      <c r="M182" s="6">
        <v>6</v>
      </c>
      <c r="N182" s="6" t="s">
        <v>446</v>
      </c>
      <c r="O182" s="2"/>
      <c r="P182" s="6" t="s">
        <v>447</v>
      </c>
      <c r="Q182" s="6" t="s">
        <v>2396</v>
      </c>
      <c r="R182" s="16"/>
      <c r="S182" s="6">
        <v>1</v>
      </c>
      <c r="T182" s="6" t="s">
        <v>1258</v>
      </c>
      <c r="U182" s="6" t="s">
        <v>183</v>
      </c>
      <c r="V182" s="17">
        <v>45748</v>
      </c>
      <c r="W182" s="16"/>
      <c r="Z182">
        <v>0</v>
      </c>
    </row>
    <row r="183" spans="1:26" customFormat="1" hidden="1">
      <c r="A183">
        <f t="shared" ca="1" si="3"/>
        <v>55</v>
      </c>
      <c r="B183" s="4" t="s">
        <v>1241</v>
      </c>
      <c r="C183" s="12">
        <v>45197</v>
      </c>
      <c r="D183" s="4" t="s">
        <v>504</v>
      </c>
      <c r="E183" s="4" t="s">
        <v>3665</v>
      </c>
      <c r="F183" s="4">
        <v>72</v>
      </c>
      <c r="G183" s="4" t="s">
        <v>438</v>
      </c>
      <c r="H183" s="4" t="s">
        <v>34</v>
      </c>
      <c r="I183" s="4" t="s">
        <v>1242</v>
      </c>
      <c r="J183" s="4" t="s">
        <v>444</v>
      </c>
      <c r="K183" s="4" t="str">
        <f>IF(E183="KTG","KTG",(VLOOKUP(J183,'list of outsource'!B:H,2,0)))</f>
        <v>UPM</v>
      </c>
      <c r="L183" s="4" t="s">
        <v>445</v>
      </c>
      <c r="M183" s="4">
        <v>6</v>
      </c>
      <c r="N183" s="4" t="s">
        <v>1243</v>
      </c>
      <c r="O183" s="2"/>
      <c r="P183" s="4" t="s">
        <v>1244</v>
      </c>
      <c r="Q183" s="4">
        <v>1285142630</v>
      </c>
      <c r="R183" s="12" t="s">
        <v>549</v>
      </c>
      <c r="S183" s="4">
        <v>4</v>
      </c>
      <c r="T183" s="4"/>
      <c r="U183" s="4" t="s">
        <v>39</v>
      </c>
      <c r="V183" s="10">
        <v>45252</v>
      </c>
      <c r="W183" s="12">
        <v>45274</v>
      </c>
      <c r="Z183">
        <v>0</v>
      </c>
    </row>
    <row r="184" spans="1:26" customFormat="1" hidden="1">
      <c r="A184">
        <f t="shared" ca="1" si="3"/>
        <v>26</v>
      </c>
      <c r="B184" s="8" t="s">
        <v>1241</v>
      </c>
      <c r="C184" s="16">
        <v>45722</v>
      </c>
      <c r="D184" s="6" t="s">
        <v>129</v>
      </c>
      <c r="E184" s="6" t="s">
        <v>3665</v>
      </c>
      <c r="F184" s="6">
        <v>72</v>
      </c>
      <c r="G184" s="6" t="s">
        <v>438</v>
      </c>
      <c r="H184" s="6" t="s">
        <v>34</v>
      </c>
      <c r="I184" s="6" t="s">
        <v>1242</v>
      </c>
      <c r="J184" s="6" t="s">
        <v>444</v>
      </c>
      <c r="K184" s="6" t="str">
        <f>IF(E184="KTG","KTG",(VLOOKUP(J184,'list of outsource'!B:H,2,0)))</f>
        <v>UPM</v>
      </c>
      <c r="L184" s="6" t="s">
        <v>445</v>
      </c>
      <c r="M184" s="6">
        <v>6</v>
      </c>
      <c r="N184" s="6" t="s">
        <v>1243</v>
      </c>
      <c r="O184" s="2"/>
      <c r="P184" s="6" t="s">
        <v>1244</v>
      </c>
      <c r="Q184" s="6" t="s">
        <v>2397</v>
      </c>
      <c r="R184" s="16"/>
      <c r="S184" s="6">
        <v>1</v>
      </c>
      <c r="T184" s="6" t="s">
        <v>1258</v>
      </c>
      <c r="U184" s="6" t="s">
        <v>183</v>
      </c>
      <c r="V184" s="17">
        <v>45748</v>
      </c>
      <c r="W184" s="16"/>
      <c r="Z184">
        <v>0</v>
      </c>
    </row>
    <row r="185" spans="1:26" customFormat="1" hidden="1">
      <c r="A185">
        <f t="shared" ca="1" si="3"/>
        <v>55</v>
      </c>
      <c r="B185" s="4" t="s">
        <v>1237</v>
      </c>
      <c r="C185" s="12">
        <v>45197</v>
      </c>
      <c r="D185" s="4" t="s">
        <v>504</v>
      </c>
      <c r="E185" s="4" t="s">
        <v>3665</v>
      </c>
      <c r="F185" s="4">
        <v>74</v>
      </c>
      <c r="G185" s="4" t="s">
        <v>438</v>
      </c>
      <c r="H185" s="4" t="s">
        <v>34</v>
      </c>
      <c r="I185" s="4" t="s">
        <v>1238</v>
      </c>
      <c r="J185" s="4" t="s">
        <v>96</v>
      </c>
      <c r="K185" s="4" t="str">
        <f>IF(E185="KTG","KTG",(VLOOKUP(J185,'list of outsource'!B:H,2,0)))</f>
        <v>Woer</v>
      </c>
      <c r="L185" s="4" t="s">
        <v>97</v>
      </c>
      <c r="M185" s="4">
        <v>39</v>
      </c>
      <c r="N185" s="4" t="s">
        <v>262</v>
      </c>
      <c r="O185" s="2"/>
      <c r="P185" s="4" t="s">
        <v>1239</v>
      </c>
      <c r="Q185" s="4">
        <v>1285143563</v>
      </c>
      <c r="R185" s="12" t="s">
        <v>549</v>
      </c>
      <c r="S185" s="4">
        <v>1</v>
      </c>
      <c r="T185" s="4"/>
      <c r="U185" s="4" t="s">
        <v>183</v>
      </c>
      <c r="V185" s="10">
        <v>45252</v>
      </c>
      <c r="W185" s="12">
        <v>45274</v>
      </c>
      <c r="Z185" t="s">
        <v>1240</v>
      </c>
    </row>
    <row r="186" spans="1:26" customFormat="1" hidden="1">
      <c r="A186">
        <f t="shared" ca="1" si="3"/>
        <v>26</v>
      </c>
      <c r="B186" s="8" t="s">
        <v>1237</v>
      </c>
      <c r="C186" s="16">
        <v>45722</v>
      </c>
      <c r="D186" s="6" t="s">
        <v>129</v>
      </c>
      <c r="E186" s="6" t="s">
        <v>3665</v>
      </c>
      <c r="F186" s="6">
        <v>74</v>
      </c>
      <c r="G186" s="6" t="s">
        <v>438</v>
      </c>
      <c r="H186" s="6" t="s">
        <v>34</v>
      </c>
      <c r="I186" s="6" t="s">
        <v>1238</v>
      </c>
      <c r="J186" s="6" t="s">
        <v>96</v>
      </c>
      <c r="K186" s="6" t="str">
        <f>IF(E186="KTG","KTG",(VLOOKUP(J186,'list of outsource'!B:H,2,0)))</f>
        <v>Woer</v>
      </c>
      <c r="L186" s="6" t="s">
        <v>97</v>
      </c>
      <c r="M186" s="6">
        <v>39</v>
      </c>
      <c r="N186" s="6" t="s">
        <v>262</v>
      </c>
      <c r="O186" s="2"/>
      <c r="P186" s="6" t="s">
        <v>1239</v>
      </c>
      <c r="Q186" s="6" t="s">
        <v>2398</v>
      </c>
      <c r="R186" s="16"/>
      <c r="S186" s="6">
        <v>1</v>
      </c>
      <c r="T186" s="6" t="s">
        <v>307</v>
      </c>
      <c r="U186" s="6" t="s">
        <v>183</v>
      </c>
      <c r="V186" s="17">
        <v>45748</v>
      </c>
      <c r="W186" s="16"/>
      <c r="Z186" t="s">
        <v>1240</v>
      </c>
    </row>
    <row r="187" spans="1:26" customFormat="1" hidden="1">
      <c r="A187">
        <f t="shared" ca="1" si="3"/>
        <v>2</v>
      </c>
      <c r="B187" s="4" t="s">
        <v>2006</v>
      </c>
      <c r="C187" s="12">
        <v>45481</v>
      </c>
      <c r="D187" s="4" t="s">
        <v>1070</v>
      </c>
      <c r="E187" s="4" t="s">
        <v>3665</v>
      </c>
      <c r="F187" s="4">
        <v>76</v>
      </c>
      <c r="G187" s="4" t="s">
        <v>438</v>
      </c>
      <c r="H187" s="4" t="s">
        <v>34</v>
      </c>
      <c r="I187" s="4" t="s">
        <v>3667</v>
      </c>
      <c r="J187" s="4" t="s">
        <v>444</v>
      </c>
      <c r="K187" s="4" t="str">
        <f>IF(E187="KTG","KTG",(VLOOKUP(J187,'list of outsource'!B:H,2,0)))</f>
        <v>UPM</v>
      </c>
      <c r="L187" s="4" t="s">
        <v>445</v>
      </c>
      <c r="M187" s="4">
        <v>7</v>
      </c>
      <c r="N187" s="4" t="s">
        <v>2007</v>
      </c>
      <c r="O187" s="2"/>
      <c r="P187" s="4" t="s">
        <v>2008</v>
      </c>
      <c r="Q187" s="4" t="s">
        <v>2009</v>
      </c>
      <c r="R187" s="12">
        <v>45483</v>
      </c>
      <c r="S187" s="4">
        <v>4</v>
      </c>
      <c r="T187" s="4" t="s">
        <v>1258</v>
      </c>
      <c r="U187" s="4" t="s">
        <v>39</v>
      </c>
      <c r="V187" s="10">
        <v>45483</v>
      </c>
      <c r="W187" s="12">
        <v>45491</v>
      </c>
      <c r="Z187" t="e">
        <v>#N/A</v>
      </c>
    </row>
    <row r="188" spans="1:26" customFormat="1" hidden="1">
      <c r="A188">
        <f t="shared" ca="1" si="3"/>
        <v>139</v>
      </c>
      <c r="B188" s="4" t="s">
        <v>437</v>
      </c>
      <c r="C188" s="12">
        <v>44756</v>
      </c>
      <c r="D188" s="4" t="s">
        <v>156</v>
      </c>
      <c r="E188" s="4" t="s">
        <v>3665</v>
      </c>
      <c r="F188" s="4">
        <v>75</v>
      </c>
      <c r="G188" s="4" t="s">
        <v>438</v>
      </c>
      <c r="H188" s="4" t="s">
        <v>34</v>
      </c>
      <c r="I188" s="4" t="s">
        <v>439</v>
      </c>
      <c r="J188" s="4" t="s">
        <v>96</v>
      </c>
      <c r="K188" s="4" t="str">
        <f>IF(E188="KTG","KTG",(VLOOKUP(J188,'list of outsource'!B:H,2,0)))</f>
        <v>Woer</v>
      </c>
      <c r="L188" s="4" t="s">
        <v>90</v>
      </c>
      <c r="M188" s="4"/>
      <c r="N188" s="4" t="s">
        <v>440</v>
      </c>
      <c r="O188" s="2"/>
      <c r="P188" s="4" t="s">
        <v>441</v>
      </c>
      <c r="Q188" s="4"/>
      <c r="R188" s="12"/>
      <c r="S188" s="4">
        <v>2</v>
      </c>
      <c r="T188" s="4"/>
      <c r="U188" s="4" t="s">
        <v>39</v>
      </c>
      <c r="V188" s="10">
        <v>44895</v>
      </c>
      <c r="W188" s="12">
        <v>44907</v>
      </c>
    </row>
    <row r="189" spans="1:26" customFormat="1" hidden="1">
      <c r="A189">
        <f t="shared" ca="1" si="3"/>
        <v>139</v>
      </c>
      <c r="B189" s="4" t="s">
        <v>442</v>
      </c>
      <c r="C189" s="12">
        <v>44756</v>
      </c>
      <c r="D189" s="4" t="s">
        <v>156</v>
      </c>
      <c r="E189" s="4" t="s">
        <v>3665</v>
      </c>
      <c r="F189" s="4">
        <v>73</v>
      </c>
      <c r="G189" s="4" t="s">
        <v>438</v>
      </c>
      <c r="H189" s="4" t="s">
        <v>34</v>
      </c>
      <c r="I189" s="4" t="s">
        <v>443</v>
      </c>
      <c r="J189" s="4" t="s">
        <v>444</v>
      </c>
      <c r="K189" s="4" t="str">
        <f>IF(E189="KTG","KTG",(VLOOKUP(J189,'list of outsource'!B:H,2,0)))</f>
        <v>UPM</v>
      </c>
      <c r="L189" s="4" t="s">
        <v>445</v>
      </c>
      <c r="M189" s="4"/>
      <c r="N189" s="4" t="s">
        <v>446</v>
      </c>
      <c r="O189" s="2"/>
      <c r="P189" s="4" t="s">
        <v>447</v>
      </c>
      <c r="Q189" s="4"/>
      <c r="R189" s="12"/>
      <c r="S189" s="4">
        <v>2</v>
      </c>
      <c r="T189" s="4"/>
      <c r="U189" s="4" t="s">
        <v>39</v>
      </c>
      <c r="V189" s="10">
        <v>44895</v>
      </c>
      <c r="W189" s="12">
        <v>44907</v>
      </c>
    </row>
    <row r="190" spans="1:26" customFormat="1">
      <c r="A190">
        <f t="shared" ca="1" si="3"/>
        <v>27</v>
      </c>
      <c r="B190" s="49" t="s">
        <v>630</v>
      </c>
      <c r="C190" s="12">
        <v>44958</v>
      </c>
      <c r="D190" s="4" t="s">
        <v>129</v>
      </c>
      <c r="E190" s="4" t="s">
        <v>3665</v>
      </c>
      <c r="F190" s="4"/>
      <c r="G190" s="108" t="s">
        <v>631</v>
      </c>
      <c r="H190" s="108" t="s">
        <v>632</v>
      </c>
      <c r="I190" s="49">
        <v>711977</v>
      </c>
      <c r="J190" s="4" t="s">
        <v>96</v>
      </c>
      <c r="K190" s="4" t="str">
        <f>IF(E190="KTG","KTG",(VLOOKUP(J190,'list of outsource'!B:H,2,0)))</f>
        <v>Woer</v>
      </c>
      <c r="L190" s="4" t="s">
        <v>97</v>
      </c>
      <c r="M190" s="4"/>
      <c r="N190" s="4" t="s">
        <v>633</v>
      </c>
      <c r="O190" s="2" t="s">
        <v>3682</v>
      </c>
      <c r="P190" s="4" t="s">
        <v>634</v>
      </c>
      <c r="Q190" s="4">
        <v>1200668698</v>
      </c>
      <c r="R190" s="12"/>
      <c r="S190" s="4">
        <v>2</v>
      </c>
      <c r="T190" s="4"/>
      <c r="U190" s="4" t="s">
        <v>39</v>
      </c>
      <c r="V190" s="10">
        <v>44985</v>
      </c>
      <c r="W190" s="12"/>
      <c r="Z190" t="e">
        <v>#N/A</v>
      </c>
    </row>
    <row r="191" spans="1:26" customFormat="1">
      <c r="A191">
        <f t="shared" ca="1" si="3"/>
        <v>0</v>
      </c>
      <c r="B191" s="49" t="s">
        <v>721</v>
      </c>
      <c r="C191" s="12">
        <v>45000</v>
      </c>
      <c r="D191" s="4" t="s">
        <v>722</v>
      </c>
      <c r="E191" s="4" t="s">
        <v>3665</v>
      </c>
      <c r="F191" s="4"/>
      <c r="G191" s="106" t="s">
        <v>631</v>
      </c>
      <c r="H191" s="106" t="s">
        <v>723</v>
      </c>
      <c r="I191" s="49" t="s">
        <v>724</v>
      </c>
      <c r="J191" s="4" t="s">
        <v>96</v>
      </c>
      <c r="K191" s="4" t="str">
        <f>IF(E191="KTG","KTG",(VLOOKUP(J191,'list of outsource'!B:H,2,0)))</f>
        <v>Woer</v>
      </c>
      <c r="L191" s="4" t="s">
        <v>97</v>
      </c>
      <c r="M191" s="4"/>
      <c r="N191" s="4" t="s">
        <v>228</v>
      </c>
      <c r="O191" s="2" t="s">
        <v>3683</v>
      </c>
      <c r="P191" s="4" t="s">
        <v>725</v>
      </c>
      <c r="Q191" s="4">
        <v>1204984701</v>
      </c>
      <c r="R191" s="12"/>
      <c r="S191" s="4">
        <v>2</v>
      </c>
      <c r="T191" s="4"/>
      <c r="U191" s="4" t="s">
        <v>451</v>
      </c>
      <c r="V191" s="10">
        <v>45000</v>
      </c>
      <c r="W191" s="12"/>
      <c r="Z191" t="e">
        <v>#N/A</v>
      </c>
    </row>
    <row r="192" spans="1:26" customFormat="1">
      <c r="A192">
        <f t="shared" ca="1" si="3"/>
        <v>49</v>
      </c>
      <c r="B192" s="49" t="s">
        <v>1396</v>
      </c>
      <c r="C192" s="12">
        <v>45252</v>
      </c>
      <c r="D192" s="4" t="s">
        <v>1070</v>
      </c>
      <c r="E192" s="4" t="s">
        <v>3665</v>
      </c>
      <c r="F192" s="4"/>
      <c r="G192" s="106" t="s">
        <v>631</v>
      </c>
      <c r="H192" s="106" t="s">
        <v>34</v>
      </c>
      <c r="I192" s="49" t="s">
        <v>1397</v>
      </c>
      <c r="J192" s="4" t="s">
        <v>96</v>
      </c>
      <c r="K192" s="4" t="str">
        <f>IF(E192="KTG","KTG",(VLOOKUP(J192,'list of outsource'!B:H,2,0)))</f>
        <v>Woer</v>
      </c>
      <c r="L192" s="4" t="s">
        <v>97</v>
      </c>
      <c r="M192" s="4">
        <v>39</v>
      </c>
      <c r="N192" s="4" t="s">
        <v>1398</v>
      </c>
      <c r="O192" s="2" t="s">
        <v>3683</v>
      </c>
      <c r="P192" s="4" t="s">
        <v>1399</v>
      </c>
      <c r="Q192" s="4">
        <v>1289765129</v>
      </c>
      <c r="R192" s="12" t="s">
        <v>549</v>
      </c>
      <c r="S192" s="4">
        <v>4</v>
      </c>
      <c r="T192" s="4"/>
      <c r="U192" s="4" t="s">
        <v>39</v>
      </c>
      <c r="V192" s="10">
        <v>45301</v>
      </c>
      <c r="W192" s="12">
        <v>45414</v>
      </c>
      <c r="Z192" t="e">
        <v>#N/A</v>
      </c>
    </row>
    <row r="193" spans="1:26" customFormat="1">
      <c r="A193">
        <f t="shared" ca="1" si="3"/>
        <v>29</v>
      </c>
      <c r="B193" s="49" t="s">
        <v>1471</v>
      </c>
      <c r="C193" s="12">
        <v>45281</v>
      </c>
      <c r="D193" s="4" t="s">
        <v>1070</v>
      </c>
      <c r="E193" s="4" t="s">
        <v>3663</v>
      </c>
      <c r="F193" s="4"/>
      <c r="G193" s="106" t="s">
        <v>631</v>
      </c>
      <c r="H193" s="106" t="s">
        <v>34</v>
      </c>
      <c r="I193" s="49" t="s">
        <v>1472</v>
      </c>
      <c r="J193" s="4"/>
      <c r="K193" s="4" t="e">
        <f>IF(E193="KTG","KTG",(VLOOKUP(J193,'list of outsource'!B:H,2,0)))</f>
        <v>#N/A</v>
      </c>
      <c r="L193" s="4"/>
      <c r="M193" s="4"/>
      <c r="N193" s="4" t="s">
        <v>1473</v>
      </c>
      <c r="O193" s="2" t="s">
        <v>3683</v>
      </c>
      <c r="P193" s="4" t="s">
        <v>1474</v>
      </c>
      <c r="Q193" s="4"/>
      <c r="R193" s="12"/>
      <c r="S193" s="4"/>
      <c r="T193" s="4"/>
      <c r="U193" s="4"/>
      <c r="V193" s="10">
        <v>45310</v>
      </c>
      <c r="W193" s="12">
        <v>45321</v>
      </c>
      <c r="Z193" t="e">
        <v>#N/A</v>
      </c>
    </row>
    <row r="194" spans="1:26" customFormat="1">
      <c r="A194">
        <f t="shared" ca="1" si="3"/>
        <v>13</v>
      </c>
      <c r="B194" s="49" t="s">
        <v>1471</v>
      </c>
      <c r="C194" s="12">
        <v>45666</v>
      </c>
      <c r="D194" s="4" t="s">
        <v>300</v>
      </c>
      <c r="E194" s="4" t="s">
        <v>3663</v>
      </c>
      <c r="F194" s="4"/>
      <c r="G194" s="106" t="s">
        <v>631</v>
      </c>
      <c r="H194" s="106" t="s">
        <v>34</v>
      </c>
      <c r="I194" s="49" t="s">
        <v>1472</v>
      </c>
      <c r="J194" s="4"/>
      <c r="K194" s="4" t="e">
        <f>IF(E194="KTG","KTG",(VLOOKUP(J194,'list of outsource'!B:H,2,0)))</f>
        <v>#N/A</v>
      </c>
      <c r="L194" s="4"/>
      <c r="M194" s="4"/>
      <c r="N194" s="4" t="s">
        <v>1473</v>
      </c>
      <c r="O194" s="2" t="s">
        <v>3683</v>
      </c>
      <c r="P194" s="4" t="s">
        <v>1474</v>
      </c>
      <c r="Q194" s="4"/>
      <c r="R194" s="12">
        <v>45679</v>
      </c>
      <c r="S194" s="4">
        <v>1</v>
      </c>
      <c r="T194" s="4" t="s">
        <v>307</v>
      </c>
      <c r="U194" s="4" t="s">
        <v>550</v>
      </c>
      <c r="V194" s="10">
        <v>45679</v>
      </c>
      <c r="W194" s="12">
        <v>45693</v>
      </c>
      <c r="Z194" t="e">
        <v>#N/A</v>
      </c>
    </row>
    <row r="195" spans="1:26" customFormat="1">
      <c r="A195">
        <f t="shared" ca="1" si="3"/>
        <v>41</v>
      </c>
      <c r="B195" s="49" t="s">
        <v>1548</v>
      </c>
      <c r="C195" s="12">
        <v>45321</v>
      </c>
      <c r="D195" s="4" t="s">
        <v>1070</v>
      </c>
      <c r="E195" s="4" t="s">
        <v>3665</v>
      </c>
      <c r="F195" s="4"/>
      <c r="G195" s="106" t="s">
        <v>631</v>
      </c>
      <c r="H195" s="106" t="s">
        <v>34</v>
      </c>
      <c r="I195" s="105" t="s">
        <v>1549</v>
      </c>
      <c r="J195" s="4" t="s">
        <v>108</v>
      </c>
      <c r="K195" s="4" t="str">
        <f>IF(E195="KTG","KTG",(VLOOKUP(J195,'list of outsource'!B:H,2,0)))</f>
        <v>UPM</v>
      </c>
      <c r="L195" s="4" t="s">
        <v>109</v>
      </c>
      <c r="M195" s="4">
        <v>38</v>
      </c>
      <c r="N195" s="105" t="s">
        <v>286</v>
      </c>
      <c r="O195" s="2" t="s">
        <v>3683</v>
      </c>
      <c r="P195" s="4" t="s">
        <v>1230</v>
      </c>
      <c r="Q195" s="4">
        <v>1307227460</v>
      </c>
      <c r="R195" s="12" t="s">
        <v>549</v>
      </c>
      <c r="S195" s="4">
        <v>4</v>
      </c>
      <c r="T195" s="4" t="s">
        <v>307</v>
      </c>
      <c r="U195" s="4" t="s">
        <v>39</v>
      </c>
      <c r="V195" s="10">
        <v>45362</v>
      </c>
      <c r="W195" s="12">
        <v>45464</v>
      </c>
      <c r="Z195" t="e">
        <v>#N/A</v>
      </c>
    </row>
    <row r="196" spans="1:26" customFormat="1">
      <c r="A196">
        <f t="shared" ca="1" si="3"/>
        <v>25</v>
      </c>
      <c r="B196" s="104" t="s">
        <v>1941</v>
      </c>
      <c r="C196" s="12">
        <v>45845</v>
      </c>
      <c r="D196" s="4" t="s">
        <v>300</v>
      </c>
      <c r="E196" s="4" t="s">
        <v>3663</v>
      </c>
      <c r="F196" s="4"/>
      <c r="G196" s="106" t="s">
        <v>631</v>
      </c>
      <c r="H196" s="106" t="s">
        <v>34</v>
      </c>
      <c r="I196" s="49" t="s">
        <v>1942</v>
      </c>
      <c r="J196" s="4"/>
      <c r="K196" s="4" t="e">
        <f>IF(E196="KTG","KTG",(VLOOKUP(J196,'list of outsource'!B:H,2,0)))</f>
        <v>#N/A</v>
      </c>
      <c r="L196" s="4"/>
      <c r="M196" s="47"/>
      <c r="N196" s="4" t="s">
        <v>2728</v>
      </c>
      <c r="O196" s="2" t="s">
        <v>3683</v>
      </c>
      <c r="P196" s="4" t="s">
        <v>1944</v>
      </c>
      <c r="Q196" s="4"/>
      <c r="R196" s="12">
        <v>45483</v>
      </c>
      <c r="S196" s="4">
        <v>1</v>
      </c>
      <c r="T196" s="4" t="s">
        <v>307</v>
      </c>
      <c r="U196" s="4" t="s">
        <v>550</v>
      </c>
      <c r="V196" s="10">
        <v>45870</v>
      </c>
      <c r="W196" s="12">
        <v>45875</v>
      </c>
      <c r="Z196" t="e">
        <v>#N/A</v>
      </c>
    </row>
    <row r="197" spans="1:26" customFormat="1">
      <c r="A197">
        <f t="shared" ca="1" si="3"/>
        <v>43987</v>
      </c>
      <c r="B197" s="49" t="s">
        <v>92</v>
      </c>
      <c r="C197" s="12">
        <v>2021</v>
      </c>
      <c r="D197" s="4" t="s">
        <v>93</v>
      </c>
      <c r="E197" s="4" t="s">
        <v>3665</v>
      </c>
      <c r="F197" s="4"/>
      <c r="G197" s="4" t="s">
        <v>54</v>
      </c>
      <c r="H197" s="49" t="s">
        <v>94</v>
      </c>
      <c r="I197" s="49" t="s">
        <v>95</v>
      </c>
      <c r="J197" s="4" t="s">
        <v>96</v>
      </c>
      <c r="K197" s="4" t="str">
        <f>IF(E197="KTG","KTG",(VLOOKUP(J197,'list of outsource'!B:H,2,0)))</f>
        <v>Woer</v>
      </c>
      <c r="L197" s="4" t="s">
        <v>97</v>
      </c>
      <c r="M197" s="4"/>
      <c r="N197" s="4" t="s">
        <v>98</v>
      </c>
      <c r="O197" s="2" t="s">
        <v>3670</v>
      </c>
      <c r="P197" s="4" t="s">
        <v>99</v>
      </c>
      <c r="Q197" s="4"/>
      <c r="R197" s="12"/>
      <c r="S197" s="4">
        <v>2</v>
      </c>
      <c r="T197" s="4"/>
      <c r="U197" s="4" t="s">
        <v>39</v>
      </c>
      <c r="V197" s="10"/>
      <c r="W197" s="12"/>
    </row>
    <row r="198" spans="1:26" customFormat="1">
      <c r="A198">
        <f t="shared" ca="1" si="3"/>
        <v>43986</v>
      </c>
      <c r="B198" s="49" t="s">
        <v>92</v>
      </c>
      <c r="C198" s="12">
        <v>2022</v>
      </c>
      <c r="D198" s="4" t="s">
        <v>93</v>
      </c>
      <c r="E198" s="4" t="s">
        <v>3663</v>
      </c>
      <c r="F198" s="4"/>
      <c r="G198" s="4" t="s">
        <v>54</v>
      </c>
      <c r="H198" s="49" t="s">
        <v>94</v>
      </c>
      <c r="I198" s="49" t="s">
        <v>95</v>
      </c>
      <c r="J198" s="4" t="s">
        <v>96</v>
      </c>
      <c r="K198" s="4" t="str">
        <f>IF(E198="KTG","KTG",(VLOOKUP(J198,'list of outsource'!B:H,2,0)))</f>
        <v>Woer</v>
      </c>
      <c r="L198" s="4" t="s">
        <v>97</v>
      </c>
      <c r="M198" s="4"/>
      <c r="N198" s="4" t="s">
        <v>98</v>
      </c>
      <c r="O198" s="2" t="s">
        <v>3670</v>
      </c>
      <c r="P198" s="4" t="s">
        <v>99</v>
      </c>
      <c r="Q198" s="4"/>
      <c r="R198" s="12"/>
      <c r="S198" s="4">
        <v>2</v>
      </c>
      <c r="T198" s="4"/>
      <c r="U198" s="4" t="s">
        <v>39</v>
      </c>
      <c r="V198" s="10"/>
      <c r="W198" s="12"/>
    </row>
    <row r="199" spans="1:26" customFormat="1">
      <c r="A199">
        <f t="shared" ca="1" si="3"/>
        <v>42472</v>
      </c>
      <c r="B199" s="49" t="s">
        <v>112</v>
      </c>
      <c r="C199" s="12">
        <v>2021</v>
      </c>
      <c r="D199" s="4" t="s">
        <v>101</v>
      </c>
      <c r="E199" s="4" t="s">
        <v>3665</v>
      </c>
      <c r="F199" s="4"/>
      <c r="G199" s="4" t="s">
        <v>54</v>
      </c>
      <c r="H199" s="49" t="s">
        <v>94</v>
      </c>
      <c r="I199" s="49" t="s">
        <v>113</v>
      </c>
      <c r="J199" s="4" t="s">
        <v>114</v>
      </c>
      <c r="K199" s="4" t="str">
        <f>IF(E199="KTG","KTG",(VLOOKUP(J199,'list of outsource'!B:H,2,0)))</f>
        <v>UPM</v>
      </c>
      <c r="L199" s="4" t="s">
        <v>115</v>
      </c>
      <c r="M199" s="4"/>
      <c r="N199" s="4" t="s">
        <v>116</v>
      </c>
      <c r="O199" s="2" t="s">
        <v>3670</v>
      </c>
      <c r="P199" s="4" t="s">
        <v>117</v>
      </c>
      <c r="Q199" s="4"/>
      <c r="R199" s="12"/>
      <c r="S199" s="4">
        <v>2</v>
      </c>
      <c r="T199" s="4"/>
      <c r="U199" s="4" t="s">
        <v>39</v>
      </c>
      <c r="V199" s="10">
        <v>44493</v>
      </c>
      <c r="W199" s="12">
        <v>44502</v>
      </c>
    </row>
    <row r="200" spans="1:26" customFormat="1">
      <c r="A200">
        <f t="shared" ca="1" si="3"/>
        <v>42471</v>
      </c>
      <c r="B200" s="49" t="s">
        <v>112</v>
      </c>
      <c r="C200" s="12">
        <v>2022</v>
      </c>
      <c r="D200" s="4" t="s">
        <v>101</v>
      </c>
      <c r="E200" s="4" t="s">
        <v>3665</v>
      </c>
      <c r="F200" s="4"/>
      <c r="G200" s="4" t="s">
        <v>54</v>
      </c>
      <c r="H200" s="49" t="s">
        <v>94</v>
      </c>
      <c r="I200" s="49" t="s">
        <v>113</v>
      </c>
      <c r="J200" s="4" t="s">
        <v>114</v>
      </c>
      <c r="K200" s="4" t="str">
        <f>IF(E200="KTG","KTG",(VLOOKUP(J200,'list of outsource'!B:H,2,0)))</f>
        <v>UPM</v>
      </c>
      <c r="L200" s="4" t="s">
        <v>115</v>
      </c>
      <c r="M200" s="4"/>
      <c r="N200" s="4" t="s">
        <v>116</v>
      </c>
      <c r="O200" s="2" t="s">
        <v>3670</v>
      </c>
      <c r="P200" s="4" t="s">
        <v>117</v>
      </c>
      <c r="Q200" s="4"/>
      <c r="R200" s="12"/>
      <c r="S200" s="4">
        <v>2</v>
      </c>
      <c r="T200" s="4"/>
      <c r="U200" s="4" t="s">
        <v>39</v>
      </c>
      <c r="V200" s="10">
        <v>44493</v>
      </c>
      <c r="W200" s="12">
        <v>44502</v>
      </c>
    </row>
    <row r="201" spans="1:26" customFormat="1">
      <c r="A201">
        <f t="shared" ca="1" si="3"/>
        <v>42472</v>
      </c>
      <c r="B201" s="49" t="s">
        <v>118</v>
      </c>
      <c r="C201" s="12">
        <v>2021</v>
      </c>
      <c r="D201" s="4" t="s">
        <v>101</v>
      </c>
      <c r="E201" s="4" t="s">
        <v>3665</v>
      </c>
      <c r="F201" s="4"/>
      <c r="G201" s="4" t="s">
        <v>54</v>
      </c>
      <c r="H201" s="49" t="s">
        <v>94</v>
      </c>
      <c r="I201" s="49" t="s">
        <v>119</v>
      </c>
      <c r="J201" s="4" t="s">
        <v>114</v>
      </c>
      <c r="K201" s="4" t="str">
        <f>IF(E201="KTG","KTG",(VLOOKUP(J201,'list of outsource'!B:H,2,0)))</f>
        <v>UPM</v>
      </c>
      <c r="L201" s="4" t="s">
        <v>115</v>
      </c>
      <c r="M201" s="4"/>
      <c r="N201" s="4" t="s">
        <v>120</v>
      </c>
      <c r="O201" s="2" t="s">
        <v>3670</v>
      </c>
      <c r="P201" s="4" t="s">
        <v>121</v>
      </c>
      <c r="Q201" s="4"/>
      <c r="R201" s="12"/>
      <c r="S201" s="4">
        <v>2</v>
      </c>
      <c r="T201" s="4"/>
      <c r="U201" s="4" t="s">
        <v>39</v>
      </c>
      <c r="V201" s="10">
        <v>44493</v>
      </c>
      <c r="W201" s="12">
        <v>44502</v>
      </c>
    </row>
    <row r="202" spans="1:26" customFormat="1">
      <c r="A202">
        <f t="shared" ca="1" si="3"/>
        <v>42471</v>
      </c>
      <c r="B202" s="49" t="s">
        <v>118</v>
      </c>
      <c r="C202" s="12">
        <v>2022</v>
      </c>
      <c r="D202" s="4" t="s">
        <v>101</v>
      </c>
      <c r="E202" s="4" t="s">
        <v>3665</v>
      </c>
      <c r="F202" s="4"/>
      <c r="G202" s="4" t="s">
        <v>54</v>
      </c>
      <c r="H202" s="49" t="s">
        <v>94</v>
      </c>
      <c r="I202" s="49" t="s">
        <v>119</v>
      </c>
      <c r="J202" s="4" t="s">
        <v>114</v>
      </c>
      <c r="K202" s="4" t="str">
        <f>IF(E202="KTG","KTG",(VLOOKUP(J202,'list of outsource'!B:H,2,0)))</f>
        <v>UPM</v>
      </c>
      <c r="L202" s="4" t="s">
        <v>115</v>
      </c>
      <c r="M202" s="4"/>
      <c r="N202" s="4" t="s">
        <v>120</v>
      </c>
      <c r="O202" s="2" t="s">
        <v>3670</v>
      </c>
      <c r="P202" s="4" t="s">
        <v>121</v>
      </c>
      <c r="Q202" s="4"/>
      <c r="R202" s="12"/>
      <c r="S202" s="4">
        <v>2</v>
      </c>
      <c r="T202" s="4"/>
      <c r="U202" s="4" t="s">
        <v>39</v>
      </c>
      <c r="V202" s="10">
        <v>44493</v>
      </c>
      <c r="W202" s="12">
        <v>44502</v>
      </c>
    </row>
    <row r="203" spans="1:26" customFormat="1">
      <c r="A203">
        <f t="shared" ca="1" si="3"/>
        <v>20</v>
      </c>
      <c r="B203" s="49" t="s">
        <v>1083</v>
      </c>
      <c r="C203" s="12">
        <v>45134</v>
      </c>
      <c r="D203" s="4" t="s">
        <v>504</v>
      </c>
      <c r="E203" s="4" t="s">
        <v>3664</v>
      </c>
      <c r="F203" s="4"/>
      <c r="G203" s="106" t="s">
        <v>54</v>
      </c>
      <c r="H203" s="106" t="s">
        <v>146</v>
      </c>
      <c r="I203" s="49" t="s">
        <v>1084</v>
      </c>
      <c r="J203" s="4" t="s">
        <v>455</v>
      </c>
      <c r="K203" s="4" t="e">
        <f>IF(E203="KTG","KTG",(VLOOKUP(J203,'list of outsource'!B:H,2,0)))</f>
        <v>#N/A</v>
      </c>
      <c r="L203" s="4" t="s">
        <v>638</v>
      </c>
      <c r="M203" s="4"/>
      <c r="N203" s="4" t="s">
        <v>455</v>
      </c>
      <c r="O203" s="2" t="s">
        <v>3670</v>
      </c>
      <c r="P203" s="4" t="s">
        <v>456</v>
      </c>
      <c r="Q203" s="4">
        <v>1248834931</v>
      </c>
      <c r="R203" s="12"/>
      <c r="S203" s="4">
        <v>2</v>
      </c>
      <c r="T203" s="4"/>
      <c r="U203" s="4" t="s">
        <v>39</v>
      </c>
      <c r="V203" s="10" t="s">
        <v>1085</v>
      </c>
      <c r="W203" s="12" t="s">
        <v>1086</v>
      </c>
    </row>
    <row r="204" spans="1:26" customFormat="1">
      <c r="A204">
        <f t="shared" ref="A204:A267" ca="1" si="4">IF(V204="",(TODAY()-C204),(V204-C204))</f>
        <v>42023</v>
      </c>
      <c r="B204" s="49" t="s">
        <v>84</v>
      </c>
      <c r="C204" s="12">
        <v>2021</v>
      </c>
      <c r="D204" s="4"/>
      <c r="E204" s="4" t="s">
        <v>3665</v>
      </c>
      <c r="F204" s="4"/>
      <c r="G204" s="4" t="s">
        <v>86</v>
      </c>
      <c r="H204" s="49" t="s">
        <v>87</v>
      </c>
      <c r="I204" s="49" t="s">
        <v>88</v>
      </c>
      <c r="J204" s="4" t="s">
        <v>89</v>
      </c>
      <c r="K204" s="4" t="str">
        <f>IF(E204="KTG","KTG",(VLOOKUP(J204,'list of outsource'!B:H,2,0)))</f>
        <v>UPM</v>
      </c>
      <c r="L204" s="4" t="s">
        <v>90</v>
      </c>
      <c r="M204" s="4"/>
      <c r="N204" s="4" t="s">
        <v>91</v>
      </c>
      <c r="O204" s="2" t="s">
        <v>3669</v>
      </c>
      <c r="P204" s="4" t="s">
        <v>3463</v>
      </c>
      <c r="Q204" s="4"/>
      <c r="R204" s="12"/>
      <c r="S204" s="4">
        <v>2</v>
      </c>
      <c r="T204" s="4"/>
      <c r="U204" s="4" t="s">
        <v>39</v>
      </c>
      <c r="V204" s="10">
        <v>44044</v>
      </c>
      <c r="W204" s="12"/>
    </row>
    <row r="205" spans="1:26" customFormat="1">
      <c r="A205">
        <f t="shared" ca="1" si="4"/>
        <v>42022</v>
      </c>
      <c r="B205" s="49" t="s">
        <v>84</v>
      </c>
      <c r="C205" s="12">
        <v>2022</v>
      </c>
      <c r="D205" s="4"/>
      <c r="E205" s="4" t="s">
        <v>3665</v>
      </c>
      <c r="F205" s="4"/>
      <c r="G205" s="4" t="s">
        <v>86</v>
      </c>
      <c r="H205" s="49" t="s">
        <v>87</v>
      </c>
      <c r="I205" s="49" t="s">
        <v>88</v>
      </c>
      <c r="J205" s="4" t="s">
        <v>89</v>
      </c>
      <c r="K205" s="4" t="str">
        <f>IF(E205="KTG","KTG",(VLOOKUP(J205,'list of outsource'!B:H,2,0)))</f>
        <v>UPM</v>
      </c>
      <c r="L205" s="4" t="s">
        <v>90</v>
      </c>
      <c r="M205" s="4"/>
      <c r="N205" s="4" t="s">
        <v>91</v>
      </c>
      <c r="O205" s="2" t="s">
        <v>3669</v>
      </c>
      <c r="P205" s="4" t="s">
        <v>3463</v>
      </c>
      <c r="Q205" s="4"/>
      <c r="R205" s="12"/>
      <c r="S205" s="4">
        <v>2</v>
      </c>
      <c r="T205" s="4"/>
      <c r="U205" s="4" t="s">
        <v>39</v>
      </c>
      <c r="V205" s="10">
        <v>44044</v>
      </c>
      <c r="W205" s="12"/>
    </row>
    <row r="206" spans="1:26" customFormat="1">
      <c r="A206">
        <f t="shared" ca="1" si="4"/>
        <v>42023</v>
      </c>
      <c r="B206" s="49" t="s">
        <v>122</v>
      </c>
      <c r="C206" s="12">
        <v>2021</v>
      </c>
      <c r="D206" s="4"/>
      <c r="E206" s="4" t="s">
        <v>3665</v>
      </c>
      <c r="F206" s="4"/>
      <c r="G206" s="4" t="s">
        <v>86</v>
      </c>
      <c r="H206" s="49" t="s">
        <v>87</v>
      </c>
      <c r="I206" s="49" t="s">
        <v>123</v>
      </c>
      <c r="J206" s="4" t="s">
        <v>89</v>
      </c>
      <c r="K206" s="4" t="str">
        <f>IF(E206="KTG","KTG",(VLOOKUP(J206,'list of outsource'!B:H,2,0)))</f>
        <v>UPM</v>
      </c>
      <c r="L206" s="4" t="s">
        <v>90</v>
      </c>
      <c r="M206" s="4"/>
      <c r="N206" s="4" t="s">
        <v>124</v>
      </c>
      <c r="O206" s="2" t="s">
        <v>3669</v>
      </c>
      <c r="P206" s="4" t="s">
        <v>3468</v>
      </c>
      <c r="Q206" s="4"/>
      <c r="R206" s="12"/>
      <c r="S206" s="4">
        <v>2</v>
      </c>
      <c r="T206" s="4"/>
      <c r="U206" s="4" t="s">
        <v>39</v>
      </c>
      <c r="V206" s="10">
        <v>44044</v>
      </c>
      <c r="W206" s="12"/>
    </row>
    <row r="207" spans="1:26" customFormat="1">
      <c r="A207">
        <f t="shared" ca="1" si="4"/>
        <v>42022</v>
      </c>
      <c r="B207" s="49" t="s">
        <v>122</v>
      </c>
      <c r="C207" s="12">
        <v>2022</v>
      </c>
      <c r="D207" s="4"/>
      <c r="E207" s="4" t="s">
        <v>3665</v>
      </c>
      <c r="F207" s="4"/>
      <c r="G207" s="4" t="s">
        <v>86</v>
      </c>
      <c r="H207" s="49" t="s">
        <v>87</v>
      </c>
      <c r="I207" s="49" t="s">
        <v>123</v>
      </c>
      <c r="J207" s="4" t="s">
        <v>89</v>
      </c>
      <c r="K207" s="4" t="str">
        <f>IF(E207="KTG","KTG",(VLOOKUP(J207,'list of outsource'!B:H,2,0)))</f>
        <v>UPM</v>
      </c>
      <c r="L207" s="4" t="s">
        <v>90</v>
      </c>
      <c r="M207" s="4"/>
      <c r="N207" s="4" t="s">
        <v>124</v>
      </c>
      <c r="O207" s="2" t="s">
        <v>3669</v>
      </c>
      <c r="P207" s="4" t="s">
        <v>3468</v>
      </c>
      <c r="Q207" s="4"/>
      <c r="R207" s="12"/>
      <c r="S207" s="4">
        <v>2</v>
      </c>
      <c r="T207" s="4"/>
      <c r="U207" s="4" t="s">
        <v>39</v>
      </c>
      <c r="V207" s="10">
        <v>44044</v>
      </c>
      <c r="W207" s="12"/>
    </row>
    <row r="208" spans="1:26" customFormat="1">
      <c r="A208">
        <f t="shared" ca="1" si="4"/>
        <v>6147</v>
      </c>
      <c r="B208" s="49" t="s">
        <v>164</v>
      </c>
      <c r="C208" s="12">
        <v>38546</v>
      </c>
      <c r="D208" s="4" t="s">
        <v>156</v>
      </c>
      <c r="E208" s="4" t="s">
        <v>3665</v>
      </c>
      <c r="F208" s="4"/>
      <c r="G208" s="106" t="s">
        <v>86</v>
      </c>
      <c r="H208" s="106" t="s">
        <v>165</v>
      </c>
      <c r="I208" s="49" t="s">
        <v>166</v>
      </c>
      <c r="J208" s="4" t="s">
        <v>108</v>
      </c>
      <c r="K208" s="4" t="str">
        <f>IF(E208="KTG","KTG",(VLOOKUP(J208,'list of outsource'!B:H,2,0)))</f>
        <v>UPM</v>
      </c>
      <c r="L208" s="4" t="s">
        <v>109</v>
      </c>
      <c r="M208" s="4"/>
      <c r="N208" s="4" t="s">
        <v>167</v>
      </c>
      <c r="O208" s="2" t="s">
        <v>3684</v>
      </c>
      <c r="P208" s="4" t="s">
        <v>168</v>
      </c>
      <c r="Q208" s="4"/>
      <c r="R208" s="12"/>
      <c r="S208" s="4">
        <v>2</v>
      </c>
      <c r="T208" s="4"/>
      <c r="U208" s="4" t="s">
        <v>39</v>
      </c>
      <c r="V208" s="10">
        <v>44693</v>
      </c>
      <c r="W208" s="12">
        <v>44720</v>
      </c>
    </row>
    <row r="209" spans="1:23" customFormat="1">
      <c r="A209">
        <f t="shared" ca="1" si="4"/>
        <v>6147</v>
      </c>
      <c r="B209" s="49" t="s">
        <v>169</v>
      </c>
      <c r="C209" s="12">
        <v>38546</v>
      </c>
      <c r="D209" s="4" t="s">
        <v>156</v>
      </c>
      <c r="E209" s="4" t="s">
        <v>3665</v>
      </c>
      <c r="F209" s="4"/>
      <c r="G209" s="106" t="s">
        <v>86</v>
      </c>
      <c r="H209" s="106" t="s">
        <v>165</v>
      </c>
      <c r="I209" s="49" t="s">
        <v>170</v>
      </c>
      <c r="J209" s="4" t="s">
        <v>108</v>
      </c>
      <c r="K209" s="4" t="str">
        <f>IF(E209="KTG","KTG",(VLOOKUP(J209,'list of outsource'!B:H,2,0)))</f>
        <v>UPM</v>
      </c>
      <c r="L209" s="4" t="s">
        <v>109</v>
      </c>
      <c r="M209" s="4"/>
      <c r="N209" s="4" t="s">
        <v>171</v>
      </c>
      <c r="O209" s="2" t="s">
        <v>3684</v>
      </c>
      <c r="P209" s="4" t="s">
        <v>172</v>
      </c>
      <c r="Q209" s="4"/>
      <c r="R209" s="12"/>
      <c r="S209" s="4">
        <v>2</v>
      </c>
      <c r="T209" s="4"/>
      <c r="U209" s="4" t="s">
        <v>39</v>
      </c>
      <c r="V209" s="10">
        <v>44693</v>
      </c>
      <c r="W209" s="12">
        <v>44713</v>
      </c>
    </row>
    <row r="210" spans="1:23" customFormat="1">
      <c r="A210">
        <f t="shared" ca="1" si="4"/>
        <v>6147</v>
      </c>
      <c r="B210" s="49" t="s">
        <v>178</v>
      </c>
      <c r="C210" s="12">
        <v>38546</v>
      </c>
      <c r="D210" s="4" t="s">
        <v>156</v>
      </c>
      <c r="E210" s="4" t="s">
        <v>3665</v>
      </c>
      <c r="F210" s="4"/>
      <c r="G210" s="106" t="s">
        <v>86</v>
      </c>
      <c r="H210" s="106" t="s">
        <v>165</v>
      </c>
      <c r="I210" s="49" t="s">
        <v>179</v>
      </c>
      <c r="J210" s="4" t="s">
        <v>108</v>
      </c>
      <c r="K210" s="4" t="str">
        <f>IF(E210="KTG","KTG",(VLOOKUP(J210,'list of outsource'!B:H,2,0)))</f>
        <v>UPM</v>
      </c>
      <c r="L210" s="4" t="s">
        <v>109</v>
      </c>
      <c r="M210" s="4"/>
      <c r="N210" s="4" t="s">
        <v>180</v>
      </c>
      <c r="O210" s="2" t="s">
        <v>3684</v>
      </c>
      <c r="P210" s="4" t="s">
        <v>181</v>
      </c>
      <c r="Q210" s="4"/>
      <c r="R210" s="12"/>
      <c r="S210" s="4">
        <v>2</v>
      </c>
      <c r="T210" s="4"/>
      <c r="U210" s="4" t="s">
        <v>39</v>
      </c>
      <c r="V210" s="10">
        <v>44693</v>
      </c>
      <c r="W210" s="12">
        <v>44700</v>
      </c>
    </row>
    <row r="211" spans="1:23" customFormat="1">
      <c r="A211">
        <f t="shared" ca="1" si="4"/>
        <v>42671</v>
      </c>
      <c r="B211" s="49" t="s">
        <v>424</v>
      </c>
      <c r="C211" s="12">
        <v>2022</v>
      </c>
      <c r="D211" s="4" t="s">
        <v>129</v>
      </c>
      <c r="E211" s="4" t="s">
        <v>3665</v>
      </c>
      <c r="F211" s="4"/>
      <c r="G211" s="106" t="s">
        <v>86</v>
      </c>
      <c r="H211" s="106" t="s">
        <v>87</v>
      </c>
      <c r="I211" s="49" t="s">
        <v>88</v>
      </c>
      <c r="J211" s="4" t="s">
        <v>89</v>
      </c>
      <c r="K211" s="4" t="str">
        <f>IF(E211="KTG","KTG",(VLOOKUP(J211,'list of outsource'!B:H,2,0)))</f>
        <v>UPM</v>
      </c>
      <c r="L211" s="4" t="s">
        <v>90</v>
      </c>
      <c r="M211" s="4"/>
      <c r="N211" s="4" t="s">
        <v>91</v>
      </c>
      <c r="O211" s="2" t="s">
        <v>3669</v>
      </c>
      <c r="P211" s="4" t="s">
        <v>3463</v>
      </c>
      <c r="Q211" s="4"/>
      <c r="R211" s="12"/>
      <c r="S211" s="4">
        <v>2</v>
      </c>
      <c r="T211" s="4"/>
      <c r="U211" s="4" t="s">
        <v>183</v>
      </c>
      <c r="V211" s="10">
        <v>44693</v>
      </c>
      <c r="W211" s="12"/>
    </row>
    <row r="212" spans="1:23" customFormat="1">
      <c r="A212">
        <f t="shared" ca="1" si="4"/>
        <v>42724</v>
      </c>
      <c r="B212" s="49" t="s">
        <v>182</v>
      </c>
      <c r="C212" s="12">
        <v>2022</v>
      </c>
      <c r="D212" s="4" t="s">
        <v>156</v>
      </c>
      <c r="E212" s="4" t="s">
        <v>3665</v>
      </c>
      <c r="F212" s="4"/>
      <c r="G212" s="106" t="s">
        <v>86</v>
      </c>
      <c r="H212" s="106" t="s">
        <v>87</v>
      </c>
      <c r="I212" s="49" t="s">
        <v>123</v>
      </c>
      <c r="J212" s="4" t="s">
        <v>89</v>
      </c>
      <c r="K212" s="4" t="str">
        <f>IF(E212="KTG","KTG",(VLOOKUP(J212,'list of outsource'!B:H,2,0)))</f>
        <v>UPM</v>
      </c>
      <c r="L212" s="4" t="s">
        <v>90</v>
      </c>
      <c r="M212" s="4"/>
      <c r="N212" s="4" t="s">
        <v>124</v>
      </c>
      <c r="O212" s="2" t="s">
        <v>3669</v>
      </c>
      <c r="P212" s="4" t="s">
        <v>3467</v>
      </c>
      <c r="Q212" s="4"/>
      <c r="R212" s="12"/>
      <c r="S212" s="4">
        <v>2</v>
      </c>
      <c r="T212" s="4"/>
      <c r="U212" s="4" t="s">
        <v>183</v>
      </c>
      <c r="V212" s="10">
        <v>44746</v>
      </c>
      <c r="W212" s="12">
        <v>44748</v>
      </c>
    </row>
    <row r="213" spans="1:23" customFormat="1">
      <c r="A213">
        <f t="shared" ca="1" si="4"/>
        <v>6161</v>
      </c>
      <c r="B213" s="49" t="s">
        <v>184</v>
      </c>
      <c r="C213" s="12">
        <v>38546</v>
      </c>
      <c r="D213" s="4" t="s">
        <v>156</v>
      </c>
      <c r="E213" s="4" t="s">
        <v>3665</v>
      </c>
      <c r="F213" s="4"/>
      <c r="G213" s="106" t="s">
        <v>86</v>
      </c>
      <c r="H213" s="106" t="s">
        <v>165</v>
      </c>
      <c r="I213" s="49" t="s">
        <v>185</v>
      </c>
      <c r="J213" s="4" t="s">
        <v>108</v>
      </c>
      <c r="K213" s="4" t="str">
        <f>IF(E213="KTG","KTG",(VLOOKUP(J213,'list of outsource'!B:H,2,0)))</f>
        <v>UPM</v>
      </c>
      <c r="L213" s="4" t="s">
        <v>109</v>
      </c>
      <c r="M213" s="4"/>
      <c r="N213" s="4" t="s">
        <v>186</v>
      </c>
      <c r="O213" s="2" t="s">
        <v>3684</v>
      </c>
      <c r="P213" s="4" t="s">
        <v>187</v>
      </c>
      <c r="Q213" s="4"/>
      <c r="R213" s="12"/>
      <c r="S213" s="4">
        <v>2</v>
      </c>
      <c r="T213" s="4"/>
      <c r="U213" s="4" t="s">
        <v>39</v>
      </c>
      <c r="V213" s="10">
        <v>44707</v>
      </c>
      <c r="W213" s="12">
        <v>44719</v>
      </c>
    </row>
    <row r="214" spans="1:23" customFormat="1">
      <c r="A214">
        <f t="shared" ca="1" si="4"/>
        <v>42774</v>
      </c>
      <c r="B214" s="49" t="s">
        <v>188</v>
      </c>
      <c r="C214" s="12">
        <v>2022</v>
      </c>
      <c r="D214" s="4" t="s">
        <v>156</v>
      </c>
      <c r="E214" s="4" t="s">
        <v>3665</v>
      </c>
      <c r="F214" s="4"/>
      <c r="G214" s="106" t="s">
        <v>86</v>
      </c>
      <c r="H214" s="106" t="s">
        <v>165</v>
      </c>
      <c r="I214" s="49" t="s">
        <v>189</v>
      </c>
      <c r="J214" s="4" t="s">
        <v>190</v>
      </c>
      <c r="K214" s="4" t="str">
        <f>IF(E214="KTG","KTG",(VLOOKUP(J214,'list of outsource'!B:H,2,0)))</f>
        <v>UPM</v>
      </c>
      <c r="L214" s="4" t="s">
        <v>191</v>
      </c>
      <c r="M214" s="4"/>
      <c r="N214" s="4" t="s">
        <v>192</v>
      </c>
      <c r="O214" s="2" t="s">
        <v>3684</v>
      </c>
      <c r="P214" s="4" t="s">
        <v>193</v>
      </c>
      <c r="Q214" s="4"/>
      <c r="R214" s="12"/>
      <c r="S214" s="4">
        <v>2</v>
      </c>
      <c r="T214" s="4"/>
      <c r="U214" s="4" t="s">
        <v>39</v>
      </c>
      <c r="V214" s="10">
        <v>44796</v>
      </c>
      <c r="W214" s="12">
        <v>44811</v>
      </c>
    </row>
    <row r="215" spans="1:23" customFormat="1">
      <c r="A215">
        <f t="shared" ca="1" si="4"/>
        <v>42777</v>
      </c>
      <c r="B215" s="49" t="s">
        <v>194</v>
      </c>
      <c r="C215" s="12">
        <v>2022</v>
      </c>
      <c r="D215" s="4" t="s">
        <v>156</v>
      </c>
      <c r="E215" s="4" t="s">
        <v>3665</v>
      </c>
      <c r="F215" s="4"/>
      <c r="G215" s="106" t="s">
        <v>86</v>
      </c>
      <c r="H215" s="106" t="s">
        <v>165</v>
      </c>
      <c r="I215" s="49" t="s">
        <v>195</v>
      </c>
      <c r="J215" s="4" t="s">
        <v>190</v>
      </c>
      <c r="K215" s="4" t="str">
        <f>IF(E215="KTG","KTG",(VLOOKUP(J215,'list of outsource'!B:H,2,0)))</f>
        <v>UPM</v>
      </c>
      <c r="L215" s="4" t="s">
        <v>191</v>
      </c>
      <c r="M215" s="4"/>
      <c r="N215" s="4" t="s">
        <v>196</v>
      </c>
      <c r="O215" s="2" t="s">
        <v>3684</v>
      </c>
      <c r="P215" s="4" t="s">
        <v>197</v>
      </c>
      <c r="Q215" s="4"/>
      <c r="R215" s="12"/>
      <c r="S215" s="4">
        <v>2</v>
      </c>
      <c r="T215" s="4"/>
      <c r="U215" s="4" t="s">
        <v>39</v>
      </c>
      <c r="V215" s="10">
        <v>44799</v>
      </c>
      <c r="W215" s="12">
        <v>44832</v>
      </c>
    </row>
    <row r="216" spans="1:23" customFormat="1">
      <c r="A216">
        <f t="shared" ca="1" si="4"/>
        <v>6251</v>
      </c>
      <c r="B216" s="49" t="s">
        <v>198</v>
      </c>
      <c r="C216" s="12">
        <v>38546</v>
      </c>
      <c r="D216" s="4" t="s">
        <v>156</v>
      </c>
      <c r="E216" s="4" t="s">
        <v>3665</v>
      </c>
      <c r="F216" s="4"/>
      <c r="G216" s="106" t="s">
        <v>86</v>
      </c>
      <c r="H216" s="106" t="s">
        <v>165</v>
      </c>
      <c r="I216" s="49" t="s">
        <v>199</v>
      </c>
      <c r="J216" s="4" t="s">
        <v>108</v>
      </c>
      <c r="K216" s="4" t="str">
        <f>IF(E216="KTG","KTG",(VLOOKUP(J216,'list of outsource'!B:H,2,0)))</f>
        <v>UPM</v>
      </c>
      <c r="L216" s="4" t="s">
        <v>109</v>
      </c>
      <c r="M216" s="4"/>
      <c r="N216" s="4" t="s">
        <v>200</v>
      </c>
      <c r="O216" s="2" t="s">
        <v>3684</v>
      </c>
      <c r="P216" s="4" t="s">
        <v>201</v>
      </c>
      <c r="Q216" s="4"/>
      <c r="R216" s="12"/>
      <c r="S216" s="4">
        <v>2</v>
      </c>
      <c r="T216" s="4"/>
      <c r="U216" s="4" t="s">
        <v>39</v>
      </c>
      <c r="V216" s="10">
        <v>44797</v>
      </c>
      <c r="W216" s="12">
        <v>44798</v>
      </c>
    </row>
    <row r="217" spans="1:23" customFormat="1">
      <c r="A217">
        <f t="shared" ca="1" si="4"/>
        <v>42781</v>
      </c>
      <c r="B217" s="49" t="s">
        <v>202</v>
      </c>
      <c r="C217" s="12">
        <v>2022</v>
      </c>
      <c r="D217" s="4" t="s">
        <v>156</v>
      </c>
      <c r="E217" s="4" t="s">
        <v>3665</v>
      </c>
      <c r="F217" s="4"/>
      <c r="G217" s="106" t="s">
        <v>86</v>
      </c>
      <c r="H217" s="106" t="s">
        <v>165</v>
      </c>
      <c r="I217" s="49" t="s">
        <v>203</v>
      </c>
      <c r="J217" s="4" t="s">
        <v>96</v>
      </c>
      <c r="K217" s="4" t="str">
        <f>IF(E217="KTG","KTG",(VLOOKUP(J217,'list of outsource'!B:H,2,0)))</f>
        <v>Woer</v>
      </c>
      <c r="L217" s="4" t="s">
        <v>97</v>
      </c>
      <c r="M217" s="4"/>
      <c r="N217" s="4" t="s">
        <v>204</v>
      </c>
      <c r="O217" s="2" t="s">
        <v>3684</v>
      </c>
      <c r="P217" s="4" t="s">
        <v>205</v>
      </c>
      <c r="Q217" s="4"/>
      <c r="R217" s="12"/>
      <c r="S217" s="4">
        <v>2</v>
      </c>
      <c r="T217" s="4"/>
      <c r="U217" s="4" t="s">
        <v>39</v>
      </c>
      <c r="V217" s="10">
        <v>44803</v>
      </c>
      <c r="W217" s="12">
        <v>44838</v>
      </c>
    </row>
    <row r="218" spans="1:23" customFormat="1">
      <c r="A218">
        <f t="shared" ca="1" si="4"/>
        <v>42781</v>
      </c>
      <c r="B218" s="49" t="s">
        <v>206</v>
      </c>
      <c r="C218" s="12">
        <v>2022</v>
      </c>
      <c r="D218" s="4" t="s">
        <v>156</v>
      </c>
      <c r="E218" s="4" t="s">
        <v>3665</v>
      </c>
      <c r="F218" s="4"/>
      <c r="G218" s="106" t="s">
        <v>86</v>
      </c>
      <c r="H218" s="106" t="s">
        <v>165</v>
      </c>
      <c r="I218" s="49" t="s">
        <v>207</v>
      </c>
      <c r="J218" s="4" t="s">
        <v>96</v>
      </c>
      <c r="K218" s="4" t="str">
        <f>IF(E218="KTG","KTG",(VLOOKUP(J218,'list of outsource'!B:H,2,0)))</f>
        <v>Woer</v>
      </c>
      <c r="L218" s="4" t="s">
        <v>97</v>
      </c>
      <c r="M218" s="4"/>
      <c r="N218" s="4" t="s">
        <v>208</v>
      </c>
      <c r="O218" s="2" t="s">
        <v>3684</v>
      </c>
      <c r="P218" s="4" t="s">
        <v>209</v>
      </c>
      <c r="Q218" s="4"/>
      <c r="R218" s="12"/>
      <c r="S218" s="4">
        <v>2</v>
      </c>
      <c r="T218" s="4"/>
      <c r="U218" s="4" t="s">
        <v>39</v>
      </c>
      <c r="V218" s="10">
        <v>44803</v>
      </c>
      <c r="W218" s="12">
        <v>44838</v>
      </c>
    </row>
    <row r="219" spans="1:23" customFormat="1">
      <c r="A219">
        <f t="shared" ca="1" si="4"/>
        <v>42789</v>
      </c>
      <c r="B219" s="49" t="s">
        <v>210</v>
      </c>
      <c r="C219" s="12">
        <v>2022</v>
      </c>
      <c r="D219" s="4" t="s">
        <v>156</v>
      </c>
      <c r="E219" s="4" t="s">
        <v>3665</v>
      </c>
      <c r="F219" s="4"/>
      <c r="G219" s="106" t="s">
        <v>86</v>
      </c>
      <c r="H219" s="106" t="s">
        <v>165</v>
      </c>
      <c r="I219" s="49" t="s">
        <v>211</v>
      </c>
      <c r="J219" s="4" t="s">
        <v>212</v>
      </c>
      <c r="K219" s="4" t="str">
        <f>IF(E219="KTG","KTG",(VLOOKUP(J219,'list of outsource'!B:H,2,0)))</f>
        <v>UPM</v>
      </c>
      <c r="L219" s="4" t="s">
        <v>213</v>
      </c>
      <c r="M219" s="4"/>
      <c r="N219" s="4" t="s">
        <v>214</v>
      </c>
      <c r="O219" s="2" t="s">
        <v>3684</v>
      </c>
      <c r="P219" s="4" t="s">
        <v>215</v>
      </c>
      <c r="Q219" s="4"/>
      <c r="R219" s="12"/>
      <c r="S219" s="4">
        <v>2</v>
      </c>
      <c r="T219" s="4"/>
      <c r="U219" s="4" t="s">
        <v>39</v>
      </c>
      <c r="V219" s="10">
        <v>44811</v>
      </c>
      <c r="W219" s="12">
        <v>44811</v>
      </c>
    </row>
    <row r="220" spans="1:23" customFormat="1">
      <c r="A220">
        <f t="shared" ca="1" si="4"/>
        <v>6259</v>
      </c>
      <c r="B220" s="49" t="s">
        <v>216</v>
      </c>
      <c r="C220" s="12">
        <v>38546</v>
      </c>
      <c r="D220" s="4" t="s">
        <v>156</v>
      </c>
      <c r="E220" s="4" t="s">
        <v>3665</v>
      </c>
      <c r="F220" s="4"/>
      <c r="G220" s="106" t="s">
        <v>86</v>
      </c>
      <c r="H220" s="106" t="s">
        <v>165</v>
      </c>
      <c r="I220" s="49" t="s">
        <v>217</v>
      </c>
      <c r="J220" s="4" t="s">
        <v>108</v>
      </c>
      <c r="K220" s="4" t="str">
        <f>IF(E220="KTG","KTG",(VLOOKUP(J220,'list of outsource'!B:H,2,0)))</f>
        <v>UPM</v>
      </c>
      <c r="L220" s="4" t="s">
        <v>109</v>
      </c>
      <c r="M220" s="4"/>
      <c r="N220" s="4" t="s">
        <v>218</v>
      </c>
      <c r="O220" s="2" t="s">
        <v>3684</v>
      </c>
      <c r="P220" s="4" t="s">
        <v>219</v>
      </c>
      <c r="Q220" s="4"/>
      <c r="R220" s="12"/>
      <c r="S220" s="4">
        <v>2</v>
      </c>
      <c r="T220" s="4"/>
      <c r="U220" s="4" t="s">
        <v>39</v>
      </c>
      <c r="V220" s="10">
        <v>44805</v>
      </c>
      <c r="W220" s="12">
        <v>44811</v>
      </c>
    </row>
    <row r="221" spans="1:23" customFormat="1">
      <c r="A221">
        <f t="shared" ca="1" si="4"/>
        <v>42787</v>
      </c>
      <c r="B221" s="49" t="s">
        <v>220</v>
      </c>
      <c r="C221" s="12">
        <v>2022</v>
      </c>
      <c r="D221" s="4" t="s">
        <v>156</v>
      </c>
      <c r="E221" s="4" t="s">
        <v>3662</v>
      </c>
      <c r="F221" s="4"/>
      <c r="G221" s="106" t="s">
        <v>86</v>
      </c>
      <c r="H221" s="106" t="s">
        <v>165</v>
      </c>
      <c r="I221" s="49" t="s">
        <v>221</v>
      </c>
      <c r="J221" s="4" t="s">
        <v>222</v>
      </c>
      <c r="K221" s="4" t="str">
        <f>IF(E221="KTG","KTG",(VLOOKUP(J221,'list of outsource'!B:H,2,0)))</f>
        <v>ETC</v>
      </c>
      <c r="L221" s="4" t="s">
        <v>223</v>
      </c>
      <c r="M221" s="4"/>
      <c r="N221" s="4" t="s">
        <v>224</v>
      </c>
      <c r="O221" s="2" t="s">
        <v>3684</v>
      </c>
      <c r="P221" s="4" t="s">
        <v>225</v>
      </c>
      <c r="Q221" s="4"/>
      <c r="R221" s="12"/>
      <c r="S221" s="4">
        <v>2</v>
      </c>
      <c r="T221" s="4"/>
      <c r="U221" s="4" t="s">
        <v>39</v>
      </c>
      <c r="V221" s="10">
        <v>44809</v>
      </c>
      <c r="W221" s="12">
        <v>44809</v>
      </c>
    </row>
    <row r="222" spans="1:23" customFormat="1">
      <c r="A222">
        <f t="shared" ca="1" si="4"/>
        <v>42787</v>
      </c>
      <c r="B222" s="49" t="s">
        <v>226</v>
      </c>
      <c r="C222" s="12">
        <v>2022</v>
      </c>
      <c r="D222" s="4" t="s">
        <v>156</v>
      </c>
      <c r="E222" s="4" t="s">
        <v>3665</v>
      </c>
      <c r="F222" s="4"/>
      <c r="G222" s="106" t="s">
        <v>86</v>
      </c>
      <c r="H222" s="106" t="s">
        <v>165</v>
      </c>
      <c r="I222" s="49" t="s">
        <v>227</v>
      </c>
      <c r="J222" s="4" t="s">
        <v>96</v>
      </c>
      <c r="K222" s="4" t="str">
        <f>IF(E222="KTG","KTG",(VLOOKUP(J222,'list of outsource'!B:H,2,0)))</f>
        <v>Woer</v>
      </c>
      <c r="L222" s="4" t="s">
        <v>97</v>
      </c>
      <c r="M222" s="4"/>
      <c r="N222" s="4" t="s">
        <v>228</v>
      </c>
      <c r="O222" s="2" t="s">
        <v>3684</v>
      </c>
      <c r="P222" s="4" t="s">
        <v>229</v>
      </c>
      <c r="Q222" s="4"/>
      <c r="R222" s="12"/>
      <c r="S222" s="4">
        <v>2</v>
      </c>
      <c r="T222" s="4"/>
      <c r="U222" s="4" t="s">
        <v>39</v>
      </c>
      <c r="V222" s="10">
        <v>44809</v>
      </c>
      <c r="W222" s="12">
        <v>44810</v>
      </c>
    </row>
    <row r="223" spans="1:23" customFormat="1">
      <c r="A223">
        <f t="shared" ca="1" si="4"/>
        <v>42787</v>
      </c>
      <c r="B223" s="49" t="s">
        <v>230</v>
      </c>
      <c r="C223" s="12">
        <v>2022</v>
      </c>
      <c r="D223" s="4" t="s">
        <v>156</v>
      </c>
      <c r="E223" s="4" t="s">
        <v>3665</v>
      </c>
      <c r="F223" s="4"/>
      <c r="G223" s="106" t="s">
        <v>86</v>
      </c>
      <c r="H223" s="106" t="s">
        <v>165</v>
      </c>
      <c r="I223" s="49" t="s">
        <v>231</v>
      </c>
      <c r="J223" s="4" t="s">
        <v>232</v>
      </c>
      <c r="K223" s="4" t="str">
        <f>IF(E223="KTG","KTG",(VLOOKUP(J223,'list of outsource'!B:H,2,0)))</f>
        <v>UPM</v>
      </c>
      <c r="L223" s="4" t="s">
        <v>233</v>
      </c>
      <c r="M223" s="4"/>
      <c r="N223" s="4" t="s">
        <v>234</v>
      </c>
      <c r="O223" s="2" t="s">
        <v>3684</v>
      </c>
      <c r="P223" s="4" t="s">
        <v>235</v>
      </c>
      <c r="Q223" s="4"/>
      <c r="R223" s="12"/>
      <c r="S223" s="4">
        <v>2</v>
      </c>
      <c r="T223" s="4"/>
      <c r="U223" s="4" t="s">
        <v>39</v>
      </c>
      <c r="V223" s="10">
        <v>44809</v>
      </c>
      <c r="W223" s="12">
        <v>44810</v>
      </c>
    </row>
    <row r="224" spans="1:23" customFormat="1">
      <c r="A224">
        <f t="shared" ca="1" si="4"/>
        <v>6161</v>
      </c>
      <c r="B224" s="49" t="s">
        <v>236</v>
      </c>
      <c r="C224" s="12">
        <v>38546</v>
      </c>
      <c r="D224" s="4" t="s">
        <v>156</v>
      </c>
      <c r="E224" s="4" t="s">
        <v>3665</v>
      </c>
      <c r="F224" s="4"/>
      <c r="G224" s="106" t="s">
        <v>86</v>
      </c>
      <c r="H224" s="106" t="s">
        <v>165</v>
      </c>
      <c r="I224" s="49" t="s">
        <v>237</v>
      </c>
      <c r="J224" s="4" t="s">
        <v>108</v>
      </c>
      <c r="K224" s="4" t="str">
        <f>IF(E224="KTG","KTG",(VLOOKUP(J224,'list of outsource'!B:H,2,0)))</f>
        <v>UPM</v>
      </c>
      <c r="L224" s="4" t="s">
        <v>109</v>
      </c>
      <c r="M224" s="4"/>
      <c r="N224" s="4" t="s">
        <v>238</v>
      </c>
      <c r="O224" s="2" t="s">
        <v>3684</v>
      </c>
      <c r="P224" s="4" t="s">
        <v>239</v>
      </c>
      <c r="Q224" s="4"/>
      <c r="R224" s="12"/>
      <c r="S224" s="4">
        <v>2</v>
      </c>
      <c r="T224" s="4"/>
      <c r="U224" s="4" t="s">
        <v>39</v>
      </c>
      <c r="V224" s="10">
        <v>44707</v>
      </c>
      <c r="W224" s="12">
        <v>44719</v>
      </c>
    </row>
    <row r="225" spans="1:23" customFormat="1">
      <c r="A225">
        <f t="shared" ca="1" si="4"/>
        <v>42787</v>
      </c>
      <c r="B225" s="49" t="s">
        <v>240</v>
      </c>
      <c r="C225" s="12">
        <v>2022</v>
      </c>
      <c r="D225" s="4" t="s">
        <v>156</v>
      </c>
      <c r="E225" s="4" t="s">
        <v>3665</v>
      </c>
      <c r="F225" s="4"/>
      <c r="G225" s="106" t="s">
        <v>86</v>
      </c>
      <c r="H225" s="106" t="s">
        <v>165</v>
      </c>
      <c r="I225" s="49" t="s">
        <v>241</v>
      </c>
      <c r="J225" s="4" t="s">
        <v>232</v>
      </c>
      <c r="K225" s="4" t="str">
        <f>IF(E225="KTG","KTG",(VLOOKUP(J225,'list of outsource'!B:H,2,0)))</f>
        <v>UPM</v>
      </c>
      <c r="L225" s="4" t="s">
        <v>233</v>
      </c>
      <c r="M225" s="4"/>
      <c r="N225" s="4" t="s">
        <v>242</v>
      </c>
      <c r="O225" s="2" t="s">
        <v>3684</v>
      </c>
      <c r="P225" s="4" t="s">
        <v>243</v>
      </c>
      <c r="Q225" s="4"/>
      <c r="R225" s="12"/>
      <c r="S225" s="4">
        <v>2</v>
      </c>
      <c r="T225" s="4"/>
      <c r="U225" s="4" t="s">
        <v>39</v>
      </c>
      <c r="V225" s="10">
        <v>44809</v>
      </c>
      <c r="W225" s="12">
        <v>44811</v>
      </c>
    </row>
    <row r="226" spans="1:23" customFormat="1">
      <c r="A226">
        <f t="shared" ca="1" si="4"/>
        <v>42789</v>
      </c>
      <c r="B226" s="49" t="s">
        <v>244</v>
      </c>
      <c r="C226" s="12">
        <v>2022</v>
      </c>
      <c r="D226" s="4" t="s">
        <v>156</v>
      </c>
      <c r="E226" s="4" t="s">
        <v>3662</v>
      </c>
      <c r="F226" s="4"/>
      <c r="G226" s="106" t="s">
        <v>86</v>
      </c>
      <c r="H226" s="106" t="s">
        <v>165</v>
      </c>
      <c r="I226" s="49" t="s">
        <v>245</v>
      </c>
      <c r="J226" s="4" t="s">
        <v>222</v>
      </c>
      <c r="K226" s="4" t="str">
        <f>IF(E226="KTG","KTG",(VLOOKUP(J226,'list of outsource'!B:H,2,0)))</f>
        <v>ETC</v>
      </c>
      <c r="L226" s="4" t="s">
        <v>223</v>
      </c>
      <c r="M226" s="4"/>
      <c r="N226" s="4" t="s">
        <v>246</v>
      </c>
      <c r="O226" s="2" t="s">
        <v>3684</v>
      </c>
      <c r="P226" s="4" t="s">
        <v>247</v>
      </c>
      <c r="Q226" s="4"/>
      <c r="R226" s="12"/>
      <c r="S226" s="4">
        <v>2</v>
      </c>
      <c r="T226" s="4"/>
      <c r="U226" s="4" t="s">
        <v>39</v>
      </c>
      <c r="V226" s="10">
        <v>44811</v>
      </c>
      <c r="W226" s="12">
        <v>44811</v>
      </c>
    </row>
    <row r="227" spans="1:23" customFormat="1">
      <c r="A227">
        <f t="shared" ca="1" si="4"/>
        <v>42811</v>
      </c>
      <c r="B227" s="49" t="s">
        <v>248</v>
      </c>
      <c r="C227" s="12">
        <v>2022</v>
      </c>
      <c r="D227" s="4" t="s">
        <v>156</v>
      </c>
      <c r="E227" s="4" t="s">
        <v>3665</v>
      </c>
      <c r="F227" s="4"/>
      <c r="G227" s="106" t="s">
        <v>86</v>
      </c>
      <c r="H227" s="106" t="s">
        <v>165</v>
      </c>
      <c r="I227" s="49" t="s">
        <v>249</v>
      </c>
      <c r="J227" s="4" t="s">
        <v>96</v>
      </c>
      <c r="K227" s="4" t="str">
        <f>IF(E227="KTG","KTG",(VLOOKUP(J227,'list of outsource'!B:H,2,0)))</f>
        <v>Woer</v>
      </c>
      <c r="L227" s="4" t="s">
        <v>97</v>
      </c>
      <c r="M227" s="4"/>
      <c r="N227" s="4" t="s">
        <v>250</v>
      </c>
      <c r="O227" s="2" t="s">
        <v>3684</v>
      </c>
      <c r="P227" s="4" t="s">
        <v>251</v>
      </c>
      <c r="Q227" s="4"/>
      <c r="R227" s="12"/>
      <c r="S227" s="4">
        <v>2</v>
      </c>
      <c r="T227" s="4"/>
      <c r="U227" s="4" t="s">
        <v>39</v>
      </c>
      <c r="V227" s="10">
        <v>44833</v>
      </c>
      <c r="W227" s="12">
        <v>44838</v>
      </c>
    </row>
    <row r="228" spans="1:23" customFormat="1">
      <c r="A228">
        <f t="shared" ca="1" si="4"/>
        <v>42824</v>
      </c>
      <c r="B228" s="49" t="s">
        <v>252</v>
      </c>
      <c r="C228" s="12">
        <v>2022</v>
      </c>
      <c r="D228" s="4" t="s">
        <v>156</v>
      </c>
      <c r="E228" s="4" t="s">
        <v>3665</v>
      </c>
      <c r="F228" s="4"/>
      <c r="G228" s="106" t="s">
        <v>86</v>
      </c>
      <c r="H228" s="106" t="s">
        <v>165</v>
      </c>
      <c r="I228" s="49" t="s">
        <v>253</v>
      </c>
      <c r="J228" s="4" t="s">
        <v>212</v>
      </c>
      <c r="K228" s="4" t="str">
        <f>IF(E228="KTG","KTG",(VLOOKUP(J228,'list of outsource'!B:H,2,0)))</f>
        <v>UPM</v>
      </c>
      <c r="L228" s="4" t="s">
        <v>213</v>
      </c>
      <c r="M228" s="4"/>
      <c r="N228" s="4" t="s">
        <v>254</v>
      </c>
      <c r="O228" s="2" t="s">
        <v>3684</v>
      </c>
      <c r="P228" s="4" t="s">
        <v>255</v>
      </c>
      <c r="Q228" s="4"/>
      <c r="R228" s="12"/>
      <c r="S228" s="4">
        <v>2</v>
      </c>
      <c r="T228" s="4"/>
      <c r="U228" s="4" t="s">
        <v>39</v>
      </c>
      <c r="V228" s="10">
        <v>44846</v>
      </c>
      <c r="W228" s="12">
        <v>44847</v>
      </c>
    </row>
    <row r="229" spans="1:23" customFormat="1">
      <c r="A229">
        <f t="shared" ca="1" si="4"/>
        <v>6287</v>
      </c>
      <c r="B229" s="49" t="s">
        <v>256</v>
      </c>
      <c r="C229" s="12">
        <v>38546</v>
      </c>
      <c r="D229" s="4" t="s">
        <v>156</v>
      </c>
      <c r="E229" s="4" t="s">
        <v>3665</v>
      </c>
      <c r="F229" s="4"/>
      <c r="G229" s="106" t="s">
        <v>86</v>
      </c>
      <c r="H229" s="106" t="s">
        <v>165</v>
      </c>
      <c r="I229" s="49" t="s">
        <v>257</v>
      </c>
      <c r="J229" s="4" t="s">
        <v>108</v>
      </c>
      <c r="K229" s="4" t="str">
        <f>IF(E229="KTG","KTG",(VLOOKUP(J229,'list of outsource'!B:H,2,0)))</f>
        <v>UPM</v>
      </c>
      <c r="L229" s="4" t="s">
        <v>109</v>
      </c>
      <c r="M229" s="4"/>
      <c r="N229" s="4" t="s">
        <v>258</v>
      </c>
      <c r="O229" s="2" t="s">
        <v>3684</v>
      </c>
      <c r="P229" s="4" t="s">
        <v>259</v>
      </c>
      <c r="Q229" s="4"/>
      <c r="R229" s="12"/>
      <c r="S229" s="4">
        <v>2</v>
      </c>
      <c r="T229" s="4"/>
      <c r="U229" s="4" t="s">
        <v>39</v>
      </c>
      <c r="V229" s="10">
        <v>44833</v>
      </c>
      <c r="W229" s="12">
        <v>44833</v>
      </c>
    </row>
    <row r="230" spans="1:23" customFormat="1">
      <c r="A230">
        <f t="shared" ca="1" si="4"/>
        <v>42818</v>
      </c>
      <c r="B230" s="49" t="s">
        <v>260</v>
      </c>
      <c r="C230" s="12">
        <v>2022</v>
      </c>
      <c r="D230" s="4" t="s">
        <v>156</v>
      </c>
      <c r="E230" s="4" t="s">
        <v>3665</v>
      </c>
      <c r="F230" s="4"/>
      <c r="G230" s="106" t="s">
        <v>86</v>
      </c>
      <c r="H230" s="106" t="s">
        <v>165</v>
      </c>
      <c r="I230" s="49" t="s">
        <v>261</v>
      </c>
      <c r="J230" s="4" t="s">
        <v>96</v>
      </c>
      <c r="K230" s="4" t="str">
        <f>IF(E230="KTG","KTG",(VLOOKUP(J230,'list of outsource'!B:H,2,0)))</f>
        <v>Woer</v>
      </c>
      <c r="L230" s="4" t="s">
        <v>97</v>
      </c>
      <c r="M230" s="4"/>
      <c r="N230" s="4" t="s">
        <v>262</v>
      </c>
      <c r="O230" s="2" t="s">
        <v>3684</v>
      </c>
      <c r="P230" s="4" t="s">
        <v>263</v>
      </c>
      <c r="Q230" s="4"/>
      <c r="R230" s="12"/>
      <c r="S230" s="4">
        <v>2</v>
      </c>
      <c r="T230" s="4"/>
      <c r="U230" s="4" t="s">
        <v>39</v>
      </c>
      <c r="V230" s="10">
        <v>44840</v>
      </c>
      <c r="W230" s="12">
        <v>44840</v>
      </c>
    </row>
    <row r="231" spans="1:23" customFormat="1">
      <c r="A231">
        <f t="shared" ca="1" si="4"/>
        <v>42818</v>
      </c>
      <c r="B231" s="49" t="s">
        <v>264</v>
      </c>
      <c r="C231" s="12">
        <v>2022</v>
      </c>
      <c r="D231" s="4" t="s">
        <v>156</v>
      </c>
      <c r="E231" s="4" t="s">
        <v>3665</v>
      </c>
      <c r="F231" s="4"/>
      <c r="G231" s="106" t="s">
        <v>86</v>
      </c>
      <c r="H231" s="106" t="s">
        <v>165</v>
      </c>
      <c r="I231" s="49" t="s">
        <v>265</v>
      </c>
      <c r="J231" s="4" t="s">
        <v>212</v>
      </c>
      <c r="K231" s="4" t="str">
        <f>IF(E231="KTG","KTG",(VLOOKUP(J231,'list of outsource'!B:H,2,0)))</f>
        <v>UPM</v>
      </c>
      <c r="L231" s="4" t="s">
        <v>213</v>
      </c>
      <c r="M231" s="4"/>
      <c r="N231" s="4" t="s">
        <v>266</v>
      </c>
      <c r="O231" s="2" t="s">
        <v>3684</v>
      </c>
      <c r="P231" s="4" t="s">
        <v>267</v>
      </c>
      <c r="Q231" s="4"/>
      <c r="R231" s="12"/>
      <c r="S231" s="4">
        <v>2</v>
      </c>
      <c r="T231" s="4"/>
      <c r="U231" s="4" t="s">
        <v>39</v>
      </c>
      <c r="V231" s="10">
        <v>44840</v>
      </c>
      <c r="W231" s="12">
        <v>44841</v>
      </c>
    </row>
    <row r="232" spans="1:23" customFormat="1">
      <c r="A232">
        <f t="shared" ca="1" si="4"/>
        <v>42818</v>
      </c>
      <c r="B232" s="49" t="s">
        <v>268</v>
      </c>
      <c r="C232" s="12">
        <v>2022</v>
      </c>
      <c r="D232" s="4" t="s">
        <v>156</v>
      </c>
      <c r="E232" s="4" t="s">
        <v>3665</v>
      </c>
      <c r="F232" s="4"/>
      <c r="G232" s="106" t="s">
        <v>86</v>
      </c>
      <c r="H232" s="106" t="s">
        <v>165</v>
      </c>
      <c r="I232" s="49" t="s">
        <v>269</v>
      </c>
      <c r="J232" s="4" t="s">
        <v>212</v>
      </c>
      <c r="K232" s="4" t="str">
        <f>IF(E232="KTG","KTG",(VLOOKUP(J232,'list of outsource'!B:H,2,0)))</f>
        <v>UPM</v>
      </c>
      <c r="L232" s="4" t="s">
        <v>213</v>
      </c>
      <c r="M232" s="4"/>
      <c r="N232" s="4" t="s">
        <v>270</v>
      </c>
      <c r="O232" s="2" t="s">
        <v>3684</v>
      </c>
      <c r="P232" s="4" t="s">
        <v>271</v>
      </c>
      <c r="Q232" s="4"/>
      <c r="R232" s="12"/>
      <c r="S232" s="4">
        <v>2</v>
      </c>
      <c r="T232" s="4"/>
      <c r="U232" s="4" t="s">
        <v>39</v>
      </c>
      <c r="V232" s="10">
        <v>44840</v>
      </c>
      <c r="W232" s="12">
        <v>44841</v>
      </c>
    </row>
    <row r="233" spans="1:23" customFormat="1">
      <c r="A233">
        <f t="shared" ca="1" si="4"/>
        <v>42824</v>
      </c>
      <c r="B233" s="49" t="s">
        <v>272</v>
      </c>
      <c r="C233" s="12">
        <v>2022</v>
      </c>
      <c r="D233" s="4" t="s">
        <v>156</v>
      </c>
      <c r="E233" s="4" t="s">
        <v>3665</v>
      </c>
      <c r="F233" s="4"/>
      <c r="G233" s="106" t="s">
        <v>86</v>
      </c>
      <c r="H233" s="106" t="s">
        <v>165</v>
      </c>
      <c r="I233" s="49" t="s">
        <v>273</v>
      </c>
      <c r="J233" s="4" t="s">
        <v>212</v>
      </c>
      <c r="K233" s="4" t="str">
        <f>IF(E233="KTG","KTG",(VLOOKUP(J233,'list of outsource'!B:H,2,0)))</f>
        <v>UPM</v>
      </c>
      <c r="L233" s="4" t="s">
        <v>213</v>
      </c>
      <c r="M233" s="4"/>
      <c r="N233" s="4" t="s">
        <v>274</v>
      </c>
      <c r="O233" s="2" t="s">
        <v>3684</v>
      </c>
      <c r="P233" s="4" t="s">
        <v>275</v>
      </c>
      <c r="Q233" s="4"/>
      <c r="R233" s="12"/>
      <c r="S233" s="4">
        <v>2</v>
      </c>
      <c r="T233" s="4"/>
      <c r="U233" s="4" t="s">
        <v>39</v>
      </c>
      <c r="V233" s="10">
        <v>44846</v>
      </c>
      <c r="W233" s="12">
        <v>44847</v>
      </c>
    </row>
    <row r="234" spans="1:23" customFormat="1">
      <c r="A234">
        <f t="shared" ca="1" si="4"/>
        <v>42830</v>
      </c>
      <c r="B234" s="49" t="s">
        <v>276</v>
      </c>
      <c r="C234" s="12">
        <v>2022</v>
      </c>
      <c r="D234" s="4" t="s">
        <v>156</v>
      </c>
      <c r="E234" s="4" t="s">
        <v>3665</v>
      </c>
      <c r="F234" s="4"/>
      <c r="G234" s="106" t="s">
        <v>86</v>
      </c>
      <c r="H234" s="106" t="s">
        <v>165</v>
      </c>
      <c r="I234" s="49" t="s">
        <v>277</v>
      </c>
      <c r="J234" s="4" t="s">
        <v>190</v>
      </c>
      <c r="K234" s="4" t="str">
        <f>IF(E234="KTG","KTG",(VLOOKUP(J234,'list of outsource'!B:H,2,0)))</f>
        <v>UPM</v>
      </c>
      <c r="L234" s="4" t="s">
        <v>191</v>
      </c>
      <c r="M234" s="4"/>
      <c r="N234" s="4" t="s">
        <v>278</v>
      </c>
      <c r="O234" s="2" t="s">
        <v>3684</v>
      </c>
      <c r="P234" s="4" t="s">
        <v>279</v>
      </c>
      <c r="Q234" s="4"/>
      <c r="R234" s="12"/>
      <c r="S234" s="4">
        <v>2</v>
      </c>
      <c r="T234" s="4"/>
      <c r="U234" s="4" t="s">
        <v>39</v>
      </c>
      <c r="V234" s="10">
        <v>44852</v>
      </c>
      <c r="W234" s="12">
        <v>44852</v>
      </c>
    </row>
    <row r="235" spans="1:23" customFormat="1">
      <c r="A235">
        <f t="shared" ca="1" si="4"/>
        <v>42698</v>
      </c>
      <c r="B235" s="49" t="s">
        <v>280</v>
      </c>
      <c r="C235" s="12">
        <v>2022</v>
      </c>
      <c r="D235" s="4" t="s">
        <v>156</v>
      </c>
      <c r="E235" s="4" t="s">
        <v>3665</v>
      </c>
      <c r="F235" s="4"/>
      <c r="G235" s="106" t="s">
        <v>86</v>
      </c>
      <c r="H235" s="106" t="s">
        <v>165</v>
      </c>
      <c r="I235" s="49" t="s">
        <v>281</v>
      </c>
      <c r="J235" s="4" t="s">
        <v>96</v>
      </c>
      <c r="K235" s="4" t="str">
        <f>IF(E235="KTG","KTG",(VLOOKUP(J235,'list of outsource'!B:H,2,0)))</f>
        <v>Woer</v>
      </c>
      <c r="L235" s="4" t="s">
        <v>97</v>
      </c>
      <c r="M235" s="4"/>
      <c r="N235" s="4" t="s">
        <v>282</v>
      </c>
      <c r="O235" s="2" t="s">
        <v>3684</v>
      </c>
      <c r="P235" s="4" t="s">
        <v>283</v>
      </c>
      <c r="Q235" s="4"/>
      <c r="R235" s="12"/>
      <c r="S235" s="4">
        <v>2</v>
      </c>
      <c r="T235" s="4"/>
      <c r="U235" s="4" t="s">
        <v>39</v>
      </c>
      <c r="V235" s="10">
        <v>44720</v>
      </c>
      <c r="W235" s="12">
        <v>44722</v>
      </c>
    </row>
    <row r="236" spans="1:23" customFormat="1">
      <c r="A236">
        <f t="shared" ca="1" si="4"/>
        <v>6307</v>
      </c>
      <c r="B236" s="49" t="s">
        <v>284</v>
      </c>
      <c r="C236" s="12">
        <v>38546</v>
      </c>
      <c r="D236" s="4" t="s">
        <v>156</v>
      </c>
      <c r="E236" s="4" t="s">
        <v>3665</v>
      </c>
      <c r="F236" s="4"/>
      <c r="G236" s="106" t="s">
        <v>86</v>
      </c>
      <c r="H236" s="106" t="s">
        <v>165</v>
      </c>
      <c r="I236" s="49" t="s">
        <v>285</v>
      </c>
      <c r="J236" s="4" t="s">
        <v>108</v>
      </c>
      <c r="K236" s="4" t="str">
        <f>IF(E236="KTG","KTG",(VLOOKUP(J236,'list of outsource'!B:H,2,0)))</f>
        <v>UPM</v>
      </c>
      <c r="L236" s="4" t="s">
        <v>109</v>
      </c>
      <c r="M236" s="4"/>
      <c r="N236" s="4" t="s">
        <v>286</v>
      </c>
      <c r="O236" s="2" t="s">
        <v>3684</v>
      </c>
      <c r="P236" s="4" t="s">
        <v>287</v>
      </c>
      <c r="Q236" s="4"/>
      <c r="R236" s="12"/>
      <c r="S236" s="4">
        <v>2</v>
      </c>
      <c r="T236" s="4"/>
      <c r="U236" s="4" t="s">
        <v>39</v>
      </c>
      <c r="V236" s="10">
        <v>44853</v>
      </c>
      <c r="W236" s="12">
        <v>44853</v>
      </c>
    </row>
    <row r="237" spans="1:23" customFormat="1">
      <c r="A237">
        <f t="shared" ca="1" si="4"/>
        <v>42833</v>
      </c>
      <c r="B237" s="49" t="s">
        <v>288</v>
      </c>
      <c r="C237" s="12">
        <v>2022</v>
      </c>
      <c r="D237" s="4" t="s">
        <v>156</v>
      </c>
      <c r="E237" s="4" t="s">
        <v>3665</v>
      </c>
      <c r="F237" s="4"/>
      <c r="G237" s="106" t="s">
        <v>86</v>
      </c>
      <c r="H237" s="106" t="s">
        <v>165</v>
      </c>
      <c r="I237" s="49" t="s">
        <v>289</v>
      </c>
      <c r="J237" s="4" t="s">
        <v>190</v>
      </c>
      <c r="K237" s="4" t="str">
        <f>IF(E237="KTG","KTG",(VLOOKUP(J237,'list of outsource'!B:H,2,0)))</f>
        <v>UPM</v>
      </c>
      <c r="L237" s="4" t="s">
        <v>191</v>
      </c>
      <c r="M237" s="4"/>
      <c r="N237" s="4" t="s">
        <v>290</v>
      </c>
      <c r="O237" s="2" t="s">
        <v>3684</v>
      </c>
      <c r="P237" s="4" t="s">
        <v>291</v>
      </c>
      <c r="Q237" s="4"/>
      <c r="R237" s="12"/>
      <c r="S237" s="4">
        <v>2</v>
      </c>
      <c r="T237" s="4"/>
      <c r="U237" s="4" t="s">
        <v>39</v>
      </c>
      <c r="V237" s="10">
        <v>44855</v>
      </c>
      <c r="W237" s="12">
        <v>44855</v>
      </c>
    </row>
    <row r="238" spans="1:23" customFormat="1">
      <c r="A238">
        <f t="shared" ca="1" si="4"/>
        <v>6309</v>
      </c>
      <c r="B238" s="49" t="s">
        <v>292</v>
      </c>
      <c r="C238" s="12">
        <v>38546</v>
      </c>
      <c r="D238" s="4" t="s">
        <v>156</v>
      </c>
      <c r="E238" s="4" t="s">
        <v>3665</v>
      </c>
      <c r="F238" s="4"/>
      <c r="G238" s="106" t="s">
        <v>86</v>
      </c>
      <c r="H238" s="106" t="s">
        <v>165</v>
      </c>
      <c r="I238" s="49" t="s">
        <v>293</v>
      </c>
      <c r="J238" s="4" t="s">
        <v>108</v>
      </c>
      <c r="K238" s="4" t="str">
        <f>IF(E238="KTG","KTG",(VLOOKUP(J238,'list of outsource'!B:H,2,0)))</f>
        <v>UPM</v>
      </c>
      <c r="L238" s="4" t="s">
        <v>109</v>
      </c>
      <c r="M238" s="4"/>
      <c r="N238" s="4" t="s">
        <v>294</v>
      </c>
      <c r="O238" s="2" t="s">
        <v>3684</v>
      </c>
      <c r="P238" s="4" t="s">
        <v>295</v>
      </c>
      <c r="Q238" s="4"/>
      <c r="R238" s="12"/>
      <c r="S238" s="4">
        <v>2</v>
      </c>
      <c r="T238" s="4"/>
      <c r="U238" s="4" t="s">
        <v>39</v>
      </c>
      <c r="V238" s="10">
        <v>44855</v>
      </c>
      <c r="W238" s="12">
        <v>44855</v>
      </c>
    </row>
    <row r="239" spans="1:23" customFormat="1">
      <c r="A239">
        <f t="shared" ca="1" si="4"/>
        <v>42851</v>
      </c>
      <c r="B239" s="49" t="s">
        <v>296</v>
      </c>
      <c r="C239" s="12">
        <v>2022</v>
      </c>
      <c r="D239" s="4" t="s">
        <v>156</v>
      </c>
      <c r="E239" s="4" t="s">
        <v>3665</v>
      </c>
      <c r="F239" s="4"/>
      <c r="G239" s="106" t="s">
        <v>86</v>
      </c>
      <c r="H239" s="106" t="s">
        <v>165</v>
      </c>
      <c r="I239" s="49" t="s">
        <v>297</v>
      </c>
      <c r="J239" s="4" t="s">
        <v>96</v>
      </c>
      <c r="K239" s="4" t="str">
        <f>IF(E239="KTG","KTG",(VLOOKUP(J239,'list of outsource'!B:H,2,0)))</f>
        <v>Woer</v>
      </c>
      <c r="L239" s="4" t="s">
        <v>97</v>
      </c>
      <c r="M239" s="4"/>
      <c r="N239" s="4" t="s">
        <v>298</v>
      </c>
      <c r="O239" s="2" t="s">
        <v>3684</v>
      </c>
      <c r="P239" s="4" t="s">
        <v>299</v>
      </c>
      <c r="Q239" s="4"/>
      <c r="R239" s="12"/>
      <c r="S239" s="4">
        <v>2</v>
      </c>
      <c r="T239" s="4"/>
      <c r="U239" s="4" t="s">
        <v>39</v>
      </c>
      <c r="V239" s="10">
        <v>44873</v>
      </c>
      <c r="W239" s="12">
        <v>44873</v>
      </c>
    </row>
    <row r="240" spans="1:23" customFormat="1">
      <c r="A240">
        <f t="shared" ca="1" si="4"/>
        <v>42847</v>
      </c>
      <c r="B240" s="49" t="s">
        <v>2004</v>
      </c>
      <c r="C240" s="12">
        <v>2022</v>
      </c>
      <c r="D240" s="4" t="s">
        <v>156</v>
      </c>
      <c r="E240" s="4" t="s">
        <v>3662</v>
      </c>
      <c r="F240" s="4"/>
      <c r="G240" s="106" t="s">
        <v>86</v>
      </c>
      <c r="H240" s="106" t="s">
        <v>165</v>
      </c>
      <c r="I240" s="49" t="s">
        <v>581</v>
      </c>
      <c r="J240" s="4" t="s">
        <v>222</v>
      </c>
      <c r="K240" s="4" t="str">
        <f>IF(E240="KTG","KTG",(VLOOKUP(J240,'list of outsource'!B:H,2,0)))</f>
        <v>ETC</v>
      </c>
      <c r="L240" s="4" t="s">
        <v>223</v>
      </c>
      <c r="M240" s="4"/>
      <c r="N240" s="4" t="s">
        <v>582</v>
      </c>
      <c r="O240" s="2" t="s">
        <v>3684</v>
      </c>
      <c r="P240" s="4" t="s">
        <v>2005</v>
      </c>
      <c r="Q240" s="4"/>
      <c r="R240" s="12"/>
      <c r="S240" s="4">
        <v>2</v>
      </c>
      <c r="T240" s="4"/>
      <c r="U240" s="4" t="s">
        <v>39</v>
      </c>
      <c r="V240" s="10">
        <v>44869</v>
      </c>
      <c r="W240" s="12">
        <v>44869</v>
      </c>
    </row>
    <row r="241" spans="1:26" customFormat="1">
      <c r="A241">
        <f t="shared" ca="1" si="4"/>
        <v>42853</v>
      </c>
      <c r="B241" s="49" t="s">
        <v>308</v>
      </c>
      <c r="C241" s="12">
        <v>2022</v>
      </c>
      <c r="D241" s="4" t="s">
        <v>156</v>
      </c>
      <c r="E241" s="4" t="s">
        <v>3662</v>
      </c>
      <c r="F241" s="4"/>
      <c r="G241" s="106" t="s">
        <v>86</v>
      </c>
      <c r="H241" s="106" t="s">
        <v>165</v>
      </c>
      <c r="I241" s="49" t="s">
        <v>309</v>
      </c>
      <c r="J241" s="4" t="s">
        <v>222</v>
      </c>
      <c r="K241" s="4" t="str">
        <f>IF(E241="KTG","KTG",(VLOOKUP(J241,'list of outsource'!B:H,2,0)))</f>
        <v>ETC</v>
      </c>
      <c r="L241" s="4" t="s">
        <v>223</v>
      </c>
      <c r="M241" s="4"/>
      <c r="N241" s="4" t="s">
        <v>310</v>
      </c>
      <c r="O241" s="2" t="s">
        <v>3684</v>
      </c>
      <c r="P241" s="4" t="s">
        <v>311</v>
      </c>
      <c r="Q241" s="4"/>
      <c r="R241" s="12"/>
      <c r="S241" s="4">
        <v>2</v>
      </c>
      <c r="T241" s="4"/>
      <c r="U241" s="4" t="s">
        <v>39</v>
      </c>
      <c r="V241" s="10">
        <v>44875</v>
      </c>
      <c r="W241" s="12">
        <v>44875</v>
      </c>
    </row>
    <row r="242" spans="1:26" customFormat="1">
      <c r="A242">
        <f t="shared" ca="1" si="4"/>
        <v>42853</v>
      </c>
      <c r="B242" s="49" t="s">
        <v>312</v>
      </c>
      <c r="C242" s="12">
        <v>2022</v>
      </c>
      <c r="D242" s="4" t="s">
        <v>156</v>
      </c>
      <c r="E242" s="4" t="s">
        <v>3662</v>
      </c>
      <c r="F242" s="4"/>
      <c r="G242" s="106" t="s">
        <v>86</v>
      </c>
      <c r="H242" s="106" t="s">
        <v>165</v>
      </c>
      <c r="I242" s="49" t="s">
        <v>313</v>
      </c>
      <c r="J242" s="4" t="s">
        <v>222</v>
      </c>
      <c r="K242" s="4" t="str">
        <f>IF(E242="KTG","KTG",(VLOOKUP(J242,'list of outsource'!B:H,2,0)))</f>
        <v>ETC</v>
      </c>
      <c r="L242" s="4" t="s">
        <v>223</v>
      </c>
      <c r="M242" s="4"/>
      <c r="N242" s="4" t="s">
        <v>314</v>
      </c>
      <c r="O242" s="2" t="s">
        <v>3684</v>
      </c>
      <c r="P242" s="4" t="s">
        <v>315</v>
      </c>
      <c r="Q242" s="4"/>
      <c r="R242" s="12"/>
      <c r="S242" s="4">
        <v>2</v>
      </c>
      <c r="T242" s="4"/>
      <c r="U242" s="4" t="s">
        <v>39</v>
      </c>
      <c r="V242" s="10">
        <v>44875</v>
      </c>
      <c r="W242" s="12">
        <v>44875</v>
      </c>
    </row>
    <row r="243" spans="1:26" customFormat="1">
      <c r="A243">
        <f t="shared" ca="1" si="4"/>
        <v>42853</v>
      </c>
      <c r="B243" s="49" t="s">
        <v>316</v>
      </c>
      <c r="C243" s="12">
        <v>2022</v>
      </c>
      <c r="D243" s="4" t="s">
        <v>156</v>
      </c>
      <c r="E243" s="4" t="s">
        <v>3662</v>
      </c>
      <c r="F243" s="4"/>
      <c r="G243" s="106" t="s">
        <v>86</v>
      </c>
      <c r="H243" s="106" t="s">
        <v>165</v>
      </c>
      <c r="I243" s="49" t="s">
        <v>317</v>
      </c>
      <c r="J243" s="4" t="s">
        <v>222</v>
      </c>
      <c r="K243" s="4" t="str">
        <f>IF(E243="KTG","KTG",(VLOOKUP(J243,'list of outsource'!B:H,2,0)))</f>
        <v>ETC</v>
      </c>
      <c r="L243" s="4" t="s">
        <v>223</v>
      </c>
      <c r="M243" s="4"/>
      <c r="N243" s="4" t="s">
        <v>318</v>
      </c>
      <c r="O243" s="2" t="s">
        <v>3684</v>
      </c>
      <c r="P243" s="4" t="s">
        <v>319</v>
      </c>
      <c r="Q243" s="4"/>
      <c r="R243" s="12"/>
      <c r="S243" s="4">
        <v>2</v>
      </c>
      <c r="T243" s="4"/>
      <c r="U243" s="4" t="s">
        <v>39</v>
      </c>
      <c r="V243" s="10">
        <v>44875</v>
      </c>
      <c r="W243" s="12">
        <v>44875</v>
      </c>
    </row>
    <row r="244" spans="1:26" customFormat="1">
      <c r="A244">
        <f t="shared" ca="1" si="4"/>
        <v>42875</v>
      </c>
      <c r="B244" s="49" t="s">
        <v>320</v>
      </c>
      <c r="C244" s="12">
        <v>2022</v>
      </c>
      <c r="D244" s="4" t="s">
        <v>129</v>
      </c>
      <c r="E244" s="4" t="s">
        <v>3665</v>
      </c>
      <c r="F244" s="4"/>
      <c r="G244" s="106" t="s">
        <v>86</v>
      </c>
      <c r="H244" s="106" t="s">
        <v>165</v>
      </c>
      <c r="I244" s="49" t="s">
        <v>321</v>
      </c>
      <c r="J244" s="4" t="s">
        <v>322</v>
      </c>
      <c r="K244" s="4" t="str">
        <f>IF(E244="KTG","KTG",(VLOOKUP(J244,'list of outsource'!B:H,2,0)))</f>
        <v>UPM</v>
      </c>
      <c r="L244" s="4" t="s">
        <v>323</v>
      </c>
      <c r="M244" s="4"/>
      <c r="N244" s="4" t="s">
        <v>324</v>
      </c>
      <c r="O244" s="2" t="s">
        <v>3684</v>
      </c>
      <c r="P244" s="4" t="s">
        <v>325</v>
      </c>
      <c r="Q244" s="4"/>
      <c r="R244" s="12"/>
      <c r="S244" s="4">
        <v>2</v>
      </c>
      <c r="T244" s="4"/>
      <c r="U244" s="4" t="s">
        <v>39</v>
      </c>
      <c r="V244" s="10">
        <v>44897</v>
      </c>
      <c r="W244" s="12"/>
    </row>
    <row r="245" spans="1:26" customFormat="1">
      <c r="A245">
        <f t="shared" ca="1" si="4"/>
        <v>42875</v>
      </c>
      <c r="B245" s="49" t="s">
        <v>326</v>
      </c>
      <c r="C245" s="12">
        <v>2022</v>
      </c>
      <c r="D245" s="4" t="s">
        <v>129</v>
      </c>
      <c r="E245" s="4" t="s">
        <v>3665</v>
      </c>
      <c r="F245" s="4"/>
      <c r="G245" s="106" t="s">
        <v>86</v>
      </c>
      <c r="H245" s="106" t="s">
        <v>165</v>
      </c>
      <c r="I245" s="49" t="s">
        <v>327</v>
      </c>
      <c r="J245" s="4" t="s">
        <v>322</v>
      </c>
      <c r="K245" s="4" t="str">
        <f>IF(E245="KTG","KTG",(VLOOKUP(J245,'list of outsource'!B:H,2,0)))</f>
        <v>UPM</v>
      </c>
      <c r="L245" s="4" t="s">
        <v>323</v>
      </c>
      <c r="M245" s="4"/>
      <c r="N245" s="4" t="s">
        <v>328</v>
      </c>
      <c r="O245" s="2" t="s">
        <v>3684</v>
      </c>
      <c r="P245" s="4" t="s">
        <v>329</v>
      </c>
      <c r="Q245" s="4"/>
      <c r="R245" s="12"/>
      <c r="S245" s="4">
        <v>2</v>
      </c>
      <c r="T245" s="4"/>
      <c r="U245" s="4" t="s">
        <v>39</v>
      </c>
      <c r="V245" s="10">
        <v>44897</v>
      </c>
      <c r="W245" s="12"/>
    </row>
    <row r="246" spans="1:26" customFormat="1">
      <c r="A246">
        <f t="shared" ca="1" si="4"/>
        <v>42698</v>
      </c>
      <c r="B246" s="49" t="s">
        <v>330</v>
      </c>
      <c r="C246" s="12">
        <v>2022</v>
      </c>
      <c r="D246" s="4" t="s">
        <v>156</v>
      </c>
      <c r="E246" s="4" t="s">
        <v>3665</v>
      </c>
      <c r="F246" s="4"/>
      <c r="G246" s="106" t="s">
        <v>86</v>
      </c>
      <c r="H246" s="106" t="s">
        <v>165</v>
      </c>
      <c r="I246" s="49" t="s">
        <v>331</v>
      </c>
      <c r="J246" s="4" t="s">
        <v>96</v>
      </c>
      <c r="K246" s="4" t="str">
        <f>IF(E246="KTG","KTG",(VLOOKUP(J246,'list of outsource'!B:H,2,0)))</f>
        <v>Woer</v>
      </c>
      <c r="L246" s="4" t="s">
        <v>97</v>
      </c>
      <c r="M246" s="4"/>
      <c r="N246" s="4" t="s">
        <v>332</v>
      </c>
      <c r="O246" s="2" t="s">
        <v>3684</v>
      </c>
      <c r="P246" s="4" t="s">
        <v>333</v>
      </c>
      <c r="Q246" s="4"/>
      <c r="R246" s="12"/>
      <c r="S246" s="4">
        <v>2</v>
      </c>
      <c r="T246" s="4"/>
      <c r="U246" s="4" t="s">
        <v>39</v>
      </c>
      <c r="V246" s="10">
        <v>44720</v>
      </c>
      <c r="W246" s="12">
        <v>44722</v>
      </c>
    </row>
    <row r="247" spans="1:26" customFormat="1">
      <c r="A247">
        <f t="shared" ca="1" si="4"/>
        <v>42868</v>
      </c>
      <c r="B247" s="49" t="s">
        <v>334</v>
      </c>
      <c r="C247" s="12">
        <v>2022</v>
      </c>
      <c r="D247" s="4" t="s">
        <v>156</v>
      </c>
      <c r="E247" s="4" t="s">
        <v>3665</v>
      </c>
      <c r="F247" s="4"/>
      <c r="G247" s="106" t="s">
        <v>86</v>
      </c>
      <c r="H247" s="106" t="s">
        <v>165</v>
      </c>
      <c r="I247" s="49" t="s">
        <v>335</v>
      </c>
      <c r="J247" s="4" t="s">
        <v>232</v>
      </c>
      <c r="K247" s="4" t="str">
        <f>IF(E247="KTG","KTG",(VLOOKUP(J247,'list of outsource'!B:H,2,0)))</f>
        <v>UPM</v>
      </c>
      <c r="L247" s="4" t="s">
        <v>233</v>
      </c>
      <c r="M247" s="4"/>
      <c r="N247" s="4" t="s">
        <v>336</v>
      </c>
      <c r="O247" s="2" t="s">
        <v>3684</v>
      </c>
      <c r="P247" s="4" t="s">
        <v>337</v>
      </c>
      <c r="Q247" s="4"/>
      <c r="R247" s="12"/>
      <c r="S247" s="4">
        <v>2</v>
      </c>
      <c r="T247" s="4"/>
      <c r="U247" s="4" t="s">
        <v>39</v>
      </c>
      <c r="V247" s="10">
        <v>44890</v>
      </c>
      <c r="W247" s="12">
        <v>44890</v>
      </c>
    </row>
    <row r="248" spans="1:26" customFormat="1">
      <c r="A248">
        <f t="shared" ca="1" si="4"/>
        <v>42868</v>
      </c>
      <c r="B248" s="49" t="s">
        <v>338</v>
      </c>
      <c r="C248" s="12">
        <v>2022</v>
      </c>
      <c r="D248" s="4" t="s">
        <v>156</v>
      </c>
      <c r="E248" s="4" t="s">
        <v>3665</v>
      </c>
      <c r="F248" s="4"/>
      <c r="G248" s="106" t="s">
        <v>86</v>
      </c>
      <c r="H248" s="106" t="s">
        <v>165</v>
      </c>
      <c r="I248" s="49" t="s">
        <v>339</v>
      </c>
      <c r="J248" s="4" t="s">
        <v>232</v>
      </c>
      <c r="K248" s="4" t="str">
        <f>IF(E248="KTG","KTG",(VLOOKUP(J248,'list of outsource'!B:H,2,0)))</f>
        <v>UPM</v>
      </c>
      <c r="L248" s="4" t="s">
        <v>233</v>
      </c>
      <c r="M248" s="4"/>
      <c r="N248" s="4" t="s">
        <v>340</v>
      </c>
      <c r="O248" s="2" t="s">
        <v>3684</v>
      </c>
      <c r="P248" s="4" t="s">
        <v>341</v>
      </c>
      <c r="Q248" s="4"/>
      <c r="R248" s="12"/>
      <c r="S248" s="4">
        <v>2</v>
      </c>
      <c r="T248" s="4"/>
      <c r="U248" s="4" t="s">
        <v>39</v>
      </c>
      <c r="V248" s="10">
        <v>44890</v>
      </c>
      <c r="W248" s="12">
        <v>44893</v>
      </c>
    </row>
    <row r="249" spans="1:26" customFormat="1">
      <c r="A249">
        <f t="shared" ca="1" si="4"/>
        <v>42868</v>
      </c>
      <c r="B249" s="49" t="s">
        <v>342</v>
      </c>
      <c r="C249" s="12">
        <v>2022</v>
      </c>
      <c r="D249" s="4" t="s">
        <v>156</v>
      </c>
      <c r="E249" s="4" t="s">
        <v>3665</v>
      </c>
      <c r="F249" s="4"/>
      <c r="G249" s="106" t="s">
        <v>86</v>
      </c>
      <c r="H249" s="106" t="s">
        <v>165</v>
      </c>
      <c r="I249" s="49" t="s">
        <v>343</v>
      </c>
      <c r="J249" s="4" t="s">
        <v>232</v>
      </c>
      <c r="K249" s="4" t="str">
        <f>IF(E249="KTG","KTG",(VLOOKUP(J249,'list of outsource'!B:H,2,0)))</f>
        <v>UPM</v>
      </c>
      <c r="L249" s="4" t="s">
        <v>233</v>
      </c>
      <c r="M249" s="4"/>
      <c r="N249" s="4" t="s">
        <v>344</v>
      </c>
      <c r="O249" s="2" t="s">
        <v>3684</v>
      </c>
      <c r="P249" s="4" t="s">
        <v>345</v>
      </c>
      <c r="Q249" s="4"/>
      <c r="R249" s="12"/>
      <c r="S249" s="4">
        <v>2</v>
      </c>
      <c r="T249" s="4"/>
      <c r="U249" s="4" t="s">
        <v>39</v>
      </c>
      <c r="V249" s="10">
        <v>44890</v>
      </c>
      <c r="W249" s="12">
        <v>44893</v>
      </c>
    </row>
    <row r="250" spans="1:26" customFormat="1">
      <c r="A250">
        <f t="shared" ca="1" si="4"/>
        <v>6344</v>
      </c>
      <c r="B250" s="49" t="s">
        <v>346</v>
      </c>
      <c r="C250" s="12">
        <v>38546</v>
      </c>
      <c r="D250" s="4" t="s">
        <v>156</v>
      </c>
      <c r="E250" s="4" t="s">
        <v>3665</v>
      </c>
      <c r="F250" s="4"/>
      <c r="G250" s="106" t="s">
        <v>86</v>
      </c>
      <c r="H250" s="106" t="s">
        <v>165</v>
      </c>
      <c r="I250" s="49" t="s">
        <v>347</v>
      </c>
      <c r="J250" s="4" t="s">
        <v>108</v>
      </c>
      <c r="K250" s="4" t="str">
        <f>IF(E250="KTG","KTG",(VLOOKUP(J250,'list of outsource'!B:H,2,0)))</f>
        <v>UPM</v>
      </c>
      <c r="L250" s="4" t="s">
        <v>109</v>
      </c>
      <c r="M250" s="4"/>
      <c r="N250" s="4" t="s">
        <v>348</v>
      </c>
      <c r="O250" s="2" t="s">
        <v>3684</v>
      </c>
      <c r="P250" s="4" t="s">
        <v>349</v>
      </c>
      <c r="Q250" s="4"/>
      <c r="R250" s="12"/>
      <c r="S250" s="4">
        <v>2</v>
      </c>
      <c r="T250" s="4"/>
      <c r="U250" s="4" t="s">
        <v>39</v>
      </c>
      <c r="V250" s="10">
        <v>44890</v>
      </c>
      <c r="W250" s="12">
        <v>44893</v>
      </c>
    </row>
    <row r="251" spans="1:26" customFormat="1">
      <c r="A251">
        <f t="shared" ca="1" si="4"/>
        <v>6344</v>
      </c>
      <c r="B251" s="49" t="s">
        <v>350</v>
      </c>
      <c r="C251" s="12">
        <v>38546</v>
      </c>
      <c r="D251" s="4" t="s">
        <v>156</v>
      </c>
      <c r="E251" s="4" t="s">
        <v>3665</v>
      </c>
      <c r="F251" s="4"/>
      <c r="G251" s="106" t="s">
        <v>86</v>
      </c>
      <c r="H251" s="106" t="s">
        <v>165</v>
      </c>
      <c r="I251" s="49" t="s">
        <v>351</v>
      </c>
      <c r="J251" s="4" t="s">
        <v>108</v>
      </c>
      <c r="K251" s="4" t="str">
        <f>IF(E251="KTG","KTG",(VLOOKUP(J251,'list of outsource'!B:H,2,0)))</f>
        <v>UPM</v>
      </c>
      <c r="L251" s="4" t="s">
        <v>109</v>
      </c>
      <c r="M251" s="4"/>
      <c r="N251" s="4" t="s">
        <v>352</v>
      </c>
      <c r="O251" s="2" t="s">
        <v>3684</v>
      </c>
      <c r="P251" s="4" t="s">
        <v>353</v>
      </c>
      <c r="Q251" s="4"/>
      <c r="R251" s="12"/>
      <c r="S251" s="4">
        <v>2</v>
      </c>
      <c r="T251" s="4"/>
      <c r="U251" s="4" t="s">
        <v>39</v>
      </c>
      <c r="V251" s="10">
        <v>44890</v>
      </c>
      <c r="W251" s="12">
        <v>44893</v>
      </c>
    </row>
    <row r="252" spans="1:26" customFormat="1">
      <c r="A252">
        <f t="shared" ca="1" si="4"/>
        <v>6344</v>
      </c>
      <c r="B252" s="49" t="s">
        <v>354</v>
      </c>
      <c r="C252" s="12">
        <v>38546</v>
      </c>
      <c r="D252" s="4" t="s">
        <v>156</v>
      </c>
      <c r="E252" s="4" t="s">
        <v>3665</v>
      </c>
      <c r="F252" s="4"/>
      <c r="G252" s="106" t="s">
        <v>86</v>
      </c>
      <c r="H252" s="106" t="s">
        <v>165</v>
      </c>
      <c r="I252" s="49" t="s">
        <v>355</v>
      </c>
      <c r="J252" s="4" t="s">
        <v>108</v>
      </c>
      <c r="K252" s="4" t="str">
        <f>IF(E252="KTG","KTG",(VLOOKUP(J252,'list of outsource'!B:H,2,0)))</f>
        <v>UPM</v>
      </c>
      <c r="L252" s="4" t="s">
        <v>109</v>
      </c>
      <c r="M252" s="4"/>
      <c r="N252" s="4" t="s">
        <v>356</v>
      </c>
      <c r="O252" s="2" t="s">
        <v>3684</v>
      </c>
      <c r="P252" s="4" t="s">
        <v>357</v>
      </c>
      <c r="Q252" s="4"/>
      <c r="R252" s="12"/>
      <c r="S252" s="4">
        <v>2</v>
      </c>
      <c r="T252" s="4"/>
      <c r="U252" s="4" t="s">
        <v>39</v>
      </c>
      <c r="V252" s="10">
        <v>44890</v>
      </c>
      <c r="W252" s="12">
        <v>44893</v>
      </c>
    </row>
    <row r="253" spans="1:26" customFormat="1">
      <c r="A253">
        <f t="shared" ca="1" si="4"/>
        <v>42893</v>
      </c>
      <c r="B253" s="49" t="s">
        <v>358</v>
      </c>
      <c r="C253" s="12">
        <v>2022</v>
      </c>
      <c r="D253" s="4" t="s">
        <v>156</v>
      </c>
      <c r="E253" s="4" t="s">
        <v>3662</v>
      </c>
      <c r="F253" s="4"/>
      <c r="G253" s="106" t="s">
        <v>86</v>
      </c>
      <c r="H253" s="106" t="s">
        <v>165</v>
      </c>
      <c r="I253" s="49" t="s">
        <v>359</v>
      </c>
      <c r="J253" s="4" t="s">
        <v>302</v>
      </c>
      <c r="K253" s="4" t="str">
        <f>IF(E253="KTG","KTG",(VLOOKUP(J253,'list of outsource'!B:H,2,0)))</f>
        <v>ETC</v>
      </c>
      <c r="L253" s="4" t="s">
        <v>303</v>
      </c>
      <c r="M253" s="4"/>
      <c r="N253" s="4" t="s">
        <v>360</v>
      </c>
      <c r="O253" s="2" t="s">
        <v>3684</v>
      </c>
      <c r="P253" s="4" t="s">
        <v>361</v>
      </c>
      <c r="Q253" s="4"/>
      <c r="R253" s="12"/>
      <c r="S253" s="4">
        <v>2</v>
      </c>
      <c r="T253" s="4"/>
      <c r="U253" s="4" t="s">
        <v>39</v>
      </c>
      <c r="V253" s="10">
        <v>44915</v>
      </c>
      <c r="W253" s="12">
        <v>44915</v>
      </c>
    </row>
    <row r="254" spans="1:26" customFormat="1" hidden="1">
      <c r="A254" s="50">
        <f t="shared" ca="1" si="4"/>
        <v>6</v>
      </c>
      <c r="B254" s="104" t="s">
        <v>2650</v>
      </c>
      <c r="C254" s="27">
        <v>45827</v>
      </c>
      <c r="D254" s="28" t="s">
        <v>2651</v>
      </c>
      <c r="E254" s="28" t="s">
        <v>3662</v>
      </c>
      <c r="F254" s="28"/>
      <c r="G254" s="28" t="s">
        <v>505</v>
      </c>
      <c r="H254" s="28" t="s">
        <v>34</v>
      </c>
      <c r="I254" s="28">
        <v>69322216</v>
      </c>
      <c r="J254" s="28" t="s">
        <v>490</v>
      </c>
      <c r="K254" s="28" t="str">
        <f>IF(E254="KTG","KTG",(VLOOKUP(J254,'list of outsource'!B:H,2,0)))</f>
        <v>ETC</v>
      </c>
      <c r="L254" s="28" t="s">
        <v>491</v>
      </c>
      <c r="M254" s="29"/>
      <c r="N254" s="49" t="s">
        <v>2652</v>
      </c>
      <c r="O254" s="2"/>
      <c r="P254" s="28" t="s">
        <v>2653</v>
      </c>
      <c r="Q254" s="28"/>
      <c r="R254" s="27"/>
      <c r="S254" s="28">
        <v>4</v>
      </c>
      <c r="T254" s="28" t="s">
        <v>607</v>
      </c>
      <c r="U254" s="28" t="s">
        <v>39</v>
      </c>
      <c r="V254" s="30">
        <v>45833</v>
      </c>
      <c r="W254" s="27">
        <v>45833</v>
      </c>
      <c r="Z254" t="s">
        <v>2654</v>
      </c>
    </row>
    <row r="255" spans="1:26" customFormat="1">
      <c r="A255">
        <f t="shared" ca="1" si="4"/>
        <v>6369</v>
      </c>
      <c r="B255" s="49" t="s">
        <v>362</v>
      </c>
      <c r="C255" s="12">
        <v>38546</v>
      </c>
      <c r="D255" s="4" t="s">
        <v>156</v>
      </c>
      <c r="E255" s="4" t="s">
        <v>3665</v>
      </c>
      <c r="F255" s="4"/>
      <c r="G255" s="106" t="s">
        <v>86</v>
      </c>
      <c r="H255" s="106" t="s">
        <v>165</v>
      </c>
      <c r="I255" s="49" t="s">
        <v>363</v>
      </c>
      <c r="J255" s="4" t="s">
        <v>108</v>
      </c>
      <c r="K255" s="4" t="str">
        <f>IF(E255="KTG","KTG",(VLOOKUP(J255,'list of outsource'!B:H,2,0)))</f>
        <v>UPM</v>
      </c>
      <c r="L255" s="4" t="s">
        <v>109</v>
      </c>
      <c r="M255" s="4"/>
      <c r="N255" s="4" t="s">
        <v>364</v>
      </c>
      <c r="O255" s="2" t="s">
        <v>3684</v>
      </c>
      <c r="P255" s="4" t="s">
        <v>365</v>
      </c>
      <c r="Q255" s="4"/>
      <c r="R255" s="12"/>
      <c r="S255" s="4">
        <v>2</v>
      </c>
      <c r="T255" s="4"/>
      <c r="U255" s="4" t="s">
        <v>39</v>
      </c>
      <c r="V255" s="10">
        <v>44915</v>
      </c>
      <c r="W255" s="12">
        <v>44915</v>
      </c>
    </row>
    <row r="256" spans="1:26" customFormat="1">
      <c r="A256">
        <f t="shared" ca="1" si="4"/>
        <v>42698</v>
      </c>
      <c r="B256" s="49" t="s">
        <v>366</v>
      </c>
      <c r="C256" s="12">
        <v>2022</v>
      </c>
      <c r="D256" s="4" t="s">
        <v>156</v>
      </c>
      <c r="E256" s="4" t="s">
        <v>3665</v>
      </c>
      <c r="F256" s="4"/>
      <c r="G256" s="106" t="s">
        <v>86</v>
      </c>
      <c r="H256" s="106" t="s">
        <v>165</v>
      </c>
      <c r="I256" s="49" t="s">
        <v>367</v>
      </c>
      <c r="J256" s="4" t="s">
        <v>96</v>
      </c>
      <c r="K256" s="4" t="str">
        <f>IF(E256="KTG","KTG",(VLOOKUP(J256,'list of outsource'!B:H,2,0)))</f>
        <v>Woer</v>
      </c>
      <c r="L256" s="4" t="s">
        <v>97</v>
      </c>
      <c r="M256" s="4"/>
      <c r="N256" s="4" t="s">
        <v>368</v>
      </c>
      <c r="O256" s="2" t="s">
        <v>3684</v>
      </c>
      <c r="P256" s="4" t="s">
        <v>369</v>
      </c>
      <c r="Q256" s="4"/>
      <c r="R256" s="12"/>
      <c r="S256" s="4">
        <v>2</v>
      </c>
      <c r="T256" s="4"/>
      <c r="U256" s="4" t="s">
        <v>39</v>
      </c>
      <c r="V256" s="10">
        <v>44720</v>
      </c>
      <c r="W256" s="12">
        <v>44722</v>
      </c>
    </row>
    <row r="257" spans="1:26" customFormat="1" hidden="1">
      <c r="A257">
        <f t="shared" ca="1" si="4"/>
        <v>35</v>
      </c>
      <c r="B257" s="8" t="s">
        <v>3438</v>
      </c>
      <c r="C257" s="16">
        <v>45945</v>
      </c>
      <c r="D257" s="6" t="s">
        <v>129</v>
      </c>
      <c r="E257" s="6" t="s">
        <v>3665</v>
      </c>
      <c r="F257" s="6">
        <v>4572</v>
      </c>
      <c r="G257" s="6" t="s">
        <v>102</v>
      </c>
      <c r="H257" s="6" t="s">
        <v>379</v>
      </c>
      <c r="I257" s="6" t="s">
        <v>150</v>
      </c>
      <c r="J257" s="6" t="s">
        <v>151</v>
      </c>
      <c r="K257" s="6" t="str">
        <f>IF(E257="KTG","KTG",(VLOOKUP(J257,'list of outsource'!B:H,2,0)))</f>
        <v>UPM</v>
      </c>
      <c r="L257" s="6" t="s">
        <v>381</v>
      </c>
      <c r="M257" s="6">
        <v>28</v>
      </c>
      <c r="N257" s="6" t="s">
        <v>153</v>
      </c>
      <c r="O257" s="2"/>
      <c r="P257" s="6" t="s">
        <v>3436</v>
      </c>
      <c r="Q257" s="6" t="s">
        <v>2372</v>
      </c>
      <c r="R257" s="16"/>
      <c r="S257" s="6">
        <v>3</v>
      </c>
      <c r="T257" s="6" t="s">
        <v>307</v>
      </c>
      <c r="U257" s="6" t="s">
        <v>39</v>
      </c>
      <c r="V257" s="17">
        <v>45980</v>
      </c>
      <c r="W257" s="16"/>
    </row>
    <row r="258" spans="1:26" customFormat="1">
      <c r="A258">
        <f t="shared" ca="1" si="4"/>
        <v>42704</v>
      </c>
      <c r="B258" s="49" t="s">
        <v>370</v>
      </c>
      <c r="C258" s="12">
        <v>2022</v>
      </c>
      <c r="D258" s="4" t="s">
        <v>156</v>
      </c>
      <c r="E258" s="4" t="s">
        <v>3662</v>
      </c>
      <c r="F258" s="4"/>
      <c r="G258" s="106" t="s">
        <v>86</v>
      </c>
      <c r="H258" s="106" t="s">
        <v>165</v>
      </c>
      <c r="I258" s="49" t="s">
        <v>371</v>
      </c>
      <c r="J258" s="4" t="s">
        <v>222</v>
      </c>
      <c r="K258" s="4" t="str">
        <f>IF(E258="KTG","KTG",(VLOOKUP(J258,'list of outsource'!B:H,2,0)))</f>
        <v>ETC</v>
      </c>
      <c r="L258" s="4" t="s">
        <v>223</v>
      </c>
      <c r="M258" s="4"/>
      <c r="N258" s="4" t="s">
        <v>372</v>
      </c>
      <c r="O258" s="2" t="s">
        <v>3684</v>
      </c>
      <c r="P258" s="4" t="s">
        <v>373</v>
      </c>
      <c r="Q258" s="4"/>
      <c r="R258" s="12"/>
      <c r="S258" s="4">
        <v>2</v>
      </c>
      <c r="T258" s="4"/>
      <c r="U258" s="4" t="s">
        <v>39</v>
      </c>
      <c r="V258" s="10">
        <v>44726</v>
      </c>
      <c r="W258" s="12">
        <v>44733</v>
      </c>
    </row>
    <row r="259" spans="1:26" customFormat="1">
      <c r="A259">
        <f t="shared" ca="1" si="4"/>
        <v>42724</v>
      </c>
      <c r="B259" s="49" t="s">
        <v>374</v>
      </c>
      <c r="C259" s="12">
        <v>2022</v>
      </c>
      <c r="D259" s="4" t="s">
        <v>156</v>
      </c>
      <c r="E259" s="4" t="s">
        <v>3662</v>
      </c>
      <c r="F259" s="4"/>
      <c r="G259" s="106" t="s">
        <v>86</v>
      </c>
      <c r="H259" s="106" t="s">
        <v>165</v>
      </c>
      <c r="I259" s="49" t="s">
        <v>375</v>
      </c>
      <c r="J259" s="4" t="s">
        <v>222</v>
      </c>
      <c r="K259" s="4" t="str">
        <f>IF(E259="KTG","KTG",(VLOOKUP(J259,'list of outsource'!B:H,2,0)))</f>
        <v>ETC</v>
      </c>
      <c r="L259" s="4" t="s">
        <v>223</v>
      </c>
      <c r="M259" s="4"/>
      <c r="N259" s="4" t="s">
        <v>376</v>
      </c>
      <c r="O259" s="2" t="s">
        <v>3684</v>
      </c>
      <c r="P259" s="4" t="s">
        <v>377</v>
      </c>
      <c r="Q259" s="4"/>
      <c r="R259" s="12"/>
      <c r="S259" s="4">
        <v>2</v>
      </c>
      <c r="T259" s="4"/>
      <c r="U259" s="4" t="s">
        <v>39</v>
      </c>
      <c r="V259" s="10">
        <v>44746</v>
      </c>
      <c r="W259" s="12">
        <v>44747</v>
      </c>
    </row>
    <row r="260" spans="1:26" customFormat="1" hidden="1">
      <c r="A260">
        <f t="shared" ca="1" si="4"/>
        <v>35</v>
      </c>
      <c r="B260" s="8" t="s">
        <v>3433</v>
      </c>
      <c r="C260" s="16">
        <v>45945</v>
      </c>
      <c r="D260" s="6" t="s">
        <v>129</v>
      </c>
      <c r="E260" s="6" t="s">
        <v>3665</v>
      </c>
      <c r="F260" s="6">
        <v>4580</v>
      </c>
      <c r="G260" s="6" t="s">
        <v>102</v>
      </c>
      <c r="H260" s="6" t="s">
        <v>379</v>
      </c>
      <c r="I260" s="6" t="s">
        <v>1107</v>
      </c>
      <c r="J260" s="6" t="s">
        <v>408</v>
      </c>
      <c r="K260" s="6" t="str">
        <f>IF(E260="KTG","KTG",(VLOOKUP(J260,'list of outsource'!B:H,2,0)))</f>
        <v>UPM</v>
      </c>
      <c r="L260" s="6" t="s">
        <v>409</v>
      </c>
      <c r="M260" s="6">
        <v>25</v>
      </c>
      <c r="N260" s="6" t="s">
        <v>1108</v>
      </c>
      <c r="O260" s="2"/>
      <c r="P260" s="6" t="s">
        <v>3434</v>
      </c>
      <c r="Q260" s="6" t="s">
        <v>3181</v>
      </c>
      <c r="R260" s="16">
        <v>45954</v>
      </c>
      <c r="S260" s="6">
        <v>3</v>
      </c>
      <c r="T260" s="6" t="s">
        <v>1465</v>
      </c>
      <c r="U260" s="6" t="s">
        <v>39</v>
      </c>
      <c r="V260" s="17">
        <v>45980</v>
      </c>
      <c r="W260" s="16"/>
    </row>
    <row r="261" spans="1:26" customFormat="1">
      <c r="A261">
        <f t="shared" ca="1" si="4"/>
        <v>42724</v>
      </c>
      <c r="B261" s="49" t="s">
        <v>425</v>
      </c>
      <c r="C261" s="12">
        <v>2022</v>
      </c>
      <c r="D261" s="4" t="s">
        <v>156</v>
      </c>
      <c r="E261" s="4" t="s">
        <v>3662</v>
      </c>
      <c r="F261" s="4"/>
      <c r="G261" s="106" t="s">
        <v>86</v>
      </c>
      <c r="H261" s="106" t="s">
        <v>165</v>
      </c>
      <c r="I261" s="49" t="s">
        <v>426</v>
      </c>
      <c r="J261" s="4" t="s">
        <v>222</v>
      </c>
      <c r="K261" s="4" t="str">
        <f>IF(E261="KTG","KTG",(VLOOKUP(J261,'list of outsource'!B:H,2,0)))</f>
        <v>ETC</v>
      </c>
      <c r="L261" s="4" t="s">
        <v>223</v>
      </c>
      <c r="M261" s="4"/>
      <c r="N261" s="4" t="s">
        <v>427</v>
      </c>
      <c r="O261" s="2" t="s">
        <v>3684</v>
      </c>
      <c r="P261" s="4" t="s">
        <v>428</v>
      </c>
      <c r="Q261" s="4"/>
      <c r="R261" s="12"/>
      <c r="S261" s="4">
        <v>2</v>
      </c>
      <c r="T261" s="4"/>
      <c r="U261" s="4" t="s">
        <v>39</v>
      </c>
      <c r="V261" s="10">
        <v>44746</v>
      </c>
      <c r="W261" s="12">
        <v>44747</v>
      </c>
    </row>
    <row r="262" spans="1:26" customFormat="1" hidden="1">
      <c r="A262">
        <f t="shared" ca="1" si="4"/>
        <v>21</v>
      </c>
      <c r="B262" s="4" t="s">
        <v>3377</v>
      </c>
      <c r="C262" s="12">
        <v>44979</v>
      </c>
      <c r="D262" s="4" t="s">
        <v>504</v>
      </c>
      <c r="E262" s="4" t="s">
        <v>3665</v>
      </c>
      <c r="F262" s="4">
        <v>4577</v>
      </c>
      <c r="G262" s="4" t="s">
        <v>102</v>
      </c>
      <c r="H262" s="4" t="s">
        <v>379</v>
      </c>
      <c r="I262" s="4" t="s">
        <v>656</v>
      </c>
      <c r="J262" s="4" t="s">
        <v>108</v>
      </c>
      <c r="K262" s="4" t="str">
        <f>IF(E262="KTG","KTG",(VLOOKUP(J262,'list of outsource'!B:H,2,0)))</f>
        <v>UPM</v>
      </c>
      <c r="L262" s="4" t="s">
        <v>109</v>
      </c>
      <c r="M262" s="4"/>
      <c r="N262" s="4" t="s">
        <v>180</v>
      </c>
      <c r="O262" s="2"/>
      <c r="P262" s="4" t="s">
        <v>657</v>
      </c>
      <c r="Q262" s="4">
        <v>1201422457</v>
      </c>
      <c r="R262" s="12"/>
      <c r="S262" s="4">
        <v>2</v>
      </c>
      <c r="T262" s="4"/>
      <c r="U262" s="4" t="s">
        <v>39</v>
      </c>
      <c r="V262" s="10">
        <v>45000</v>
      </c>
      <c r="W262" s="12">
        <v>45013</v>
      </c>
      <c r="Z262" t="e">
        <v>#N/A</v>
      </c>
    </row>
    <row r="263" spans="1:26" customFormat="1">
      <c r="A263">
        <f t="shared" ca="1" si="4"/>
        <v>6179</v>
      </c>
      <c r="B263" s="49" t="s">
        <v>429</v>
      </c>
      <c r="C263" s="12">
        <v>38546</v>
      </c>
      <c r="D263" s="4" t="s">
        <v>156</v>
      </c>
      <c r="E263" s="4" t="s">
        <v>3665</v>
      </c>
      <c r="F263" s="4"/>
      <c r="G263" s="106" t="s">
        <v>86</v>
      </c>
      <c r="H263" s="106" t="s">
        <v>165</v>
      </c>
      <c r="I263" s="49" t="s">
        <v>430</v>
      </c>
      <c r="J263" s="4" t="s">
        <v>108</v>
      </c>
      <c r="K263" s="4" t="str">
        <f>IF(E263="KTG","KTG",(VLOOKUP(J263,'list of outsource'!B:H,2,0)))</f>
        <v>UPM</v>
      </c>
      <c r="L263" s="4" t="s">
        <v>109</v>
      </c>
      <c r="M263" s="4"/>
      <c r="N263" s="4" t="s">
        <v>431</v>
      </c>
      <c r="O263" s="2" t="s">
        <v>3684</v>
      </c>
      <c r="P263" s="4" t="s">
        <v>432</v>
      </c>
      <c r="Q263" s="4"/>
      <c r="R263" s="12"/>
      <c r="S263" s="4">
        <v>2</v>
      </c>
      <c r="T263" s="4"/>
      <c r="U263" s="4" t="s">
        <v>39</v>
      </c>
      <c r="V263" s="10">
        <v>44725</v>
      </c>
      <c r="W263" s="12">
        <v>44748</v>
      </c>
    </row>
    <row r="264" spans="1:26" customFormat="1">
      <c r="A264">
        <f t="shared" ca="1" si="4"/>
        <v>42731</v>
      </c>
      <c r="B264" s="49" t="s">
        <v>415</v>
      </c>
      <c r="C264" s="12">
        <v>2022</v>
      </c>
      <c r="D264" s="4" t="s">
        <v>156</v>
      </c>
      <c r="E264" s="4" t="s">
        <v>3664</v>
      </c>
      <c r="F264" s="4"/>
      <c r="G264" s="106" t="s">
        <v>86</v>
      </c>
      <c r="H264" s="106" t="s">
        <v>379</v>
      </c>
      <c r="I264" s="49" t="s">
        <v>416</v>
      </c>
      <c r="J264" s="4" t="s">
        <v>176</v>
      </c>
      <c r="K264" s="4" t="e">
        <f>IF(E264="KTG","KTG",(VLOOKUP(J264,'list of outsource'!B:H,2,0)))</f>
        <v>#N/A</v>
      </c>
      <c r="L264" s="4" t="s">
        <v>177</v>
      </c>
      <c r="M264" s="4"/>
      <c r="N264" s="4" t="s">
        <v>175</v>
      </c>
      <c r="O264" s="2" t="s">
        <v>3669</v>
      </c>
      <c r="P264" s="4" t="s">
        <v>176</v>
      </c>
      <c r="Q264" s="4"/>
      <c r="R264" s="12"/>
      <c r="S264" s="4">
        <v>2</v>
      </c>
      <c r="T264" s="4"/>
      <c r="U264" s="4" t="s">
        <v>39</v>
      </c>
      <c r="V264" s="10">
        <v>44753</v>
      </c>
      <c r="W264" s="12" t="s">
        <v>417</v>
      </c>
    </row>
    <row r="265" spans="1:26" customFormat="1" hidden="1">
      <c r="A265">
        <f t="shared" ca="1" si="4"/>
        <v>35</v>
      </c>
      <c r="B265" s="8" t="s">
        <v>3437</v>
      </c>
      <c r="C265" s="16">
        <v>45945</v>
      </c>
      <c r="D265" s="6" t="s">
        <v>129</v>
      </c>
      <c r="E265" s="6" t="s">
        <v>3665</v>
      </c>
      <c r="F265" s="6">
        <v>4581</v>
      </c>
      <c r="G265" s="6" t="s">
        <v>102</v>
      </c>
      <c r="H265" s="6" t="s">
        <v>379</v>
      </c>
      <c r="I265" s="6" t="s">
        <v>1401</v>
      </c>
      <c r="J265" s="6" t="s">
        <v>408</v>
      </c>
      <c r="K265" s="6" t="str">
        <f>IF(E265="KTG","KTG",(VLOOKUP(J265,'list of outsource'!B:H,2,0)))</f>
        <v>UPM</v>
      </c>
      <c r="L265" s="6" t="s">
        <v>409</v>
      </c>
      <c r="M265" s="6">
        <v>25</v>
      </c>
      <c r="N265" s="6" t="s">
        <v>1402</v>
      </c>
      <c r="O265" s="2"/>
      <c r="P265" s="6" t="s">
        <v>3435</v>
      </c>
      <c r="Q265" s="6" t="s">
        <v>3182</v>
      </c>
      <c r="R265" s="16">
        <v>45974</v>
      </c>
      <c r="S265" s="6">
        <v>3</v>
      </c>
      <c r="T265" s="6" t="s">
        <v>607</v>
      </c>
      <c r="U265" s="6" t="s">
        <v>39</v>
      </c>
      <c r="V265" s="17">
        <v>45980</v>
      </c>
      <c r="W265" s="16"/>
    </row>
    <row r="266" spans="1:26" customFormat="1">
      <c r="A266">
        <f t="shared" ca="1" si="4"/>
        <v>3</v>
      </c>
      <c r="B266" s="104" t="s">
        <v>3451</v>
      </c>
      <c r="C266" s="16">
        <v>45968</v>
      </c>
      <c r="D266" s="6" t="s">
        <v>129</v>
      </c>
      <c r="E266" s="6" t="s">
        <v>3662</v>
      </c>
      <c r="F266" s="6"/>
      <c r="G266" s="106" t="s">
        <v>86</v>
      </c>
      <c r="H266" s="106" t="s">
        <v>165</v>
      </c>
      <c r="I266" s="49" t="s">
        <v>562</v>
      </c>
      <c r="J266" s="6" t="s">
        <v>302</v>
      </c>
      <c r="K266" s="6" t="str">
        <f>IF(E266="KTG","KTG",(VLOOKUP(J266,'list of outsource'!B:H,2,0)))</f>
        <v>ETC</v>
      </c>
      <c r="L266" s="6" t="s">
        <v>303</v>
      </c>
      <c r="M266" s="6">
        <v>76</v>
      </c>
      <c r="N266" s="6" t="s">
        <v>484</v>
      </c>
      <c r="O266" s="2" t="s">
        <v>3684</v>
      </c>
      <c r="P266" s="6" t="s">
        <v>563</v>
      </c>
      <c r="Q266" s="6" t="s">
        <v>2366</v>
      </c>
      <c r="R266" s="16" t="s">
        <v>549</v>
      </c>
      <c r="S266" s="6">
        <v>1</v>
      </c>
      <c r="T266" s="6" t="s">
        <v>307</v>
      </c>
      <c r="U266" s="6" t="s">
        <v>550</v>
      </c>
      <c r="V266" s="17">
        <v>45971</v>
      </c>
      <c r="W266" s="16"/>
    </row>
    <row r="267" spans="1:26" customFormat="1" hidden="1">
      <c r="A267">
        <f t="shared" ca="1" si="4"/>
        <v>48</v>
      </c>
      <c r="B267" s="104" t="s">
        <v>3472</v>
      </c>
      <c r="C267" s="16">
        <v>45932</v>
      </c>
      <c r="D267" s="6" t="s">
        <v>129</v>
      </c>
      <c r="E267" s="6" t="s">
        <v>3662</v>
      </c>
      <c r="F267" s="6"/>
      <c r="G267" s="6" t="s">
        <v>102</v>
      </c>
      <c r="H267" s="6" t="s">
        <v>379</v>
      </c>
      <c r="I267" s="6" t="s">
        <v>3122</v>
      </c>
      <c r="J267" s="6" t="s">
        <v>2391</v>
      </c>
      <c r="K267" s="6" t="str">
        <f>IF(E267="KTG","KTG",(VLOOKUP(J267,'list of outsource'!B:H,2,0)))</f>
        <v xml:space="preserve">KEJIAN </v>
      </c>
      <c r="L267" s="6" t="s">
        <v>2392</v>
      </c>
      <c r="M267" s="6">
        <v>13</v>
      </c>
      <c r="N267" s="49" t="s">
        <v>3123</v>
      </c>
      <c r="O267" s="2"/>
      <c r="P267" s="6" t="s">
        <v>3124</v>
      </c>
      <c r="Q267" s="6" t="s">
        <v>3513</v>
      </c>
      <c r="R267" s="16">
        <v>45978</v>
      </c>
      <c r="S267" s="6">
        <v>3</v>
      </c>
      <c r="T267" s="6" t="s">
        <v>1465</v>
      </c>
      <c r="U267" s="6" t="s">
        <v>39</v>
      </c>
      <c r="V267" s="17">
        <v>45980</v>
      </c>
      <c r="W267" s="16"/>
    </row>
    <row r="268" spans="1:26" customFormat="1" hidden="1">
      <c r="A268">
        <f t="shared" ref="A268:A331" ca="1" si="5">IF(V268="",(TODAY()-C268),(V268-C268))</f>
        <v>48</v>
      </c>
      <c r="B268" s="104" t="s">
        <v>3125</v>
      </c>
      <c r="C268" s="16">
        <v>45932</v>
      </c>
      <c r="D268" s="6" t="s">
        <v>129</v>
      </c>
      <c r="E268" s="6" t="s">
        <v>3662</v>
      </c>
      <c r="F268" s="6"/>
      <c r="G268" s="6" t="s">
        <v>102</v>
      </c>
      <c r="H268" s="6" t="s">
        <v>379</v>
      </c>
      <c r="I268" s="6" t="s">
        <v>3126</v>
      </c>
      <c r="J268" s="6" t="s">
        <v>302</v>
      </c>
      <c r="K268" s="6" t="str">
        <f>IF(E268="KTG","KTG",(VLOOKUP(J268,'list of outsource'!B:H,2,0)))</f>
        <v>ETC</v>
      </c>
      <c r="L268" s="6" t="s">
        <v>303</v>
      </c>
      <c r="M268" s="6">
        <v>76</v>
      </c>
      <c r="N268" s="49" t="s">
        <v>3127</v>
      </c>
      <c r="O268" s="2"/>
      <c r="P268" s="6" t="s">
        <v>3128</v>
      </c>
      <c r="Q268" s="6" t="s">
        <v>3459</v>
      </c>
      <c r="R268" s="16">
        <v>45971</v>
      </c>
      <c r="S268" s="6">
        <v>3</v>
      </c>
      <c r="T268" s="6" t="s">
        <v>1465</v>
      </c>
      <c r="U268" s="6" t="s">
        <v>39</v>
      </c>
      <c r="V268" s="17">
        <v>45980</v>
      </c>
      <c r="W268" s="16"/>
    </row>
    <row r="269" spans="1:26" customFormat="1" hidden="1">
      <c r="A269">
        <f t="shared" ca="1" si="5"/>
        <v>48</v>
      </c>
      <c r="B269" s="104" t="s">
        <v>3129</v>
      </c>
      <c r="C269" s="16">
        <v>45932</v>
      </c>
      <c r="D269" s="6" t="s">
        <v>129</v>
      </c>
      <c r="E269" s="6" t="s">
        <v>3662</v>
      </c>
      <c r="F269" s="6"/>
      <c r="G269" s="6" t="s">
        <v>102</v>
      </c>
      <c r="H269" s="6" t="s">
        <v>379</v>
      </c>
      <c r="I269" s="6" t="s">
        <v>3130</v>
      </c>
      <c r="J269" s="6" t="s">
        <v>2885</v>
      </c>
      <c r="K269" s="6" t="str">
        <f>IF(E269="KTG","KTG",(VLOOKUP(J269,'list of outsource'!B:H,2,0)))</f>
        <v>ETC</v>
      </c>
      <c r="L269" s="6" t="s">
        <v>2886</v>
      </c>
      <c r="M269" s="6">
        <v>6</v>
      </c>
      <c r="N269" s="49" t="s">
        <v>3131</v>
      </c>
      <c r="O269" s="2"/>
      <c r="P269" s="6" t="s">
        <v>3132</v>
      </c>
      <c r="Q269" s="6" t="s">
        <v>3455</v>
      </c>
      <c r="R269" s="16">
        <v>45971</v>
      </c>
      <c r="S269" s="6">
        <v>3</v>
      </c>
      <c r="T269" s="6" t="s">
        <v>1465</v>
      </c>
      <c r="U269" s="6" t="s">
        <v>39</v>
      </c>
      <c r="V269" s="17">
        <v>45980</v>
      </c>
      <c r="W269" s="16"/>
    </row>
    <row r="270" spans="1:26" customFormat="1" hidden="1">
      <c r="A270">
        <f t="shared" ca="1" si="5"/>
        <v>48</v>
      </c>
      <c r="B270" s="104" t="s">
        <v>3133</v>
      </c>
      <c r="C270" s="16">
        <v>45932</v>
      </c>
      <c r="D270" s="6" t="s">
        <v>129</v>
      </c>
      <c r="E270" s="6" t="s">
        <v>3662</v>
      </c>
      <c r="F270" s="6"/>
      <c r="G270" s="6" t="s">
        <v>102</v>
      </c>
      <c r="H270" s="6" t="s">
        <v>379</v>
      </c>
      <c r="I270" s="6" t="s">
        <v>3134</v>
      </c>
      <c r="J270" s="6" t="s">
        <v>302</v>
      </c>
      <c r="K270" s="6" t="str">
        <f>IF(E270="KTG","KTG",(VLOOKUP(J270,'list of outsource'!B:H,2,0)))</f>
        <v>ETC</v>
      </c>
      <c r="L270" s="6" t="s">
        <v>303</v>
      </c>
      <c r="M270" s="6">
        <v>76</v>
      </c>
      <c r="N270" s="49" t="s">
        <v>3135</v>
      </c>
      <c r="O270" s="2"/>
      <c r="P270" s="6" t="s">
        <v>3136</v>
      </c>
      <c r="Q270" s="6" t="s">
        <v>3460</v>
      </c>
      <c r="R270" s="16">
        <v>45971</v>
      </c>
      <c r="S270" s="6">
        <v>3</v>
      </c>
      <c r="T270" s="6" t="s">
        <v>1465</v>
      </c>
      <c r="U270" s="6" t="s">
        <v>39</v>
      </c>
      <c r="V270" s="17">
        <v>45980</v>
      </c>
      <c r="W270" s="16"/>
    </row>
    <row r="271" spans="1:26" customFormat="1" hidden="1">
      <c r="A271">
        <f t="shared" ca="1" si="5"/>
        <v>48</v>
      </c>
      <c r="B271" s="104" t="s">
        <v>3137</v>
      </c>
      <c r="C271" s="16">
        <v>45932</v>
      </c>
      <c r="D271" s="6" t="s">
        <v>129</v>
      </c>
      <c r="E271" s="6" t="s">
        <v>3662</v>
      </c>
      <c r="F271" s="6"/>
      <c r="G271" s="6" t="s">
        <v>102</v>
      </c>
      <c r="H271" s="6" t="s">
        <v>379</v>
      </c>
      <c r="I271" s="6" t="s">
        <v>3138</v>
      </c>
      <c r="J271" s="6" t="s">
        <v>2885</v>
      </c>
      <c r="K271" s="6" t="str">
        <f>IF(E271="KTG","KTG",(VLOOKUP(J271,'list of outsource'!B:H,2,0)))</f>
        <v>ETC</v>
      </c>
      <c r="L271" s="6" t="s">
        <v>2886</v>
      </c>
      <c r="M271" s="6">
        <v>6</v>
      </c>
      <c r="N271" s="49" t="s">
        <v>3139</v>
      </c>
      <c r="O271" s="2"/>
      <c r="P271" s="6" t="s">
        <v>3140</v>
      </c>
      <c r="Q271" s="6" t="s">
        <v>3456</v>
      </c>
      <c r="R271" s="16">
        <v>45971</v>
      </c>
      <c r="S271" s="6">
        <v>3</v>
      </c>
      <c r="T271" s="6" t="s">
        <v>1465</v>
      </c>
      <c r="U271" s="6" t="s">
        <v>39</v>
      </c>
      <c r="V271" s="17">
        <v>45980</v>
      </c>
      <c r="W271" s="16"/>
    </row>
    <row r="272" spans="1:26" customFormat="1" hidden="1">
      <c r="A272">
        <f t="shared" ca="1" si="5"/>
        <v>48</v>
      </c>
      <c r="B272" s="104" t="s">
        <v>2882</v>
      </c>
      <c r="C272" s="16">
        <v>45932</v>
      </c>
      <c r="D272" s="6" t="s">
        <v>129</v>
      </c>
      <c r="E272" s="6" t="s">
        <v>3662</v>
      </c>
      <c r="F272" s="6"/>
      <c r="G272" s="6" t="s">
        <v>102</v>
      </c>
      <c r="H272" s="6" t="s">
        <v>379</v>
      </c>
      <c r="I272" s="6" t="s">
        <v>2884</v>
      </c>
      <c r="J272" s="6" t="s">
        <v>2885</v>
      </c>
      <c r="K272" s="6" t="str">
        <f>IF(E272="KTG","KTG",(VLOOKUP(J272,'list of outsource'!B:H,2,0)))</f>
        <v>ETC</v>
      </c>
      <c r="L272" s="6" t="s">
        <v>2886</v>
      </c>
      <c r="M272" s="6">
        <v>6</v>
      </c>
      <c r="N272" s="49" t="s">
        <v>2887</v>
      </c>
      <c r="O272" s="2"/>
      <c r="P272" s="6" t="s">
        <v>2888</v>
      </c>
      <c r="Q272" s="6" t="s">
        <v>3453</v>
      </c>
      <c r="R272" s="16">
        <v>45971</v>
      </c>
      <c r="S272" s="6">
        <v>3</v>
      </c>
      <c r="T272" s="6" t="s">
        <v>1465</v>
      </c>
      <c r="U272" s="6" t="s">
        <v>39</v>
      </c>
      <c r="V272" s="17">
        <v>45980</v>
      </c>
      <c r="W272" s="16"/>
    </row>
    <row r="273" spans="1:26" customFormat="1" hidden="1">
      <c r="A273">
        <f t="shared" ca="1" si="5"/>
        <v>48</v>
      </c>
      <c r="B273" s="104" t="s">
        <v>3143</v>
      </c>
      <c r="C273" s="16">
        <v>45932</v>
      </c>
      <c r="D273" s="6" t="s">
        <v>129</v>
      </c>
      <c r="E273" s="6" t="s">
        <v>3662</v>
      </c>
      <c r="F273" s="6"/>
      <c r="G273" s="6" t="s">
        <v>102</v>
      </c>
      <c r="H273" s="6" t="s">
        <v>379</v>
      </c>
      <c r="I273" s="6" t="s">
        <v>3144</v>
      </c>
      <c r="J273" s="6" t="s">
        <v>3145</v>
      </c>
      <c r="K273" s="6" t="str">
        <f>IF(E273="KTG","KTG",(VLOOKUP(J273,'list of outsource'!B:H,2,0)))</f>
        <v>ETC</v>
      </c>
      <c r="L273" s="6" t="s">
        <v>3146</v>
      </c>
      <c r="M273" s="6">
        <v>1</v>
      </c>
      <c r="N273" s="49" t="s">
        <v>3147</v>
      </c>
      <c r="O273" s="2"/>
      <c r="P273" s="6" t="s">
        <v>3148</v>
      </c>
      <c r="Q273" s="6" t="s">
        <v>3514</v>
      </c>
      <c r="R273" s="16">
        <v>45972</v>
      </c>
      <c r="S273" s="6">
        <v>3</v>
      </c>
      <c r="T273" s="6" t="s">
        <v>1465</v>
      </c>
      <c r="U273" s="6" t="s">
        <v>39</v>
      </c>
      <c r="V273" s="17">
        <v>45980</v>
      </c>
      <c r="W273" s="16"/>
    </row>
    <row r="274" spans="1:26" customFormat="1" hidden="1">
      <c r="A274">
        <f t="shared" ca="1" si="5"/>
        <v>48</v>
      </c>
      <c r="B274" s="104" t="s">
        <v>3149</v>
      </c>
      <c r="C274" s="16">
        <v>45932</v>
      </c>
      <c r="D274" s="6" t="s">
        <v>129</v>
      </c>
      <c r="E274" s="6" t="s">
        <v>3662</v>
      </c>
      <c r="F274" s="6"/>
      <c r="G274" s="6" t="s">
        <v>102</v>
      </c>
      <c r="H274" s="6" t="s">
        <v>379</v>
      </c>
      <c r="I274" s="6" t="s">
        <v>3150</v>
      </c>
      <c r="J274" s="6" t="s">
        <v>2885</v>
      </c>
      <c r="K274" s="6" t="str">
        <f>IF(E274="KTG","KTG",(VLOOKUP(J274,'list of outsource'!B:H,2,0)))</f>
        <v>ETC</v>
      </c>
      <c r="L274" s="6" t="s">
        <v>2886</v>
      </c>
      <c r="M274" s="6">
        <v>6</v>
      </c>
      <c r="N274" s="49" t="s">
        <v>3151</v>
      </c>
      <c r="O274" s="2"/>
      <c r="P274" s="6" t="s">
        <v>3152</v>
      </c>
      <c r="Q274" s="6" t="s">
        <v>3457</v>
      </c>
      <c r="R274" s="16">
        <v>45971</v>
      </c>
      <c r="S274" s="6">
        <v>3</v>
      </c>
      <c r="T274" s="6" t="s">
        <v>1465</v>
      </c>
      <c r="U274" s="6" t="s">
        <v>39</v>
      </c>
      <c r="V274" s="17">
        <v>45980</v>
      </c>
      <c r="W274" s="16"/>
    </row>
    <row r="275" spans="1:26" customFormat="1" hidden="1">
      <c r="A275">
        <f t="shared" ca="1" si="5"/>
        <v>48</v>
      </c>
      <c r="B275" s="104" t="s">
        <v>3153</v>
      </c>
      <c r="C275" s="16">
        <v>45932</v>
      </c>
      <c r="D275" s="6" t="s">
        <v>129</v>
      </c>
      <c r="E275" s="6" t="s">
        <v>3662</v>
      </c>
      <c r="F275" s="6"/>
      <c r="G275" s="6" t="s">
        <v>102</v>
      </c>
      <c r="H275" s="6" t="s">
        <v>379</v>
      </c>
      <c r="I275" s="6" t="s">
        <v>3154</v>
      </c>
      <c r="J275" s="6" t="s">
        <v>2885</v>
      </c>
      <c r="K275" s="6" t="str">
        <f>IF(E275="KTG","KTG",(VLOOKUP(J275,'list of outsource'!B:H,2,0)))</f>
        <v>ETC</v>
      </c>
      <c r="L275" s="6" t="s">
        <v>2886</v>
      </c>
      <c r="M275" s="6">
        <v>6</v>
      </c>
      <c r="N275" s="49" t="s">
        <v>3155</v>
      </c>
      <c r="O275" s="2"/>
      <c r="P275" s="6" t="s">
        <v>3156</v>
      </c>
      <c r="Q275" s="6" t="s">
        <v>3458</v>
      </c>
      <c r="R275" s="16">
        <v>45971</v>
      </c>
      <c r="S275" s="6">
        <v>3</v>
      </c>
      <c r="T275" s="6" t="s">
        <v>1465</v>
      </c>
      <c r="U275" s="6" t="s">
        <v>39</v>
      </c>
      <c r="V275" s="17">
        <v>45980</v>
      </c>
      <c r="W275" s="16"/>
    </row>
    <row r="276" spans="1:26" customFormat="1" hidden="1">
      <c r="A276">
        <f t="shared" ca="1" si="5"/>
        <v>48</v>
      </c>
      <c r="B276" s="104" t="s">
        <v>3157</v>
      </c>
      <c r="C276" s="16">
        <v>45932</v>
      </c>
      <c r="D276" s="6" t="s">
        <v>129</v>
      </c>
      <c r="E276" s="6" t="s">
        <v>3662</v>
      </c>
      <c r="F276" s="6"/>
      <c r="G276" s="6" t="s">
        <v>102</v>
      </c>
      <c r="H276" s="6" t="s">
        <v>379</v>
      </c>
      <c r="I276" s="6" t="s">
        <v>3158</v>
      </c>
      <c r="J276" s="6" t="s">
        <v>302</v>
      </c>
      <c r="K276" s="6" t="str">
        <f>IF(E276="KTG","KTG",(VLOOKUP(J276,'list of outsource'!B:H,2,0)))</f>
        <v>ETC</v>
      </c>
      <c r="L276" s="6" t="s">
        <v>303</v>
      </c>
      <c r="M276" s="6">
        <v>76</v>
      </c>
      <c r="N276" s="49" t="s">
        <v>3159</v>
      </c>
      <c r="O276" s="2"/>
      <c r="P276" s="6" t="s">
        <v>3160</v>
      </c>
      <c r="Q276" s="6" t="s">
        <v>3461</v>
      </c>
      <c r="R276" s="16">
        <v>45971</v>
      </c>
      <c r="S276" s="6">
        <v>3</v>
      </c>
      <c r="T276" s="6" t="s">
        <v>1465</v>
      </c>
      <c r="U276" s="6" t="s">
        <v>39</v>
      </c>
      <c r="V276" s="17">
        <v>45980</v>
      </c>
      <c r="W276" s="16"/>
    </row>
    <row r="277" spans="1:26" customFormat="1">
      <c r="A277">
        <f t="shared" ca="1" si="5"/>
        <v>1</v>
      </c>
      <c r="B277" s="104" t="s">
        <v>3519</v>
      </c>
      <c r="C277" s="16">
        <v>45980</v>
      </c>
      <c r="D277" s="6" t="s">
        <v>129</v>
      </c>
      <c r="E277" s="6" t="s">
        <v>3665</v>
      </c>
      <c r="F277" s="6"/>
      <c r="G277" s="106" t="s">
        <v>86</v>
      </c>
      <c r="H277" s="106" t="s">
        <v>165</v>
      </c>
      <c r="I277" s="49" t="s">
        <v>331</v>
      </c>
      <c r="J277" s="6" t="s">
        <v>96</v>
      </c>
      <c r="K277" s="6" t="str">
        <f>IF(E277="KTG","KTG",(VLOOKUP(J277,'list of outsource'!B:H,2,0)))</f>
        <v>Woer</v>
      </c>
      <c r="L277" s="6" t="s">
        <v>97</v>
      </c>
      <c r="M277" s="6">
        <v>57</v>
      </c>
      <c r="N277" s="6" t="s">
        <v>332</v>
      </c>
      <c r="O277" s="2" t="s">
        <v>3684</v>
      </c>
      <c r="P277" s="6" t="s">
        <v>857</v>
      </c>
      <c r="Q277" s="6" t="s">
        <v>2591</v>
      </c>
      <c r="R277" s="16"/>
      <c r="S277" s="6">
        <v>1</v>
      </c>
      <c r="T277" s="6" t="s">
        <v>307</v>
      </c>
      <c r="U277" s="6" t="s">
        <v>550</v>
      </c>
      <c r="V277" s="17">
        <v>45981</v>
      </c>
      <c r="W277" s="16"/>
    </row>
    <row r="278" spans="1:26" customFormat="1">
      <c r="A278">
        <f t="shared" ca="1" si="5"/>
        <v>14</v>
      </c>
      <c r="B278" s="49" t="s">
        <v>3161</v>
      </c>
      <c r="C278" s="12">
        <v>45936</v>
      </c>
      <c r="D278" s="4" t="s">
        <v>300</v>
      </c>
      <c r="E278" s="4" t="s">
        <v>3662</v>
      </c>
      <c r="F278" s="4"/>
      <c r="G278" s="106" t="s">
        <v>86</v>
      </c>
      <c r="H278" s="106" t="s">
        <v>165</v>
      </c>
      <c r="I278" s="49" t="s">
        <v>895</v>
      </c>
      <c r="J278" s="4" t="s">
        <v>490</v>
      </c>
      <c r="K278" s="4" t="str">
        <f>IF(E278="KTG","KTG",(VLOOKUP(J278,'list of outsource'!B:H,2,0)))</f>
        <v>ETC</v>
      </c>
      <c r="L278" s="4" t="s">
        <v>491</v>
      </c>
      <c r="M278" s="4">
        <v>34</v>
      </c>
      <c r="N278" s="4" t="s">
        <v>896</v>
      </c>
      <c r="O278" s="2" t="s">
        <v>3684</v>
      </c>
      <c r="P278" s="4" t="s">
        <v>897</v>
      </c>
      <c r="Q278" s="4" t="s">
        <v>3162</v>
      </c>
      <c r="R278" s="12"/>
      <c r="S278" s="4">
        <v>1</v>
      </c>
      <c r="T278" s="4" t="s">
        <v>307</v>
      </c>
      <c r="U278" s="4" t="s">
        <v>183</v>
      </c>
      <c r="V278" s="10">
        <v>45950</v>
      </c>
      <c r="W278" s="12">
        <v>45953</v>
      </c>
    </row>
    <row r="279" spans="1:26" customFormat="1" hidden="1">
      <c r="A279">
        <f t="shared" ca="1" si="5"/>
        <v>29</v>
      </c>
      <c r="B279" s="4" t="s">
        <v>785</v>
      </c>
      <c r="C279" s="12">
        <v>45027</v>
      </c>
      <c r="D279" s="4" t="s">
        <v>504</v>
      </c>
      <c r="E279" s="4" t="s">
        <v>3665</v>
      </c>
      <c r="F279" s="4">
        <v>4569</v>
      </c>
      <c r="G279" s="4" t="s">
        <v>102</v>
      </c>
      <c r="H279" s="4" t="s">
        <v>379</v>
      </c>
      <c r="I279" s="4" t="s">
        <v>786</v>
      </c>
      <c r="J279" s="4" t="s">
        <v>151</v>
      </c>
      <c r="K279" s="4" t="str">
        <f>IF(E279="KTG","KTG",(VLOOKUP(J279,'list of outsource'!B:H,2,0)))</f>
        <v>UPM</v>
      </c>
      <c r="L279" s="4" t="s">
        <v>381</v>
      </c>
      <c r="M279" s="4"/>
      <c r="N279" s="4" t="s">
        <v>787</v>
      </c>
      <c r="O279" s="2"/>
      <c r="P279" s="4" t="s">
        <v>788</v>
      </c>
      <c r="Q279" s="4">
        <v>1188108153</v>
      </c>
      <c r="R279" s="12"/>
      <c r="S279" s="4">
        <v>2</v>
      </c>
      <c r="T279" s="4"/>
      <c r="U279" s="4" t="s">
        <v>39</v>
      </c>
      <c r="V279" s="10">
        <v>45056</v>
      </c>
      <c r="W279" s="12">
        <v>45085</v>
      </c>
      <c r="Z279" t="s">
        <v>789</v>
      </c>
    </row>
    <row r="280" spans="1:26" customFormat="1" hidden="1">
      <c r="A280">
        <f t="shared" ca="1" si="5"/>
        <v>29</v>
      </c>
      <c r="B280" s="8" t="s">
        <v>785</v>
      </c>
      <c r="C280" s="16">
        <v>45713</v>
      </c>
      <c r="D280" s="6" t="s">
        <v>129</v>
      </c>
      <c r="E280" s="6" t="s">
        <v>3665</v>
      </c>
      <c r="F280" s="6">
        <v>4569</v>
      </c>
      <c r="G280" s="6" t="s">
        <v>102</v>
      </c>
      <c r="H280" s="6" t="s">
        <v>379</v>
      </c>
      <c r="I280" s="6" t="s">
        <v>786</v>
      </c>
      <c r="J280" s="6" t="s">
        <v>151</v>
      </c>
      <c r="K280" s="6" t="str">
        <f>IF(E280="KTG","KTG",(VLOOKUP(J280,'list of outsource'!B:H,2,0)))</f>
        <v>UPM</v>
      </c>
      <c r="L280" s="6" t="s">
        <v>381</v>
      </c>
      <c r="M280" s="6">
        <v>26</v>
      </c>
      <c r="N280" s="6" t="s">
        <v>787</v>
      </c>
      <c r="O280" s="2"/>
      <c r="P280" s="6" t="s">
        <v>788</v>
      </c>
      <c r="Q280" s="6" t="s">
        <v>2371</v>
      </c>
      <c r="R280" s="16">
        <v>45720</v>
      </c>
      <c r="S280" s="6">
        <v>2</v>
      </c>
      <c r="T280" s="6" t="s">
        <v>307</v>
      </c>
      <c r="U280" s="6" t="s">
        <v>39</v>
      </c>
      <c r="V280" s="17">
        <v>45742</v>
      </c>
      <c r="W280" s="16"/>
      <c r="Z280" t="s">
        <v>789</v>
      </c>
    </row>
    <row r="281" spans="1:26" customFormat="1" hidden="1">
      <c r="A281">
        <f t="shared" ca="1" si="5"/>
        <v>14</v>
      </c>
      <c r="B281" s="4" t="s">
        <v>537</v>
      </c>
      <c r="C281" s="12">
        <v>44930</v>
      </c>
      <c r="D281" s="4" t="s">
        <v>504</v>
      </c>
      <c r="E281" s="4" t="s">
        <v>3665</v>
      </c>
      <c r="F281" s="4">
        <v>4583</v>
      </c>
      <c r="G281" s="4" t="s">
        <v>102</v>
      </c>
      <c r="H281" s="4" t="s">
        <v>379</v>
      </c>
      <c r="I281" s="4" t="s">
        <v>538</v>
      </c>
      <c r="J281" s="4" t="s">
        <v>151</v>
      </c>
      <c r="K281" s="4" t="str">
        <f>IF(E281="KTG","KTG",(VLOOKUP(J281,'list of outsource'!B:H,2,0)))</f>
        <v>UPM</v>
      </c>
      <c r="L281" s="4" t="s">
        <v>381</v>
      </c>
      <c r="M281" s="4"/>
      <c r="N281" s="4" t="s">
        <v>539</v>
      </c>
      <c r="O281" s="2"/>
      <c r="P281" s="4" t="s">
        <v>540</v>
      </c>
      <c r="Q281" s="4">
        <v>1188123916</v>
      </c>
      <c r="R281" s="12"/>
      <c r="S281" s="4">
        <v>2</v>
      </c>
      <c r="T281" s="4"/>
      <c r="U281" s="4" t="s">
        <v>39</v>
      </c>
      <c r="V281" s="10">
        <v>44944</v>
      </c>
      <c r="W281" s="12"/>
      <c r="Z281" t="e">
        <v>#N/A</v>
      </c>
    </row>
    <row r="282" spans="1:26" customFormat="1" hidden="1">
      <c r="A282">
        <f t="shared" ca="1" si="5"/>
        <v>29</v>
      </c>
      <c r="B282" s="4" t="s">
        <v>790</v>
      </c>
      <c r="C282" s="12">
        <v>45027</v>
      </c>
      <c r="D282" s="4" t="s">
        <v>504</v>
      </c>
      <c r="E282" s="4" t="s">
        <v>3665</v>
      </c>
      <c r="F282" s="4">
        <v>4584</v>
      </c>
      <c r="G282" s="4" t="s">
        <v>102</v>
      </c>
      <c r="H282" s="4" t="s">
        <v>379</v>
      </c>
      <c r="I282" s="4" t="s">
        <v>791</v>
      </c>
      <c r="J282" s="4" t="s">
        <v>151</v>
      </c>
      <c r="K282" s="4" t="str">
        <f>IF(E282="KTG","KTG",(VLOOKUP(J282,'list of outsource'!B:H,2,0)))</f>
        <v>UPM</v>
      </c>
      <c r="L282" s="4" t="s">
        <v>381</v>
      </c>
      <c r="M282" s="4"/>
      <c r="N282" s="4" t="s">
        <v>792</v>
      </c>
      <c r="O282" s="2"/>
      <c r="P282" s="4" t="s">
        <v>793</v>
      </c>
      <c r="Q282" s="4">
        <v>1189550557</v>
      </c>
      <c r="R282" s="12"/>
      <c r="S282" s="4">
        <v>2</v>
      </c>
      <c r="T282" s="4"/>
      <c r="U282" s="4" t="s">
        <v>39</v>
      </c>
      <c r="V282" s="10">
        <v>45056</v>
      </c>
      <c r="W282" s="12">
        <v>45085</v>
      </c>
      <c r="Z282" t="e">
        <v>#N/A</v>
      </c>
    </row>
    <row r="283" spans="1:26" customFormat="1" hidden="1">
      <c r="A283">
        <f t="shared" ca="1" si="5"/>
        <v>0</v>
      </c>
      <c r="B283" s="9" t="s">
        <v>454</v>
      </c>
      <c r="C283" s="10">
        <v>44776</v>
      </c>
      <c r="D283" s="9" t="s">
        <v>449</v>
      </c>
      <c r="E283" s="9" t="s">
        <v>3665</v>
      </c>
      <c r="F283" s="9">
        <v>4570</v>
      </c>
      <c r="G283" s="9" t="s">
        <v>102</v>
      </c>
      <c r="H283" s="9" t="s">
        <v>379</v>
      </c>
      <c r="I283" s="4" t="s">
        <v>380</v>
      </c>
      <c r="J283" s="4" t="s">
        <v>151</v>
      </c>
      <c r="K283" s="4" t="str">
        <f>IF(E283="KTG","KTG",(VLOOKUP(J283,'list of outsource'!B:H,2,0)))</f>
        <v>UPM</v>
      </c>
      <c r="L283" s="9" t="s">
        <v>381</v>
      </c>
      <c r="M283" s="9"/>
      <c r="N283" s="4" t="s">
        <v>382</v>
      </c>
      <c r="O283" s="2"/>
      <c r="P283" s="4" t="s">
        <v>383</v>
      </c>
      <c r="Q283" s="4">
        <v>1146793758</v>
      </c>
      <c r="R283" s="12"/>
      <c r="S283" s="9"/>
      <c r="T283" s="9"/>
      <c r="U283" s="9" t="s">
        <v>451</v>
      </c>
      <c r="V283" s="10">
        <v>44776</v>
      </c>
      <c r="W283" s="14"/>
      <c r="Z283">
        <v>0</v>
      </c>
    </row>
    <row r="284" spans="1:26" customFormat="1" hidden="1">
      <c r="A284">
        <f t="shared" ca="1" si="5"/>
        <v>0</v>
      </c>
      <c r="B284" s="8" t="s">
        <v>454</v>
      </c>
      <c r="C284" s="16">
        <v>45896</v>
      </c>
      <c r="D284" s="6" t="s">
        <v>129</v>
      </c>
      <c r="E284" s="6" t="s">
        <v>3665</v>
      </c>
      <c r="F284" s="6">
        <v>4570</v>
      </c>
      <c r="G284" s="6" t="s">
        <v>102</v>
      </c>
      <c r="H284" s="6" t="s">
        <v>379</v>
      </c>
      <c r="I284" s="6" t="s">
        <v>380</v>
      </c>
      <c r="J284" s="6" t="s">
        <v>151</v>
      </c>
      <c r="K284" s="6" t="str">
        <f>IF(E284="KTG","KTG",(VLOOKUP(J284,'list of outsource'!B:H,2,0)))</f>
        <v>UPM</v>
      </c>
      <c r="L284" s="6" t="s">
        <v>381</v>
      </c>
      <c r="M284" s="6">
        <v>27</v>
      </c>
      <c r="N284" s="6" t="s">
        <v>382</v>
      </c>
      <c r="O284" s="2"/>
      <c r="P284" s="6" t="s">
        <v>383</v>
      </c>
      <c r="Q284" s="6" t="s">
        <v>3065</v>
      </c>
      <c r="R284" s="16">
        <v>45720</v>
      </c>
      <c r="S284" s="6">
        <v>4</v>
      </c>
      <c r="T284" s="6" t="s">
        <v>307</v>
      </c>
      <c r="U284" s="6" t="s">
        <v>39</v>
      </c>
      <c r="V284" s="17">
        <v>45896</v>
      </c>
      <c r="W284" s="16"/>
      <c r="Z284">
        <v>0</v>
      </c>
    </row>
    <row r="285" spans="1:26" customFormat="1" hidden="1">
      <c r="A285">
        <f t="shared" ca="1" si="5"/>
        <v>44</v>
      </c>
      <c r="B285" s="4" t="s">
        <v>781</v>
      </c>
      <c r="C285" s="12">
        <v>45027</v>
      </c>
      <c r="D285" s="4" t="s">
        <v>504</v>
      </c>
      <c r="E285" s="4" t="s">
        <v>3665</v>
      </c>
      <c r="F285" s="4">
        <v>4571</v>
      </c>
      <c r="G285" s="4" t="s">
        <v>102</v>
      </c>
      <c r="H285" s="4" t="s">
        <v>379</v>
      </c>
      <c r="I285" s="4" t="s">
        <v>737</v>
      </c>
      <c r="J285" s="4" t="s">
        <v>151</v>
      </c>
      <c r="K285" s="4" t="str">
        <f>IF(E285="KTG","KTG",(VLOOKUP(J285,'list of outsource'!B:H,2,0)))</f>
        <v>UPM</v>
      </c>
      <c r="L285" s="4" t="s">
        <v>381</v>
      </c>
      <c r="M285" s="4"/>
      <c r="N285" s="4" t="s">
        <v>738</v>
      </c>
      <c r="O285" s="2"/>
      <c r="P285" s="4" t="s">
        <v>782</v>
      </c>
      <c r="Q285" s="4">
        <v>1188109083</v>
      </c>
      <c r="R285" s="12"/>
      <c r="S285" s="4">
        <v>2</v>
      </c>
      <c r="T285" s="4"/>
      <c r="U285" s="4" t="s">
        <v>39</v>
      </c>
      <c r="V285" s="10">
        <v>45071</v>
      </c>
      <c r="W285" s="12">
        <v>45085</v>
      </c>
    </row>
    <row r="286" spans="1:26" customFormat="1" hidden="1">
      <c r="A286">
        <f t="shared" ca="1" si="5"/>
        <v>29</v>
      </c>
      <c r="B286" s="8" t="s">
        <v>781</v>
      </c>
      <c r="C286" s="16">
        <v>45713</v>
      </c>
      <c r="D286" s="6" t="s">
        <v>129</v>
      </c>
      <c r="E286" s="6" t="s">
        <v>3665</v>
      </c>
      <c r="F286" s="6">
        <v>4571</v>
      </c>
      <c r="G286" s="6" t="s">
        <v>102</v>
      </c>
      <c r="H286" s="6" t="s">
        <v>379</v>
      </c>
      <c r="I286" s="6" t="s">
        <v>737</v>
      </c>
      <c r="J286" s="6" t="s">
        <v>151</v>
      </c>
      <c r="K286" s="6" t="str">
        <f>IF(E286="KTG","KTG",(VLOOKUP(J286,'list of outsource'!B:H,2,0)))</f>
        <v>UPM</v>
      </c>
      <c r="L286" s="6" t="s">
        <v>381</v>
      </c>
      <c r="M286" s="6">
        <v>26</v>
      </c>
      <c r="N286" s="6" t="s">
        <v>738</v>
      </c>
      <c r="O286" s="2"/>
      <c r="P286" s="6" t="s">
        <v>782</v>
      </c>
      <c r="Q286" s="6" t="s">
        <v>2382</v>
      </c>
      <c r="R286" s="16"/>
      <c r="S286" s="6">
        <v>4</v>
      </c>
      <c r="T286" s="6" t="s">
        <v>307</v>
      </c>
      <c r="U286" s="6" t="s">
        <v>39</v>
      </c>
      <c r="V286" s="17">
        <v>45742</v>
      </c>
      <c r="W286" s="16"/>
      <c r="Z286" t="e">
        <v>#N/A</v>
      </c>
    </row>
    <row r="287" spans="1:26" customFormat="1" hidden="1">
      <c r="A287">
        <f t="shared" ca="1" si="5"/>
        <v>44</v>
      </c>
      <c r="B287" s="4" t="s">
        <v>783</v>
      </c>
      <c r="C287" s="12">
        <v>45027</v>
      </c>
      <c r="D287" s="4" t="s">
        <v>504</v>
      </c>
      <c r="E287" s="4" t="s">
        <v>3665</v>
      </c>
      <c r="F287" s="4">
        <v>4572</v>
      </c>
      <c r="G287" s="4" t="s">
        <v>102</v>
      </c>
      <c r="H287" s="4" t="s">
        <v>379</v>
      </c>
      <c r="I287" s="4" t="s">
        <v>150</v>
      </c>
      <c r="J287" s="4" t="s">
        <v>151</v>
      </c>
      <c r="K287" s="4" t="str">
        <f>IF(E287="KTG","KTG",(VLOOKUP(J287,'list of outsource'!B:H,2,0)))</f>
        <v>UPM</v>
      </c>
      <c r="L287" s="4" t="s">
        <v>381</v>
      </c>
      <c r="M287" s="4"/>
      <c r="N287" s="4" t="s">
        <v>153</v>
      </c>
      <c r="O287" s="2"/>
      <c r="P287" s="4" t="s">
        <v>784</v>
      </c>
      <c r="Q287" s="4">
        <v>1189551671</v>
      </c>
      <c r="R287" s="12"/>
      <c r="S287" s="4">
        <v>2</v>
      </c>
      <c r="T287" s="4"/>
      <c r="U287" s="4" t="s">
        <v>39</v>
      </c>
      <c r="V287" s="10">
        <v>45071</v>
      </c>
      <c r="W287" s="12">
        <v>45083</v>
      </c>
    </row>
    <row r="288" spans="1:26" customFormat="1" hidden="1">
      <c r="A288">
        <f t="shared" ca="1" si="5"/>
        <v>29</v>
      </c>
      <c r="B288" s="8" t="s">
        <v>783</v>
      </c>
      <c r="C288" s="16">
        <v>45713</v>
      </c>
      <c r="D288" s="6" t="s">
        <v>129</v>
      </c>
      <c r="E288" s="6" t="s">
        <v>3665</v>
      </c>
      <c r="F288" s="6">
        <v>4572</v>
      </c>
      <c r="G288" s="6" t="s">
        <v>102</v>
      </c>
      <c r="H288" s="6" t="s">
        <v>379</v>
      </c>
      <c r="I288" s="6" t="s">
        <v>150</v>
      </c>
      <c r="J288" s="6" t="s">
        <v>151</v>
      </c>
      <c r="K288" s="6" t="str">
        <f>IF(E288="KTG","KTG",(VLOOKUP(J288,'list of outsource'!B:H,2,0)))</f>
        <v>UPM</v>
      </c>
      <c r="L288" s="6" t="s">
        <v>381</v>
      </c>
      <c r="M288" s="6">
        <v>26</v>
      </c>
      <c r="N288" s="6" t="s">
        <v>153</v>
      </c>
      <c r="O288" s="2"/>
      <c r="P288" s="6" t="s">
        <v>784</v>
      </c>
      <c r="Q288" s="6" t="s">
        <v>2372</v>
      </c>
      <c r="R288" s="16"/>
      <c r="S288" s="6">
        <v>2</v>
      </c>
      <c r="T288" s="6" t="s">
        <v>307</v>
      </c>
      <c r="U288" s="6" t="s">
        <v>39</v>
      </c>
      <c r="V288" s="17">
        <v>45742</v>
      </c>
      <c r="W288" s="16"/>
      <c r="Z288" t="e">
        <v>#N/A</v>
      </c>
    </row>
    <row r="289" spans="1:26" customFormat="1" hidden="1">
      <c r="A289">
        <f t="shared" ca="1" si="5"/>
        <v>43</v>
      </c>
      <c r="B289" s="8" t="s">
        <v>1087</v>
      </c>
      <c r="C289" s="16">
        <v>45139</v>
      </c>
      <c r="D289" s="6" t="s">
        <v>129</v>
      </c>
      <c r="E289" s="6" t="s">
        <v>3665</v>
      </c>
      <c r="F289" s="6">
        <v>4573</v>
      </c>
      <c r="G289" s="6" t="s">
        <v>102</v>
      </c>
      <c r="H289" s="6" t="s">
        <v>379</v>
      </c>
      <c r="I289" s="6" t="s">
        <v>1088</v>
      </c>
      <c r="J289" s="6" t="s">
        <v>151</v>
      </c>
      <c r="K289" s="6" t="str">
        <f>IF(E289="KTG","KTG",(VLOOKUP(J289,'list of outsource'!B:H,2,0)))</f>
        <v>UPM</v>
      </c>
      <c r="L289" s="6" t="s">
        <v>381</v>
      </c>
      <c r="M289" s="6">
        <v>23</v>
      </c>
      <c r="N289" s="6" t="s">
        <v>1089</v>
      </c>
      <c r="O289" s="2"/>
      <c r="P289" s="6" t="s">
        <v>1090</v>
      </c>
      <c r="Q289" s="6">
        <v>1188110244</v>
      </c>
      <c r="R289" s="16"/>
      <c r="S289" s="6">
        <v>2</v>
      </c>
      <c r="T289" s="6"/>
      <c r="U289" s="6" t="s">
        <v>39</v>
      </c>
      <c r="V289" s="17">
        <v>45182</v>
      </c>
      <c r="W289" s="16"/>
    </row>
    <row r="290" spans="1:26" customFormat="1" hidden="1">
      <c r="A290">
        <f t="shared" ca="1" si="5"/>
        <v>29</v>
      </c>
      <c r="B290" s="8" t="s">
        <v>1087</v>
      </c>
      <c r="C290" s="16">
        <v>45713</v>
      </c>
      <c r="D290" s="6" t="s">
        <v>129</v>
      </c>
      <c r="E290" s="6" t="s">
        <v>3665</v>
      </c>
      <c r="F290" s="6">
        <v>4573</v>
      </c>
      <c r="G290" s="6" t="s">
        <v>102</v>
      </c>
      <c r="H290" s="6" t="s">
        <v>379</v>
      </c>
      <c r="I290" s="6" t="s">
        <v>1088</v>
      </c>
      <c r="J290" s="6" t="s">
        <v>151</v>
      </c>
      <c r="K290" s="6" t="str">
        <f>IF(E290="KTG","KTG",(VLOOKUP(J290,'list of outsource'!B:H,2,0)))</f>
        <v>UPM</v>
      </c>
      <c r="L290" s="6" t="s">
        <v>381</v>
      </c>
      <c r="M290" s="6">
        <v>26</v>
      </c>
      <c r="N290" s="6" t="s">
        <v>1089</v>
      </c>
      <c r="O290" s="2"/>
      <c r="P290" s="6" t="s">
        <v>1090</v>
      </c>
      <c r="Q290" s="6" t="s">
        <v>2373</v>
      </c>
      <c r="R290" s="16"/>
      <c r="S290" s="6">
        <v>2</v>
      </c>
      <c r="T290" s="6" t="s">
        <v>307</v>
      </c>
      <c r="U290" s="6" t="s">
        <v>39</v>
      </c>
      <c r="V290" s="17">
        <v>45742</v>
      </c>
      <c r="W290" s="16"/>
      <c r="Z290" t="e">
        <v>#N/A</v>
      </c>
    </row>
    <row r="291" spans="1:26" customFormat="1" hidden="1">
      <c r="A291">
        <f t="shared" ca="1" si="5"/>
        <v>12</v>
      </c>
      <c r="B291" s="4" t="s">
        <v>541</v>
      </c>
      <c r="C291" s="12">
        <v>44932</v>
      </c>
      <c r="D291" s="4" t="s">
        <v>504</v>
      </c>
      <c r="E291" s="4" t="s">
        <v>3665</v>
      </c>
      <c r="F291" s="4">
        <v>4585</v>
      </c>
      <c r="G291" s="4" t="s">
        <v>102</v>
      </c>
      <c r="H291" s="4" t="s">
        <v>379</v>
      </c>
      <c r="I291" s="4" t="s">
        <v>542</v>
      </c>
      <c r="J291" s="4" t="s">
        <v>151</v>
      </c>
      <c r="K291" s="4" t="str">
        <f>IF(E291="KTG","KTG",(VLOOKUP(J291,'list of outsource'!B:H,2,0)))</f>
        <v>UPM</v>
      </c>
      <c r="L291" s="4" t="s">
        <v>381</v>
      </c>
      <c r="M291" s="4"/>
      <c r="N291" s="4" t="s">
        <v>543</v>
      </c>
      <c r="O291" s="2"/>
      <c r="P291" s="4" t="s">
        <v>544</v>
      </c>
      <c r="Q291" s="4">
        <v>1189496022</v>
      </c>
      <c r="R291" s="12"/>
      <c r="S291" s="4">
        <v>2</v>
      </c>
      <c r="T291" s="4"/>
      <c r="U291" s="4" t="s">
        <v>39</v>
      </c>
      <c r="V291" s="10">
        <v>44944</v>
      </c>
      <c r="W291" s="12">
        <v>44945</v>
      </c>
      <c r="Z291" t="e">
        <v>#N/A</v>
      </c>
    </row>
    <row r="292" spans="1:26" customFormat="1" hidden="1">
      <c r="A292">
        <f t="shared" ca="1" si="5"/>
        <v>57</v>
      </c>
      <c r="B292" s="4" t="s">
        <v>726</v>
      </c>
      <c r="C292" s="12">
        <v>45005</v>
      </c>
      <c r="D292" s="4" t="s">
        <v>504</v>
      </c>
      <c r="E292" s="4" t="s">
        <v>3665</v>
      </c>
      <c r="F292" s="4">
        <v>4578</v>
      </c>
      <c r="G292" s="4" t="s">
        <v>102</v>
      </c>
      <c r="H292" s="4" t="s">
        <v>379</v>
      </c>
      <c r="I292" s="4" t="s">
        <v>727</v>
      </c>
      <c r="J292" s="4" t="s">
        <v>151</v>
      </c>
      <c r="K292" s="4" t="str">
        <f>IF(E292="KTG","KTG",(VLOOKUP(J292,'list of outsource'!B:H,2,0)))</f>
        <v>UPM</v>
      </c>
      <c r="L292" s="4" t="s">
        <v>381</v>
      </c>
      <c r="M292" s="4"/>
      <c r="N292" s="4" t="s">
        <v>728</v>
      </c>
      <c r="O292" s="2"/>
      <c r="P292" s="4" t="s">
        <v>729</v>
      </c>
      <c r="Q292" s="4">
        <v>1188110562</v>
      </c>
      <c r="R292" s="12"/>
      <c r="S292" s="4">
        <v>2</v>
      </c>
      <c r="T292" s="4"/>
      <c r="U292" s="4" t="s">
        <v>39</v>
      </c>
      <c r="V292" s="10">
        <v>45062</v>
      </c>
      <c r="W292" s="12">
        <v>45079</v>
      </c>
    </row>
    <row r="293" spans="1:26" customFormat="1" hidden="1">
      <c r="A293">
        <f t="shared" ca="1" si="5"/>
        <v>0</v>
      </c>
      <c r="B293" s="9" t="s">
        <v>448</v>
      </c>
      <c r="C293" s="10">
        <v>44763</v>
      </c>
      <c r="D293" s="9" t="s">
        <v>449</v>
      </c>
      <c r="E293" s="4" t="s">
        <v>3665</v>
      </c>
      <c r="F293" s="4">
        <v>4574</v>
      </c>
      <c r="G293" s="4" t="s">
        <v>102</v>
      </c>
      <c r="H293" s="9" t="s">
        <v>379</v>
      </c>
      <c r="I293" s="4" t="s">
        <v>385</v>
      </c>
      <c r="J293" s="4" t="s">
        <v>232</v>
      </c>
      <c r="K293" s="4" t="str">
        <f>IF(E293="KTG","KTG",(VLOOKUP(J293,'list of outsource'!B:H,2,0)))</f>
        <v>UPM</v>
      </c>
      <c r="L293" s="4" t="s">
        <v>233</v>
      </c>
      <c r="M293" s="4"/>
      <c r="N293" s="4" t="s">
        <v>386</v>
      </c>
      <c r="O293" s="2"/>
      <c r="P293" s="4" t="s">
        <v>387</v>
      </c>
      <c r="Q293" s="4" t="s">
        <v>450</v>
      </c>
      <c r="R293" s="12"/>
      <c r="S293" s="4"/>
      <c r="T293" s="4"/>
      <c r="U293" s="9" t="s">
        <v>451</v>
      </c>
      <c r="V293" s="10">
        <v>44763</v>
      </c>
      <c r="W293" s="12"/>
      <c r="Z293" t="e">
        <v>#N/A</v>
      </c>
    </row>
    <row r="294" spans="1:26" customFormat="1" hidden="1">
      <c r="A294">
        <f t="shared" ca="1" si="5"/>
        <v>13</v>
      </c>
      <c r="B294" s="8" t="s">
        <v>448</v>
      </c>
      <c r="C294" s="16">
        <v>45917</v>
      </c>
      <c r="D294" s="6" t="s">
        <v>129</v>
      </c>
      <c r="E294" s="6" t="s">
        <v>3665</v>
      </c>
      <c r="F294" s="6">
        <v>4574</v>
      </c>
      <c r="G294" s="6" t="s">
        <v>102</v>
      </c>
      <c r="H294" s="6" t="s">
        <v>379</v>
      </c>
      <c r="I294" s="6" t="s">
        <v>385</v>
      </c>
      <c r="J294" s="6" t="s">
        <v>232</v>
      </c>
      <c r="K294" s="6" t="str">
        <f>IF(E294="KTG","KTG",(VLOOKUP(J294,'list of outsource'!B:H,2,0)))</f>
        <v>UPM</v>
      </c>
      <c r="L294" s="6" t="s">
        <v>233</v>
      </c>
      <c r="M294" s="6">
        <v>13</v>
      </c>
      <c r="N294" s="6" t="s">
        <v>386</v>
      </c>
      <c r="O294" s="2"/>
      <c r="P294" s="6" t="s">
        <v>387</v>
      </c>
      <c r="Q294" s="6" t="s">
        <v>3101</v>
      </c>
      <c r="R294" s="16">
        <v>45925</v>
      </c>
      <c r="S294" s="6">
        <v>3</v>
      </c>
      <c r="T294" s="6" t="s">
        <v>1258</v>
      </c>
      <c r="U294" s="6" t="s">
        <v>3102</v>
      </c>
      <c r="V294" s="17">
        <v>45930</v>
      </c>
      <c r="W294" s="16"/>
    </row>
    <row r="295" spans="1:26" customFormat="1" hidden="1">
      <c r="A295">
        <f t="shared" ca="1" si="5"/>
        <v>0</v>
      </c>
      <c r="B295" s="9" t="s">
        <v>452</v>
      </c>
      <c r="C295" s="10">
        <v>44763</v>
      </c>
      <c r="D295" s="4" t="s">
        <v>449</v>
      </c>
      <c r="E295" s="4" t="s">
        <v>3665</v>
      </c>
      <c r="F295" s="4">
        <v>4575</v>
      </c>
      <c r="G295" s="4" t="s">
        <v>102</v>
      </c>
      <c r="H295" s="9" t="s">
        <v>379</v>
      </c>
      <c r="I295" s="4" t="s">
        <v>389</v>
      </c>
      <c r="J295" s="4" t="s">
        <v>232</v>
      </c>
      <c r="K295" s="4" t="str">
        <f>IF(E295="KTG","KTG",(VLOOKUP(J295,'list of outsource'!B:H,2,0)))</f>
        <v>UPM</v>
      </c>
      <c r="L295" s="4" t="s">
        <v>233</v>
      </c>
      <c r="M295" s="4"/>
      <c r="N295" s="4" t="s">
        <v>390</v>
      </c>
      <c r="O295" s="2"/>
      <c r="P295" s="4" t="s">
        <v>391</v>
      </c>
      <c r="Q295" s="5" t="s">
        <v>453</v>
      </c>
      <c r="R295" s="12"/>
      <c r="S295" s="4"/>
      <c r="T295" s="4"/>
      <c r="U295" s="9" t="s">
        <v>451</v>
      </c>
      <c r="V295" s="10">
        <v>44763</v>
      </c>
      <c r="W295" s="12"/>
      <c r="Z295" t="e">
        <v>#N/A</v>
      </c>
    </row>
    <row r="296" spans="1:26" customFormat="1" hidden="1">
      <c r="A296">
        <f t="shared" ca="1" si="5"/>
        <v>13</v>
      </c>
      <c r="B296" s="8" t="s">
        <v>452</v>
      </c>
      <c r="C296" s="16">
        <v>45917</v>
      </c>
      <c r="D296" s="6" t="s">
        <v>129</v>
      </c>
      <c r="E296" s="6" t="s">
        <v>3665</v>
      </c>
      <c r="F296" s="6">
        <v>4575</v>
      </c>
      <c r="G296" s="6" t="s">
        <v>102</v>
      </c>
      <c r="H296" s="6" t="s">
        <v>379</v>
      </c>
      <c r="I296" s="6" t="s">
        <v>389</v>
      </c>
      <c r="J296" s="6" t="s">
        <v>232</v>
      </c>
      <c r="K296" s="6" t="str">
        <f>IF(E296="KTG","KTG",(VLOOKUP(J296,'list of outsource'!B:H,2,0)))</f>
        <v>UPM</v>
      </c>
      <c r="L296" s="6" t="s">
        <v>233</v>
      </c>
      <c r="M296" s="6">
        <v>13</v>
      </c>
      <c r="N296" s="6" t="s">
        <v>390</v>
      </c>
      <c r="O296" s="2"/>
      <c r="P296" s="6" t="s">
        <v>391</v>
      </c>
      <c r="Q296" s="6" t="s">
        <v>3103</v>
      </c>
      <c r="R296" s="16">
        <v>45925</v>
      </c>
      <c r="S296" s="6">
        <v>3</v>
      </c>
      <c r="T296" s="6" t="s">
        <v>1258</v>
      </c>
      <c r="U296" s="6" t="s">
        <v>3102</v>
      </c>
      <c r="V296" s="17">
        <v>45930</v>
      </c>
      <c r="W296" s="16"/>
    </row>
    <row r="297" spans="1:26" customFormat="1" hidden="1">
      <c r="A297">
        <f t="shared" ca="1" si="5"/>
        <v>30</v>
      </c>
      <c r="B297" s="4" t="s">
        <v>800</v>
      </c>
      <c r="C297" s="12">
        <v>45041</v>
      </c>
      <c r="D297" s="4" t="s">
        <v>504</v>
      </c>
      <c r="E297" s="4" t="s">
        <v>3665</v>
      </c>
      <c r="F297" s="4">
        <v>4588</v>
      </c>
      <c r="G297" s="4" t="s">
        <v>102</v>
      </c>
      <c r="H297" s="4" t="s">
        <v>379</v>
      </c>
      <c r="I297" s="4" t="s">
        <v>801</v>
      </c>
      <c r="J297" s="4" t="s">
        <v>108</v>
      </c>
      <c r="K297" s="4" t="str">
        <f>IF(E297="KTG","KTG",(VLOOKUP(J297,'list of outsource'!B:H,2,0)))</f>
        <v>UPM</v>
      </c>
      <c r="L297" s="4" t="s">
        <v>109</v>
      </c>
      <c r="M297" s="4"/>
      <c r="N297" s="4" t="s">
        <v>802</v>
      </c>
      <c r="O297" s="2"/>
      <c r="P297" s="4" t="s">
        <v>803</v>
      </c>
      <c r="Q297" s="4">
        <v>1189551983</v>
      </c>
      <c r="R297" s="12"/>
      <c r="S297" s="4">
        <v>2</v>
      </c>
      <c r="T297" s="4"/>
      <c r="U297" s="4" t="s">
        <v>39</v>
      </c>
      <c r="V297" s="10">
        <v>45071</v>
      </c>
      <c r="W297" s="12" t="s">
        <v>804</v>
      </c>
      <c r="Z297" t="e">
        <v>#N/A</v>
      </c>
    </row>
    <row r="298" spans="1:26" customFormat="1">
      <c r="A298">
        <f t="shared" ca="1" si="5"/>
        <v>1</v>
      </c>
      <c r="B298" s="104" t="s">
        <v>3549</v>
      </c>
      <c r="C298" s="12">
        <v>45994</v>
      </c>
      <c r="D298" s="4" t="s">
        <v>300</v>
      </c>
      <c r="E298" s="4" t="s">
        <v>3662</v>
      </c>
      <c r="F298" s="4"/>
      <c r="G298" s="106" t="s">
        <v>86</v>
      </c>
      <c r="H298" s="106" t="s">
        <v>165</v>
      </c>
      <c r="I298" s="49" t="s">
        <v>245</v>
      </c>
      <c r="J298" s="4" t="s">
        <v>222</v>
      </c>
      <c r="K298" s="4" t="str">
        <f>IF(E298="KTG","KTG",(VLOOKUP(J298,'list of outsource'!B:H,2,0)))</f>
        <v>ETC</v>
      </c>
      <c r="L298" s="4" t="s">
        <v>223</v>
      </c>
      <c r="M298" s="47">
        <v>24</v>
      </c>
      <c r="N298" s="4" t="s">
        <v>246</v>
      </c>
      <c r="O298" s="2" t="s">
        <v>3684</v>
      </c>
      <c r="P298" s="4" t="s">
        <v>572</v>
      </c>
      <c r="Q298" s="4" t="s">
        <v>3548</v>
      </c>
      <c r="R298" s="12" t="s">
        <v>549</v>
      </c>
      <c r="S298" s="4">
        <v>1</v>
      </c>
      <c r="T298" s="4" t="s">
        <v>307</v>
      </c>
      <c r="U298" s="4" t="s">
        <v>183</v>
      </c>
      <c r="V298" s="10">
        <v>45995</v>
      </c>
      <c r="W298" s="12">
        <v>45995</v>
      </c>
    </row>
    <row r="299" spans="1:26" customFormat="1" hidden="1">
      <c r="A299">
        <f t="shared" ca="1" si="5"/>
        <v>33</v>
      </c>
      <c r="B299" s="4" t="s">
        <v>1106</v>
      </c>
      <c r="C299" s="12">
        <v>45149</v>
      </c>
      <c r="D299" s="4" t="s">
        <v>504</v>
      </c>
      <c r="E299" s="4" t="s">
        <v>3665</v>
      </c>
      <c r="F299" s="4">
        <v>4580</v>
      </c>
      <c r="G299" s="4" t="s">
        <v>102</v>
      </c>
      <c r="H299" s="4" t="s">
        <v>379</v>
      </c>
      <c r="I299" s="4" t="s">
        <v>1107</v>
      </c>
      <c r="J299" s="4" t="s">
        <v>408</v>
      </c>
      <c r="K299" s="4" t="str">
        <f>IF(E299="KTG","KTG",(VLOOKUP(J299,'list of outsource'!B:H,2,0)))</f>
        <v>UPM</v>
      </c>
      <c r="L299" s="4" t="s">
        <v>409</v>
      </c>
      <c r="M299" s="4">
        <v>15</v>
      </c>
      <c r="N299" s="4" t="s">
        <v>1108</v>
      </c>
      <c r="O299" s="2"/>
      <c r="P299" s="4" t="s">
        <v>1109</v>
      </c>
      <c r="Q299" s="4">
        <v>1189553513</v>
      </c>
      <c r="R299" s="12"/>
      <c r="S299" s="4">
        <v>2</v>
      </c>
      <c r="T299" s="4"/>
      <c r="U299" s="4" t="s">
        <v>39</v>
      </c>
      <c r="V299" s="10">
        <v>45182</v>
      </c>
      <c r="W299" s="12">
        <v>45183</v>
      </c>
    </row>
    <row r="300" spans="1:26" customFormat="1" hidden="1">
      <c r="A300">
        <f t="shared" ca="1" si="5"/>
        <v>6</v>
      </c>
      <c r="B300" s="4" t="s">
        <v>545</v>
      </c>
      <c r="C300" s="12">
        <v>44938</v>
      </c>
      <c r="D300" s="4" t="s">
        <v>504</v>
      </c>
      <c r="E300" s="4" t="s">
        <v>3665</v>
      </c>
      <c r="F300" s="4">
        <v>4586</v>
      </c>
      <c r="G300" s="4" t="s">
        <v>102</v>
      </c>
      <c r="H300" s="4" t="s">
        <v>379</v>
      </c>
      <c r="I300" s="4" t="s">
        <v>546</v>
      </c>
      <c r="J300" s="4" t="s">
        <v>151</v>
      </c>
      <c r="K300" s="4" t="str">
        <f>IF(E300="KTG","KTG",(VLOOKUP(J300,'list of outsource'!B:H,2,0)))</f>
        <v>UPM</v>
      </c>
      <c r="L300" s="4" t="s">
        <v>381</v>
      </c>
      <c r="M300" s="4"/>
      <c r="N300" s="4" t="s">
        <v>547</v>
      </c>
      <c r="O300" s="2"/>
      <c r="P300" s="4" t="s">
        <v>548</v>
      </c>
      <c r="Q300" s="4">
        <v>1189510842</v>
      </c>
      <c r="R300" s="12"/>
      <c r="S300" s="4">
        <v>2</v>
      </c>
      <c r="T300" s="4"/>
      <c r="U300" s="4" t="s">
        <v>39</v>
      </c>
      <c r="V300" s="10">
        <v>44944</v>
      </c>
      <c r="W300" s="12">
        <v>44945</v>
      </c>
      <c r="Z300" t="e">
        <v>#N/A</v>
      </c>
    </row>
    <row r="301" spans="1:26" customFormat="1" hidden="1">
      <c r="A301">
        <f t="shared" ca="1" si="5"/>
        <v>184</v>
      </c>
      <c r="B301" s="4" t="s">
        <v>717</v>
      </c>
      <c r="C301" s="12">
        <v>44999</v>
      </c>
      <c r="D301" s="4" t="s">
        <v>504</v>
      </c>
      <c r="E301" s="4" t="s">
        <v>3665</v>
      </c>
      <c r="F301" s="4">
        <v>4587</v>
      </c>
      <c r="G301" s="4" t="s">
        <v>102</v>
      </c>
      <c r="H301" s="4" t="s">
        <v>379</v>
      </c>
      <c r="I301" s="4" t="s">
        <v>718</v>
      </c>
      <c r="J301" s="4" t="s">
        <v>151</v>
      </c>
      <c r="K301" s="4" t="str">
        <f>IF(E301="KTG","KTG",(VLOOKUP(J301,'list of outsource'!B:H,2,0)))</f>
        <v>UPM</v>
      </c>
      <c r="L301" s="4" t="s">
        <v>381</v>
      </c>
      <c r="M301" s="4"/>
      <c r="N301" s="4" t="s">
        <v>719</v>
      </c>
      <c r="O301" s="2"/>
      <c r="P301" s="4" t="s">
        <v>720</v>
      </c>
      <c r="Q301" s="4">
        <v>1204989903</v>
      </c>
      <c r="R301" s="12"/>
      <c r="S301" s="4">
        <v>3</v>
      </c>
      <c r="T301" s="4"/>
      <c r="U301" s="4" t="s">
        <v>39</v>
      </c>
      <c r="V301" s="10">
        <v>45183</v>
      </c>
      <c r="W301" s="12">
        <v>45187</v>
      </c>
      <c r="Z301" t="e">
        <v>#N/A</v>
      </c>
    </row>
    <row r="302" spans="1:26" customFormat="1">
      <c r="A302">
        <f t="shared" ca="1" si="5"/>
        <v>20</v>
      </c>
      <c r="B302" s="104" t="s">
        <v>3537</v>
      </c>
      <c r="C302" s="58">
        <v>45988</v>
      </c>
      <c r="D302" s="18" t="s">
        <v>2883</v>
      </c>
      <c r="E302" s="18" t="s">
        <v>3662</v>
      </c>
      <c r="F302" s="18"/>
      <c r="G302" s="107" t="s">
        <v>86</v>
      </c>
      <c r="H302" s="107" t="s">
        <v>165</v>
      </c>
      <c r="I302" s="104" t="s">
        <v>1915</v>
      </c>
      <c r="J302" s="18" t="s">
        <v>490</v>
      </c>
      <c r="K302" s="18" t="str">
        <f>IF(E302="KTG","KTG",(VLOOKUP(J302,'list of outsource'!B:H,2,0)))</f>
        <v>ETC</v>
      </c>
      <c r="L302" s="18" t="s">
        <v>491</v>
      </c>
      <c r="M302" s="59">
        <v>24</v>
      </c>
      <c r="N302" s="18" t="s">
        <v>1916</v>
      </c>
      <c r="O302" s="2" t="s">
        <v>3684</v>
      </c>
      <c r="P302" s="18" t="s">
        <v>1917</v>
      </c>
      <c r="Q302" s="18" t="s">
        <v>1918</v>
      </c>
      <c r="R302" s="58">
        <v>45475</v>
      </c>
      <c r="S302" s="18">
        <v>3</v>
      </c>
      <c r="T302" s="18" t="s">
        <v>1465</v>
      </c>
      <c r="U302" s="18" t="s">
        <v>183</v>
      </c>
      <c r="V302" s="60"/>
      <c r="W302" s="58"/>
      <c r="X302" s="55"/>
      <c r="Y302" s="55"/>
      <c r="Z302" s="55"/>
    </row>
    <row r="303" spans="1:26" customFormat="1">
      <c r="A303">
        <f t="shared" ca="1" si="5"/>
        <v>27</v>
      </c>
      <c r="B303" s="49" t="s">
        <v>3354</v>
      </c>
      <c r="C303" s="12">
        <v>45954</v>
      </c>
      <c r="D303" s="4" t="s">
        <v>300</v>
      </c>
      <c r="E303" s="4" t="s">
        <v>3665</v>
      </c>
      <c r="F303" s="4"/>
      <c r="G303" s="106" t="s">
        <v>86</v>
      </c>
      <c r="H303" s="106" t="s">
        <v>165</v>
      </c>
      <c r="I303" s="49" t="s">
        <v>3350</v>
      </c>
      <c r="J303" s="4" t="s">
        <v>108</v>
      </c>
      <c r="K303" s="4" t="str">
        <f>IF(E303="KTG","KTG",(VLOOKUP(J303,'list of outsource'!B:H,2,0)))</f>
        <v>UPM</v>
      </c>
      <c r="L303" s="4" t="s">
        <v>109</v>
      </c>
      <c r="M303" s="4">
        <v>47</v>
      </c>
      <c r="N303" s="4" t="s">
        <v>462</v>
      </c>
      <c r="O303" s="2" t="s">
        <v>3684</v>
      </c>
      <c r="P303" s="4" t="s">
        <v>463</v>
      </c>
      <c r="Q303" s="4" t="s">
        <v>3357</v>
      </c>
      <c r="R303" s="12">
        <v>45968</v>
      </c>
      <c r="S303" s="4">
        <v>3</v>
      </c>
      <c r="T303" s="4" t="s">
        <v>307</v>
      </c>
      <c r="U303" s="4" t="s">
        <v>39</v>
      </c>
      <c r="V303" s="10">
        <v>45981</v>
      </c>
      <c r="W303" s="12">
        <v>45982</v>
      </c>
    </row>
    <row r="304" spans="1:26" customFormat="1" hidden="1">
      <c r="A304">
        <f t="shared" ca="1" si="5"/>
        <v>33</v>
      </c>
      <c r="B304" s="104" t="s">
        <v>1117</v>
      </c>
      <c r="C304" s="16">
        <v>45149</v>
      </c>
      <c r="D304" s="6" t="s">
        <v>129</v>
      </c>
      <c r="E304" s="6" t="s">
        <v>3665</v>
      </c>
      <c r="F304" s="6"/>
      <c r="G304" s="6" t="s">
        <v>102</v>
      </c>
      <c r="H304" s="6" t="s">
        <v>379</v>
      </c>
      <c r="I304" s="6" t="s">
        <v>1118</v>
      </c>
      <c r="J304" s="6" t="s">
        <v>408</v>
      </c>
      <c r="K304" s="6" t="str">
        <f>IF(E304="KTG","KTG",(VLOOKUP(J304,'list of outsource'!B:H,2,0)))</f>
        <v>UPM</v>
      </c>
      <c r="L304" s="6" t="s">
        <v>409</v>
      </c>
      <c r="M304" s="6">
        <v>15</v>
      </c>
      <c r="N304" s="49" t="s">
        <v>1119</v>
      </c>
      <c r="O304" s="2"/>
      <c r="P304" s="6" t="s">
        <v>1120</v>
      </c>
      <c r="Q304" s="6">
        <v>1253390090</v>
      </c>
      <c r="R304" s="16"/>
      <c r="S304" s="6">
        <v>2</v>
      </c>
      <c r="T304" s="6"/>
      <c r="U304" s="6" t="s">
        <v>39</v>
      </c>
      <c r="V304" s="17">
        <v>45182</v>
      </c>
      <c r="W304" s="16"/>
      <c r="Z304" t="e">
        <v>#N/A</v>
      </c>
    </row>
    <row r="305" spans="1:26" customFormat="1">
      <c r="A305">
        <f t="shared" ca="1" si="5"/>
        <v>27</v>
      </c>
      <c r="B305" s="49" t="s">
        <v>3355</v>
      </c>
      <c r="C305" s="12">
        <v>45954</v>
      </c>
      <c r="D305" s="4" t="s">
        <v>300</v>
      </c>
      <c r="E305" s="4" t="s">
        <v>3665</v>
      </c>
      <c r="F305" s="4"/>
      <c r="G305" s="106" t="s">
        <v>86</v>
      </c>
      <c r="H305" s="106" t="s">
        <v>165</v>
      </c>
      <c r="I305" s="49" t="s">
        <v>3353</v>
      </c>
      <c r="J305" s="4" t="s">
        <v>108</v>
      </c>
      <c r="K305" s="4" t="str">
        <f>IF(E305="KTG","KTG",(VLOOKUP(J305,'list of outsource'!B:H,2,0)))</f>
        <v>UPM</v>
      </c>
      <c r="L305" s="4" t="s">
        <v>109</v>
      </c>
      <c r="M305" s="4">
        <v>47</v>
      </c>
      <c r="N305" s="4" t="s">
        <v>3352</v>
      </c>
      <c r="O305" s="2" t="s">
        <v>3684</v>
      </c>
      <c r="P305" s="4" t="s">
        <v>3351</v>
      </c>
      <c r="Q305" s="4" t="s">
        <v>3371</v>
      </c>
      <c r="R305" s="12">
        <v>45968</v>
      </c>
      <c r="S305" s="4">
        <v>3</v>
      </c>
      <c r="T305" s="4" t="s">
        <v>1465</v>
      </c>
      <c r="U305" s="4" t="s">
        <v>39</v>
      </c>
      <c r="V305" s="10">
        <v>45981</v>
      </c>
      <c r="W305" s="12">
        <v>45982</v>
      </c>
    </row>
    <row r="306" spans="1:26" customFormat="1" hidden="1">
      <c r="A306">
        <f t="shared" ca="1" si="5"/>
        <v>50</v>
      </c>
      <c r="B306" s="49" t="s">
        <v>1388</v>
      </c>
      <c r="C306" s="12">
        <v>45251</v>
      </c>
      <c r="D306" s="4" t="s">
        <v>1070</v>
      </c>
      <c r="E306" s="4" t="s">
        <v>3665</v>
      </c>
      <c r="F306" s="4"/>
      <c r="G306" s="4" t="s">
        <v>102</v>
      </c>
      <c r="H306" s="4" t="s">
        <v>379</v>
      </c>
      <c r="I306" s="4" t="s">
        <v>1389</v>
      </c>
      <c r="J306" s="4" t="s">
        <v>151</v>
      </c>
      <c r="K306" s="4" t="str">
        <f>IF(E306="KTG","KTG",(VLOOKUP(J306,'list of outsource'!B:H,2,0)))</f>
        <v>UPM</v>
      </c>
      <c r="L306" s="4" t="s">
        <v>381</v>
      </c>
      <c r="M306" s="4">
        <v>23</v>
      </c>
      <c r="N306" s="49" t="s">
        <v>1390</v>
      </c>
      <c r="O306" s="2"/>
      <c r="P306" s="4" t="s">
        <v>1391</v>
      </c>
      <c r="Q306" s="4">
        <v>1289272660</v>
      </c>
      <c r="R306" s="12" t="s">
        <v>549</v>
      </c>
      <c r="S306" s="4">
        <v>4</v>
      </c>
      <c r="T306" s="4"/>
      <c r="U306" s="4" t="s">
        <v>39</v>
      </c>
      <c r="V306" s="10">
        <v>45301</v>
      </c>
      <c r="W306" s="12">
        <v>45303</v>
      </c>
      <c r="Z306" t="e">
        <v>#N/A</v>
      </c>
    </row>
    <row r="307" spans="1:26" customFormat="1" hidden="1">
      <c r="A307">
        <f t="shared" ca="1" si="5"/>
        <v>49</v>
      </c>
      <c r="B307" s="4" t="s">
        <v>1400</v>
      </c>
      <c r="C307" s="12">
        <v>45252</v>
      </c>
      <c r="D307" s="4" t="s">
        <v>1070</v>
      </c>
      <c r="E307" s="4" t="s">
        <v>3665</v>
      </c>
      <c r="F307" s="4">
        <v>4581</v>
      </c>
      <c r="G307" s="4" t="s">
        <v>102</v>
      </c>
      <c r="H307" s="4" t="s">
        <v>379</v>
      </c>
      <c r="I307" s="4" t="s">
        <v>1401</v>
      </c>
      <c r="J307" s="4" t="s">
        <v>408</v>
      </c>
      <c r="K307" s="4" t="str">
        <f>IF(E307="KTG","KTG",(VLOOKUP(J307,'list of outsource'!B:H,2,0)))</f>
        <v>UPM</v>
      </c>
      <c r="L307" s="4" t="s">
        <v>409</v>
      </c>
      <c r="M307" s="4">
        <v>19</v>
      </c>
      <c r="N307" s="4" t="s">
        <v>1402</v>
      </c>
      <c r="O307" s="2"/>
      <c r="P307" s="4" t="s">
        <v>1403</v>
      </c>
      <c r="Q307" s="4">
        <v>1289710429</v>
      </c>
      <c r="R307" s="12" t="s">
        <v>549</v>
      </c>
      <c r="S307" s="4">
        <v>4</v>
      </c>
      <c r="T307" s="4"/>
      <c r="U307" s="4" t="s">
        <v>39</v>
      </c>
      <c r="V307" s="10">
        <v>45301</v>
      </c>
      <c r="W307" s="12">
        <v>45540</v>
      </c>
      <c r="Z307" t="e">
        <v>#N/A</v>
      </c>
    </row>
    <row r="308" spans="1:26" customFormat="1" hidden="1">
      <c r="A308">
        <f t="shared" ca="1" si="5"/>
        <v>49</v>
      </c>
      <c r="B308" s="4" t="s">
        <v>1404</v>
      </c>
      <c r="C308" s="12">
        <v>45252</v>
      </c>
      <c r="D308" s="4" t="s">
        <v>300</v>
      </c>
      <c r="E308" s="4" t="s">
        <v>3665</v>
      </c>
      <c r="F308" s="4">
        <v>4582</v>
      </c>
      <c r="G308" s="4" t="s">
        <v>102</v>
      </c>
      <c r="H308" s="4" t="s">
        <v>379</v>
      </c>
      <c r="I308" s="4" t="s">
        <v>1405</v>
      </c>
      <c r="J308" s="4" t="s">
        <v>408</v>
      </c>
      <c r="K308" s="4" t="str">
        <f>IF(E308="KTG","KTG",(VLOOKUP(J308,'list of outsource'!B:H,2,0)))</f>
        <v>UPM</v>
      </c>
      <c r="L308" s="4" t="s">
        <v>409</v>
      </c>
      <c r="M308" s="4">
        <v>17</v>
      </c>
      <c r="N308" s="4" t="s">
        <v>1406</v>
      </c>
      <c r="O308" s="2"/>
      <c r="P308" s="4" t="s">
        <v>1407</v>
      </c>
      <c r="Q308" s="4">
        <v>1289744729</v>
      </c>
      <c r="R308" s="12" t="s">
        <v>549</v>
      </c>
      <c r="S308" s="4">
        <v>4</v>
      </c>
      <c r="T308" s="4"/>
      <c r="U308" s="4" t="s">
        <v>39</v>
      </c>
      <c r="V308" s="10">
        <v>45301</v>
      </c>
      <c r="W308" s="12">
        <v>45684</v>
      </c>
      <c r="Z308" t="e">
        <v>#N/A</v>
      </c>
    </row>
    <row r="309" spans="1:26" customFormat="1" hidden="1">
      <c r="A309">
        <f t="shared" ca="1" si="5"/>
        <v>29</v>
      </c>
      <c r="B309" s="4" t="s">
        <v>1586</v>
      </c>
      <c r="C309" s="12">
        <v>45341</v>
      </c>
      <c r="D309" s="4" t="s">
        <v>1070</v>
      </c>
      <c r="E309" s="4" t="s">
        <v>3665</v>
      </c>
      <c r="F309" s="4">
        <v>4581</v>
      </c>
      <c r="G309" s="4" t="s">
        <v>102</v>
      </c>
      <c r="H309" s="4" t="s">
        <v>379</v>
      </c>
      <c r="I309" s="4" t="s">
        <v>1401</v>
      </c>
      <c r="J309" s="4" t="s">
        <v>408</v>
      </c>
      <c r="K309" s="4" t="str">
        <f>IF(E309="KTG","KTG",(VLOOKUP(J309,'list of outsource'!B:H,2,0)))</f>
        <v>UPM</v>
      </c>
      <c r="L309" s="4" t="s">
        <v>409</v>
      </c>
      <c r="M309" s="4">
        <v>19</v>
      </c>
      <c r="N309" s="4" t="s">
        <v>1402</v>
      </c>
      <c r="O309" s="2"/>
      <c r="P309" s="4" t="s">
        <v>1403</v>
      </c>
      <c r="Q309" s="4">
        <v>1289710429</v>
      </c>
      <c r="R309" s="12" t="s">
        <v>549</v>
      </c>
      <c r="S309" s="4">
        <v>4</v>
      </c>
      <c r="T309" s="4" t="s">
        <v>607</v>
      </c>
      <c r="U309" s="4" t="s">
        <v>39</v>
      </c>
      <c r="V309" s="10">
        <v>45370</v>
      </c>
      <c r="W309" s="12">
        <v>45540</v>
      </c>
      <c r="Z309" t="e">
        <v>#N/A</v>
      </c>
    </row>
    <row r="310" spans="1:26" customFormat="1" hidden="1">
      <c r="A310">
        <f t="shared" ca="1" si="5"/>
        <v>23</v>
      </c>
      <c r="B310" s="49" t="s">
        <v>1623</v>
      </c>
      <c r="C310" s="12">
        <v>45376</v>
      </c>
      <c r="D310" s="4" t="s">
        <v>1070</v>
      </c>
      <c r="E310" s="4" t="s">
        <v>3665</v>
      </c>
      <c r="F310" s="4"/>
      <c r="G310" s="4" t="s">
        <v>102</v>
      </c>
      <c r="H310" s="4" t="s">
        <v>379</v>
      </c>
      <c r="I310" s="4" t="s">
        <v>1624</v>
      </c>
      <c r="J310" s="4" t="s">
        <v>151</v>
      </c>
      <c r="K310" s="4" t="str">
        <f>IF(E310="KTG","KTG",(VLOOKUP(J310,'list of outsource'!B:H,2,0)))</f>
        <v>UPM</v>
      </c>
      <c r="L310" s="4" t="s">
        <v>381</v>
      </c>
      <c r="M310" s="4">
        <v>25</v>
      </c>
      <c r="N310" s="49" t="s">
        <v>1625</v>
      </c>
      <c r="O310" s="2"/>
      <c r="P310" s="4" t="s">
        <v>1626</v>
      </c>
      <c r="Q310" s="4">
        <v>1319040878</v>
      </c>
      <c r="R310" s="12">
        <v>45383</v>
      </c>
      <c r="S310" s="4">
        <v>4</v>
      </c>
      <c r="T310" s="4" t="s">
        <v>1258</v>
      </c>
      <c r="U310" s="4" t="s">
        <v>39</v>
      </c>
      <c r="V310" s="10">
        <v>45399</v>
      </c>
      <c r="W310" s="12">
        <v>45419</v>
      </c>
      <c r="Z310" t="e">
        <v>#N/A</v>
      </c>
    </row>
    <row r="311" spans="1:26" customFormat="1">
      <c r="A311">
        <f t="shared" ca="1" si="5"/>
        <v>11</v>
      </c>
      <c r="B311" s="49" t="s">
        <v>561</v>
      </c>
      <c r="C311" s="12">
        <v>44956</v>
      </c>
      <c r="D311" s="4" t="s">
        <v>504</v>
      </c>
      <c r="E311" s="4" t="s">
        <v>3662</v>
      </c>
      <c r="F311" s="4"/>
      <c r="G311" s="106" t="s">
        <v>86</v>
      </c>
      <c r="H311" s="106" t="s">
        <v>165</v>
      </c>
      <c r="I311" s="49" t="s">
        <v>562</v>
      </c>
      <c r="J311" s="4" t="s">
        <v>302</v>
      </c>
      <c r="K311" s="4" t="str">
        <f>IF(E311="KTG","KTG",(VLOOKUP(J311,'list of outsource'!B:H,2,0)))</f>
        <v>ETC</v>
      </c>
      <c r="L311" s="4" t="s">
        <v>303</v>
      </c>
      <c r="M311" s="4"/>
      <c r="N311" s="4" t="s">
        <v>484</v>
      </c>
      <c r="O311" s="2" t="s">
        <v>3684</v>
      </c>
      <c r="P311" s="4" t="s">
        <v>563</v>
      </c>
      <c r="Q311" s="4">
        <v>1196293250</v>
      </c>
      <c r="R311" s="12"/>
      <c r="S311" s="4">
        <v>2</v>
      </c>
      <c r="T311" s="4"/>
      <c r="U311" s="4" t="s">
        <v>39</v>
      </c>
      <c r="V311" s="10">
        <v>44967</v>
      </c>
      <c r="W311" s="12">
        <v>44970</v>
      </c>
    </row>
    <row r="312" spans="1:26" customFormat="1" hidden="1">
      <c r="A312">
        <f t="shared" ca="1" si="5"/>
        <v>23</v>
      </c>
      <c r="B312" s="4" t="s">
        <v>3402</v>
      </c>
      <c r="C312" s="12">
        <v>45942</v>
      </c>
      <c r="D312" s="4" t="s">
        <v>300</v>
      </c>
      <c r="E312" s="4" t="s">
        <v>3665</v>
      </c>
      <c r="F312" s="4">
        <v>48</v>
      </c>
      <c r="G312" s="4" t="s">
        <v>86</v>
      </c>
      <c r="H312" s="4" t="s">
        <v>165</v>
      </c>
      <c r="I312" s="4" t="s">
        <v>1281</v>
      </c>
      <c r="J312" s="4" t="s">
        <v>232</v>
      </c>
      <c r="K312" s="4" t="str">
        <f>IF(E312="KTG","KTG",(VLOOKUP(J312,'list of outsource'!B:H,2,0)))</f>
        <v>UPM</v>
      </c>
      <c r="L312" s="4" t="s">
        <v>233</v>
      </c>
      <c r="M312" s="4">
        <v>13</v>
      </c>
      <c r="N312" s="4" t="s">
        <v>1282</v>
      </c>
      <c r="O312" s="2"/>
      <c r="P312" s="4" t="s">
        <v>1283</v>
      </c>
      <c r="Q312" s="4" t="s">
        <v>2172</v>
      </c>
      <c r="R312" s="12"/>
      <c r="S312" s="4">
        <v>1</v>
      </c>
      <c r="T312" s="4" t="s">
        <v>307</v>
      </c>
      <c r="U312" s="4" t="s">
        <v>183</v>
      </c>
      <c r="V312" s="10">
        <v>45965</v>
      </c>
      <c r="W312" s="12">
        <v>45965</v>
      </c>
    </row>
    <row r="313" spans="1:26" customFormat="1">
      <c r="A313">
        <f t="shared" ca="1" si="5"/>
        <v>17</v>
      </c>
      <c r="B313" s="104" t="s">
        <v>561</v>
      </c>
      <c r="C313" s="16">
        <v>45304</v>
      </c>
      <c r="D313" s="6" t="s">
        <v>129</v>
      </c>
      <c r="E313" s="6" t="s">
        <v>3662</v>
      </c>
      <c r="F313" s="6"/>
      <c r="G313" s="106" t="s">
        <v>86</v>
      </c>
      <c r="H313" s="106" t="s">
        <v>165</v>
      </c>
      <c r="I313" s="49" t="s">
        <v>562</v>
      </c>
      <c r="J313" s="6" t="s">
        <v>302</v>
      </c>
      <c r="K313" s="6" t="str">
        <f>IF(E313="KTG","KTG",(VLOOKUP(J313,'list of outsource'!B:H,2,0)))</f>
        <v>ETC</v>
      </c>
      <c r="L313" s="6" t="s">
        <v>303</v>
      </c>
      <c r="M313" s="6">
        <v>57</v>
      </c>
      <c r="N313" s="6" t="s">
        <v>484</v>
      </c>
      <c r="O313" s="2" t="s">
        <v>3684</v>
      </c>
      <c r="P313" s="6" t="s">
        <v>563</v>
      </c>
      <c r="Q313" s="6">
        <v>1196293250</v>
      </c>
      <c r="R313" s="16" t="s">
        <v>549</v>
      </c>
      <c r="S313" s="6">
        <v>1</v>
      </c>
      <c r="T313" s="6" t="s">
        <v>607</v>
      </c>
      <c r="U313" s="6" t="s">
        <v>183</v>
      </c>
      <c r="V313" s="17">
        <v>45321</v>
      </c>
      <c r="W313" s="16"/>
    </row>
    <row r="314" spans="1:26" customFormat="1" hidden="1">
      <c r="A314">
        <f t="shared" ca="1" si="5"/>
        <v>1</v>
      </c>
      <c r="B314" s="8" t="s">
        <v>3518</v>
      </c>
      <c r="C314" s="16">
        <v>45980</v>
      </c>
      <c r="D314" s="6" t="s">
        <v>129</v>
      </c>
      <c r="E314" s="6" t="s">
        <v>3665</v>
      </c>
      <c r="F314" s="6">
        <v>52</v>
      </c>
      <c r="G314" s="6" t="s">
        <v>1834</v>
      </c>
      <c r="H314" s="6" t="s">
        <v>165</v>
      </c>
      <c r="I314" s="6" t="s">
        <v>367</v>
      </c>
      <c r="J314" s="6" t="s">
        <v>96</v>
      </c>
      <c r="K314" s="6" t="str">
        <f>IF(E314="KTG","KTG",(VLOOKUP(J314,'list of outsource'!B:H,2,0)))</f>
        <v>Woer</v>
      </c>
      <c r="L314" s="6" t="s">
        <v>97</v>
      </c>
      <c r="M314" s="6">
        <v>57</v>
      </c>
      <c r="N314" s="6" t="s">
        <v>368</v>
      </c>
      <c r="O314" s="2"/>
      <c r="P314" s="6" t="s">
        <v>854</v>
      </c>
      <c r="Q314" s="6" t="s">
        <v>3516</v>
      </c>
      <c r="R314" s="16">
        <v>45436</v>
      </c>
      <c r="S314" s="6">
        <v>1</v>
      </c>
      <c r="T314" s="6" t="s">
        <v>307</v>
      </c>
      <c r="U314" s="6" t="s">
        <v>183</v>
      </c>
      <c r="V314" s="17">
        <v>45981</v>
      </c>
      <c r="W314" s="16"/>
    </row>
    <row r="315" spans="1:26" customFormat="1">
      <c r="A315">
        <f t="shared" ca="1" si="5"/>
        <v>0</v>
      </c>
      <c r="B315" s="49" t="s">
        <v>561</v>
      </c>
      <c r="C315" s="12">
        <v>45706</v>
      </c>
      <c r="D315" s="4" t="s">
        <v>300</v>
      </c>
      <c r="E315" s="4" t="s">
        <v>3662</v>
      </c>
      <c r="F315" s="4"/>
      <c r="G315" s="106" t="s">
        <v>86</v>
      </c>
      <c r="H315" s="106" t="s">
        <v>165</v>
      </c>
      <c r="I315" s="49" t="s">
        <v>562</v>
      </c>
      <c r="J315" s="4" t="s">
        <v>302</v>
      </c>
      <c r="K315" s="4" t="str">
        <f>IF(E315="KTG","KTG",(VLOOKUP(J315,'list of outsource'!B:H,2,0)))</f>
        <v>ETC</v>
      </c>
      <c r="L315" s="4" t="s">
        <v>303</v>
      </c>
      <c r="M315" s="4">
        <v>65</v>
      </c>
      <c r="N315" s="4" t="s">
        <v>484</v>
      </c>
      <c r="O315" s="2" t="s">
        <v>3684</v>
      </c>
      <c r="P315" s="4" t="s">
        <v>563</v>
      </c>
      <c r="Q315" s="4" t="s">
        <v>2366</v>
      </c>
      <c r="R315" s="12" t="s">
        <v>549</v>
      </c>
      <c r="S315" s="4">
        <v>1</v>
      </c>
      <c r="T315" s="4" t="s">
        <v>307</v>
      </c>
      <c r="U315" s="4" t="s">
        <v>183</v>
      </c>
      <c r="V315" s="10">
        <v>45706</v>
      </c>
      <c r="W315" s="12">
        <v>45975</v>
      </c>
      <c r="Z315" t="s">
        <v>2367</v>
      </c>
    </row>
    <row r="316" spans="1:26" customFormat="1">
      <c r="A316">
        <f t="shared" ca="1" si="5"/>
        <v>2</v>
      </c>
      <c r="B316" s="49" t="s">
        <v>712</v>
      </c>
      <c r="C316" s="12">
        <v>44999</v>
      </c>
      <c r="D316" s="4" t="s">
        <v>504</v>
      </c>
      <c r="E316" s="4" t="s">
        <v>3665</v>
      </c>
      <c r="F316" s="4"/>
      <c r="G316" s="106" t="s">
        <v>86</v>
      </c>
      <c r="H316" s="106" t="s">
        <v>165</v>
      </c>
      <c r="I316" s="49" t="s">
        <v>713</v>
      </c>
      <c r="J316" s="4" t="s">
        <v>190</v>
      </c>
      <c r="K316" s="4" t="str">
        <f>IF(E316="KTG","KTG",(VLOOKUP(J316,'list of outsource'!B:H,2,0)))</f>
        <v>UPM</v>
      </c>
      <c r="L316" s="4" t="s">
        <v>191</v>
      </c>
      <c r="M316" s="4"/>
      <c r="N316" s="4" t="s">
        <v>714</v>
      </c>
      <c r="O316" s="2" t="s">
        <v>3684</v>
      </c>
      <c r="P316" s="4" t="s">
        <v>715</v>
      </c>
      <c r="Q316" s="4">
        <v>1205276080</v>
      </c>
      <c r="R316" s="12"/>
      <c r="S316" s="4">
        <v>2</v>
      </c>
      <c r="T316" s="4"/>
      <c r="U316" s="4" t="s">
        <v>39</v>
      </c>
      <c r="V316" s="10">
        <v>45001</v>
      </c>
      <c r="W316" s="12">
        <v>45014</v>
      </c>
      <c r="Z316" t="s">
        <v>716</v>
      </c>
    </row>
    <row r="317" spans="1:26" customFormat="1">
      <c r="A317">
        <f t="shared" ca="1" si="5"/>
        <v>27</v>
      </c>
      <c r="B317" s="49" t="s">
        <v>712</v>
      </c>
      <c r="C317" s="12">
        <v>45351</v>
      </c>
      <c r="D317" s="4" t="s">
        <v>1070</v>
      </c>
      <c r="E317" s="4" t="s">
        <v>3665</v>
      </c>
      <c r="F317" s="4"/>
      <c r="G317" s="106" t="s">
        <v>86</v>
      </c>
      <c r="H317" s="106" t="s">
        <v>165</v>
      </c>
      <c r="I317" s="49" t="s">
        <v>713</v>
      </c>
      <c r="J317" s="4" t="s">
        <v>190</v>
      </c>
      <c r="K317" s="4" t="str">
        <f>IF(E317="KTG","KTG",(VLOOKUP(J317,'list of outsource'!B:H,2,0)))</f>
        <v>UPM</v>
      </c>
      <c r="L317" s="4" t="s">
        <v>191</v>
      </c>
      <c r="M317" s="4">
        <v>12</v>
      </c>
      <c r="N317" s="4" t="s">
        <v>714</v>
      </c>
      <c r="O317" s="2" t="s">
        <v>3684</v>
      </c>
      <c r="P317" s="4" t="s">
        <v>715</v>
      </c>
      <c r="Q317" s="4">
        <v>1205276080</v>
      </c>
      <c r="R317" s="12">
        <v>45000</v>
      </c>
      <c r="S317" s="4">
        <v>1</v>
      </c>
      <c r="T317" s="4" t="s">
        <v>307</v>
      </c>
      <c r="U317" s="4" t="s">
        <v>183</v>
      </c>
      <c r="V317" s="10">
        <v>45378</v>
      </c>
      <c r="W317" s="12">
        <v>45513</v>
      </c>
      <c r="Z317" t="e">
        <v>#N/A</v>
      </c>
    </row>
    <row r="318" spans="1:26" customFormat="1" hidden="1">
      <c r="A318">
        <f t="shared" ca="1" si="5"/>
        <v>21</v>
      </c>
      <c r="B318" s="9" t="s">
        <v>3547</v>
      </c>
      <c r="C318" s="12">
        <v>45868</v>
      </c>
      <c r="D318" s="4" t="s">
        <v>300</v>
      </c>
      <c r="E318" s="4" t="s">
        <v>3662</v>
      </c>
      <c r="F318" s="4">
        <v>4016</v>
      </c>
      <c r="G318" s="4" t="s">
        <v>86</v>
      </c>
      <c r="H318" s="4" t="s">
        <v>165</v>
      </c>
      <c r="I318" s="4" t="s">
        <v>371</v>
      </c>
      <c r="J318" s="4" t="s">
        <v>222</v>
      </c>
      <c r="K318" s="4" t="str">
        <f>IF(E318="KTG","KTG",(VLOOKUP(J318,'list of outsource'!B:H,2,0)))</f>
        <v>ETC</v>
      </c>
      <c r="L318" s="4" t="s">
        <v>223</v>
      </c>
      <c r="M318" s="47">
        <v>23</v>
      </c>
      <c r="N318" s="4" t="s">
        <v>372</v>
      </c>
      <c r="O318" s="2"/>
      <c r="P318" s="4" t="s">
        <v>566</v>
      </c>
      <c r="Q318" s="4" t="s">
        <v>2949</v>
      </c>
      <c r="R318" s="12">
        <v>0</v>
      </c>
      <c r="S318" s="4">
        <v>1</v>
      </c>
      <c r="T318" s="4" t="s">
        <v>307</v>
      </c>
      <c r="U318" s="4" t="s">
        <v>550</v>
      </c>
      <c r="V318" s="10">
        <v>45889</v>
      </c>
      <c r="W318" s="12">
        <v>45994</v>
      </c>
    </row>
    <row r="319" spans="1:26" customFormat="1" hidden="1">
      <c r="A319">
        <f t="shared" ca="1" si="5"/>
        <v>2</v>
      </c>
      <c r="B319" s="8" t="s">
        <v>3367</v>
      </c>
      <c r="C319" s="16">
        <v>45955</v>
      </c>
      <c r="D319" s="6" t="s">
        <v>129</v>
      </c>
      <c r="E319" s="6" t="s">
        <v>3665</v>
      </c>
      <c r="F319" s="6">
        <v>37</v>
      </c>
      <c r="G319" s="6" t="s">
        <v>86</v>
      </c>
      <c r="H319" s="6" t="s">
        <v>165</v>
      </c>
      <c r="I319" s="6" t="s">
        <v>189</v>
      </c>
      <c r="J319" s="6" t="s">
        <v>190</v>
      </c>
      <c r="K319" s="6" t="str">
        <f>IF(E319="KTG","KTG",(VLOOKUP(J319,'list of outsource'!B:H,2,0)))</f>
        <v>UPM</v>
      </c>
      <c r="L319" s="6" t="s">
        <v>191</v>
      </c>
      <c r="M319" s="6">
        <v>14</v>
      </c>
      <c r="N319" s="6" t="s">
        <v>192</v>
      </c>
      <c r="O319" s="2"/>
      <c r="P319" s="6" t="s">
        <v>193</v>
      </c>
      <c r="Q319" s="6" t="s">
        <v>2491</v>
      </c>
      <c r="R319" s="16"/>
      <c r="S319" s="6">
        <v>1</v>
      </c>
      <c r="T319" s="6" t="s">
        <v>307</v>
      </c>
      <c r="U319" s="6" t="s">
        <v>183</v>
      </c>
      <c r="V319" s="17">
        <v>45957</v>
      </c>
      <c r="W319" s="16"/>
    </row>
    <row r="320" spans="1:26" customFormat="1">
      <c r="A320">
        <f t="shared" ca="1" si="5"/>
        <v>20</v>
      </c>
      <c r="B320" s="104" t="s">
        <v>712</v>
      </c>
      <c r="C320" s="12">
        <v>45847</v>
      </c>
      <c r="D320" s="4" t="s">
        <v>300</v>
      </c>
      <c r="E320" s="4" t="s">
        <v>3665</v>
      </c>
      <c r="F320" s="4"/>
      <c r="G320" s="106" t="s">
        <v>86</v>
      </c>
      <c r="H320" s="106" t="s">
        <v>165</v>
      </c>
      <c r="I320" s="49" t="s">
        <v>713</v>
      </c>
      <c r="J320" s="4" t="s">
        <v>190</v>
      </c>
      <c r="K320" s="4" t="str">
        <f>IF(E320="KTG","KTG",(VLOOKUP(J320,'list of outsource'!B:H,2,0)))</f>
        <v>UPM</v>
      </c>
      <c r="L320" s="4" t="s">
        <v>191</v>
      </c>
      <c r="M320" s="47">
        <v>14</v>
      </c>
      <c r="N320" s="4" t="s">
        <v>714</v>
      </c>
      <c r="O320" s="2" t="s">
        <v>3684</v>
      </c>
      <c r="P320" s="4" t="s">
        <v>715</v>
      </c>
      <c r="Q320" s="4" t="s">
        <v>2729</v>
      </c>
      <c r="R320" s="12">
        <v>45000</v>
      </c>
      <c r="S320" s="4">
        <v>1</v>
      </c>
      <c r="T320" s="4" t="s">
        <v>307</v>
      </c>
      <c r="U320" s="4" t="s">
        <v>183</v>
      </c>
      <c r="V320" s="10">
        <v>45867</v>
      </c>
      <c r="W320" s="12">
        <v>45959</v>
      </c>
      <c r="Z320" t="e">
        <v>#N/A</v>
      </c>
    </row>
    <row r="321" spans="1:26" customFormat="1">
      <c r="A321">
        <f t="shared" ca="1" si="5"/>
        <v>31</v>
      </c>
      <c r="B321" s="49" t="s">
        <v>730</v>
      </c>
      <c r="C321" s="12">
        <v>45006</v>
      </c>
      <c r="D321" s="4" t="s">
        <v>504</v>
      </c>
      <c r="E321" s="4" t="s">
        <v>3665</v>
      </c>
      <c r="F321" s="4"/>
      <c r="G321" s="106" t="s">
        <v>86</v>
      </c>
      <c r="H321" s="106" t="s">
        <v>165</v>
      </c>
      <c r="I321" s="49" t="s">
        <v>731</v>
      </c>
      <c r="J321" s="4" t="s">
        <v>212</v>
      </c>
      <c r="K321" s="4" t="str">
        <f>IF(E321="KTG","KTG",(VLOOKUP(J321,'list of outsource'!B:H,2,0)))</f>
        <v>UPM</v>
      </c>
      <c r="L321" s="4" t="s">
        <v>213</v>
      </c>
      <c r="M321" s="4"/>
      <c r="N321" s="4" t="s">
        <v>732</v>
      </c>
      <c r="O321" s="2" t="s">
        <v>3684</v>
      </c>
      <c r="P321" s="4" t="s">
        <v>733</v>
      </c>
      <c r="Q321" s="4">
        <v>1214724948</v>
      </c>
      <c r="R321" s="12"/>
      <c r="S321" s="4">
        <v>2</v>
      </c>
      <c r="T321" s="4"/>
      <c r="U321" s="4" t="s">
        <v>39</v>
      </c>
      <c r="V321" s="10" t="s">
        <v>674</v>
      </c>
      <c r="W321" s="12" t="s">
        <v>734</v>
      </c>
    </row>
    <row r="322" spans="1:26" customFormat="1">
      <c r="A322">
        <f t="shared" ca="1" si="5"/>
        <v>23</v>
      </c>
      <c r="B322" s="49" t="s">
        <v>730</v>
      </c>
      <c r="C322" s="12">
        <v>45375</v>
      </c>
      <c r="D322" s="4" t="s">
        <v>1070</v>
      </c>
      <c r="E322" s="4" t="s">
        <v>3665</v>
      </c>
      <c r="F322" s="4"/>
      <c r="G322" s="106" t="s">
        <v>86</v>
      </c>
      <c r="H322" s="106" t="s">
        <v>165</v>
      </c>
      <c r="I322" s="49" t="s">
        <v>731</v>
      </c>
      <c r="J322" s="4" t="s">
        <v>212</v>
      </c>
      <c r="K322" s="4" t="str">
        <f>IF(E322="KTG","KTG",(VLOOKUP(J322,'list of outsource'!B:H,2,0)))</f>
        <v>UPM</v>
      </c>
      <c r="L322" s="4" t="s">
        <v>213</v>
      </c>
      <c r="M322" s="4" t="s">
        <v>1622</v>
      </c>
      <c r="N322" s="4" t="s">
        <v>732</v>
      </c>
      <c r="O322" s="2" t="s">
        <v>3684</v>
      </c>
      <c r="P322" s="4" t="s">
        <v>733</v>
      </c>
      <c r="Q322" s="4">
        <v>1214724948</v>
      </c>
      <c r="R322" s="12"/>
      <c r="S322" s="4">
        <v>1</v>
      </c>
      <c r="T322" s="4" t="s">
        <v>307</v>
      </c>
      <c r="U322" s="4" t="s">
        <v>183</v>
      </c>
      <c r="V322" s="10">
        <v>45398</v>
      </c>
      <c r="W322" s="12">
        <v>45398</v>
      </c>
      <c r="Z322" t="e">
        <v>#N/A</v>
      </c>
    </row>
    <row r="323" spans="1:26" customFormat="1">
      <c r="A323">
        <f t="shared" ca="1" si="5"/>
        <v>25</v>
      </c>
      <c r="B323" s="49" t="s">
        <v>730</v>
      </c>
      <c r="C323" s="12">
        <v>45732</v>
      </c>
      <c r="D323" s="4" t="s">
        <v>300</v>
      </c>
      <c r="E323" s="4" t="s">
        <v>3665</v>
      </c>
      <c r="F323" s="4"/>
      <c r="G323" s="106" t="s">
        <v>86</v>
      </c>
      <c r="H323" s="106" t="s">
        <v>165</v>
      </c>
      <c r="I323" s="49" t="s">
        <v>731</v>
      </c>
      <c r="J323" s="4" t="s">
        <v>212</v>
      </c>
      <c r="K323" s="4" t="str">
        <f>IF(E323="KTG","KTG",(VLOOKUP(J323,'list of outsource'!B:H,2,0)))</f>
        <v>UPM</v>
      </c>
      <c r="L323" s="4" t="s">
        <v>213</v>
      </c>
      <c r="M323" s="4">
        <v>10</v>
      </c>
      <c r="N323" s="4" t="s">
        <v>732</v>
      </c>
      <c r="O323" s="2" t="s">
        <v>3684</v>
      </c>
      <c r="P323" s="4" t="s">
        <v>733</v>
      </c>
      <c r="Q323" s="4" t="s">
        <v>2402</v>
      </c>
      <c r="R323" s="12"/>
      <c r="S323" s="4">
        <v>1</v>
      </c>
      <c r="T323" s="4" t="s">
        <v>307</v>
      </c>
      <c r="U323" s="4" t="s">
        <v>183</v>
      </c>
      <c r="V323" s="10">
        <v>45757</v>
      </c>
      <c r="W323" s="12">
        <v>45786</v>
      </c>
      <c r="Z323" t="e">
        <v>#N/A</v>
      </c>
    </row>
    <row r="324" spans="1:26" customFormat="1">
      <c r="A324">
        <f t="shared" ca="1" si="5"/>
        <v>17</v>
      </c>
      <c r="B324" s="49" t="s">
        <v>797</v>
      </c>
      <c r="C324" s="12">
        <v>45040</v>
      </c>
      <c r="D324" s="4" t="s">
        <v>504</v>
      </c>
      <c r="E324" s="4" t="s">
        <v>3662</v>
      </c>
      <c r="F324" s="4"/>
      <c r="G324" s="106" t="s">
        <v>86</v>
      </c>
      <c r="H324" s="106" t="s">
        <v>165</v>
      </c>
      <c r="I324" s="49" t="s">
        <v>798</v>
      </c>
      <c r="J324" s="4" t="s">
        <v>302</v>
      </c>
      <c r="K324" s="4" t="str">
        <f>IF(E324="KTG","KTG",(VLOOKUP(J324,'list of outsource'!B:H,2,0)))</f>
        <v>ETC</v>
      </c>
      <c r="L324" s="4" t="s">
        <v>303</v>
      </c>
      <c r="M324" s="4"/>
      <c r="N324" s="4" t="s">
        <v>487</v>
      </c>
      <c r="O324" s="2" t="s">
        <v>3684</v>
      </c>
      <c r="P324" s="4" t="s">
        <v>799</v>
      </c>
      <c r="Q324" s="4">
        <v>1210982220</v>
      </c>
      <c r="R324" s="12"/>
      <c r="S324" s="4">
        <v>3</v>
      </c>
      <c r="T324" s="4"/>
      <c r="U324" s="4" t="s">
        <v>183</v>
      </c>
      <c r="V324" s="10">
        <v>45057</v>
      </c>
      <c r="W324" s="12">
        <v>45082</v>
      </c>
      <c r="Z324" t="e">
        <v>#N/A</v>
      </c>
    </row>
    <row r="325" spans="1:26" customFormat="1" hidden="1">
      <c r="A325">
        <f t="shared" ca="1" si="5"/>
        <v>8</v>
      </c>
      <c r="B325" s="4" t="s">
        <v>1280</v>
      </c>
      <c r="C325" s="12">
        <v>45216</v>
      </c>
      <c r="D325" s="4" t="s">
        <v>504</v>
      </c>
      <c r="E325" s="4" t="s">
        <v>3665</v>
      </c>
      <c r="F325" s="4">
        <v>48</v>
      </c>
      <c r="G325" s="4" t="s">
        <v>86</v>
      </c>
      <c r="H325" s="4" t="s">
        <v>165</v>
      </c>
      <c r="I325" s="4" t="s">
        <v>1281</v>
      </c>
      <c r="J325" s="4" t="s">
        <v>232</v>
      </c>
      <c r="K325" s="4" t="str">
        <f>IF(E325="KTG","KTG",(VLOOKUP(J325,'list of outsource'!B:H,2,0)))</f>
        <v>UPM</v>
      </c>
      <c r="L325" s="4" t="s">
        <v>233</v>
      </c>
      <c r="M325" s="4">
        <v>9</v>
      </c>
      <c r="N325" s="4" t="s">
        <v>1282</v>
      </c>
      <c r="O325" s="2"/>
      <c r="P325" s="4" t="s">
        <v>1283</v>
      </c>
      <c r="Q325" s="4">
        <v>1193337616</v>
      </c>
      <c r="R325" s="12"/>
      <c r="S325" s="4">
        <v>4</v>
      </c>
      <c r="T325" s="4"/>
      <c r="U325" s="4" t="s">
        <v>39</v>
      </c>
      <c r="V325" s="10">
        <v>45224</v>
      </c>
      <c r="W325" s="12">
        <v>45236</v>
      </c>
      <c r="Z325" t="e">
        <v>#N/A</v>
      </c>
    </row>
    <row r="326" spans="1:26" customFormat="1" hidden="1">
      <c r="A326">
        <f t="shared" ca="1" si="5"/>
        <v>31</v>
      </c>
      <c r="B326" s="4" t="s">
        <v>1280</v>
      </c>
      <c r="C326" s="12">
        <v>45571</v>
      </c>
      <c r="D326" s="4" t="s">
        <v>300</v>
      </c>
      <c r="E326" s="4" t="s">
        <v>3665</v>
      </c>
      <c r="F326" s="4">
        <v>48</v>
      </c>
      <c r="G326" s="4" t="s">
        <v>86</v>
      </c>
      <c r="H326" s="4" t="s">
        <v>165</v>
      </c>
      <c r="I326" s="4" t="s">
        <v>1281</v>
      </c>
      <c r="J326" s="4" t="s">
        <v>232</v>
      </c>
      <c r="K326" s="4" t="str">
        <f>IF(E326="KTG","KTG",(VLOOKUP(J326,'list of outsource'!B:H,2,0)))</f>
        <v>UPM</v>
      </c>
      <c r="L326" s="4" t="s">
        <v>233</v>
      </c>
      <c r="M326" s="4">
        <v>13</v>
      </c>
      <c r="N326" s="4" t="s">
        <v>1282</v>
      </c>
      <c r="O326" s="2"/>
      <c r="P326" s="4" t="s">
        <v>1283</v>
      </c>
      <c r="Q326" s="4" t="s">
        <v>2172</v>
      </c>
      <c r="R326" s="12"/>
      <c r="S326" s="4">
        <v>1</v>
      </c>
      <c r="T326" s="4" t="s">
        <v>307</v>
      </c>
      <c r="U326" s="4" t="s">
        <v>183</v>
      </c>
      <c r="V326" s="10">
        <v>45602</v>
      </c>
      <c r="W326" s="12">
        <v>45943</v>
      </c>
    </row>
    <row r="327" spans="1:26" customFormat="1" hidden="1">
      <c r="A327">
        <f t="shared" ca="1" si="5"/>
        <v>15</v>
      </c>
      <c r="B327" s="4" t="s">
        <v>558</v>
      </c>
      <c r="C327" s="12">
        <v>44945</v>
      </c>
      <c r="D327" s="4" t="s">
        <v>504</v>
      </c>
      <c r="E327" s="4" t="s">
        <v>3662</v>
      </c>
      <c r="F327" s="4">
        <v>53</v>
      </c>
      <c r="G327" s="4" t="s">
        <v>86</v>
      </c>
      <c r="H327" s="4" t="s">
        <v>165</v>
      </c>
      <c r="I327" s="4" t="s">
        <v>559</v>
      </c>
      <c r="J327" s="4" t="s">
        <v>302</v>
      </c>
      <c r="K327" s="4" t="str">
        <f>IF(E327="KTG","KTG",(VLOOKUP(J327,'list of outsource'!B:H,2,0)))</f>
        <v>ETC</v>
      </c>
      <c r="L327" s="4" t="s">
        <v>303</v>
      </c>
      <c r="M327" s="4"/>
      <c r="N327" s="4" t="s">
        <v>495</v>
      </c>
      <c r="O327" s="2"/>
      <c r="P327" s="4" t="s">
        <v>560</v>
      </c>
      <c r="Q327" s="4">
        <v>1194209127</v>
      </c>
      <c r="R327" s="12"/>
      <c r="S327" s="4">
        <v>2</v>
      </c>
      <c r="T327" s="4"/>
      <c r="U327" s="4" t="s">
        <v>39</v>
      </c>
      <c r="V327" s="10">
        <v>44960</v>
      </c>
      <c r="W327" s="12">
        <v>44964</v>
      </c>
    </row>
    <row r="328" spans="1:26" customFormat="1" hidden="1">
      <c r="A328">
        <f t="shared" ca="1" si="5"/>
        <v>19</v>
      </c>
      <c r="B328" s="4" t="s">
        <v>558</v>
      </c>
      <c r="C328" s="12">
        <v>45302</v>
      </c>
      <c r="D328" s="4" t="s">
        <v>1070</v>
      </c>
      <c r="E328" s="4" t="s">
        <v>3662</v>
      </c>
      <c r="F328" s="4">
        <v>53</v>
      </c>
      <c r="G328" s="4" t="s">
        <v>86</v>
      </c>
      <c r="H328" s="4" t="s">
        <v>165</v>
      </c>
      <c r="I328" s="4" t="s">
        <v>559</v>
      </c>
      <c r="J328" s="4" t="s">
        <v>302</v>
      </c>
      <c r="K328" s="4" t="str">
        <f>IF(E328="KTG","KTG",(VLOOKUP(J328,'list of outsource'!B:H,2,0)))</f>
        <v>ETC</v>
      </c>
      <c r="L328" s="4" t="s">
        <v>303</v>
      </c>
      <c r="M328" s="4">
        <v>62</v>
      </c>
      <c r="N328" s="4" t="s">
        <v>495</v>
      </c>
      <c r="O328" s="2"/>
      <c r="P328" s="4" t="s">
        <v>560</v>
      </c>
      <c r="Q328" s="4">
        <v>1194209127</v>
      </c>
      <c r="R328" s="12" t="s">
        <v>549</v>
      </c>
      <c r="S328" s="4">
        <v>1</v>
      </c>
      <c r="T328" s="4" t="s">
        <v>307</v>
      </c>
      <c r="U328" s="4" t="s">
        <v>183</v>
      </c>
      <c r="V328" s="10">
        <v>45321</v>
      </c>
      <c r="W328" s="12">
        <v>45548</v>
      </c>
    </row>
    <row r="329" spans="1:26" customFormat="1" hidden="1">
      <c r="A329">
        <f t="shared" ca="1" si="5"/>
        <v>26</v>
      </c>
      <c r="B329" s="9" t="s">
        <v>558</v>
      </c>
      <c r="C329" s="12">
        <v>45882</v>
      </c>
      <c r="D329" s="4" t="s">
        <v>300</v>
      </c>
      <c r="E329" s="4" t="s">
        <v>3662</v>
      </c>
      <c r="F329" s="4">
        <v>53</v>
      </c>
      <c r="G329" s="4" t="s">
        <v>86</v>
      </c>
      <c r="H329" s="4" t="s">
        <v>165</v>
      </c>
      <c r="I329" s="4" t="s">
        <v>559</v>
      </c>
      <c r="J329" s="4" t="s">
        <v>302</v>
      </c>
      <c r="K329" s="4" t="str">
        <f>IF(E329="KTG","KTG",(VLOOKUP(J329,'list of outsource'!B:H,2,0)))</f>
        <v>ETC</v>
      </c>
      <c r="L329" s="4" t="s">
        <v>303</v>
      </c>
      <c r="M329" s="47">
        <v>73</v>
      </c>
      <c r="N329" s="4" t="s">
        <v>495</v>
      </c>
      <c r="O329" s="2"/>
      <c r="P329" s="4" t="s">
        <v>560</v>
      </c>
      <c r="Q329" s="4" t="s">
        <v>2963</v>
      </c>
      <c r="R329" s="12" t="s">
        <v>549</v>
      </c>
      <c r="S329" s="4">
        <v>1</v>
      </c>
      <c r="T329" s="4" t="s">
        <v>307</v>
      </c>
      <c r="U329" s="4" t="s">
        <v>183</v>
      </c>
      <c r="V329" s="10">
        <v>45908</v>
      </c>
      <c r="W329" s="12">
        <v>45958</v>
      </c>
    </row>
    <row r="330" spans="1:26" customFormat="1">
      <c r="A330">
        <f t="shared" ca="1" si="5"/>
        <v>1</v>
      </c>
      <c r="B330" s="49" t="s">
        <v>797</v>
      </c>
      <c r="C330" s="12">
        <v>45417</v>
      </c>
      <c r="D330" s="4" t="s">
        <v>1070</v>
      </c>
      <c r="E330" s="4" t="s">
        <v>3662</v>
      </c>
      <c r="F330" s="4"/>
      <c r="G330" s="106" t="s">
        <v>86</v>
      </c>
      <c r="H330" s="106" t="s">
        <v>165</v>
      </c>
      <c r="I330" s="49" t="s">
        <v>798</v>
      </c>
      <c r="J330" s="4" t="s">
        <v>302</v>
      </c>
      <c r="K330" s="4" t="str">
        <f>IF(E330="KTG","KTG",(VLOOKUP(J330,'list of outsource'!B:H,2,0)))</f>
        <v>ETC</v>
      </c>
      <c r="L330" s="4" t="s">
        <v>303</v>
      </c>
      <c r="M330" s="4">
        <v>59</v>
      </c>
      <c r="N330" s="4" t="s">
        <v>487</v>
      </c>
      <c r="O330" s="2" t="s">
        <v>3684</v>
      </c>
      <c r="P330" s="4" t="s">
        <v>799</v>
      </c>
      <c r="Q330" s="4">
        <v>1210982220</v>
      </c>
      <c r="R330" s="12" t="s">
        <v>549</v>
      </c>
      <c r="S330" s="4">
        <v>1</v>
      </c>
      <c r="T330" s="4" t="s">
        <v>307</v>
      </c>
      <c r="U330" s="4" t="s">
        <v>550</v>
      </c>
      <c r="V330" s="10">
        <v>45418</v>
      </c>
      <c r="W330" s="12">
        <v>45432</v>
      </c>
      <c r="Z330" t="e">
        <v>#N/A</v>
      </c>
    </row>
    <row r="331" spans="1:26" customFormat="1">
      <c r="A331">
        <f t="shared" ca="1" si="5"/>
        <v>1</v>
      </c>
      <c r="B331" s="49" t="s">
        <v>797</v>
      </c>
      <c r="C331" s="12">
        <v>45791</v>
      </c>
      <c r="D331" s="4" t="s">
        <v>300</v>
      </c>
      <c r="E331" s="4" t="s">
        <v>3662</v>
      </c>
      <c r="F331" s="4"/>
      <c r="G331" s="106" t="s">
        <v>86</v>
      </c>
      <c r="H331" s="106" t="s">
        <v>165</v>
      </c>
      <c r="I331" s="49" t="s">
        <v>798</v>
      </c>
      <c r="J331" s="4" t="s">
        <v>302</v>
      </c>
      <c r="K331" s="4" t="str">
        <f>IF(E331="KTG","KTG",(VLOOKUP(J331,'list of outsource'!B:H,2,0)))</f>
        <v>ETC</v>
      </c>
      <c r="L331" s="4" t="s">
        <v>303</v>
      </c>
      <c r="M331" s="4">
        <v>68</v>
      </c>
      <c r="N331" s="4" t="s">
        <v>487</v>
      </c>
      <c r="O331" s="2" t="s">
        <v>3684</v>
      </c>
      <c r="P331" s="4" t="s">
        <v>799</v>
      </c>
      <c r="Q331" s="4" t="s">
        <v>2489</v>
      </c>
      <c r="R331" s="12"/>
      <c r="S331" s="4">
        <v>1</v>
      </c>
      <c r="T331" s="4" t="s">
        <v>307</v>
      </c>
      <c r="U331" s="4" t="s">
        <v>550</v>
      </c>
      <c r="V331" s="10">
        <v>45792</v>
      </c>
      <c r="W331" s="12">
        <v>45799</v>
      </c>
      <c r="Z331" t="e">
        <v>#N/A</v>
      </c>
    </row>
    <row r="332" spans="1:26" customFormat="1">
      <c r="A332">
        <f t="shared" ref="A332:A395" ca="1" si="6">IF(V332="",(TODAY()-C332),(V332-C332))</f>
        <v>38</v>
      </c>
      <c r="B332" s="104" t="s">
        <v>856</v>
      </c>
      <c r="C332" s="16">
        <v>45055</v>
      </c>
      <c r="D332" s="6" t="s">
        <v>129</v>
      </c>
      <c r="E332" s="6" t="s">
        <v>3665</v>
      </c>
      <c r="F332" s="6"/>
      <c r="G332" s="106" t="s">
        <v>86</v>
      </c>
      <c r="H332" s="106" t="s">
        <v>165</v>
      </c>
      <c r="I332" s="49" t="s">
        <v>331</v>
      </c>
      <c r="J332" s="6" t="s">
        <v>96</v>
      </c>
      <c r="K332" s="6" t="str">
        <f>IF(E332="KTG","KTG",(VLOOKUP(J332,'list of outsource'!B:H,2,0)))</f>
        <v>Woer</v>
      </c>
      <c r="L332" s="6" t="s">
        <v>97</v>
      </c>
      <c r="M332" s="6"/>
      <c r="N332" s="6" t="s">
        <v>332</v>
      </c>
      <c r="O332" s="2" t="s">
        <v>3684</v>
      </c>
      <c r="P332" s="6" t="s">
        <v>857</v>
      </c>
      <c r="Q332" s="6" t="s">
        <v>858</v>
      </c>
      <c r="R332" s="16"/>
      <c r="S332" s="6">
        <v>1</v>
      </c>
      <c r="T332" s="6"/>
      <c r="U332" s="6" t="s">
        <v>183</v>
      </c>
      <c r="V332" s="17">
        <v>45093</v>
      </c>
      <c r="W332" s="16"/>
      <c r="Z332" t="e">
        <v>#N/A</v>
      </c>
    </row>
    <row r="333" spans="1:26" customFormat="1">
      <c r="A333">
        <f t="shared" ca="1" si="6"/>
        <v>37</v>
      </c>
      <c r="B333" s="104" t="s">
        <v>856</v>
      </c>
      <c r="C333" s="16">
        <v>45460</v>
      </c>
      <c r="D333" s="6" t="s">
        <v>129</v>
      </c>
      <c r="E333" s="6" t="s">
        <v>3665</v>
      </c>
      <c r="F333" s="6"/>
      <c r="G333" s="106" t="s">
        <v>86</v>
      </c>
      <c r="H333" s="106" t="s">
        <v>165</v>
      </c>
      <c r="I333" s="49" t="s">
        <v>331</v>
      </c>
      <c r="J333" s="6" t="s">
        <v>96</v>
      </c>
      <c r="K333" s="6" t="str">
        <f>IF(E333="KTG","KTG",(VLOOKUP(J333,'list of outsource'!B:H,2,0)))</f>
        <v>Woer</v>
      </c>
      <c r="L333" s="6" t="s">
        <v>97</v>
      </c>
      <c r="M333" s="6">
        <v>48</v>
      </c>
      <c r="N333" s="6" t="s">
        <v>332</v>
      </c>
      <c r="O333" s="2" t="s">
        <v>3684</v>
      </c>
      <c r="P333" s="6" t="s">
        <v>857</v>
      </c>
      <c r="Q333" s="6" t="s">
        <v>858</v>
      </c>
      <c r="R333" s="16"/>
      <c r="S333" s="6">
        <v>1</v>
      </c>
      <c r="T333" s="6" t="s">
        <v>307</v>
      </c>
      <c r="U333" s="6" t="s">
        <v>550</v>
      </c>
      <c r="V333" s="17">
        <v>45497</v>
      </c>
      <c r="W333" s="16"/>
      <c r="Z333" t="e">
        <v>#N/A</v>
      </c>
    </row>
    <row r="334" spans="1:26" customFormat="1">
      <c r="A334">
        <f t="shared" ca="1" si="6"/>
        <v>38</v>
      </c>
      <c r="B334" s="104" t="s">
        <v>859</v>
      </c>
      <c r="C334" s="16">
        <v>45055</v>
      </c>
      <c r="D334" s="6" t="s">
        <v>129</v>
      </c>
      <c r="E334" s="6" t="s">
        <v>3665</v>
      </c>
      <c r="F334" s="6"/>
      <c r="G334" s="106" t="s">
        <v>86</v>
      </c>
      <c r="H334" s="106" t="s">
        <v>165</v>
      </c>
      <c r="I334" s="49" t="s">
        <v>281</v>
      </c>
      <c r="J334" s="6" t="s">
        <v>96</v>
      </c>
      <c r="K334" s="6" t="str">
        <f>IF(E334="KTG","KTG",(VLOOKUP(J334,'list of outsource'!B:H,2,0)))</f>
        <v>Woer</v>
      </c>
      <c r="L334" s="6" t="s">
        <v>97</v>
      </c>
      <c r="M334" s="6"/>
      <c r="N334" s="6" t="s">
        <v>282</v>
      </c>
      <c r="O334" s="2" t="s">
        <v>3684</v>
      </c>
      <c r="P334" s="6" t="s">
        <v>860</v>
      </c>
      <c r="Q334" s="6" t="s">
        <v>861</v>
      </c>
      <c r="R334" s="16"/>
      <c r="S334" s="6">
        <v>1</v>
      </c>
      <c r="T334" s="6"/>
      <c r="U334" s="6" t="s">
        <v>183</v>
      </c>
      <c r="V334" s="17">
        <v>45093</v>
      </c>
      <c r="W334" s="16"/>
      <c r="Z334" t="e">
        <v>#N/A</v>
      </c>
    </row>
    <row r="335" spans="1:26" customFormat="1">
      <c r="A335">
        <f t="shared" ca="1" si="6"/>
        <v>21</v>
      </c>
      <c r="B335" s="49" t="s">
        <v>882</v>
      </c>
      <c r="C335" s="12">
        <v>45068</v>
      </c>
      <c r="D335" s="4" t="s">
        <v>504</v>
      </c>
      <c r="E335" s="4" t="s">
        <v>3662</v>
      </c>
      <c r="F335" s="4"/>
      <c r="G335" s="106" t="s">
        <v>86</v>
      </c>
      <c r="H335" s="106" t="s">
        <v>165</v>
      </c>
      <c r="I335" s="49" t="s">
        <v>883</v>
      </c>
      <c r="J335" s="4" t="s">
        <v>490</v>
      </c>
      <c r="K335" s="4" t="str">
        <f>IF(E335="KTG","KTG",(VLOOKUP(J335,'list of outsource'!B:H,2,0)))</f>
        <v>ETC</v>
      </c>
      <c r="L335" s="4" t="s">
        <v>491</v>
      </c>
      <c r="M335" s="4"/>
      <c r="N335" s="4" t="s">
        <v>884</v>
      </c>
      <c r="O335" s="2" t="s">
        <v>3684</v>
      </c>
      <c r="P335" s="4" t="s">
        <v>885</v>
      </c>
      <c r="Q335" s="4">
        <v>1229352086</v>
      </c>
      <c r="R335" s="12"/>
      <c r="S335" s="4">
        <v>2</v>
      </c>
      <c r="T335" s="4"/>
      <c r="U335" s="4" t="s">
        <v>39</v>
      </c>
      <c r="V335" s="10">
        <v>45089</v>
      </c>
      <c r="W335" s="12">
        <v>45122</v>
      </c>
      <c r="Z335" t="e">
        <v>#N/A</v>
      </c>
    </row>
    <row r="336" spans="1:26" customFormat="1">
      <c r="A336">
        <f t="shared" ca="1" si="6"/>
        <v>40</v>
      </c>
      <c r="B336" s="49" t="s">
        <v>882</v>
      </c>
      <c r="C336" s="12">
        <v>45458</v>
      </c>
      <c r="D336" s="4" t="s">
        <v>1070</v>
      </c>
      <c r="E336" s="4" t="s">
        <v>3662</v>
      </c>
      <c r="F336" s="4"/>
      <c r="G336" s="106" t="s">
        <v>86</v>
      </c>
      <c r="H336" s="106" t="s">
        <v>165</v>
      </c>
      <c r="I336" s="49" t="s">
        <v>883</v>
      </c>
      <c r="J336" s="4" t="s">
        <v>490</v>
      </c>
      <c r="K336" s="4" t="str">
        <f>IF(E336="KTG","KTG",(VLOOKUP(J336,'list of outsource'!B:H,2,0)))</f>
        <v>ETC</v>
      </c>
      <c r="L336" s="4" t="s">
        <v>491</v>
      </c>
      <c r="M336" s="4"/>
      <c r="N336" s="4" t="s">
        <v>884</v>
      </c>
      <c r="O336" s="2" t="s">
        <v>3684</v>
      </c>
      <c r="P336" s="4" t="s">
        <v>885</v>
      </c>
      <c r="Q336" s="4">
        <v>1229352086</v>
      </c>
      <c r="R336" s="12"/>
      <c r="S336" s="4">
        <v>1</v>
      </c>
      <c r="T336" s="4" t="s">
        <v>307</v>
      </c>
      <c r="U336" s="4" t="s">
        <v>550</v>
      </c>
      <c r="V336" s="10">
        <v>45498</v>
      </c>
      <c r="W336" s="12">
        <v>45538</v>
      </c>
      <c r="Z336" t="e">
        <v>#N/A</v>
      </c>
    </row>
    <row r="337" spans="1:26" customFormat="1">
      <c r="A337">
        <f t="shared" ca="1" si="6"/>
        <v>18</v>
      </c>
      <c r="B337" s="104" t="s">
        <v>882</v>
      </c>
      <c r="C337" s="12">
        <v>45872</v>
      </c>
      <c r="D337" s="4" t="s">
        <v>300</v>
      </c>
      <c r="E337" s="4" t="s">
        <v>3662</v>
      </c>
      <c r="F337" s="4"/>
      <c r="G337" s="106" t="s">
        <v>86</v>
      </c>
      <c r="H337" s="106" t="s">
        <v>165</v>
      </c>
      <c r="I337" s="49" t="s">
        <v>883</v>
      </c>
      <c r="J337" s="4" t="s">
        <v>490</v>
      </c>
      <c r="K337" s="4" t="str">
        <f>IF(E337="KTG","KTG",(VLOOKUP(J337,'list of outsource'!B:H,2,0)))</f>
        <v>ETC</v>
      </c>
      <c r="L337" s="4" t="s">
        <v>491</v>
      </c>
      <c r="M337" s="47">
        <v>34</v>
      </c>
      <c r="N337" s="4" t="s">
        <v>884</v>
      </c>
      <c r="O337" s="2" t="s">
        <v>3684</v>
      </c>
      <c r="P337" s="4" t="s">
        <v>885</v>
      </c>
      <c r="Q337" s="4" t="s">
        <v>2951</v>
      </c>
      <c r="R337" s="12"/>
      <c r="S337" s="4">
        <v>1</v>
      </c>
      <c r="T337" s="4" t="s">
        <v>307</v>
      </c>
      <c r="U337" s="4" t="s">
        <v>550</v>
      </c>
      <c r="V337" s="10">
        <v>45890</v>
      </c>
      <c r="W337" s="12">
        <v>45959</v>
      </c>
    </row>
    <row r="338" spans="1:26" customFormat="1">
      <c r="A338">
        <f t="shared" ca="1" si="6"/>
        <v>21</v>
      </c>
      <c r="B338" s="49" t="s">
        <v>886</v>
      </c>
      <c r="C338" s="12">
        <v>45068</v>
      </c>
      <c r="D338" s="4" t="s">
        <v>504</v>
      </c>
      <c r="E338" s="4" t="s">
        <v>3662</v>
      </c>
      <c r="F338" s="4"/>
      <c r="G338" s="106" t="s">
        <v>86</v>
      </c>
      <c r="H338" s="106" t="s">
        <v>165</v>
      </c>
      <c r="I338" s="49" t="s">
        <v>887</v>
      </c>
      <c r="J338" s="4" t="s">
        <v>490</v>
      </c>
      <c r="K338" s="4" t="str">
        <f>IF(E338="KTG","KTG",(VLOOKUP(J338,'list of outsource'!B:H,2,0)))</f>
        <v>ETC</v>
      </c>
      <c r="L338" s="4" t="s">
        <v>491</v>
      </c>
      <c r="M338" s="4"/>
      <c r="N338" s="4" t="s">
        <v>499</v>
      </c>
      <c r="O338" s="2" t="s">
        <v>3684</v>
      </c>
      <c r="P338" s="4" t="s">
        <v>888</v>
      </c>
      <c r="Q338" s="4">
        <v>1229357372</v>
      </c>
      <c r="R338" s="12"/>
      <c r="S338" s="4">
        <v>2</v>
      </c>
      <c r="T338" s="4"/>
      <c r="U338" s="4" t="s">
        <v>39</v>
      </c>
      <c r="V338" s="10">
        <v>45089</v>
      </c>
      <c r="W338" s="12"/>
      <c r="Z338" t="e">
        <v>#N/A</v>
      </c>
    </row>
    <row r="339" spans="1:26" customFormat="1" hidden="1">
      <c r="A339">
        <f t="shared" ca="1" si="6"/>
        <v>22</v>
      </c>
      <c r="B339" s="8" t="s">
        <v>796</v>
      </c>
      <c r="C339" s="16">
        <v>45035</v>
      </c>
      <c r="D339" s="6" t="s">
        <v>129</v>
      </c>
      <c r="E339" s="6" t="s">
        <v>3665</v>
      </c>
      <c r="F339" s="6">
        <v>43</v>
      </c>
      <c r="G339" s="6" t="s">
        <v>86</v>
      </c>
      <c r="H339" s="6" t="s">
        <v>165</v>
      </c>
      <c r="I339" s="6" t="s">
        <v>179</v>
      </c>
      <c r="J339" s="6" t="s">
        <v>108</v>
      </c>
      <c r="K339" s="6" t="str">
        <f>IF(E339="KTG","KTG",(VLOOKUP(J339,'list of outsource'!B:H,2,0)))</f>
        <v>UPM</v>
      </c>
      <c r="L339" s="6" t="s">
        <v>109</v>
      </c>
      <c r="M339" s="6"/>
      <c r="N339" s="6" t="s">
        <v>180</v>
      </c>
      <c r="O339" s="2"/>
      <c r="P339" s="6" t="s">
        <v>657</v>
      </c>
      <c r="Q339" s="6">
        <v>1202433545</v>
      </c>
      <c r="R339" s="16"/>
      <c r="S339" s="6">
        <v>2</v>
      </c>
      <c r="T339" s="6"/>
      <c r="U339" s="6" t="s">
        <v>183</v>
      </c>
      <c r="V339" s="17">
        <v>45057</v>
      </c>
      <c r="W339" s="16"/>
      <c r="Z339" t="e">
        <v>#N/A</v>
      </c>
    </row>
    <row r="340" spans="1:26" customFormat="1" hidden="1">
      <c r="A340">
        <f t="shared" ca="1" si="6"/>
        <v>4</v>
      </c>
      <c r="B340" s="4" t="s">
        <v>796</v>
      </c>
      <c r="C340" s="12">
        <v>45394</v>
      </c>
      <c r="D340" s="4" t="s">
        <v>1070</v>
      </c>
      <c r="E340" s="4" t="s">
        <v>3665</v>
      </c>
      <c r="F340" s="4">
        <v>43</v>
      </c>
      <c r="G340" s="4" t="s">
        <v>86</v>
      </c>
      <c r="H340" s="4" t="s">
        <v>165</v>
      </c>
      <c r="I340" s="4" t="s">
        <v>179</v>
      </c>
      <c r="J340" s="4" t="s">
        <v>108</v>
      </c>
      <c r="K340" s="4" t="str">
        <f>IF(E340="KTG","KTG",(VLOOKUP(J340,'list of outsource'!B:H,2,0)))</f>
        <v>UPM</v>
      </c>
      <c r="L340" s="4" t="s">
        <v>109</v>
      </c>
      <c r="M340" s="4">
        <v>38</v>
      </c>
      <c r="N340" s="4" t="s">
        <v>180</v>
      </c>
      <c r="O340" s="2"/>
      <c r="P340" s="4" t="s">
        <v>657</v>
      </c>
      <c r="Q340" s="4">
        <v>1202433545</v>
      </c>
      <c r="R340" s="12" t="s">
        <v>549</v>
      </c>
      <c r="S340" s="4">
        <v>1</v>
      </c>
      <c r="T340" s="4" t="s">
        <v>307</v>
      </c>
      <c r="U340" s="4" t="s">
        <v>183</v>
      </c>
      <c r="V340" s="10">
        <v>45398</v>
      </c>
      <c r="W340" s="12">
        <v>45401</v>
      </c>
      <c r="Z340" t="e">
        <v>#N/A</v>
      </c>
    </row>
    <row r="341" spans="1:26" customFormat="1" hidden="1">
      <c r="A341">
        <f t="shared" ca="1" si="6"/>
        <v>6</v>
      </c>
      <c r="B341" s="4" t="s">
        <v>796</v>
      </c>
      <c r="C341" s="12">
        <v>45791</v>
      </c>
      <c r="D341" s="4" t="s">
        <v>300</v>
      </c>
      <c r="E341" s="4" t="s">
        <v>3665</v>
      </c>
      <c r="F341" s="4">
        <v>43</v>
      </c>
      <c r="G341" s="4" t="s">
        <v>86</v>
      </c>
      <c r="H341" s="4" t="s">
        <v>165</v>
      </c>
      <c r="I341" s="4" t="s">
        <v>179</v>
      </c>
      <c r="J341" s="4" t="s">
        <v>108</v>
      </c>
      <c r="K341" s="4" t="str">
        <f>IF(E341="KTG","KTG",(VLOOKUP(J341,'list of outsource'!B:H,2,0)))</f>
        <v>UPM</v>
      </c>
      <c r="L341" s="4" t="s">
        <v>109</v>
      </c>
      <c r="M341" s="4">
        <v>45</v>
      </c>
      <c r="N341" s="4" t="s">
        <v>180</v>
      </c>
      <c r="O341" s="2"/>
      <c r="P341" s="4" t="s">
        <v>657</v>
      </c>
      <c r="Q341" s="4" t="s">
        <v>2488</v>
      </c>
      <c r="R341" s="12"/>
      <c r="S341" s="4">
        <v>1</v>
      </c>
      <c r="T341" s="4" t="s">
        <v>307</v>
      </c>
      <c r="U341" s="4" t="s">
        <v>183</v>
      </c>
      <c r="V341" s="10">
        <v>45797</v>
      </c>
      <c r="W341" s="12">
        <v>45798</v>
      </c>
      <c r="Z341" t="e">
        <v>#N/A</v>
      </c>
    </row>
    <row r="342" spans="1:26" customFormat="1">
      <c r="A342">
        <f t="shared" ca="1" si="6"/>
        <v>21</v>
      </c>
      <c r="B342" s="49" t="s">
        <v>886</v>
      </c>
      <c r="C342" s="12">
        <v>45525</v>
      </c>
      <c r="D342" s="4" t="s">
        <v>1070</v>
      </c>
      <c r="E342" s="4" t="s">
        <v>3662</v>
      </c>
      <c r="F342" s="4"/>
      <c r="G342" s="106" t="s">
        <v>86</v>
      </c>
      <c r="H342" s="106" t="s">
        <v>165</v>
      </c>
      <c r="I342" s="49" t="s">
        <v>887</v>
      </c>
      <c r="J342" s="4" t="s">
        <v>490</v>
      </c>
      <c r="K342" s="4" t="str">
        <f>IF(E342="KTG","KTG",(VLOOKUP(J342,'list of outsource'!B:H,2,0)))</f>
        <v>ETC</v>
      </c>
      <c r="L342" s="4" t="s">
        <v>491</v>
      </c>
      <c r="M342" s="4">
        <v>27</v>
      </c>
      <c r="N342" s="4" t="s">
        <v>499</v>
      </c>
      <c r="O342" s="2" t="s">
        <v>3684</v>
      </c>
      <c r="P342" s="4" t="s">
        <v>888</v>
      </c>
      <c r="Q342" s="4" t="s">
        <v>2065</v>
      </c>
      <c r="R342" s="12"/>
      <c r="S342" s="4">
        <v>1</v>
      </c>
      <c r="T342" s="4" t="s">
        <v>307</v>
      </c>
      <c r="U342" s="4" t="s">
        <v>183</v>
      </c>
      <c r="V342" s="10">
        <v>45546</v>
      </c>
      <c r="W342" s="12">
        <v>45552</v>
      </c>
      <c r="Z342" t="e">
        <v>#N/A</v>
      </c>
    </row>
    <row r="343" spans="1:26" customFormat="1">
      <c r="A343">
        <f t="shared" ca="1" si="6"/>
        <v>31</v>
      </c>
      <c r="B343" s="104" t="s">
        <v>886</v>
      </c>
      <c r="C343" s="12">
        <v>45886</v>
      </c>
      <c r="D343" s="4" t="s">
        <v>300</v>
      </c>
      <c r="E343" s="4" t="s">
        <v>3662</v>
      </c>
      <c r="F343" s="4"/>
      <c r="G343" s="106" t="s">
        <v>86</v>
      </c>
      <c r="H343" s="106" t="s">
        <v>165</v>
      </c>
      <c r="I343" s="49" t="s">
        <v>887</v>
      </c>
      <c r="J343" s="4" t="s">
        <v>490</v>
      </c>
      <c r="K343" s="4" t="str">
        <f>IF(E343="KTG","KTG",(VLOOKUP(J343,'list of outsource'!B:H,2,0)))</f>
        <v>ETC</v>
      </c>
      <c r="L343" s="4" t="s">
        <v>491</v>
      </c>
      <c r="M343" s="47">
        <v>34</v>
      </c>
      <c r="N343" s="4" t="s">
        <v>499</v>
      </c>
      <c r="O343" s="2" t="s">
        <v>3684</v>
      </c>
      <c r="P343" s="4" t="s">
        <v>888</v>
      </c>
      <c r="Q343" s="4" t="s">
        <v>2964</v>
      </c>
      <c r="R343" s="12"/>
      <c r="S343" s="4">
        <v>1</v>
      </c>
      <c r="T343" s="4" t="s">
        <v>307</v>
      </c>
      <c r="U343" s="4" t="s">
        <v>183</v>
      </c>
      <c r="V343" s="10">
        <v>45917</v>
      </c>
      <c r="W343" s="12">
        <v>45959</v>
      </c>
    </row>
    <row r="344" spans="1:26" customFormat="1">
      <c r="A344">
        <f t="shared" ca="1" si="6"/>
        <v>21</v>
      </c>
      <c r="B344" s="49" t="s">
        <v>889</v>
      </c>
      <c r="C344" s="12">
        <v>45068</v>
      </c>
      <c r="D344" s="4" t="s">
        <v>504</v>
      </c>
      <c r="E344" s="4" t="s">
        <v>3662</v>
      </c>
      <c r="F344" s="4"/>
      <c r="G344" s="106" t="s">
        <v>86</v>
      </c>
      <c r="H344" s="106" t="s">
        <v>165</v>
      </c>
      <c r="I344" s="49" t="s">
        <v>890</v>
      </c>
      <c r="J344" s="4" t="s">
        <v>490</v>
      </c>
      <c r="K344" s="4" t="str">
        <f>IF(E344="KTG","KTG",(VLOOKUP(J344,'list of outsource'!B:H,2,0)))</f>
        <v>ETC</v>
      </c>
      <c r="L344" s="4" t="s">
        <v>491</v>
      </c>
      <c r="M344" s="4"/>
      <c r="N344" s="4" t="s">
        <v>891</v>
      </c>
      <c r="O344" s="2" t="s">
        <v>3684</v>
      </c>
      <c r="P344" s="4" t="s">
        <v>892</v>
      </c>
      <c r="Q344" s="4">
        <v>1229358998</v>
      </c>
      <c r="R344" s="12"/>
      <c r="S344" s="4">
        <v>2</v>
      </c>
      <c r="T344" s="4"/>
      <c r="U344" s="4" t="s">
        <v>39</v>
      </c>
      <c r="V344" s="10">
        <v>45089</v>
      </c>
      <c r="W344" s="12" t="s">
        <v>893</v>
      </c>
      <c r="Z344" t="e">
        <v>#N/A</v>
      </c>
    </row>
    <row r="345" spans="1:26" customFormat="1" hidden="1">
      <c r="A345">
        <f t="shared" ca="1" si="6"/>
        <v>30</v>
      </c>
      <c r="B345" s="4" t="s">
        <v>805</v>
      </c>
      <c r="C345" s="12">
        <v>45047</v>
      </c>
      <c r="D345" s="4" t="s">
        <v>504</v>
      </c>
      <c r="E345" s="4" t="s">
        <v>3665</v>
      </c>
      <c r="F345" s="4">
        <v>40</v>
      </c>
      <c r="G345" s="4" t="s">
        <v>86</v>
      </c>
      <c r="H345" s="4" t="s">
        <v>165</v>
      </c>
      <c r="I345" s="4" t="s">
        <v>170</v>
      </c>
      <c r="J345" s="4" t="s">
        <v>108</v>
      </c>
      <c r="K345" s="4" t="str">
        <f>IF(E345="KTG","KTG",(VLOOKUP(J345,'list of outsource'!B:H,2,0)))</f>
        <v>UPM</v>
      </c>
      <c r="L345" s="4" t="s">
        <v>109</v>
      </c>
      <c r="M345" s="4">
        <v>33</v>
      </c>
      <c r="N345" s="4" t="s">
        <v>171</v>
      </c>
      <c r="O345" s="2"/>
      <c r="P345" s="4" t="s">
        <v>806</v>
      </c>
      <c r="Q345" s="4" t="s">
        <v>807</v>
      </c>
      <c r="R345" s="12"/>
      <c r="S345" s="4">
        <v>2</v>
      </c>
      <c r="T345" s="4"/>
      <c r="U345" s="4" t="s">
        <v>183</v>
      </c>
      <c r="V345" s="10">
        <v>45077</v>
      </c>
      <c r="W345" s="12">
        <v>45187</v>
      </c>
      <c r="Z345" t="e">
        <v>#N/A</v>
      </c>
    </row>
    <row r="346" spans="1:26" customFormat="1" hidden="1">
      <c r="A346">
        <f t="shared" ca="1" si="6"/>
        <v>0</v>
      </c>
      <c r="B346" s="4" t="s">
        <v>805</v>
      </c>
      <c r="C346" s="12">
        <v>45764</v>
      </c>
      <c r="D346" s="4" t="s">
        <v>300</v>
      </c>
      <c r="E346" s="4" t="s">
        <v>3665</v>
      </c>
      <c r="F346" s="4">
        <v>40</v>
      </c>
      <c r="G346" s="4" t="s">
        <v>86</v>
      </c>
      <c r="H346" s="4" t="s">
        <v>165</v>
      </c>
      <c r="I346" s="4" t="s">
        <v>170</v>
      </c>
      <c r="J346" s="4" t="s">
        <v>108</v>
      </c>
      <c r="K346" s="4" t="str">
        <f>IF(E346="KTG","KTG",(VLOOKUP(J346,'list of outsource'!B:H,2,0)))</f>
        <v>UPM</v>
      </c>
      <c r="L346" s="4" t="s">
        <v>109</v>
      </c>
      <c r="M346" s="4">
        <v>45</v>
      </c>
      <c r="N346" s="4" t="s">
        <v>171</v>
      </c>
      <c r="O346" s="2"/>
      <c r="P346" s="4" t="s">
        <v>806</v>
      </c>
      <c r="Q346" s="4" t="s">
        <v>3348</v>
      </c>
      <c r="R346" s="12"/>
      <c r="S346" s="4">
        <v>1</v>
      </c>
      <c r="T346" s="4" t="s">
        <v>307</v>
      </c>
      <c r="U346" s="4" t="s">
        <v>183</v>
      </c>
      <c r="V346" s="10">
        <v>45764</v>
      </c>
      <c r="W346" s="12">
        <v>45764</v>
      </c>
      <c r="X346" t="s">
        <v>2171</v>
      </c>
      <c r="Z346" t="e">
        <v>#N/A</v>
      </c>
    </row>
    <row r="347" spans="1:26" customFormat="1" hidden="1">
      <c r="A347">
        <f t="shared" ca="1" si="6"/>
        <v>24</v>
      </c>
      <c r="B347" s="4" t="s">
        <v>844</v>
      </c>
      <c r="C347" s="12">
        <v>45053</v>
      </c>
      <c r="D347" s="4" t="s">
        <v>504</v>
      </c>
      <c r="E347" s="4" t="s">
        <v>3665</v>
      </c>
      <c r="F347" s="4">
        <v>44</v>
      </c>
      <c r="G347" s="4" t="s">
        <v>86</v>
      </c>
      <c r="H347" s="4" t="s">
        <v>165</v>
      </c>
      <c r="I347" s="4" t="s">
        <v>185</v>
      </c>
      <c r="J347" s="4" t="s">
        <v>108</v>
      </c>
      <c r="K347" s="4" t="str">
        <f>IF(E347="KTG","KTG",(VLOOKUP(J347,'list of outsource'!B:H,2,0)))</f>
        <v>UPM</v>
      </c>
      <c r="L347" s="4" t="s">
        <v>109</v>
      </c>
      <c r="M347" s="4"/>
      <c r="N347" s="4" t="s">
        <v>186</v>
      </c>
      <c r="O347" s="2"/>
      <c r="P347" s="4" t="s">
        <v>845</v>
      </c>
      <c r="Q347" s="4" t="s">
        <v>846</v>
      </c>
      <c r="R347" s="12"/>
      <c r="S347" s="4">
        <v>2</v>
      </c>
      <c r="T347" s="4"/>
      <c r="U347" s="4" t="s">
        <v>183</v>
      </c>
      <c r="V347" s="10">
        <v>45077</v>
      </c>
      <c r="W347" s="12" t="s">
        <v>847</v>
      </c>
      <c r="Z347" t="e">
        <v>#N/A</v>
      </c>
    </row>
    <row r="348" spans="1:26" customFormat="1" hidden="1">
      <c r="A348">
        <f t="shared" ca="1" si="6"/>
        <v>24</v>
      </c>
      <c r="B348" s="4" t="s">
        <v>844</v>
      </c>
      <c r="C348" s="12">
        <v>45768</v>
      </c>
      <c r="D348" s="4" t="s">
        <v>300</v>
      </c>
      <c r="E348" s="4" t="s">
        <v>3665</v>
      </c>
      <c r="F348" s="4">
        <v>44</v>
      </c>
      <c r="G348" s="4" t="s">
        <v>86</v>
      </c>
      <c r="H348" s="4" t="s">
        <v>165</v>
      </c>
      <c r="I348" s="4" t="s">
        <v>185</v>
      </c>
      <c r="J348" s="4" t="s">
        <v>108</v>
      </c>
      <c r="K348" s="4" t="str">
        <f>IF(E348="KTG","KTG",(VLOOKUP(J348,'list of outsource'!B:H,2,0)))</f>
        <v>UPM</v>
      </c>
      <c r="L348" s="4" t="s">
        <v>109</v>
      </c>
      <c r="M348" s="4">
        <v>45</v>
      </c>
      <c r="N348" s="4" t="s">
        <v>186</v>
      </c>
      <c r="O348" s="2"/>
      <c r="P348" s="4" t="s">
        <v>845</v>
      </c>
      <c r="Q348" s="4" t="s">
        <v>2454</v>
      </c>
      <c r="R348" s="12"/>
      <c r="S348" s="4">
        <v>1</v>
      </c>
      <c r="T348" s="4" t="s">
        <v>307</v>
      </c>
      <c r="U348" s="4" t="s">
        <v>183</v>
      </c>
      <c r="V348" s="10">
        <v>45792</v>
      </c>
      <c r="W348" s="12">
        <v>45799</v>
      </c>
      <c r="Z348" t="e">
        <v>#N/A</v>
      </c>
    </row>
    <row r="349" spans="1:26" customFormat="1" hidden="1">
      <c r="A349">
        <f t="shared" ca="1" si="6"/>
        <v>24</v>
      </c>
      <c r="B349" s="8" t="s">
        <v>848</v>
      </c>
      <c r="C349" s="16">
        <v>45053</v>
      </c>
      <c r="D349" s="6" t="s">
        <v>129</v>
      </c>
      <c r="E349" s="6" t="s">
        <v>3665</v>
      </c>
      <c r="F349" s="6">
        <v>47</v>
      </c>
      <c r="G349" s="6" t="s">
        <v>86</v>
      </c>
      <c r="H349" s="6" t="s">
        <v>165</v>
      </c>
      <c r="I349" s="6" t="s">
        <v>237</v>
      </c>
      <c r="J349" s="6" t="s">
        <v>108</v>
      </c>
      <c r="K349" s="6" t="str">
        <f>IF(E349="KTG","KTG",(VLOOKUP(J349,'list of outsource'!B:H,2,0)))</f>
        <v>UPM</v>
      </c>
      <c r="L349" s="6" t="s">
        <v>109</v>
      </c>
      <c r="M349" s="6"/>
      <c r="N349" s="6" t="s">
        <v>238</v>
      </c>
      <c r="O349" s="2"/>
      <c r="P349" s="6" t="s">
        <v>459</v>
      </c>
      <c r="Q349" s="6" t="s">
        <v>849</v>
      </c>
      <c r="R349" s="16"/>
      <c r="S349" s="6">
        <v>2</v>
      </c>
      <c r="T349" s="6"/>
      <c r="U349" s="6" t="s">
        <v>183</v>
      </c>
      <c r="V349" s="17">
        <v>45077</v>
      </c>
      <c r="W349" s="16"/>
      <c r="Z349">
        <v>0</v>
      </c>
    </row>
    <row r="350" spans="1:26" customFormat="1" hidden="1">
      <c r="A350">
        <f t="shared" ca="1" si="6"/>
        <v>1</v>
      </c>
      <c r="B350" s="4" t="s">
        <v>848</v>
      </c>
      <c r="C350" s="12">
        <v>45385</v>
      </c>
      <c r="D350" s="4" t="s">
        <v>1070</v>
      </c>
      <c r="E350" s="4" t="s">
        <v>3665</v>
      </c>
      <c r="F350" s="4">
        <v>47</v>
      </c>
      <c r="G350" s="4" t="s">
        <v>86</v>
      </c>
      <c r="H350" s="4" t="s">
        <v>165</v>
      </c>
      <c r="I350" s="4" t="s">
        <v>237</v>
      </c>
      <c r="J350" s="4" t="s">
        <v>108</v>
      </c>
      <c r="K350" s="4" t="str">
        <f>IF(E350="KTG","KTG",(VLOOKUP(J350,'list of outsource'!B:H,2,0)))</f>
        <v>UPM</v>
      </c>
      <c r="L350" s="4" t="s">
        <v>109</v>
      </c>
      <c r="M350" s="4">
        <v>38</v>
      </c>
      <c r="N350" s="4" t="s">
        <v>238</v>
      </c>
      <c r="O350" s="2"/>
      <c r="P350" s="4" t="s">
        <v>459</v>
      </c>
      <c r="Q350" s="4" t="s">
        <v>849</v>
      </c>
      <c r="R350" s="12" t="s">
        <v>549</v>
      </c>
      <c r="S350" s="4">
        <v>1</v>
      </c>
      <c r="T350" s="4" t="s">
        <v>307</v>
      </c>
      <c r="U350" s="4" t="s">
        <v>550</v>
      </c>
      <c r="V350" s="10">
        <v>45386</v>
      </c>
      <c r="W350" s="12">
        <v>45386</v>
      </c>
      <c r="Z350">
        <v>0</v>
      </c>
    </row>
    <row r="351" spans="1:26" customFormat="1" hidden="1">
      <c r="A351">
        <f t="shared" ca="1" si="6"/>
        <v>24</v>
      </c>
      <c r="B351" s="4" t="s">
        <v>848</v>
      </c>
      <c r="C351" s="12">
        <v>45720</v>
      </c>
      <c r="D351" s="4" t="s">
        <v>300</v>
      </c>
      <c r="E351" s="4" t="s">
        <v>3665</v>
      </c>
      <c r="F351" s="4">
        <v>47</v>
      </c>
      <c r="G351" s="4" t="s">
        <v>86</v>
      </c>
      <c r="H351" s="4" t="s">
        <v>165</v>
      </c>
      <c r="I351" s="4" t="s">
        <v>237</v>
      </c>
      <c r="J351" s="4" t="s">
        <v>108</v>
      </c>
      <c r="K351" s="4" t="str">
        <f>IF(E351="KTG","KTG",(VLOOKUP(J351,'list of outsource'!B:H,2,0)))</f>
        <v>UPM</v>
      </c>
      <c r="L351" s="4" t="s">
        <v>109</v>
      </c>
      <c r="M351" s="4">
        <v>45</v>
      </c>
      <c r="N351" s="4" t="s">
        <v>238</v>
      </c>
      <c r="O351" s="2"/>
      <c r="P351" s="4" t="s">
        <v>459</v>
      </c>
      <c r="Q351" s="4" t="s">
        <v>3349</v>
      </c>
      <c r="R351" s="12"/>
      <c r="S351" s="4">
        <v>1</v>
      </c>
      <c r="T351" s="4" t="s">
        <v>307</v>
      </c>
      <c r="U351" s="4" t="s">
        <v>550</v>
      </c>
      <c r="V351" s="10">
        <v>45744</v>
      </c>
      <c r="W351" s="12">
        <v>45747</v>
      </c>
      <c r="Z351">
        <v>0</v>
      </c>
    </row>
    <row r="352" spans="1:26" customFormat="1" hidden="1">
      <c r="A352">
        <f t="shared" ca="1" si="6"/>
        <v>23</v>
      </c>
      <c r="B352" s="4" t="s">
        <v>850</v>
      </c>
      <c r="C352" s="12">
        <v>45054</v>
      </c>
      <c r="D352" s="4" t="s">
        <v>504</v>
      </c>
      <c r="E352" s="4" t="s">
        <v>3665</v>
      </c>
      <c r="F352" s="4">
        <v>39</v>
      </c>
      <c r="G352" s="4" t="s">
        <v>86</v>
      </c>
      <c r="H352" s="4" t="s">
        <v>165</v>
      </c>
      <c r="I352" s="4" t="s">
        <v>166</v>
      </c>
      <c r="J352" s="4" t="s">
        <v>108</v>
      </c>
      <c r="K352" s="4" t="str">
        <f>IF(E352="KTG","KTG",(VLOOKUP(J352,'list of outsource'!B:H,2,0)))</f>
        <v>UPM</v>
      </c>
      <c r="L352" s="4" t="s">
        <v>109</v>
      </c>
      <c r="M352" s="4"/>
      <c r="N352" s="4" t="s">
        <v>167</v>
      </c>
      <c r="O352" s="2"/>
      <c r="P352" s="4" t="s">
        <v>851</v>
      </c>
      <c r="Q352" s="4" t="s">
        <v>852</v>
      </c>
      <c r="R352" s="12"/>
      <c r="S352" s="4">
        <v>2</v>
      </c>
      <c r="T352" s="4"/>
      <c r="U352" s="4" t="s">
        <v>183</v>
      </c>
      <c r="V352" s="10">
        <v>45077</v>
      </c>
      <c r="W352" s="12">
        <v>45225</v>
      </c>
      <c r="Z352" t="e">
        <v>#N/A</v>
      </c>
    </row>
    <row r="353" spans="1:26" customFormat="1" hidden="1">
      <c r="A353">
        <f t="shared" ca="1" si="6"/>
        <v>6</v>
      </c>
      <c r="B353" s="4" t="s">
        <v>850</v>
      </c>
      <c r="C353" s="12">
        <v>45791</v>
      </c>
      <c r="D353" s="4" t="s">
        <v>300</v>
      </c>
      <c r="E353" s="4" t="s">
        <v>3665</v>
      </c>
      <c r="F353" s="4">
        <v>39</v>
      </c>
      <c r="G353" s="4" t="s">
        <v>86</v>
      </c>
      <c r="H353" s="4" t="s">
        <v>165</v>
      </c>
      <c r="I353" s="4" t="s">
        <v>166</v>
      </c>
      <c r="J353" s="4" t="s">
        <v>108</v>
      </c>
      <c r="K353" s="4" t="str">
        <f>IF(E353="KTG","KTG",(VLOOKUP(J353,'list of outsource'!B:H,2,0)))</f>
        <v>UPM</v>
      </c>
      <c r="L353" s="4" t="s">
        <v>109</v>
      </c>
      <c r="M353" s="4">
        <v>45</v>
      </c>
      <c r="N353" s="4" t="s">
        <v>167</v>
      </c>
      <c r="O353" s="2"/>
      <c r="P353" s="4" t="s">
        <v>851</v>
      </c>
      <c r="Q353" s="4" t="s">
        <v>2490</v>
      </c>
      <c r="R353" s="12"/>
      <c r="S353" s="4">
        <v>1</v>
      </c>
      <c r="T353" s="4" t="s">
        <v>307</v>
      </c>
      <c r="U353" s="4" t="s">
        <v>183</v>
      </c>
      <c r="V353" s="10">
        <v>45797</v>
      </c>
      <c r="W353" s="12">
        <v>45798</v>
      </c>
      <c r="Z353" t="e">
        <v>#N/A</v>
      </c>
    </row>
    <row r="354" spans="1:26" customFormat="1" hidden="1">
      <c r="A354">
        <f t="shared" ca="1" si="6"/>
        <v>38</v>
      </c>
      <c r="B354" s="8" t="s">
        <v>853</v>
      </c>
      <c r="C354" s="16">
        <v>45055</v>
      </c>
      <c r="D354" s="6" t="s">
        <v>129</v>
      </c>
      <c r="E354" s="6" t="s">
        <v>3665</v>
      </c>
      <c r="F354" s="6">
        <v>52</v>
      </c>
      <c r="G354" s="6" t="s">
        <v>86</v>
      </c>
      <c r="H354" s="6" t="s">
        <v>165</v>
      </c>
      <c r="I354" s="6" t="s">
        <v>367</v>
      </c>
      <c r="J354" s="6" t="s">
        <v>96</v>
      </c>
      <c r="K354" s="6" t="str">
        <f>IF(E354="KTG","KTG",(VLOOKUP(J354,'list of outsource'!B:H,2,0)))</f>
        <v>Woer</v>
      </c>
      <c r="L354" s="6" t="s">
        <v>97</v>
      </c>
      <c r="M354" s="6"/>
      <c r="N354" s="6" t="s">
        <v>368</v>
      </c>
      <c r="O354" s="2"/>
      <c r="P354" s="6" t="s">
        <v>854</v>
      </c>
      <c r="Q354" s="6" t="s">
        <v>855</v>
      </c>
      <c r="R354" s="16"/>
      <c r="S354" s="6">
        <v>1</v>
      </c>
      <c r="T354" s="6"/>
      <c r="U354" s="6" t="s">
        <v>183</v>
      </c>
      <c r="V354" s="17">
        <v>45093</v>
      </c>
      <c r="W354" s="16"/>
      <c r="Z354" t="e">
        <v>#N/A</v>
      </c>
    </row>
    <row r="355" spans="1:26" customFormat="1" hidden="1">
      <c r="A355">
        <f t="shared" ca="1" si="6"/>
        <v>1</v>
      </c>
      <c r="B355" s="8" t="s">
        <v>853</v>
      </c>
      <c r="C355" s="16">
        <v>45435</v>
      </c>
      <c r="D355" s="6" t="s">
        <v>129</v>
      </c>
      <c r="E355" s="6" t="s">
        <v>3665</v>
      </c>
      <c r="F355" s="6">
        <v>52</v>
      </c>
      <c r="G355" s="6" t="s">
        <v>1834</v>
      </c>
      <c r="H355" s="6" t="s">
        <v>165</v>
      </c>
      <c r="I355" s="6" t="s">
        <v>367</v>
      </c>
      <c r="J355" s="6" t="s">
        <v>96</v>
      </c>
      <c r="K355" s="6" t="str">
        <f>IF(E355="KTG","KTG",(VLOOKUP(J355,'list of outsource'!B:H,2,0)))</f>
        <v>Woer</v>
      </c>
      <c r="L355" s="6" t="s">
        <v>97</v>
      </c>
      <c r="M355" s="6"/>
      <c r="N355" s="6" t="s">
        <v>368</v>
      </c>
      <c r="O355" s="2"/>
      <c r="P355" s="6" t="s">
        <v>854</v>
      </c>
      <c r="Q355" s="6" t="s">
        <v>855</v>
      </c>
      <c r="R355" s="16">
        <v>45436</v>
      </c>
      <c r="S355" s="6">
        <v>1</v>
      </c>
      <c r="T355" s="6" t="s">
        <v>307</v>
      </c>
      <c r="U355" s="6" t="s">
        <v>183</v>
      </c>
      <c r="V355" s="17">
        <v>45436</v>
      </c>
      <c r="W355" s="16"/>
      <c r="Z355" t="e">
        <v>#N/A</v>
      </c>
    </row>
    <row r="356" spans="1:26" customFormat="1">
      <c r="A356">
        <f t="shared" ca="1" si="6"/>
        <v>27</v>
      </c>
      <c r="B356" s="104" t="s">
        <v>889</v>
      </c>
      <c r="C356" s="16">
        <v>45498</v>
      </c>
      <c r="D356" s="6" t="s">
        <v>129</v>
      </c>
      <c r="E356" s="6" t="s">
        <v>3662</v>
      </c>
      <c r="F356" s="6"/>
      <c r="G356" s="106" t="s">
        <v>86</v>
      </c>
      <c r="H356" s="106" t="s">
        <v>165</v>
      </c>
      <c r="I356" s="49" t="s">
        <v>890</v>
      </c>
      <c r="J356" s="6" t="s">
        <v>490</v>
      </c>
      <c r="K356" s="6" t="str">
        <f>IF(E356="KTG","KTG",(VLOOKUP(J356,'list of outsource'!B:H,2,0)))</f>
        <v>ETC</v>
      </c>
      <c r="L356" s="6" t="s">
        <v>491</v>
      </c>
      <c r="M356" s="6">
        <v>27</v>
      </c>
      <c r="N356" s="6" t="s">
        <v>891</v>
      </c>
      <c r="O356" s="2" t="s">
        <v>3684</v>
      </c>
      <c r="P356" s="6" t="s">
        <v>892</v>
      </c>
      <c r="Q356" s="6" t="s">
        <v>2039</v>
      </c>
      <c r="R356" s="16"/>
      <c r="S356" s="6">
        <v>1</v>
      </c>
      <c r="T356" s="6" t="s">
        <v>307</v>
      </c>
      <c r="U356" s="6" t="s">
        <v>550</v>
      </c>
      <c r="V356" s="17">
        <v>45525</v>
      </c>
      <c r="W356" s="16"/>
      <c r="Z356" t="e">
        <v>#N/A</v>
      </c>
    </row>
    <row r="357" spans="1:26" customFormat="1">
      <c r="A357">
        <f t="shared" ca="1" si="6"/>
        <v>22</v>
      </c>
      <c r="B357" s="104" t="s">
        <v>889</v>
      </c>
      <c r="C357" s="12">
        <v>45867</v>
      </c>
      <c r="D357" s="4" t="s">
        <v>300</v>
      </c>
      <c r="E357" s="4" t="s">
        <v>3662</v>
      </c>
      <c r="F357" s="4"/>
      <c r="G357" s="106" t="s">
        <v>86</v>
      </c>
      <c r="H357" s="106" t="s">
        <v>165</v>
      </c>
      <c r="I357" s="49" t="s">
        <v>890</v>
      </c>
      <c r="J357" s="4" t="s">
        <v>490</v>
      </c>
      <c r="K357" s="4" t="str">
        <f>IF(E357="KTG","KTG",(VLOOKUP(J357,'list of outsource'!B:H,2,0)))</f>
        <v>ETC</v>
      </c>
      <c r="L357" s="4" t="s">
        <v>491</v>
      </c>
      <c r="M357" s="47">
        <v>34</v>
      </c>
      <c r="N357" s="4" t="s">
        <v>891</v>
      </c>
      <c r="O357" s="2" t="s">
        <v>3684</v>
      </c>
      <c r="P357" s="4" t="s">
        <v>892</v>
      </c>
      <c r="Q357" s="4" t="s">
        <v>2948</v>
      </c>
      <c r="R357" s="12"/>
      <c r="S357" s="4">
        <v>1</v>
      </c>
      <c r="T357" s="4" t="s">
        <v>307</v>
      </c>
      <c r="U357" s="4" t="s">
        <v>550</v>
      </c>
      <c r="V357" s="10">
        <v>45889</v>
      </c>
      <c r="W357" s="12">
        <v>45959</v>
      </c>
    </row>
    <row r="358" spans="1:26" customFormat="1">
      <c r="A358">
        <f t="shared" ca="1" si="6"/>
        <v>21</v>
      </c>
      <c r="B358" s="49" t="s">
        <v>894</v>
      </c>
      <c r="C358" s="12">
        <v>45068</v>
      </c>
      <c r="D358" s="4" t="s">
        <v>504</v>
      </c>
      <c r="E358" s="4" t="s">
        <v>3662</v>
      </c>
      <c r="F358" s="4"/>
      <c r="G358" s="106" t="s">
        <v>86</v>
      </c>
      <c r="H358" s="106" t="s">
        <v>165</v>
      </c>
      <c r="I358" s="49" t="s">
        <v>895</v>
      </c>
      <c r="J358" s="4" t="s">
        <v>490</v>
      </c>
      <c r="K358" s="4" t="str">
        <f>IF(E358="KTG","KTG",(VLOOKUP(J358,'list of outsource'!B:H,2,0)))</f>
        <v>ETC</v>
      </c>
      <c r="L358" s="4" t="s">
        <v>491</v>
      </c>
      <c r="M358" s="4"/>
      <c r="N358" s="4" t="s">
        <v>896</v>
      </c>
      <c r="O358" s="2" t="s">
        <v>3684</v>
      </c>
      <c r="P358" s="4" t="s">
        <v>897</v>
      </c>
      <c r="Q358" s="4">
        <v>1229370708</v>
      </c>
      <c r="R358" s="12"/>
      <c r="S358" s="4">
        <v>2</v>
      </c>
      <c r="T358" s="4"/>
      <c r="U358" s="4" t="s">
        <v>39</v>
      </c>
      <c r="V358" s="10">
        <v>45089</v>
      </c>
      <c r="W358" s="12"/>
      <c r="Z358" t="e">
        <v>#N/A</v>
      </c>
    </row>
    <row r="359" spans="1:26" customFormat="1">
      <c r="A359">
        <f t="shared" ca="1" si="6"/>
        <v>40</v>
      </c>
      <c r="B359" s="49" t="s">
        <v>894</v>
      </c>
      <c r="C359" s="12">
        <v>45561</v>
      </c>
      <c r="D359" s="4" t="s">
        <v>1070</v>
      </c>
      <c r="E359" s="4" t="s">
        <v>3662</v>
      </c>
      <c r="F359" s="4"/>
      <c r="G359" s="106" t="s">
        <v>86</v>
      </c>
      <c r="H359" s="106" t="s">
        <v>165</v>
      </c>
      <c r="I359" s="49" t="s">
        <v>895</v>
      </c>
      <c r="J359" s="4" t="s">
        <v>490</v>
      </c>
      <c r="K359" s="4" t="str">
        <f>IF(E359="KTG","KTG",(VLOOKUP(J359,'list of outsource'!B:H,2,0)))</f>
        <v>ETC</v>
      </c>
      <c r="L359" s="4" t="s">
        <v>491</v>
      </c>
      <c r="M359" s="4">
        <v>28</v>
      </c>
      <c r="N359" s="4" t="s">
        <v>896</v>
      </c>
      <c r="O359" s="2" t="s">
        <v>3684</v>
      </c>
      <c r="P359" s="4" t="s">
        <v>897</v>
      </c>
      <c r="Q359" s="4" t="s">
        <v>2149</v>
      </c>
      <c r="R359" s="12"/>
      <c r="S359" s="4">
        <v>1</v>
      </c>
      <c r="T359" s="4" t="s">
        <v>307</v>
      </c>
      <c r="U359" s="4" t="s">
        <v>183</v>
      </c>
      <c r="V359" s="10">
        <v>45601</v>
      </c>
      <c r="W359" s="12">
        <v>45602</v>
      </c>
      <c r="Z359" t="e">
        <v>#N/A</v>
      </c>
    </row>
    <row r="360" spans="1:26" customFormat="1" hidden="1">
      <c r="A360">
        <f t="shared" ca="1" si="6"/>
        <v>31</v>
      </c>
      <c r="B360" s="4" t="s">
        <v>870</v>
      </c>
      <c r="C360" s="12">
        <v>45061</v>
      </c>
      <c r="D360" s="4" t="s">
        <v>504</v>
      </c>
      <c r="E360" s="4" t="s">
        <v>3662</v>
      </c>
      <c r="F360" s="4">
        <v>55</v>
      </c>
      <c r="G360" s="4" t="s">
        <v>86</v>
      </c>
      <c r="H360" s="4" t="s">
        <v>165</v>
      </c>
      <c r="I360" s="4" t="s">
        <v>825</v>
      </c>
      <c r="J360" s="4" t="s">
        <v>302</v>
      </c>
      <c r="K360" s="4" t="str">
        <f>IF(E360="KTG","KTG",(VLOOKUP(J360,'list of outsource'!B:H,2,0)))</f>
        <v>ETC</v>
      </c>
      <c r="L360" s="4" t="s">
        <v>303</v>
      </c>
      <c r="M360" s="4"/>
      <c r="N360" s="4" t="s">
        <v>478</v>
      </c>
      <c r="O360" s="2"/>
      <c r="P360" s="4" t="s">
        <v>826</v>
      </c>
      <c r="Q360" s="4">
        <v>1231239934</v>
      </c>
      <c r="R360" s="12"/>
      <c r="S360" s="4">
        <v>3</v>
      </c>
      <c r="T360" s="4"/>
      <c r="U360" s="4" t="s">
        <v>39</v>
      </c>
      <c r="V360" s="10">
        <v>45092</v>
      </c>
      <c r="W360" s="12" t="s">
        <v>871</v>
      </c>
      <c r="Z360">
        <v>0</v>
      </c>
    </row>
    <row r="361" spans="1:26" customFormat="1" hidden="1">
      <c r="A361">
        <f t="shared" ca="1" si="6"/>
        <v>24</v>
      </c>
      <c r="B361" s="4" t="s">
        <v>870</v>
      </c>
      <c r="C361" s="12">
        <v>45501</v>
      </c>
      <c r="D361" s="4" t="s">
        <v>1070</v>
      </c>
      <c r="E361" s="4" t="s">
        <v>3662</v>
      </c>
      <c r="F361" s="4">
        <v>55</v>
      </c>
      <c r="G361" s="4" t="s">
        <v>86</v>
      </c>
      <c r="H361" s="4" t="s">
        <v>165</v>
      </c>
      <c r="I361" s="4" t="s">
        <v>825</v>
      </c>
      <c r="J361" s="4" t="s">
        <v>302</v>
      </c>
      <c r="K361" s="4" t="str">
        <f>IF(E361="KTG","KTG",(VLOOKUP(J361,'list of outsource'!B:H,2,0)))</f>
        <v>ETC</v>
      </c>
      <c r="L361" s="4" t="s">
        <v>303</v>
      </c>
      <c r="M361" s="4">
        <v>62</v>
      </c>
      <c r="N361" s="4" t="s">
        <v>478</v>
      </c>
      <c r="O361" s="2"/>
      <c r="P361" s="4" t="s">
        <v>826</v>
      </c>
      <c r="Q361" s="4" t="s">
        <v>2040</v>
      </c>
      <c r="R361" s="12"/>
      <c r="S361" s="4">
        <v>1</v>
      </c>
      <c r="T361" s="4" t="s">
        <v>307</v>
      </c>
      <c r="U361" s="4" t="s">
        <v>550</v>
      </c>
      <c r="V361" s="10">
        <v>45525</v>
      </c>
      <c r="W361" s="12">
        <v>45531</v>
      </c>
      <c r="Z361">
        <v>0</v>
      </c>
    </row>
    <row r="362" spans="1:26" customFormat="1" hidden="1">
      <c r="A362">
        <f t="shared" ca="1" si="6"/>
        <v>5</v>
      </c>
      <c r="B362" s="9" t="s">
        <v>870</v>
      </c>
      <c r="C362" s="12">
        <v>45865</v>
      </c>
      <c r="D362" s="4" t="s">
        <v>300</v>
      </c>
      <c r="E362" s="4" t="s">
        <v>3662</v>
      </c>
      <c r="F362" s="4">
        <v>55</v>
      </c>
      <c r="G362" s="4" t="s">
        <v>86</v>
      </c>
      <c r="H362" s="4" t="s">
        <v>165</v>
      </c>
      <c r="I362" s="4" t="s">
        <v>825</v>
      </c>
      <c r="J362" s="4" t="s">
        <v>302</v>
      </c>
      <c r="K362" s="4" t="str">
        <f>IF(E362="KTG","KTG",(VLOOKUP(J362,'list of outsource'!B:H,2,0)))</f>
        <v>ETC</v>
      </c>
      <c r="L362" s="4" t="s">
        <v>303</v>
      </c>
      <c r="M362" s="47">
        <v>73</v>
      </c>
      <c r="N362" s="4" t="s">
        <v>478</v>
      </c>
      <c r="O362" s="2"/>
      <c r="P362" s="4" t="s">
        <v>826</v>
      </c>
      <c r="Q362" s="4" t="s">
        <v>2947</v>
      </c>
      <c r="R362" s="12"/>
      <c r="S362" s="4">
        <v>1</v>
      </c>
      <c r="T362" s="4" t="s">
        <v>307</v>
      </c>
      <c r="U362" s="4" t="s">
        <v>550</v>
      </c>
      <c r="V362" s="10">
        <v>45870</v>
      </c>
      <c r="W362" s="12">
        <v>45889</v>
      </c>
    </row>
    <row r="363" spans="1:26" customFormat="1">
      <c r="A363">
        <f t="shared" ca="1" si="6"/>
        <v>18</v>
      </c>
      <c r="B363" s="49" t="s">
        <v>902</v>
      </c>
      <c r="C363" s="12">
        <v>45082</v>
      </c>
      <c r="D363" s="4" t="s">
        <v>504</v>
      </c>
      <c r="E363" s="4" t="s">
        <v>3662</v>
      </c>
      <c r="F363" s="4"/>
      <c r="G363" s="106" t="s">
        <v>86</v>
      </c>
      <c r="H363" s="106" t="s">
        <v>165</v>
      </c>
      <c r="I363" s="49" t="s">
        <v>375</v>
      </c>
      <c r="J363" s="4" t="s">
        <v>222</v>
      </c>
      <c r="K363" s="4" t="str">
        <f>IF(E363="KTG","KTG",(VLOOKUP(J363,'list of outsource'!B:H,2,0)))</f>
        <v>ETC</v>
      </c>
      <c r="L363" s="4" t="s">
        <v>223</v>
      </c>
      <c r="M363" s="4"/>
      <c r="N363" s="4" t="s">
        <v>376</v>
      </c>
      <c r="O363" s="2" t="s">
        <v>3684</v>
      </c>
      <c r="P363" s="4" t="s">
        <v>903</v>
      </c>
      <c r="Q363" s="4" t="s">
        <v>904</v>
      </c>
      <c r="R363" s="12"/>
      <c r="S363" s="4">
        <v>1</v>
      </c>
      <c r="T363" s="4"/>
      <c r="U363" s="4" t="s">
        <v>183</v>
      </c>
      <c r="V363" s="10">
        <v>45100</v>
      </c>
      <c r="W363" s="12" t="s">
        <v>745</v>
      </c>
      <c r="Z363" t="e">
        <v>#N/A</v>
      </c>
    </row>
    <row r="364" spans="1:26" customFormat="1">
      <c r="A364">
        <f t="shared" ca="1" si="6"/>
        <v>31</v>
      </c>
      <c r="B364" s="49" t="s">
        <v>902</v>
      </c>
      <c r="C364" s="12">
        <v>45482</v>
      </c>
      <c r="D364" s="4" t="s">
        <v>1070</v>
      </c>
      <c r="E364" s="4" t="s">
        <v>3662</v>
      </c>
      <c r="F364" s="4"/>
      <c r="G364" s="106" t="s">
        <v>86</v>
      </c>
      <c r="H364" s="106" t="s">
        <v>165</v>
      </c>
      <c r="I364" s="49" t="s">
        <v>375</v>
      </c>
      <c r="J364" s="4" t="s">
        <v>222</v>
      </c>
      <c r="K364" s="4" t="str">
        <f>IF(E364="KTG","KTG",(VLOOKUP(J364,'list of outsource'!B:H,2,0)))</f>
        <v>ETC</v>
      </c>
      <c r="L364" s="4" t="s">
        <v>223</v>
      </c>
      <c r="M364" s="4">
        <v>21</v>
      </c>
      <c r="N364" s="4" t="s">
        <v>376</v>
      </c>
      <c r="O364" s="2" t="s">
        <v>3684</v>
      </c>
      <c r="P364" s="4" t="s">
        <v>903</v>
      </c>
      <c r="Q364" s="4" t="s">
        <v>2010</v>
      </c>
      <c r="R364" s="12"/>
      <c r="S364" s="4">
        <v>1</v>
      </c>
      <c r="T364" s="4" t="s">
        <v>307</v>
      </c>
      <c r="U364" s="4" t="s">
        <v>550</v>
      </c>
      <c r="V364" s="10">
        <v>45513</v>
      </c>
      <c r="W364" s="12">
        <v>45518</v>
      </c>
      <c r="Z364" t="e">
        <v>#N/A</v>
      </c>
    </row>
    <row r="365" spans="1:26" customFormat="1">
      <c r="A365" s="55">
        <f t="shared" ca="1" si="6"/>
        <v>18</v>
      </c>
      <c r="B365" s="104" t="s">
        <v>902</v>
      </c>
      <c r="C365" s="14">
        <v>45852</v>
      </c>
      <c r="D365" s="9" t="s">
        <v>300</v>
      </c>
      <c r="E365" s="9" t="s">
        <v>3662</v>
      </c>
      <c r="F365" s="9"/>
      <c r="G365" s="107" t="s">
        <v>86</v>
      </c>
      <c r="H365" s="107" t="s">
        <v>165</v>
      </c>
      <c r="I365" s="104" t="s">
        <v>375</v>
      </c>
      <c r="J365" s="9" t="s">
        <v>222</v>
      </c>
      <c r="K365" s="9" t="str">
        <f>IF(E365="KTG","KTG",(VLOOKUP(J365,'list of outsource'!B:H,2,0)))</f>
        <v>ETC</v>
      </c>
      <c r="L365" s="9" t="s">
        <v>223</v>
      </c>
      <c r="M365" s="68">
        <v>23</v>
      </c>
      <c r="N365" s="9" t="s">
        <v>376</v>
      </c>
      <c r="O365" s="2" t="s">
        <v>3684</v>
      </c>
      <c r="P365" s="9" t="s">
        <v>903</v>
      </c>
      <c r="Q365" s="9" t="s">
        <v>2874</v>
      </c>
      <c r="R365" s="14"/>
      <c r="S365" s="9">
        <v>1</v>
      </c>
      <c r="T365" s="9" t="s">
        <v>307</v>
      </c>
      <c r="U365" s="9" t="s">
        <v>550</v>
      </c>
      <c r="V365" s="15">
        <v>45870</v>
      </c>
      <c r="W365" s="14">
        <v>45882</v>
      </c>
      <c r="X365" s="55"/>
      <c r="Y365" s="55"/>
      <c r="Z365" s="55" t="e">
        <v>#N/A</v>
      </c>
    </row>
    <row r="366" spans="1:26" customFormat="1">
      <c r="A366">
        <f t="shared" ca="1" si="6"/>
        <v>25</v>
      </c>
      <c r="B366" s="49" t="s">
        <v>1064</v>
      </c>
      <c r="C366" s="12">
        <v>45124</v>
      </c>
      <c r="D366" s="4" t="s">
        <v>504</v>
      </c>
      <c r="E366" s="4" t="s">
        <v>3662</v>
      </c>
      <c r="F366" s="4"/>
      <c r="G366" s="106" t="s">
        <v>86</v>
      </c>
      <c r="H366" s="106" t="s">
        <v>165</v>
      </c>
      <c r="I366" s="49" t="s">
        <v>623</v>
      </c>
      <c r="J366" s="4" t="s">
        <v>490</v>
      </c>
      <c r="K366" s="4" t="str">
        <f>IF(E366="KTG","KTG",(VLOOKUP(J366,'list of outsource'!B:H,2,0)))</f>
        <v>ETC</v>
      </c>
      <c r="L366" s="4" t="s">
        <v>491</v>
      </c>
      <c r="M366" s="4"/>
      <c r="N366" s="4" t="s">
        <v>492</v>
      </c>
      <c r="O366" s="2" t="s">
        <v>3684</v>
      </c>
      <c r="P366" s="4" t="s">
        <v>624</v>
      </c>
      <c r="Q366" s="4">
        <v>1202139545</v>
      </c>
      <c r="R366" s="12"/>
      <c r="S366" s="4">
        <v>3</v>
      </c>
      <c r="T366" s="4"/>
      <c r="U366" s="4" t="s">
        <v>39</v>
      </c>
      <c r="V366" s="10" t="s">
        <v>1056</v>
      </c>
      <c r="W366" s="12" t="s">
        <v>871</v>
      </c>
    </row>
    <row r="367" spans="1:26" customFormat="1">
      <c r="A367">
        <f t="shared" ca="1" si="6"/>
        <v>25</v>
      </c>
      <c r="B367" s="49" t="s">
        <v>1064</v>
      </c>
      <c r="C367" s="12">
        <v>45501</v>
      </c>
      <c r="D367" s="4" t="s">
        <v>1070</v>
      </c>
      <c r="E367" s="4" t="s">
        <v>3662</v>
      </c>
      <c r="F367" s="4"/>
      <c r="G367" s="106" t="s">
        <v>86</v>
      </c>
      <c r="H367" s="106" t="s">
        <v>165</v>
      </c>
      <c r="I367" s="49" t="s">
        <v>623</v>
      </c>
      <c r="J367" s="4" t="s">
        <v>490</v>
      </c>
      <c r="K367" s="4" t="str">
        <f>IF(E367="KTG","KTG",(VLOOKUP(J367,'list of outsource'!B:H,2,0)))</f>
        <v>ETC</v>
      </c>
      <c r="L367" s="4" t="s">
        <v>491</v>
      </c>
      <c r="M367" s="4">
        <v>27</v>
      </c>
      <c r="N367" s="4" t="s">
        <v>492</v>
      </c>
      <c r="O367" s="2" t="s">
        <v>3684</v>
      </c>
      <c r="P367" s="4" t="s">
        <v>624</v>
      </c>
      <c r="Q367" s="4" t="s">
        <v>2041</v>
      </c>
      <c r="R367" s="12"/>
      <c r="S367" s="4">
        <v>1</v>
      </c>
      <c r="T367" s="4" t="s">
        <v>307</v>
      </c>
      <c r="U367" s="4" t="s">
        <v>550</v>
      </c>
      <c r="V367" s="10">
        <v>45526</v>
      </c>
      <c r="W367" s="12">
        <v>45534</v>
      </c>
      <c r="Z367" t="e">
        <v>#N/A</v>
      </c>
    </row>
    <row r="368" spans="1:26" customFormat="1">
      <c r="A368">
        <f t="shared" ca="1" si="6"/>
        <v>21</v>
      </c>
      <c r="B368" s="104" t="s">
        <v>1064</v>
      </c>
      <c r="C368" s="12">
        <v>45868</v>
      </c>
      <c r="D368" s="4" t="s">
        <v>300</v>
      </c>
      <c r="E368" s="4" t="s">
        <v>3662</v>
      </c>
      <c r="F368" s="4"/>
      <c r="G368" s="106" t="s">
        <v>86</v>
      </c>
      <c r="H368" s="106" t="s">
        <v>165</v>
      </c>
      <c r="I368" s="49" t="s">
        <v>623</v>
      </c>
      <c r="J368" s="4" t="s">
        <v>490</v>
      </c>
      <c r="K368" s="4" t="str">
        <f>IF(E368="KTG","KTG",(VLOOKUP(J368,'list of outsource'!B:H,2,0)))</f>
        <v>ETC</v>
      </c>
      <c r="L368" s="4" t="s">
        <v>491</v>
      </c>
      <c r="M368" s="47">
        <v>34</v>
      </c>
      <c r="N368" s="4" t="s">
        <v>492</v>
      </c>
      <c r="O368" s="2" t="s">
        <v>3684</v>
      </c>
      <c r="P368" s="4" t="s">
        <v>624</v>
      </c>
      <c r="Q368" s="4" t="s">
        <v>2950</v>
      </c>
      <c r="R368" s="12">
        <v>0</v>
      </c>
      <c r="S368" s="4">
        <v>1</v>
      </c>
      <c r="T368" s="4" t="s">
        <v>307</v>
      </c>
      <c r="U368" s="4" t="s">
        <v>550</v>
      </c>
      <c r="V368" s="10">
        <v>45889</v>
      </c>
      <c r="W368" s="12">
        <v>45957</v>
      </c>
    </row>
    <row r="369" spans="1:26" customFormat="1">
      <c r="A369">
        <f t="shared" ca="1" si="6"/>
        <v>40</v>
      </c>
      <c r="B369" s="49" t="s">
        <v>1091</v>
      </c>
      <c r="C369" s="12">
        <v>45143</v>
      </c>
      <c r="D369" s="4" t="s">
        <v>504</v>
      </c>
      <c r="E369" s="4" t="s">
        <v>3662</v>
      </c>
      <c r="F369" s="4"/>
      <c r="G369" s="106" t="s">
        <v>86</v>
      </c>
      <c r="H369" s="106" t="s">
        <v>165</v>
      </c>
      <c r="I369" s="49" t="s">
        <v>221</v>
      </c>
      <c r="J369" s="4" t="s">
        <v>222</v>
      </c>
      <c r="K369" s="4" t="str">
        <f>IF(E369="KTG","KTG",(VLOOKUP(J369,'list of outsource'!B:H,2,0)))</f>
        <v>ETC</v>
      </c>
      <c r="L369" s="4" t="s">
        <v>223</v>
      </c>
      <c r="M369" s="4"/>
      <c r="N369" s="4" t="s">
        <v>224</v>
      </c>
      <c r="O369" s="2" t="s">
        <v>3684</v>
      </c>
      <c r="P369" s="4" t="s">
        <v>1092</v>
      </c>
      <c r="Q369" s="4">
        <v>1139569800</v>
      </c>
      <c r="R369" s="12"/>
      <c r="S369" s="4">
        <v>1</v>
      </c>
      <c r="T369" s="4"/>
      <c r="U369" s="4" t="s">
        <v>183</v>
      </c>
      <c r="V369" s="10">
        <v>45183</v>
      </c>
      <c r="W369" s="12">
        <v>45281</v>
      </c>
      <c r="Z369" t="e">
        <v>#N/A</v>
      </c>
    </row>
    <row r="370" spans="1:26" customFormat="1">
      <c r="A370">
        <f t="shared" ca="1" si="6"/>
        <v>21</v>
      </c>
      <c r="B370" s="49" t="s">
        <v>1091</v>
      </c>
      <c r="C370" s="12">
        <v>45617</v>
      </c>
      <c r="D370" s="4" t="s">
        <v>1070</v>
      </c>
      <c r="E370" s="4" t="s">
        <v>3662</v>
      </c>
      <c r="F370" s="4"/>
      <c r="G370" s="106" t="s">
        <v>86</v>
      </c>
      <c r="H370" s="106" t="s">
        <v>165</v>
      </c>
      <c r="I370" s="49" t="s">
        <v>221</v>
      </c>
      <c r="J370" s="4" t="s">
        <v>222</v>
      </c>
      <c r="K370" s="4" t="str">
        <f>IF(E370="KTG","KTG",(VLOOKUP(J370,'list of outsource'!B:H,2,0)))</f>
        <v>ETC</v>
      </c>
      <c r="L370" s="4" t="s">
        <v>223</v>
      </c>
      <c r="M370" s="4">
        <v>21</v>
      </c>
      <c r="N370" s="4" t="s">
        <v>224</v>
      </c>
      <c r="O370" s="2" t="s">
        <v>3684</v>
      </c>
      <c r="P370" s="4" t="s">
        <v>1092</v>
      </c>
      <c r="Q370" s="4" t="s">
        <v>2200</v>
      </c>
      <c r="R370" s="12"/>
      <c r="S370" s="4">
        <v>1</v>
      </c>
      <c r="T370" s="4" t="s">
        <v>307</v>
      </c>
      <c r="U370" s="4" t="s">
        <v>550</v>
      </c>
      <c r="V370" s="10">
        <v>45638</v>
      </c>
      <c r="W370" s="12">
        <v>45639</v>
      </c>
      <c r="Z370" t="e">
        <v>#N/A</v>
      </c>
    </row>
    <row r="371" spans="1:26" customFormat="1">
      <c r="A371">
        <f t="shared" ca="1" si="6"/>
        <v>28</v>
      </c>
      <c r="B371" s="49" t="s">
        <v>1163</v>
      </c>
      <c r="C371" s="12">
        <v>45153</v>
      </c>
      <c r="D371" s="4" t="s">
        <v>504</v>
      </c>
      <c r="E371" s="4" t="s">
        <v>3665</v>
      </c>
      <c r="F371" s="4"/>
      <c r="G371" s="106" t="s">
        <v>86</v>
      </c>
      <c r="H371" s="106" t="s">
        <v>165</v>
      </c>
      <c r="I371" s="49" t="s">
        <v>1164</v>
      </c>
      <c r="J371" s="4" t="s">
        <v>212</v>
      </c>
      <c r="K371" s="4" t="str">
        <f>IF(E371="KTG","KTG",(VLOOKUP(J371,'list of outsource'!B:H,2,0)))</f>
        <v>UPM</v>
      </c>
      <c r="L371" s="4" t="s">
        <v>213</v>
      </c>
      <c r="M371" s="4"/>
      <c r="N371" s="4" t="s">
        <v>1165</v>
      </c>
      <c r="O371" s="2" t="s">
        <v>3684</v>
      </c>
      <c r="P371" s="4" t="s">
        <v>1166</v>
      </c>
      <c r="Q371" s="4">
        <v>1256829549</v>
      </c>
      <c r="R371" s="12"/>
      <c r="S371" s="4">
        <v>4</v>
      </c>
      <c r="T371" s="4"/>
      <c r="U371" s="4" t="s">
        <v>183</v>
      </c>
      <c r="V371" s="10">
        <v>45181</v>
      </c>
      <c r="W371" s="12">
        <v>45191</v>
      </c>
      <c r="Z371" t="e">
        <v>#N/A</v>
      </c>
    </row>
    <row r="372" spans="1:26" customFormat="1">
      <c r="A372">
        <f t="shared" ca="1" si="6"/>
        <v>32</v>
      </c>
      <c r="B372" s="49" t="s">
        <v>1163</v>
      </c>
      <c r="C372" s="12">
        <v>45526</v>
      </c>
      <c r="D372" s="4" t="s">
        <v>300</v>
      </c>
      <c r="E372" s="4" t="s">
        <v>3665</v>
      </c>
      <c r="F372" s="4"/>
      <c r="G372" s="106" t="s">
        <v>86</v>
      </c>
      <c r="H372" s="106" t="s">
        <v>165</v>
      </c>
      <c r="I372" s="49" t="s">
        <v>1164</v>
      </c>
      <c r="J372" s="4" t="s">
        <v>212</v>
      </c>
      <c r="K372" s="4" t="str">
        <f>IF(E372="KTG","KTG",(VLOOKUP(J372,'list of outsource'!B:H,2,0)))</f>
        <v>UPM</v>
      </c>
      <c r="L372" s="4" t="s">
        <v>213</v>
      </c>
      <c r="M372" s="4">
        <v>10</v>
      </c>
      <c r="N372" s="4" t="s">
        <v>1165</v>
      </c>
      <c r="O372" s="2" t="s">
        <v>3684</v>
      </c>
      <c r="P372" s="4" t="s">
        <v>1166</v>
      </c>
      <c r="Q372" s="4" t="s">
        <v>2066</v>
      </c>
      <c r="R372" s="12"/>
      <c r="S372" s="4">
        <v>1</v>
      </c>
      <c r="T372" s="4" t="s">
        <v>307</v>
      </c>
      <c r="U372" s="4" t="s">
        <v>183</v>
      </c>
      <c r="V372" s="10">
        <v>45558</v>
      </c>
      <c r="W372" s="12">
        <v>45699</v>
      </c>
      <c r="Z372" t="e">
        <v>#N/A</v>
      </c>
    </row>
    <row r="373" spans="1:26" customFormat="1">
      <c r="A373">
        <f t="shared" ca="1" si="6"/>
        <v>51</v>
      </c>
      <c r="B373" s="49" t="s">
        <v>1167</v>
      </c>
      <c r="C373" s="12">
        <v>45153</v>
      </c>
      <c r="D373" s="4" t="s">
        <v>504</v>
      </c>
      <c r="E373" s="4" t="s">
        <v>3665</v>
      </c>
      <c r="F373" s="4"/>
      <c r="G373" s="106" t="s">
        <v>86</v>
      </c>
      <c r="H373" s="106" t="s">
        <v>165</v>
      </c>
      <c r="I373" s="49" t="s">
        <v>1168</v>
      </c>
      <c r="J373" s="4" t="s">
        <v>108</v>
      </c>
      <c r="K373" s="4" t="str">
        <f>IF(E373="KTG","KTG",(VLOOKUP(J373,'list of outsource'!B:H,2,0)))</f>
        <v>UPM</v>
      </c>
      <c r="L373" s="4" t="s">
        <v>109</v>
      </c>
      <c r="M373" s="4">
        <v>35</v>
      </c>
      <c r="N373" s="4" t="s">
        <v>1169</v>
      </c>
      <c r="O373" s="2" t="s">
        <v>3684</v>
      </c>
      <c r="P373" s="4" t="s">
        <v>1170</v>
      </c>
      <c r="Q373" s="4">
        <v>1257752602</v>
      </c>
      <c r="R373" s="12"/>
      <c r="S373" s="4">
        <v>4</v>
      </c>
      <c r="T373" s="4"/>
      <c r="U373" s="4" t="s">
        <v>39</v>
      </c>
      <c r="V373" s="10">
        <v>45204</v>
      </c>
      <c r="W373" s="12">
        <v>45205</v>
      </c>
      <c r="Z373" t="e">
        <v>#N/A</v>
      </c>
    </row>
    <row r="374" spans="1:26" customFormat="1" hidden="1">
      <c r="A374">
        <f t="shared" ca="1" si="6"/>
        <v>26</v>
      </c>
      <c r="B374" s="4" t="s">
        <v>880</v>
      </c>
      <c r="C374" s="12">
        <v>45067</v>
      </c>
      <c r="D374" s="4" t="s">
        <v>504</v>
      </c>
      <c r="E374" s="4" t="s">
        <v>3662</v>
      </c>
      <c r="F374" s="4">
        <v>4016</v>
      </c>
      <c r="G374" s="4" t="s">
        <v>86</v>
      </c>
      <c r="H374" s="4" t="s">
        <v>165</v>
      </c>
      <c r="I374" s="4" t="s">
        <v>371</v>
      </c>
      <c r="J374" s="4" t="s">
        <v>222</v>
      </c>
      <c r="K374" s="4" t="str">
        <f>IF(E374="KTG","KTG",(VLOOKUP(J374,'list of outsource'!B:H,2,0)))</f>
        <v>ETC</v>
      </c>
      <c r="L374" s="4" t="s">
        <v>223</v>
      </c>
      <c r="M374" s="4"/>
      <c r="N374" s="4" t="s">
        <v>372</v>
      </c>
      <c r="O374" s="2"/>
      <c r="P374" s="4" t="s">
        <v>566</v>
      </c>
      <c r="Q374" s="4" t="s">
        <v>881</v>
      </c>
      <c r="R374" s="12"/>
      <c r="S374" s="4">
        <v>1</v>
      </c>
      <c r="T374" s="4"/>
      <c r="U374" s="4" t="s">
        <v>183</v>
      </c>
      <c r="V374" s="10">
        <v>45093</v>
      </c>
      <c r="W374" s="12">
        <v>45138</v>
      </c>
      <c r="Z374">
        <v>0</v>
      </c>
    </row>
    <row r="375" spans="1:26" customFormat="1" hidden="1">
      <c r="A375">
        <f t="shared" ca="1" si="6"/>
        <v>39</v>
      </c>
      <c r="B375" s="4" t="s">
        <v>880</v>
      </c>
      <c r="C375" s="12">
        <v>45474</v>
      </c>
      <c r="D375" s="4" t="s">
        <v>1070</v>
      </c>
      <c r="E375" s="4" t="s">
        <v>3662</v>
      </c>
      <c r="F375" s="4">
        <v>4016</v>
      </c>
      <c r="G375" s="4" t="s">
        <v>86</v>
      </c>
      <c r="H375" s="4" t="s">
        <v>165</v>
      </c>
      <c r="I375" s="4" t="s">
        <v>371</v>
      </c>
      <c r="J375" s="4" t="s">
        <v>222</v>
      </c>
      <c r="K375" s="4" t="str">
        <f>IF(E375="KTG","KTG",(VLOOKUP(J375,'list of outsource'!B:H,2,0)))</f>
        <v>ETC</v>
      </c>
      <c r="L375" s="4" t="s">
        <v>223</v>
      </c>
      <c r="M375" s="4">
        <v>21</v>
      </c>
      <c r="N375" s="4" t="s">
        <v>372</v>
      </c>
      <c r="O375" s="2"/>
      <c r="P375" s="4" t="s">
        <v>566</v>
      </c>
      <c r="Q375" s="4" t="s">
        <v>2003</v>
      </c>
      <c r="R375" s="12"/>
      <c r="S375" s="4">
        <v>1</v>
      </c>
      <c r="T375" s="4" t="s">
        <v>307</v>
      </c>
      <c r="U375" s="4" t="s">
        <v>550</v>
      </c>
      <c r="V375" s="10">
        <v>45513</v>
      </c>
      <c r="W375" s="12">
        <v>45534</v>
      </c>
      <c r="Z375">
        <v>0</v>
      </c>
    </row>
    <row r="376" spans="1:26" customFormat="1">
      <c r="A376">
        <f t="shared" ca="1" si="6"/>
        <v>28</v>
      </c>
      <c r="B376" s="49" t="s">
        <v>1167</v>
      </c>
      <c r="C376" s="12">
        <v>45541</v>
      </c>
      <c r="D376" s="4" t="s">
        <v>300</v>
      </c>
      <c r="E376" s="4" t="s">
        <v>3665</v>
      </c>
      <c r="F376" s="4"/>
      <c r="G376" s="106" t="s">
        <v>86</v>
      </c>
      <c r="H376" s="106" t="s">
        <v>165</v>
      </c>
      <c r="I376" s="49" t="s">
        <v>1168</v>
      </c>
      <c r="J376" s="4" t="s">
        <v>108</v>
      </c>
      <c r="K376" s="4" t="str">
        <f>IF(E376="KTG","KTG",(VLOOKUP(J376,'list of outsource'!B:H,2,0)))</f>
        <v>UPM</v>
      </c>
      <c r="L376" s="4" t="s">
        <v>109</v>
      </c>
      <c r="M376" s="4">
        <v>45</v>
      </c>
      <c r="N376" s="4" t="s">
        <v>1169</v>
      </c>
      <c r="O376" s="2" t="s">
        <v>3684</v>
      </c>
      <c r="P376" s="4" t="s">
        <v>1170</v>
      </c>
      <c r="Q376" s="4" t="s">
        <v>2075</v>
      </c>
      <c r="R376" s="12"/>
      <c r="S376" s="4">
        <v>1</v>
      </c>
      <c r="T376" s="4" t="s">
        <v>307</v>
      </c>
      <c r="U376" s="4" t="s">
        <v>183</v>
      </c>
      <c r="V376" s="10">
        <v>45569</v>
      </c>
      <c r="W376" s="12">
        <v>45699</v>
      </c>
      <c r="Z376" t="e">
        <v>#N/A</v>
      </c>
    </row>
    <row r="377" spans="1:26" customFormat="1">
      <c r="A377">
        <f t="shared" ca="1" si="6"/>
        <v>31</v>
      </c>
      <c r="B377" s="49" t="s">
        <v>1171</v>
      </c>
      <c r="C377" s="12">
        <v>45165</v>
      </c>
      <c r="D377" s="4" t="s">
        <v>300</v>
      </c>
      <c r="E377" s="4" t="s">
        <v>3665</v>
      </c>
      <c r="F377" s="4"/>
      <c r="G377" s="106" t="s">
        <v>86</v>
      </c>
      <c r="H377" s="106" t="s">
        <v>165</v>
      </c>
      <c r="I377" s="49" t="s">
        <v>211</v>
      </c>
      <c r="J377" s="4" t="s">
        <v>212</v>
      </c>
      <c r="K377" s="4" t="str">
        <f>IF(E377="KTG","KTG",(VLOOKUP(J377,'list of outsource'!B:H,2,0)))</f>
        <v>UPM</v>
      </c>
      <c r="L377" s="4" t="s">
        <v>213</v>
      </c>
      <c r="M377" s="4">
        <v>9</v>
      </c>
      <c r="N377" s="4" t="s">
        <v>214</v>
      </c>
      <c r="O377" s="2" t="s">
        <v>3684</v>
      </c>
      <c r="P377" s="4" t="s">
        <v>215</v>
      </c>
      <c r="Q377" s="4">
        <v>1149845642</v>
      </c>
      <c r="R377" s="12"/>
      <c r="S377" s="4">
        <v>1</v>
      </c>
      <c r="T377" s="4"/>
      <c r="U377" s="4" t="s">
        <v>183</v>
      </c>
      <c r="V377" s="10">
        <v>45196</v>
      </c>
      <c r="W377" s="12">
        <v>45964</v>
      </c>
      <c r="Z377" t="e">
        <v>#N/A</v>
      </c>
    </row>
    <row r="378" spans="1:26" customFormat="1">
      <c r="A378">
        <f t="shared" ca="1" si="6"/>
        <v>42</v>
      </c>
      <c r="B378" s="49" t="s">
        <v>1197</v>
      </c>
      <c r="C378" s="12">
        <v>45182</v>
      </c>
      <c r="D378" s="4" t="s">
        <v>504</v>
      </c>
      <c r="E378" s="4" t="s">
        <v>3665</v>
      </c>
      <c r="F378" s="4"/>
      <c r="G378" s="106" t="s">
        <v>86</v>
      </c>
      <c r="H378" s="106" t="s">
        <v>165</v>
      </c>
      <c r="I378" s="49" t="s">
        <v>273</v>
      </c>
      <c r="J378" s="4" t="s">
        <v>212</v>
      </c>
      <c r="K378" s="4" t="str">
        <f>IF(E378="KTG","KTG",(VLOOKUP(J378,'list of outsource'!B:H,2,0)))</f>
        <v>UPM</v>
      </c>
      <c r="L378" s="4" t="s">
        <v>213</v>
      </c>
      <c r="M378" s="4">
        <v>9</v>
      </c>
      <c r="N378" s="4" t="s">
        <v>274</v>
      </c>
      <c r="O378" s="2" t="s">
        <v>3684</v>
      </c>
      <c r="P378" s="4" t="s">
        <v>1198</v>
      </c>
      <c r="Q378" s="4">
        <v>1149845539</v>
      </c>
      <c r="R378" s="12"/>
      <c r="S378" s="4">
        <v>1</v>
      </c>
      <c r="T378" s="4"/>
      <c r="U378" s="4" t="s">
        <v>183</v>
      </c>
      <c r="V378" s="10">
        <v>45224</v>
      </c>
      <c r="W378" s="12">
        <v>45225</v>
      </c>
      <c r="Z378" t="e">
        <v>#N/A</v>
      </c>
    </row>
    <row r="379" spans="1:26" customFormat="1">
      <c r="A379">
        <f t="shared" ca="1" si="6"/>
        <v>40</v>
      </c>
      <c r="B379" s="49" t="s">
        <v>1197</v>
      </c>
      <c r="C379" s="12">
        <v>45561</v>
      </c>
      <c r="D379" s="4" t="s">
        <v>1070</v>
      </c>
      <c r="E379" s="4" t="s">
        <v>3665</v>
      </c>
      <c r="F379" s="4"/>
      <c r="G379" s="106" t="s">
        <v>86</v>
      </c>
      <c r="H379" s="106" t="s">
        <v>165</v>
      </c>
      <c r="I379" s="49" t="s">
        <v>273</v>
      </c>
      <c r="J379" s="4" t="s">
        <v>212</v>
      </c>
      <c r="K379" s="4" t="str">
        <f>IF(E379="KTG","KTG",(VLOOKUP(J379,'list of outsource'!B:H,2,0)))</f>
        <v>UPM</v>
      </c>
      <c r="L379" s="4" t="s">
        <v>213</v>
      </c>
      <c r="M379" s="4">
        <v>10</v>
      </c>
      <c r="N379" s="4" t="s">
        <v>274</v>
      </c>
      <c r="O379" s="2" t="s">
        <v>3684</v>
      </c>
      <c r="P379" s="4" t="s">
        <v>1198</v>
      </c>
      <c r="Q379" s="4" t="s">
        <v>2150</v>
      </c>
      <c r="R379" s="12"/>
      <c r="S379" s="4">
        <v>1</v>
      </c>
      <c r="T379" s="4" t="s">
        <v>307</v>
      </c>
      <c r="U379" s="4" t="s">
        <v>183</v>
      </c>
      <c r="V379" s="10">
        <v>45601</v>
      </c>
      <c r="W379" s="12">
        <v>45602</v>
      </c>
      <c r="Z379" t="e">
        <v>#N/A</v>
      </c>
    </row>
    <row r="380" spans="1:26" customFormat="1">
      <c r="A380">
        <f t="shared" ca="1" si="6"/>
        <v>3</v>
      </c>
      <c r="B380" s="104" t="s">
        <v>1197</v>
      </c>
      <c r="C380" s="16">
        <v>45936</v>
      </c>
      <c r="D380" s="6" t="s">
        <v>129</v>
      </c>
      <c r="E380" s="6" t="s">
        <v>3665</v>
      </c>
      <c r="F380" s="6"/>
      <c r="G380" s="106" t="s">
        <v>86</v>
      </c>
      <c r="H380" s="106" t="s">
        <v>165</v>
      </c>
      <c r="I380" s="49" t="s">
        <v>273</v>
      </c>
      <c r="J380" s="6" t="s">
        <v>212</v>
      </c>
      <c r="K380" s="6" t="str">
        <f>IF(E380="KTG","KTG",(VLOOKUP(J380,'list of outsource'!B:H,2,0)))</f>
        <v>UPM</v>
      </c>
      <c r="L380" s="6" t="s">
        <v>213</v>
      </c>
      <c r="M380" s="6">
        <v>10</v>
      </c>
      <c r="N380" s="6" t="s">
        <v>274</v>
      </c>
      <c r="O380" s="2" t="s">
        <v>3684</v>
      </c>
      <c r="P380" s="6" t="s">
        <v>1198</v>
      </c>
      <c r="Q380" s="6" t="s">
        <v>2150</v>
      </c>
      <c r="R380" s="16"/>
      <c r="S380" s="6">
        <v>1</v>
      </c>
      <c r="T380" s="6" t="s">
        <v>307</v>
      </c>
      <c r="U380" s="6" t="s">
        <v>183</v>
      </c>
      <c r="V380" s="17">
        <v>45939</v>
      </c>
      <c r="W380" s="16"/>
    </row>
    <row r="381" spans="1:26" customFormat="1">
      <c r="A381">
        <f t="shared" ca="1" si="6"/>
        <v>48</v>
      </c>
      <c r="B381" s="49" t="s">
        <v>1199</v>
      </c>
      <c r="C381" s="12">
        <v>45182</v>
      </c>
      <c r="D381" s="4" t="s">
        <v>504</v>
      </c>
      <c r="E381" s="4" t="s">
        <v>3665</v>
      </c>
      <c r="F381" s="4"/>
      <c r="G381" s="106" t="s">
        <v>86</v>
      </c>
      <c r="H381" s="106" t="s">
        <v>165</v>
      </c>
      <c r="I381" s="49" t="s">
        <v>253</v>
      </c>
      <c r="J381" s="4" t="s">
        <v>212</v>
      </c>
      <c r="K381" s="4" t="str">
        <f>IF(E381="KTG","KTG",(VLOOKUP(J381,'list of outsource'!B:H,2,0)))</f>
        <v>UPM</v>
      </c>
      <c r="L381" s="4" t="s">
        <v>213</v>
      </c>
      <c r="M381" s="4">
        <v>9</v>
      </c>
      <c r="N381" s="4" t="s">
        <v>254</v>
      </c>
      <c r="O381" s="2" t="s">
        <v>3684</v>
      </c>
      <c r="P381" s="4" t="s">
        <v>255</v>
      </c>
      <c r="Q381" s="4">
        <v>1149845452</v>
      </c>
      <c r="R381" s="12"/>
      <c r="S381" s="4">
        <v>1</v>
      </c>
      <c r="T381" s="4"/>
      <c r="U381" s="4" t="s">
        <v>183</v>
      </c>
      <c r="V381" s="10">
        <v>45230</v>
      </c>
      <c r="W381" s="12">
        <v>45236</v>
      </c>
      <c r="Z381" t="e">
        <v>#N/A</v>
      </c>
    </row>
    <row r="382" spans="1:26" customFormat="1">
      <c r="A382">
        <f t="shared" ca="1" si="6"/>
        <v>31</v>
      </c>
      <c r="B382" s="49" t="s">
        <v>1199</v>
      </c>
      <c r="C382" s="12">
        <v>45571</v>
      </c>
      <c r="D382" s="4" t="s">
        <v>1070</v>
      </c>
      <c r="E382" s="4" t="s">
        <v>3665</v>
      </c>
      <c r="F382" s="4"/>
      <c r="G382" s="106" t="s">
        <v>86</v>
      </c>
      <c r="H382" s="106" t="s">
        <v>165</v>
      </c>
      <c r="I382" s="49" t="s">
        <v>253</v>
      </c>
      <c r="J382" s="4" t="s">
        <v>212</v>
      </c>
      <c r="K382" s="4" t="str">
        <f>IF(E382="KTG","KTG",(VLOOKUP(J382,'list of outsource'!B:H,2,0)))</f>
        <v>UPM</v>
      </c>
      <c r="L382" s="4" t="s">
        <v>213</v>
      </c>
      <c r="M382" s="4">
        <v>10</v>
      </c>
      <c r="N382" s="4" t="s">
        <v>254</v>
      </c>
      <c r="O382" s="2" t="s">
        <v>3684</v>
      </c>
      <c r="P382" s="4" t="s">
        <v>255</v>
      </c>
      <c r="Q382" s="4" t="s">
        <v>2173</v>
      </c>
      <c r="R382" s="12"/>
      <c r="S382" s="4">
        <v>1</v>
      </c>
      <c r="T382" s="4" t="s">
        <v>307</v>
      </c>
      <c r="U382" s="4" t="s">
        <v>183</v>
      </c>
      <c r="V382" s="10">
        <v>45602</v>
      </c>
      <c r="W382" s="12">
        <v>45602</v>
      </c>
      <c r="Z382" t="e">
        <v>#N/A</v>
      </c>
    </row>
    <row r="383" spans="1:26" customFormat="1">
      <c r="A383">
        <f t="shared" ca="1" si="6"/>
        <v>3</v>
      </c>
      <c r="B383" s="104" t="s">
        <v>1199</v>
      </c>
      <c r="C383" s="16">
        <v>45936</v>
      </c>
      <c r="D383" s="6" t="s">
        <v>129</v>
      </c>
      <c r="E383" s="6" t="s">
        <v>3665</v>
      </c>
      <c r="F383" s="6"/>
      <c r="G383" s="106" t="s">
        <v>86</v>
      </c>
      <c r="H383" s="106" t="s">
        <v>165</v>
      </c>
      <c r="I383" s="49" t="s">
        <v>253</v>
      </c>
      <c r="J383" s="6" t="s">
        <v>212</v>
      </c>
      <c r="K383" s="6" t="str">
        <f>IF(E383="KTG","KTG",(VLOOKUP(J383,'list of outsource'!B:H,2,0)))</f>
        <v>UPM</v>
      </c>
      <c r="L383" s="6" t="s">
        <v>213</v>
      </c>
      <c r="M383" s="6">
        <v>10</v>
      </c>
      <c r="N383" s="6" t="s">
        <v>254</v>
      </c>
      <c r="O383" s="2" t="s">
        <v>3684</v>
      </c>
      <c r="P383" s="6" t="s">
        <v>255</v>
      </c>
      <c r="Q383" s="6" t="s">
        <v>2173</v>
      </c>
      <c r="R383" s="16"/>
      <c r="S383" s="6">
        <v>1</v>
      </c>
      <c r="T383" s="6" t="s">
        <v>307</v>
      </c>
      <c r="U383" s="6" t="s">
        <v>183</v>
      </c>
      <c r="V383" s="17">
        <v>45939</v>
      </c>
      <c r="W383" s="16"/>
    </row>
    <row r="384" spans="1:26" customFormat="1">
      <c r="A384">
        <f t="shared" ca="1" si="6"/>
        <v>56</v>
      </c>
      <c r="B384" s="49" t="s">
        <v>1229</v>
      </c>
      <c r="C384" s="12">
        <v>45189</v>
      </c>
      <c r="D384" s="4" t="s">
        <v>300</v>
      </c>
      <c r="E384" s="4" t="s">
        <v>3665</v>
      </c>
      <c r="F384" s="4"/>
      <c r="G384" s="106" t="s">
        <v>86</v>
      </c>
      <c r="H384" s="106" t="s">
        <v>165</v>
      </c>
      <c r="I384" s="49" t="s">
        <v>285</v>
      </c>
      <c r="J384" s="4" t="s">
        <v>108</v>
      </c>
      <c r="K384" s="4" t="str">
        <f>IF(E384="KTG","KTG",(VLOOKUP(J384,'list of outsource'!B:H,2,0)))</f>
        <v>UPM</v>
      </c>
      <c r="L384" s="4" t="s">
        <v>109</v>
      </c>
      <c r="M384" s="4">
        <v>37</v>
      </c>
      <c r="N384" s="4" t="s">
        <v>286</v>
      </c>
      <c r="O384" s="2" t="s">
        <v>3684</v>
      </c>
      <c r="P384" s="4" t="s">
        <v>1230</v>
      </c>
      <c r="Q384" s="4"/>
      <c r="R384" s="12"/>
      <c r="S384" s="4">
        <v>1</v>
      </c>
      <c r="T384" s="4"/>
      <c r="U384" s="4" t="s">
        <v>183</v>
      </c>
      <c r="V384" s="10">
        <v>45245</v>
      </c>
      <c r="W384" s="12">
        <v>45964</v>
      </c>
      <c r="Z384" t="e">
        <v>#N/A</v>
      </c>
    </row>
    <row r="385" spans="1:26" customFormat="1">
      <c r="A385">
        <f t="shared" ca="1" si="6"/>
        <v>4</v>
      </c>
      <c r="B385" s="49" t="s">
        <v>1229</v>
      </c>
      <c r="C385" s="12">
        <v>45394</v>
      </c>
      <c r="D385" s="4" t="s">
        <v>1070</v>
      </c>
      <c r="E385" s="4" t="s">
        <v>3665</v>
      </c>
      <c r="F385" s="4"/>
      <c r="G385" s="106" t="s">
        <v>86</v>
      </c>
      <c r="H385" s="106" t="s">
        <v>165</v>
      </c>
      <c r="I385" s="49" t="s">
        <v>285</v>
      </c>
      <c r="J385" s="4" t="s">
        <v>108</v>
      </c>
      <c r="K385" s="4" t="str">
        <f>IF(E385="KTG","KTG",(VLOOKUP(J385,'list of outsource'!B:H,2,0)))</f>
        <v>UPM</v>
      </c>
      <c r="L385" s="4" t="s">
        <v>109</v>
      </c>
      <c r="M385" s="4">
        <v>38</v>
      </c>
      <c r="N385" s="4" t="s">
        <v>286</v>
      </c>
      <c r="O385" s="2" t="s">
        <v>3684</v>
      </c>
      <c r="P385" s="4" t="s">
        <v>1230</v>
      </c>
      <c r="Q385" s="4">
        <v>1165241549</v>
      </c>
      <c r="R385" s="12" t="s">
        <v>549</v>
      </c>
      <c r="S385" s="4">
        <v>1</v>
      </c>
      <c r="T385" s="4" t="s">
        <v>307</v>
      </c>
      <c r="U385" s="4" t="s">
        <v>183</v>
      </c>
      <c r="V385" s="10">
        <v>45398</v>
      </c>
      <c r="W385" s="12">
        <v>45401</v>
      </c>
      <c r="Z385" t="e">
        <v>#N/A</v>
      </c>
    </row>
    <row r="386" spans="1:26" customFormat="1">
      <c r="A386">
        <f t="shared" ca="1" si="6"/>
        <v>1</v>
      </c>
      <c r="B386" s="104" t="s">
        <v>1250</v>
      </c>
      <c r="C386" s="16">
        <v>45208</v>
      </c>
      <c r="D386" s="6" t="s">
        <v>129</v>
      </c>
      <c r="E386" s="6" t="s">
        <v>3665</v>
      </c>
      <c r="F386" s="6"/>
      <c r="G386" s="106" t="s">
        <v>86</v>
      </c>
      <c r="H386" s="106" t="s">
        <v>165</v>
      </c>
      <c r="I386" s="49" t="s">
        <v>297</v>
      </c>
      <c r="J386" s="6" t="s">
        <v>96</v>
      </c>
      <c r="K386" s="6" t="str">
        <f>IF(E386="KTG","KTG",(VLOOKUP(J386,'list of outsource'!B:H,2,0)))</f>
        <v>Woer</v>
      </c>
      <c r="L386" s="6" t="s">
        <v>97</v>
      </c>
      <c r="M386" s="6">
        <v>39</v>
      </c>
      <c r="N386" s="6" t="s">
        <v>298</v>
      </c>
      <c r="O386" s="2" t="s">
        <v>3684</v>
      </c>
      <c r="P386" s="6" t="s">
        <v>299</v>
      </c>
      <c r="Q386" s="6" t="s">
        <v>1251</v>
      </c>
      <c r="R386" s="16"/>
      <c r="S386" s="6">
        <v>1</v>
      </c>
      <c r="T386" s="6"/>
      <c r="U386" s="6" t="s">
        <v>183</v>
      </c>
      <c r="V386" s="17">
        <v>45209</v>
      </c>
      <c r="W386" s="16"/>
      <c r="Z386" t="e">
        <v>#N/A</v>
      </c>
    </row>
    <row r="387" spans="1:26" customFormat="1">
      <c r="A387">
        <f t="shared" ca="1" si="6"/>
        <v>0</v>
      </c>
      <c r="B387" s="104" t="s">
        <v>2408</v>
      </c>
      <c r="C387" s="16">
        <v>45209</v>
      </c>
      <c r="D387" s="6" t="s">
        <v>129</v>
      </c>
      <c r="E387" s="6" t="s">
        <v>3662</v>
      </c>
      <c r="F387" s="6"/>
      <c r="G387" s="106" t="s">
        <v>86</v>
      </c>
      <c r="H387" s="106" t="s">
        <v>165</v>
      </c>
      <c r="I387" s="49" t="s">
        <v>309</v>
      </c>
      <c r="J387" s="6" t="s">
        <v>222</v>
      </c>
      <c r="K387" s="6" t="str">
        <f>IF(E387="KTG","KTG",(VLOOKUP(J387,'list of outsource'!B:H,2,0)))</f>
        <v>ETC</v>
      </c>
      <c r="L387" s="6" t="s">
        <v>223</v>
      </c>
      <c r="M387" s="6">
        <v>18</v>
      </c>
      <c r="N387" s="6" t="s">
        <v>310</v>
      </c>
      <c r="O387" s="2" t="s">
        <v>3684</v>
      </c>
      <c r="P387" s="6" t="s">
        <v>311</v>
      </c>
      <c r="Q387" s="6" t="s">
        <v>2409</v>
      </c>
      <c r="R387" s="16"/>
      <c r="S387" s="6">
        <v>1</v>
      </c>
      <c r="T387" s="6"/>
      <c r="U387" s="6" t="s">
        <v>183</v>
      </c>
      <c r="V387" s="17">
        <v>45209</v>
      </c>
      <c r="W387" s="16"/>
      <c r="Z387" t="e">
        <v>#N/A</v>
      </c>
    </row>
    <row r="388" spans="1:26" customFormat="1">
      <c r="A388">
        <f t="shared" ca="1" si="6"/>
        <v>2</v>
      </c>
      <c r="B388" s="104" t="s">
        <v>2408</v>
      </c>
      <c r="C388" s="12">
        <v>45791</v>
      </c>
      <c r="D388" s="4" t="s">
        <v>300</v>
      </c>
      <c r="E388" s="4" t="s">
        <v>3662</v>
      </c>
      <c r="F388" s="4"/>
      <c r="G388" s="106" t="s">
        <v>86</v>
      </c>
      <c r="H388" s="106" t="s">
        <v>165</v>
      </c>
      <c r="I388" s="49" t="s">
        <v>309</v>
      </c>
      <c r="J388" s="4" t="s">
        <v>222</v>
      </c>
      <c r="K388" s="4" t="str">
        <f>IF(E388="KTG","KTG",(VLOOKUP(J388,'list of outsource'!B:H,2,0)))</f>
        <v>ETC</v>
      </c>
      <c r="L388" s="4" t="s">
        <v>223</v>
      </c>
      <c r="M388" s="4">
        <v>23</v>
      </c>
      <c r="N388" s="4" t="s">
        <v>310</v>
      </c>
      <c r="O388" s="2" t="s">
        <v>3684</v>
      </c>
      <c r="P388" s="4" t="s">
        <v>311</v>
      </c>
      <c r="Q388" s="4" t="s">
        <v>2492</v>
      </c>
      <c r="R388" s="12"/>
      <c r="S388" s="4">
        <v>1</v>
      </c>
      <c r="T388" s="4" t="s">
        <v>307</v>
      </c>
      <c r="U388" s="4" t="s">
        <v>183</v>
      </c>
      <c r="V388" s="10">
        <v>45793</v>
      </c>
      <c r="W388" s="12">
        <v>45806</v>
      </c>
      <c r="Z388" t="e">
        <v>#N/A</v>
      </c>
    </row>
    <row r="389" spans="1:26" customFormat="1">
      <c r="A389">
        <f t="shared" ca="1" si="6"/>
        <v>16</v>
      </c>
      <c r="B389" s="104" t="s">
        <v>1361</v>
      </c>
      <c r="C389" s="16">
        <v>45229</v>
      </c>
      <c r="D389" s="6" t="s">
        <v>129</v>
      </c>
      <c r="E389" s="6" t="s">
        <v>3665</v>
      </c>
      <c r="F389" s="6"/>
      <c r="G389" s="106" t="s">
        <v>86</v>
      </c>
      <c r="H389" s="106" t="s">
        <v>165</v>
      </c>
      <c r="I389" s="49" t="s">
        <v>343</v>
      </c>
      <c r="J389" s="6" t="s">
        <v>232</v>
      </c>
      <c r="K389" s="6" t="str">
        <f>IF(E389="KTG","KTG",(VLOOKUP(J389,'list of outsource'!B:H,2,0)))</f>
        <v>UPM</v>
      </c>
      <c r="L389" s="6" t="s">
        <v>233</v>
      </c>
      <c r="M389" s="6"/>
      <c r="N389" s="6" t="s">
        <v>344</v>
      </c>
      <c r="O389" s="2" t="s">
        <v>3684</v>
      </c>
      <c r="P389" s="6" t="s">
        <v>345</v>
      </c>
      <c r="Q389" s="6"/>
      <c r="R389" s="16"/>
      <c r="S389" s="6">
        <v>1</v>
      </c>
      <c r="T389" s="6"/>
      <c r="U389" s="6" t="s">
        <v>183</v>
      </c>
      <c r="V389" s="17">
        <v>45245</v>
      </c>
      <c r="W389" s="16"/>
      <c r="Z389" t="e">
        <v>#N/A</v>
      </c>
    </row>
    <row r="390" spans="1:26" customFormat="1">
      <c r="A390">
        <f t="shared" ca="1" si="6"/>
        <v>17</v>
      </c>
      <c r="B390" s="104" t="s">
        <v>1362</v>
      </c>
      <c r="C390" s="16">
        <v>45229</v>
      </c>
      <c r="D390" s="6" t="s">
        <v>129</v>
      </c>
      <c r="E390" s="6" t="s">
        <v>3665</v>
      </c>
      <c r="F390" s="6"/>
      <c r="G390" s="106" t="s">
        <v>86</v>
      </c>
      <c r="H390" s="106" t="s">
        <v>165</v>
      </c>
      <c r="I390" s="49" t="s">
        <v>351</v>
      </c>
      <c r="J390" s="6" t="s">
        <v>108</v>
      </c>
      <c r="K390" s="6" t="str">
        <f>IF(E390="KTG","KTG",(VLOOKUP(J390,'list of outsource'!B:H,2,0)))</f>
        <v>UPM</v>
      </c>
      <c r="L390" s="6" t="s">
        <v>109</v>
      </c>
      <c r="M390" s="6">
        <v>37</v>
      </c>
      <c r="N390" s="6" t="s">
        <v>352</v>
      </c>
      <c r="O390" s="2" t="s">
        <v>3684</v>
      </c>
      <c r="P390" s="6" t="s">
        <v>353</v>
      </c>
      <c r="Q390" s="6">
        <v>1173684082</v>
      </c>
      <c r="R390" s="16"/>
      <c r="S390" s="6">
        <v>1</v>
      </c>
      <c r="T390" s="6"/>
      <c r="U390" s="6" t="s">
        <v>183</v>
      </c>
      <c r="V390" s="17">
        <v>45246</v>
      </c>
      <c r="W390" s="16"/>
      <c r="Z390">
        <v>0</v>
      </c>
    </row>
    <row r="391" spans="1:26" customFormat="1">
      <c r="A391">
        <f t="shared" ca="1" si="6"/>
        <v>4</v>
      </c>
      <c r="B391" s="49" t="s">
        <v>1362</v>
      </c>
      <c r="C391" s="12">
        <v>45394</v>
      </c>
      <c r="D391" s="4" t="s">
        <v>1070</v>
      </c>
      <c r="E391" s="4" t="s">
        <v>3665</v>
      </c>
      <c r="F391" s="4"/>
      <c r="G391" s="106" t="s">
        <v>86</v>
      </c>
      <c r="H391" s="106" t="s">
        <v>165</v>
      </c>
      <c r="I391" s="49" t="s">
        <v>351</v>
      </c>
      <c r="J391" s="4" t="s">
        <v>108</v>
      </c>
      <c r="K391" s="4" t="str">
        <f>IF(E391="KTG","KTG",(VLOOKUP(J391,'list of outsource'!B:H,2,0)))</f>
        <v>UPM</v>
      </c>
      <c r="L391" s="4" t="s">
        <v>109</v>
      </c>
      <c r="M391" s="4">
        <v>38</v>
      </c>
      <c r="N391" s="4" t="s">
        <v>352</v>
      </c>
      <c r="O391" s="2" t="s">
        <v>3684</v>
      </c>
      <c r="P391" s="4" t="s">
        <v>353</v>
      </c>
      <c r="Q391" s="4">
        <v>1173684082</v>
      </c>
      <c r="R391" s="12" t="s">
        <v>549</v>
      </c>
      <c r="S391" s="4">
        <v>1</v>
      </c>
      <c r="T391" s="4" t="s">
        <v>307</v>
      </c>
      <c r="U391" s="4" t="s">
        <v>183</v>
      </c>
      <c r="V391" s="10">
        <v>45398</v>
      </c>
      <c r="W391" s="12">
        <v>45401</v>
      </c>
      <c r="Z391">
        <v>0</v>
      </c>
    </row>
    <row r="392" spans="1:26" customFormat="1">
      <c r="A392">
        <f t="shared" ca="1" si="6"/>
        <v>1</v>
      </c>
      <c r="B392" s="49" t="s">
        <v>1362</v>
      </c>
      <c r="C392" s="12">
        <v>45791</v>
      </c>
      <c r="D392" s="4" t="s">
        <v>300</v>
      </c>
      <c r="E392" s="4" t="s">
        <v>3665</v>
      </c>
      <c r="F392" s="4"/>
      <c r="G392" s="106" t="s">
        <v>86</v>
      </c>
      <c r="H392" s="106" t="s">
        <v>165</v>
      </c>
      <c r="I392" s="49" t="s">
        <v>351</v>
      </c>
      <c r="J392" s="4" t="s">
        <v>108</v>
      </c>
      <c r="K392" s="4" t="str">
        <f>IF(E392="KTG","KTG",(VLOOKUP(J392,'list of outsource'!B:H,2,0)))</f>
        <v>UPM</v>
      </c>
      <c r="L392" s="4" t="s">
        <v>109</v>
      </c>
      <c r="M392" s="4">
        <v>45</v>
      </c>
      <c r="N392" s="4" t="s">
        <v>352</v>
      </c>
      <c r="O392" s="2" t="s">
        <v>3684</v>
      </c>
      <c r="P392" s="4" t="s">
        <v>353</v>
      </c>
      <c r="Q392" s="4" t="s">
        <v>2493</v>
      </c>
      <c r="R392" s="12"/>
      <c r="S392" s="4">
        <v>1</v>
      </c>
      <c r="T392" s="4" t="s">
        <v>307</v>
      </c>
      <c r="U392" s="4" t="s">
        <v>183</v>
      </c>
      <c r="V392" s="10">
        <v>45792</v>
      </c>
      <c r="W392" s="12">
        <v>45799</v>
      </c>
      <c r="Z392">
        <v>0</v>
      </c>
    </row>
    <row r="393" spans="1:26" customFormat="1">
      <c r="A393">
        <f t="shared" ca="1" si="6"/>
        <v>57</v>
      </c>
      <c r="B393" s="49" t="s">
        <v>1193</v>
      </c>
      <c r="C393" s="12">
        <v>45176</v>
      </c>
      <c r="D393" s="4" t="s">
        <v>504</v>
      </c>
      <c r="E393" s="4" t="s">
        <v>3665</v>
      </c>
      <c r="F393" s="4"/>
      <c r="G393" s="106" t="s">
        <v>86</v>
      </c>
      <c r="H393" s="106" t="s">
        <v>165</v>
      </c>
      <c r="I393" s="49" t="s">
        <v>265</v>
      </c>
      <c r="J393" s="4" t="s">
        <v>212</v>
      </c>
      <c r="K393" s="4" t="str">
        <f>IF(E393="KTG","KTG",(VLOOKUP(J393,'list of outsource'!B:H,2,0)))</f>
        <v>UPM</v>
      </c>
      <c r="L393" s="4" t="s">
        <v>213</v>
      </c>
      <c r="M393" s="4">
        <v>9</v>
      </c>
      <c r="N393" s="4" t="s">
        <v>266</v>
      </c>
      <c r="O393" s="2" t="s">
        <v>3684</v>
      </c>
      <c r="P393" s="4" t="s">
        <v>1194</v>
      </c>
      <c r="Q393" s="4">
        <v>1160610621</v>
      </c>
      <c r="R393" s="12"/>
      <c r="S393" s="4">
        <v>1</v>
      </c>
      <c r="T393" s="4"/>
      <c r="U393" s="4" t="s">
        <v>183</v>
      </c>
      <c r="V393" s="10">
        <v>45233</v>
      </c>
      <c r="W393" s="12">
        <v>45236</v>
      </c>
      <c r="Z393" t="e">
        <v>#N/A</v>
      </c>
    </row>
    <row r="394" spans="1:26" customFormat="1">
      <c r="A394">
        <f t="shared" ca="1" si="6"/>
        <v>31</v>
      </c>
      <c r="B394" s="49" t="s">
        <v>1193</v>
      </c>
      <c r="C394" s="12">
        <v>45571</v>
      </c>
      <c r="D394" s="4" t="s">
        <v>1070</v>
      </c>
      <c r="E394" s="4" t="s">
        <v>3665</v>
      </c>
      <c r="F394" s="4"/>
      <c r="G394" s="106" t="s">
        <v>86</v>
      </c>
      <c r="H394" s="106" t="s">
        <v>165</v>
      </c>
      <c r="I394" s="49" t="s">
        <v>265</v>
      </c>
      <c r="J394" s="4" t="s">
        <v>212</v>
      </c>
      <c r="K394" s="4" t="str">
        <f>IF(E394="KTG","KTG",(VLOOKUP(J394,'list of outsource'!B:H,2,0)))</f>
        <v>UPM</v>
      </c>
      <c r="L394" s="4" t="s">
        <v>213</v>
      </c>
      <c r="M394" s="4">
        <v>10</v>
      </c>
      <c r="N394" s="4" t="s">
        <v>266</v>
      </c>
      <c r="O394" s="2" t="s">
        <v>3684</v>
      </c>
      <c r="P394" s="4" t="s">
        <v>1194</v>
      </c>
      <c r="Q394" s="4" t="s">
        <v>2174</v>
      </c>
      <c r="R394" s="12"/>
      <c r="S394" s="4">
        <v>1</v>
      </c>
      <c r="T394" s="4" t="s">
        <v>307</v>
      </c>
      <c r="U394" s="4" t="s">
        <v>183</v>
      </c>
      <c r="V394" s="10">
        <v>45602</v>
      </c>
      <c r="W394" s="12">
        <v>45603</v>
      </c>
      <c r="Z394" t="e">
        <v>#N/A</v>
      </c>
    </row>
    <row r="395" spans="1:26" customFormat="1">
      <c r="A395">
        <f t="shared" ca="1" si="6"/>
        <v>2</v>
      </c>
      <c r="B395" s="104" t="s">
        <v>1193</v>
      </c>
      <c r="C395" s="16">
        <v>45937</v>
      </c>
      <c r="D395" s="6" t="s">
        <v>129</v>
      </c>
      <c r="E395" s="6" t="s">
        <v>3665</v>
      </c>
      <c r="F395" s="6"/>
      <c r="G395" s="106" t="s">
        <v>86</v>
      </c>
      <c r="H395" s="106" t="s">
        <v>165</v>
      </c>
      <c r="I395" s="49" t="s">
        <v>265</v>
      </c>
      <c r="J395" s="6" t="s">
        <v>212</v>
      </c>
      <c r="K395" s="6" t="str">
        <f>IF(E395="KTG","KTG",(VLOOKUP(J395,'list of outsource'!B:H,2,0)))</f>
        <v>UPM</v>
      </c>
      <c r="L395" s="6" t="s">
        <v>213</v>
      </c>
      <c r="M395" s="6">
        <v>10</v>
      </c>
      <c r="N395" s="6" t="s">
        <v>266</v>
      </c>
      <c r="O395" s="2" t="s">
        <v>3684</v>
      </c>
      <c r="P395" s="6" t="s">
        <v>1194</v>
      </c>
      <c r="Q395" s="6" t="s">
        <v>2174</v>
      </c>
      <c r="R395" s="16"/>
      <c r="S395" s="6">
        <v>1</v>
      </c>
      <c r="T395" s="6" t="s">
        <v>307</v>
      </c>
      <c r="U395" s="6" t="s">
        <v>183</v>
      </c>
      <c r="V395" s="17">
        <v>45939</v>
      </c>
      <c r="W395" s="16"/>
    </row>
    <row r="396" spans="1:26" customFormat="1">
      <c r="A396">
        <f t="shared" ref="A396:A459" ca="1" si="7">IF(V396="",(TODAY()-C396),(V396-C396))</f>
        <v>57</v>
      </c>
      <c r="B396" s="49" t="s">
        <v>1195</v>
      </c>
      <c r="C396" s="12">
        <v>45176</v>
      </c>
      <c r="D396" s="4" t="s">
        <v>504</v>
      </c>
      <c r="E396" s="4" t="s">
        <v>3665</v>
      </c>
      <c r="F396" s="4"/>
      <c r="G396" s="106" t="s">
        <v>86</v>
      </c>
      <c r="H396" s="106" t="s">
        <v>165</v>
      </c>
      <c r="I396" s="49" t="s">
        <v>269</v>
      </c>
      <c r="J396" s="4" t="s">
        <v>212</v>
      </c>
      <c r="K396" s="4" t="str">
        <f>IF(E396="KTG","KTG",(VLOOKUP(J396,'list of outsource'!B:H,2,0)))</f>
        <v>UPM</v>
      </c>
      <c r="L396" s="4" t="s">
        <v>213</v>
      </c>
      <c r="M396" s="4">
        <v>9</v>
      </c>
      <c r="N396" s="4" t="s">
        <v>270</v>
      </c>
      <c r="O396" s="2" t="s">
        <v>3684</v>
      </c>
      <c r="P396" s="4" t="s">
        <v>1196</v>
      </c>
      <c r="Q396" s="4">
        <v>1160623765</v>
      </c>
      <c r="R396" s="12"/>
      <c r="S396" s="4">
        <v>1</v>
      </c>
      <c r="T396" s="4"/>
      <c r="U396" s="4" t="s">
        <v>183</v>
      </c>
      <c r="V396" s="10">
        <v>45233</v>
      </c>
      <c r="W396" s="12">
        <v>45236</v>
      </c>
      <c r="Z396" t="e">
        <v>#N/A</v>
      </c>
    </row>
    <row r="397" spans="1:26" customFormat="1" hidden="1">
      <c r="A397">
        <f t="shared" ca="1" si="7"/>
        <v>55</v>
      </c>
      <c r="B397" s="4" t="s">
        <v>1233</v>
      </c>
      <c r="C397" s="12">
        <v>45190</v>
      </c>
      <c r="D397" s="4" t="s">
        <v>504</v>
      </c>
      <c r="E397" s="4" t="s">
        <v>3665</v>
      </c>
      <c r="F397" s="4">
        <v>45</v>
      </c>
      <c r="G397" s="4" t="s">
        <v>86</v>
      </c>
      <c r="H397" s="4" t="s">
        <v>165</v>
      </c>
      <c r="I397" s="4" t="s">
        <v>289</v>
      </c>
      <c r="J397" s="4" t="s">
        <v>190</v>
      </c>
      <c r="K397" s="4" t="str">
        <f>IF(E397="KTG","KTG",(VLOOKUP(J397,'list of outsource'!B:H,2,0)))</f>
        <v>UPM</v>
      </c>
      <c r="L397" s="4" t="s">
        <v>191</v>
      </c>
      <c r="M397" s="4"/>
      <c r="N397" s="4" t="s">
        <v>290</v>
      </c>
      <c r="O397" s="2"/>
      <c r="P397" s="4" t="s">
        <v>291</v>
      </c>
      <c r="Q397" s="4"/>
      <c r="R397" s="12"/>
      <c r="S397" s="4">
        <v>1</v>
      </c>
      <c r="T397" s="4"/>
      <c r="U397" s="4" t="s">
        <v>183</v>
      </c>
      <c r="V397" s="10">
        <v>45245</v>
      </c>
      <c r="W397" s="12">
        <v>45281</v>
      </c>
      <c r="Z397" t="e">
        <v>#N/A</v>
      </c>
    </row>
    <row r="398" spans="1:26" customFormat="1" hidden="1">
      <c r="A398">
        <f t="shared" ca="1" si="7"/>
        <v>21</v>
      </c>
      <c r="B398" s="4" t="s">
        <v>1233</v>
      </c>
      <c r="C398" s="12">
        <v>45617</v>
      </c>
      <c r="D398" s="4" t="s">
        <v>1070</v>
      </c>
      <c r="E398" s="4" t="s">
        <v>3665</v>
      </c>
      <c r="F398" s="4">
        <v>45</v>
      </c>
      <c r="G398" s="4" t="s">
        <v>86</v>
      </c>
      <c r="H398" s="4" t="s">
        <v>165</v>
      </c>
      <c r="I398" s="4" t="s">
        <v>289</v>
      </c>
      <c r="J398" s="4" t="s">
        <v>190</v>
      </c>
      <c r="K398" s="4" t="str">
        <f>IF(E398="KTG","KTG",(VLOOKUP(J398,'list of outsource'!B:H,2,0)))</f>
        <v>UPM</v>
      </c>
      <c r="L398" s="4" t="s">
        <v>191</v>
      </c>
      <c r="M398" s="4">
        <v>13</v>
      </c>
      <c r="N398" s="4" t="s">
        <v>290</v>
      </c>
      <c r="O398" s="2"/>
      <c r="P398" s="4" t="s">
        <v>291</v>
      </c>
      <c r="Q398" s="4" t="s">
        <v>2201</v>
      </c>
      <c r="R398" s="12"/>
      <c r="S398" s="4">
        <v>1</v>
      </c>
      <c r="T398" s="4" t="s">
        <v>307</v>
      </c>
      <c r="U398" s="4" t="s">
        <v>550</v>
      </c>
      <c r="V398" s="10">
        <v>45638</v>
      </c>
      <c r="W398" s="12">
        <v>45642</v>
      </c>
      <c r="Z398" t="e">
        <v>#N/A</v>
      </c>
    </row>
    <row r="399" spans="1:26" customFormat="1" hidden="1">
      <c r="A399">
        <f t="shared" ca="1" si="7"/>
        <v>1</v>
      </c>
      <c r="B399" s="4" t="s">
        <v>1245</v>
      </c>
      <c r="C399" s="12">
        <v>45197</v>
      </c>
      <c r="D399" s="4" t="s">
        <v>504</v>
      </c>
      <c r="E399" s="4" t="s">
        <v>3665</v>
      </c>
      <c r="F399" s="4">
        <v>46</v>
      </c>
      <c r="G399" s="4" t="s">
        <v>86</v>
      </c>
      <c r="H399" s="4" t="s">
        <v>165</v>
      </c>
      <c r="I399" s="4" t="s">
        <v>199</v>
      </c>
      <c r="J399" s="4" t="s">
        <v>108</v>
      </c>
      <c r="K399" s="4" t="str">
        <f>IF(E399="KTG","KTG",(VLOOKUP(J399,'list of outsource'!B:H,2,0)))</f>
        <v>UPM</v>
      </c>
      <c r="L399" s="4" t="s">
        <v>109</v>
      </c>
      <c r="M399" s="4">
        <v>35</v>
      </c>
      <c r="N399" s="4" t="s">
        <v>200</v>
      </c>
      <c r="O399" s="2"/>
      <c r="P399" s="4" t="s">
        <v>201</v>
      </c>
      <c r="Q399" s="4"/>
      <c r="R399" s="12"/>
      <c r="S399" s="4">
        <v>1</v>
      </c>
      <c r="T399" s="4"/>
      <c r="U399" s="4" t="s">
        <v>183</v>
      </c>
      <c r="V399" s="10">
        <v>45198</v>
      </c>
      <c r="W399" s="12">
        <v>45204</v>
      </c>
      <c r="Z399" t="e">
        <v>#N/A</v>
      </c>
    </row>
    <row r="400" spans="1:26" customFormat="1" hidden="1">
      <c r="A400">
        <f t="shared" ca="1" si="7"/>
        <v>4</v>
      </c>
      <c r="B400" s="4" t="s">
        <v>1245</v>
      </c>
      <c r="C400" s="12">
        <v>45394</v>
      </c>
      <c r="D400" s="4" t="s">
        <v>1070</v>
      </c>
      <c r="E400" s="4" t="s">
        <v>3665</v>
      </c>
      <c r="F400" s="4">
        <v>46</v>
      </c>
      <c r="G400" s="4" t="s">
        <v>86</v>
      </c>
      <c r="H400" s="4" t="s">
        <v>165</v>
      </c>
      <c r="I400" s="4" t="s">
        <v>199</v>
      </c>
      <c r="J400" s="4" t="s">
        <v>108</v>
      </c>
      <c r="K400" s="4" t="str">
        <f>IF(E400="KTG","KTG",(VLOOKUP(J400,'list of outsource'!B:H,2,0)))</f>
        <v>UPM</v>
      </c>
      <c r="L400" s="4" t="s">
        <v>109</v>
      </c>
      <c r="M400" s="4">
        <v>38</v>
      </c>
      <c r="N400" s="4" t="s">
        <v>200</v>
      </c>
      <c r="O400" s="2"/>
      <c r="P400" s="4" t="s">
        <v>201</v>
      </c>
      <c r="Q400" s="4">
        <v>1151962414</v>
      </c>
      <c r="R400" s="12" t="s">
        <v>549</v>
      </c>
      <c r="S400" s="4">
        <v>1</v>
      </c>
      <c r="T400" s="4" t="s">
        <v>307</v>
      </c>
      <c r="U400" s="4" t="s">
        <v>183</v>
      </c>
      <c r="V400" s="10">
        <v>45398</v>
      </c>
      <c r="W400" s="12">
        <v>45401</v>
      </c>
      <c r="Z400" t="e">
        <v>#N/A</v>
      </c>
    </row>
    <row r="401" spans="1:26" customFormat="1" hidden="1">
      <c r="A401">
        <f t="shared" ca="1" si="7"/>
        <v>22</v>
      </c>
      <c r="B401" s="4" t="s">
        <v>1245</v>
      </c>
      <c r="C401" s="12">
        <v>45735</v>
      </c>
      <c r="D401" s="4" t="s">
        <v>300</v>
      </c>
      <c r="E401" s="4" t="s">
        <v>3665</v>
      </c>
      <c r="F401" s="4">
        <v>46</v>
      </c>
      <c r="G401" s="4" t="s">
        <v>86</v>
      </c>
      <c r="H401" s="4" t="s">
        <v>165</v>
      </c>
      <c r="I401" s="4" t="s">
        <v>199</v>
      </c>
      <c r="J401" s="4" t="s">
        <v>108</v>
      </c>
      <c r="K401" s="4" t="str">
        <f>IF(E401="KTG","KTG",(VLOOKUP(J401,'list of outsource'!B:H,2,0)))</f>
        <v>UPM</v>
      </c>
      <c r="L401" s="4" t="s">
        <v>109</v>
      </c>
      <c r="M401" s="4">
        <v>45</v>
      </c>
      <c r="N401" s="4" t="s">
        <v>200</v>
      </c>
      <c r="O401" s="2"/>
      <c r="P401" s="4" t="s">
        <v>201</v>
      </c>
      <c r="Q401" s="4" t="s">
        <v>1923</v>
      </c>
      <c r="R401" s="12"/>
      <c r="S401" s="4">
        <v>1</v>
      </c>
      <c r="T401" s="4" t="s">
        <v>307</v>
      </c>
      <c r="U401" s="4" t="s">
        <v>183</v>
      </c>
      <c r="V401" s="10">
        <v>45757</v>
      </c>
      <c r="W401" s="12">
        <v>45776</v>
      </c>
      <c r="Z401" t="e">
        <v>#N/A</v>
      </c>
    </row>
    <row r="402" spans="1:26" customFormat="1" hidden="1">
      <c r="A402">
        <f t="shared" ca="1" si="7"/>
        <v>3</v>
      </c>
      <c r="B402" s="8" t="s">
        <v>1248</v>
      </c>
      <c r="C402" s="16">
        <v>45205</v>
      </c>
      <c r="D402" s="6" t="s">
        <v>129</v>
      </c>
      <c r="E402" s="6" t="s">
        <v>3665</v>
      </c>
      <c r="F402" s="6">
        <v>37</v>
      </c>
      <c r="G402" s="6" t="s">
        <v>86</v>
      </c>
      <c r="H402" s="6" t="s">
        <v>165</v>
      </c>
      <c r="I402" s="6" t="s">
        <v>189</v>
      </c>
      <c r="J402" s="6" t="s">
        <v>190</v>
      </c>
      <c r="K402" s="6" t="str">
        <f>IF(E402="KTG","KTG",(VLOOKUP(J402,'list of outsource'!B:H,2,0)))</f>
        <v>UPM</v>
      </c>
      <c r="L402" s="6" t="s">
        <v>191</v>
      </c>
      <c r="M402" s="6"/>
      <c r="N402" s="6" t="s">
        <v>192</v>
      </c>
      <c r="O402" s="2"/>
      <c r="P402" s="6" t="s">
        <v>193</v>
      </c>
      <c r="Q402" s="6"/>
      <c r="R402" s="16"/>
      <c r="S402" s="6">
        <v>1</v>
      </c>
      <c r="T402" s="6"/>
      <c r="U402" s="6" t="s">
        <v>183</v>
      </c>
      <c r="V402" s="17">
        <v>45208</v>
      </c>
      <c r="W402" s="16"/>
      <c r="Z402" t="s">
        <v>1249</v>
      </c>
    </row>
    <row r="403" spans="1:26" customFormat="1" hidden="1">
      <c r="A403">
        <f t="shared" ca="1" si="7"/>
        <v>18</v>
      </c>
      <c r="B403" s="4" t="s">
        <v>1248</v>
      </c>
      <c r="C403" s="12">
        <v>45303</v>
      </c>
      <c r="D403" s="4" t="s">
        <v>1070</v>
      </c>
      <c r="E403" s="4" t="s">
        <v>3665</v>
      </c>
      <c r="F403" s="4">
        <v>37</v>
      </c>
      <c r="G403" s="4" t="s">
        <v>86</v>
      </c>
      <c r="H403" s="4" t="s">
        <v>165</v>
      </c>
      <c r="I403" s="4" t="s">
        <v>189</v>
      </c>
      <c r="J403" s="4" t="s">
        <v>190</v>
      </c>
      <c r="K403" s="4" t="str">
        <f>IF(E403="KTG","KTG",(VLOOKUP(J403,'list of outsource'!B:H,2,0)))</f>
        <v>UPM</v>
      </c>
      <c r="L403" s="4" t="s">
        <v>191</v>
      </c>
      <c r="M403" s="4">
        <v>12</v>
      </c>
      <c r="N403" s="4" t="s">
        <v>192</v>
      </c>
      <c r="O403" s="2"/>
      <c r="P403" s="4" t="s">
        <v>193</v>
      </c>
      <c r="Q403" s="4" t="s">
        <v>2491</v>
      </c>
      <c r="R403" s="12" t="s">
        <v>549</v>
      </c>
      <c r="S403" s="4">
        <v>1</v>
      </c>
      <c r="T403" s="4" t="s">
        <v>307</v>
      </c>
      <c r="U403" s="4" t="s">
        <v>183</v>
      </c>
      <c r="V403" s="10">
        <v>45321</v>
      </c>
      <c r="W403" s="12">
        <v>45357</v>
      </c>
      <c r="Z403" t="s">
        <v>1249</v>
      </c>
    </row>
    <row r="404" spans="1:26" customFormat="1" hidden="1">
      <c r="A404">
        <f t="shared" ca="1" si="7"/>
        <v>6</v>
      </c>
      <c r="B404" s="9" t="s">
        <v>1248</v>
      </c>
      <c r="C404" s="12">
        <v>45791</v>
      </c>
      <c r="D404" s="4" t="s">
        <v>300</v>
      </c>
      <c r="E404" s="4" t="s">
        <v>3665</v>
      </c>
      <c r="F404" s="4">
        <v>37</v>
      </c>
      <c r="G404" s="4" t="s">
        <v>86</v>
      </c>
      <c r="H404" s="4" t="s">
        <v>165</v>
      </c>
      <c r="I404" s="4" t="s">
        <v>189</v>
      </c>
      <c r="J404" s="4" t="s">
        <v>190</v>
      </c>
      <c r="K404" s="4" t="str">
        <f>IF(E404="KTG","KTG",(VLOOKUP(J404,'list of outsource'!B:H,2,0)))</f>
        <v>UPM</v>
      </c>
      <c r="L404" s="4" t="s">
        <v>191</v>
      </c>
      <c r="M404" s="4">
        <v>14</v>
      </c>
      <c r="N404" s="4" t="s">
        <v>192</v>
      </c>
      <c r="O404" s="2"/>
      <c r="P404" s="4" t="s">
        <v>193</v>
      </c>
      <c r="Q404" s="4" t="s">
        <v>2491</v>
      </c>
      <c r="R404" s="12"/>
      <c r="S404" s="4">
        <v>1</v>
      </c>
      <c r="T404" s="4" t="s">
        <v>307</v>
      </c>
      <c r="U404" s="4" t="s">
        <v>183</v>
      </c>
      <c r="V404" s="10">
        <v>45797</v>
      </c>
      <c r="W404" s="12">
        <v>45803</v>
      </c>
      <c r="Z404" t="s">
        <v>1249</v>
      </c>
    </row>
    <row r="405" spans="1:26" customFormat="1">
      <c r="A405">
        <f t="shared" ca="1" si="7"/>
        <v>31</v>
      </c>
      <c r="B405" s="49" t="s">
        <v>1195</v>
      </c>
      <c r="C405" s="12">
        <v>45571</v>
      </c>
      <c r="D405" s="4" t="s">
        <v>1070</v>
      </c>
      <c r="E405" s="4" t="s">
        <v>3665</v>
      </c>
      <c r="F405" s="4"/>
      <c r="G405" s="106" t="s">
        <v>86</v>
      </c>
      <c r="H405" s="106" t="s">
        <v>165</v>
      </c>
      <c r="I405" s="49" t="s">
        <v>269</v>
      </c>
      <c r="J405" s="4" t="s">
        <v>212</v>
      </c>
      <c r="K405" s="4" t="str">
        <f>IF(E405="KTG","KTG",(VLOOKUP(J405,'list of outsource'!B:H,2,0)))</f>
        <v>UPM</v>
      </c>
      <c r="L405" s="4" t="s">
        <v>213</v>
      </c>
      <c r="M405" s="4">
        <v>10</v>
      </c>
      <c r="N405" s="4" t="s">
        <v>270</v>
      </c>
      <c r="O405" s="2" t="s">
        <v>3684</v>
      </c>
      <c r="P405" s="4" t="s">
        <v>1196</v>
      </c>
      <c r="Q405" s="4" t="s">
        <v>2175</v>
      </c>
      <c r="R405" s="12"/>
      <c r="S405" s="4">
        <v>1</v>
      </c>
      <c r="T405" s="4" t="s">
        <v>307</v>
      </c>
      <c r="U405" s="4" t="s">
        <v>183</v>
      </c>
      <c r="V405" s="10">
        <v>45602</v>
      </c>
      <c r="W405" s="12">
        <v>45603</v>
      </c>
      <c r="Z405" t="e">
        <v>#N/A</v>
      </c>
    </row>
    <row r="406" spans="1:26" customFormat="1">
      <c r="A406">
        <f t="shared" ca="1" si="7"/>
        <v>2</v>
      </c>
      <c r="B406" s="104" t="s">
        <v>1195</v>
      </c>
      <c r="C406" s="16">
        <v>45937</v>
      </c>
      <c r="D406" s="6" t="s">
        <v>129</v>
      </c>
      <c r="E406" s="6" t="s">
        <v>3665</v>
      </c>
      <c r="F406" s="6"/>
      <c r="G406" s="106" t="s">
        <v>86</v>
      </c>
      <c r="H406" s="106" t="s">
        <v>165</v>
      </c>
      <c r="I406" s="49" t="s">
        <v>269</v>
      </c>
      <c r="J406" s="6" t="s">
        <v>212</v>
      </c>
      <c r="K406" s="6" t="str">
        <f>IF(E406="KTG","KTG",(VLOOKUP(J406,'list of outsource'!B:H,2,0)))</f>
        <v>UPM</v>
      </c>
      <c r="L406" s="6" t="s">
        <v>213</v>
      </c>
      <c r="M406" s="6">
        <v>10</v>
      </c>
      <c r="N406" s="6" t="s">
        <v>270</v>
      </c>
      <c r="O406" s="2" t="s">
        <v>3684</v>
      </c>
      <c r="P406" s="6" t="s">
        <v>1196</v>
      </c>
      <c r="Q406" s="6" t="s">
        <v>2175</v>
      </c>
      <c r="R406" s="16"/>
      <c r="S406" s="6">
        <v>1</v>
      </c>
      <c r="T406" s="6" t="s">
        <v>307</v>
      </c>
      <c r="U406" s="6" t="s">
        <v>183</v>
      </c>
      <c r="V406" s="17">
        <v>45939</v>
      </c>
      <c r="W406" s="16"/>
    </row>
    <row r="407" spans="1:26" customFormat="1">
      <c r="A407">
        <f t="shared" ca="1" si="7"/>
        <v>3</v>
      </c>
      <c r="B407" s="104" t="s">
        <v>1380</v>
      </c>
      <c r="C407" s="16">
        <v>45243</v>
      </c>
      <c r="D407" s="6" t="s">
        <v>129</v>
      </c>
      <c r="E407" s="6" t="s">
        <v>3665</v>
      </c>
      <c r="F407" s="6"/>
      <c r="G407" s="106" t="s">
        <v>86</v>
      </c>
      <c r="H407" s="106" t="s">
        <v>165</v>
      </c>
      <c r="I407" s="49" t="s">
        <v>355</v>
      </c>
      <c r="J407" s="6" t="s">
        <v>108</v>
      </c>
      <c r="K407" s="6" t="str">
        <f>IF(E407="KTG","KTG",(VLOOKUP(J407,'list of outsource'!B:H,2,0)))</f>
        <v>UPM</v>
      </c>
      <c r="L407" s="6" t="s">
        <v>109</v>
      </c>
      <c r="M407" s="6">
        <v>37</v>
      </c>
      <c r="N407" s="6" t="s">
        <v>356</v>
      </c>
      <c r="O407" s="2" t="s">
        <v>3684</v>
      </c>
      <c r="P407" s="6" t="s">
        <v>357</v>
      </c>
      <c r="Q407" s="6">
        <v>1173684862</v>
      </c>
      <c r="R407" s="16"/>
      <c r="S407" s="6">
        <v>1</v>
      </c>
      <c r="T407" s="6"/>
      <c r="U407" s="6" t="s">
        <v>183</v>
      </c>
      <c r="V407" s="17">
        <v>45246</v>
      </c>
      <c r="W407" s="16"/>
      <c r="Z407" t="e">
        <v>#N/A</v>
      </c>
    </row>
    <row r="408" spans="1:26" customFormat="1" hidden="1">
      <c r="A408">
        <f t="shared" ca="1" si="7"/>
        <v>42</v>
      </c>
      <c r="B408" s="8" t="s">
        <v>1189</v>
      </c>
      <c r="C408" s="16">
        <v>45176</v>
      </c>
      <c r="D408" s="6" t="s">
        <v>129</v>
      </c>
      <c r="E408" s="6" t="s">
        <v>3663</v>
      </c>
      <c r="F408" s="6">
        <v>4012</v>
      </c>
      <c r="G408" s="6" t="s">
        <v>86</v>
      </c>
      <c r="H408" s="6" t="s">
        <v>165</v>
      </c>
      <c r="I408" s="6" t="s">
        <v>1190</v>
      </c>
      <c r="J408" s="6"/>
      <c r="K408" s="6" t="e">
        <f>IF(E408="KTG","KTG",(VLOOKUP(J408,'list of outsource'!B:H,2,0)))</f>
        <v>#N/A</v>
      </c>
      <c r="L408" s="6"/>
      <c r="M408" s="6"/>
      <c r="N408" s="6" t="s">
        <v>1191</v>
      </c>
      <c r="O408" s="2"/>
      <c r="P408" s="6" t="s">
        <v>1192</v>
      </c>
      <c r="Q408" s="6"/>
      <c r="R408" s="16"/>
      <c r="S408" s="6">
        <v>1</v>
      </c>
      <c r="T408" s="6"/>
      <c r="U408" s="6" t="s">
        <v>183</v>
      </c>
      <c r="V408" s="17">
        <v>45218</v>
      </c>
      <c r="W408" s="16"/>
      <c r="Z408" t="e">
        <v>#N/A</v>
      </c>
    </row>
    <row r="409" spans="1:26" customFormat="1">
      <c r="A409">
        <f t="shared" ca="1" si="7"/>
        <v>4</v>
      </c>
      <c r="B409" s="49" t="s">
        <v>1380</v>
      </c>
      <c r="C409" s="12">
        <v>45394</v>
      </c>
      <c r="D409" s="4" t="s">
        <v>1070</v>
      </c>
      <c r="E409" s="4" t="s">
        <v>3665</v>
      </c>
      <c r="F409" s="4"/>
      <c r="G409" s="106" t="s">
        <v>86</v>
      </c>
      <c r="H409" s="106" t="s">
        <v>165</v>
      </c>
      <c r="I409" s="49" t="s">
        <v>355</v>
      </c>
      <c r="J409" s="4" t="s">
        <v>108</v>
      </c>
      <c r="K409" s="4" t="str">
        <f>IF(E409="KTG","KTG",(VLOOKUP(J409,'list of outsource'!B:H,2,0)))</f>
        <v>UPM</v>
      </c>
      <c r="L409" s="4" t="s">
        <v>109</v>
      </c>
      <c r="M409" s="4">
        <v>38</v>
      </c>
      <c r="N409" s="4" t="s">
        <v>356</v>
      </c>
      <c r="O409" s="2" t="s">
        <v>3684</v>
      </c>
      <c r="P409" s="4" t="s">
        <v>357</v>
      </c>
      <c r="Q409" s="4">
        <v>1173684862</v>
      </c>
      <c r="R409" s="12" t="s">
        <v>549</v>
      </c>
      <c r="S409" s="4">
        <v>1</v>
      </c>
      <c r="T409" s="4" t="s">
        <v>307</v>
      </c>
      <c r="U409" s="4" t="s">
        <v>183</v>
      </c>
      <c r="V409" s="10">
        <v>45398</v>
      </c>
      <c r="W409" s="12">
        <v>45401</v>
      </c>
      <c r="Z409" t="e">
        <v>#N/A</v>
      </c>
    </row>
    <row r="410" spans="1:26" customFormat="1">
      <c r="A410">
        <f t="shared" ca="1" si="7"/>
        <v>22</v>
      </c>
      <c r="B410" s="49" t="s">
        <v>1380</v>
      </c>
      <c r="C410" s="12">
        <v>45735</v>
      </c>
      <c r="D410" s="4" t="s">
        <v>300</v>
      </c>
      <c r="E410" s="4" t="s">
        <v>3665</v>
      </c>
      <c r="F410" s="4"/>
      <c r="G410" s="106" t="s">
        <v>86</v>
      </c>
      <c r="H410" s="106" t="s">
        <v>165</v>
      </c>
      <c r="I410" s="49" t="s">
        <v>355</v>
      </c>
      <c r="J410" s="4" t="s">
        <v>108</v>
      </c>
      <c r="K410" s="4" t="str">
        <f>IF(E410="KTG","KTG",(VLOOKUP(J410,'list of outsource'!B:H,2,0)))</f>
        <v>UPM</v>
      </c>
      <c r="L410" s="4" t="s">
        <v>109</v>
      </c>
      <c r="M410" s="4">
        <v>45</v>
      </c>
      <c r="N410" s="4" t="s">
        <v>356</v>
      </c>
      <c r="O410" s="2" t="s">
        <v>3684</v>
      </c>
      <c r="P410" s="4" t="s">
        <v>357</v>
      </c>
      <c r="Q410" s="4" t="s">
        <v>2404</v>
      </c>
      <c r="R410" s="12"/>
      <c r="S410" s="4">
        <v>1</v>
      </c>
      <c r="T410" s="4" t="s">
        <v>307</v>
      </c>
      <c r="U410" s="4" t="s">
        <v>183</v>
      </c>
      <c r="V410" s="10">
        <v>45757</v>
      </c>
      <c r="W410" s="12">
        <v>45786</v>
      </c>
      <c r="Z410" t="e">
        <v>#N/A</v>
      </c>
    </row>
    <row r="411" spans="1:26" customFormat="1">
      <c r="A411">
        <f t="shared" ca="1" si="7"/>
        <v>3</v>
      </c>
      <c r="B411" s="104" t="s">
        <v>1381</v>
      </c>
      <c r="C411" s="16">
        <v>45243</v>
      </c>
      <c r="D411" s="6" t="s">
        <v>129</v>
      </c>
      <c r="E411" s="6" t="s">
        <v>3665</v>
      </c>
      <c r="F411" s="6"/>
      <c r="G411" s="106" t="s">
        <v>86</v>
      </c>
      <c r="H411" s="106" t="s">
        <v>165</v>
      </c>
      <c r="I411" s="49" t="s">
        <v>339</v>
      </c>
      <c r="J411" s="6" t="s">
        <v>232</v>
      </c>
      <c r="K411" s="6" t="str">
        <f>IF(E411="KTG","KTG",(VLOOKUP(J411,'list of outsource'!B:H,2,0)))</f>
        <v>UPM</v>
      </c>
      <c r="L411" s="6" t="s">
        <v>233</v>
      </c>
      <c r="M411" s="6">
        <v>10</v>
      </c>
      <c r="N411" s="6" t="s">
        <v>340</v>
      </c>
      <c r="O411" s="2" t="s">
        <v>3684</v>
      </c>
      <c r="P411" s="6" t="s">
        <v>341</v>
      </c>
      <c r="Q411" s="6">
        <v>1173453435</v>
      </c>
      <c r="R411" s="16"/>
      <c r="S411" s="6">
        <v>1</v>
      </c>
      <c r="T411" s="6"/>
      <c r="U411" s="6" t="s">
        <v>183</v>
      </c>
      <c r="V411" s="17">
        <v>45246</v>
      </c>
      <c r="W411" s="16"/>
      <c r="Z411" t="e">
        <v>#N/A</v>
      </c>
    </row>
    <row r="412" spans="1:26" customFormat="1">
      <c r="A412">
        <f t="shared" ca="1" si="7"/>
        <v>18</v>
      </c>
      <c r="B412" s="104" t="s">
        <v>1381</v>
      </c>
      <c r="C412" s="16">
        <v>45303</v>
      </c>
      <c r="D412" s="6" t="s">
        <v>129</v>
      </c>
      <c r="E412" s="6" t="s">
        <v>3665</v>
      </c>
      <c r="F412" s="6"/>
      <c r="G412" s="106" t="s">
        <v>86</v>
      </c>
      <c r="H412" s="106" t="s">
        <v>165</v>
      </c>
      <c r="I412" s="49" t="s">
        <v>339</v>
      </c>
      <c r="J412" s="6" t="s">
        <v>232</v>
      </c>
      <c r="K412" s="6" t="str">
        <f>IF(E412="KTG","KTG",(VLOOKUP(J412,'list of outsource'!B:H,2,0)))</f>
        <v>UPM</v>
      </c>
      <c r="L412" s="6" t="s">
        <v>233</v>
      </c>
      <c r="M412" s="6">
        <v>10</v>
      </c>
      <c r="N412" s="6" t="s">
        <v>340</v>
      </c>
      <c r="O412" s="2" t="s">
        <v>3684</v>
      </c>
      <c r="P412" s="6" t="s">
        <v>341</v>
      </c>
      <c r="Q412" s="6">
        <v>1173453435</v>
      </c>
      <c r="R412" s="16" t="s">
        <v>549</v>
      </c>
      <c r="S412" s="6">
        <v>1</v>
      </c>
      <c r="T412" s="6" t="s">
        <v>307</v>
      </c>
      <c r="U412" s="6" t="s">
        <v>183</v>
      </c>
      <c r="V412" s="17">
        <v>45321</v>
      </c>
      <c r="W412" s="16"/>
      <c r="Z412" t="e">
        <v>#N/A</v>
      </c>
    </row>
    <row r="413" spans="1:26" customFormat="1">
      <c r="A413">
        <f t="shared" ca="1" si="7"/>
        <v>3</v>
      </c>
      <c r="B413" s="104" t="s">
        <v>1382</v>
      </c>
      <c r="C413" s="16">
        <v>45243</v>
      </c>
      <c r="D413" s="6" t="s">
        <v>129</v>
      </c>
      <c r="E413" s="6" t="s">
        <v>3665</v>
      </c>
      <c r="F413" s="6"/>
      <c r="G413" s="106" t="s">
        <v>86</v>
      </c>
      <c r="H413" s="106" t="s">
        <v>165</v>
      </c>
      <c r="I413" s="49" t="s">
        <v>343</v>
      </c>
      <c r="J413" s="6" t="s">
        <v>232</v>
      </c>
      <c r="K413" s="6" t="str">
        <f>IF(E413="KTG","KTG",(VLOOKUP(J413,'list of outsource'!B:H,2,0)))</f>
        <v>UPM</v>
      </c>
      <c r="L413" s="6" t="s">
        <v>233</v>
      </c>
      <c r="M413" s="6">
        <v>10</v>
      </c>
      <c r="N413" s="6" t="s">
        <v>344</v>
      </c>
      <c r="O413" s="2" t="s">
        <v>3684</v>
      </c>
      <c r="P413" s="6" t="s">
        <v>345</v>
      </c>
      <c r="Q413" s="6">
        <v>1173454988</v>
      </c>
      <c r="R413" s="16"/>
      <c r="S413" s="6">
        <v>1</v>
      </c>
      <c r="T413" s="6"/>
      <c r="U413" s="6" t="s">
        <v>183</v>
      </c>
      <c r="V413" s="17">
        <v>45246</v>
      </c>
      <c r="W413" s="16"/>
      <c r="Z413" t="e">
        <v>#N/A</v>
      </c>
    </row>
    <row r="414" spans="1:26" customFormat="1">
      <c r="A414">
        <f t="shared" ca="1" si="7"/>
        <v>3</v>
      </c>
      <c r="B414" s="104" t="s">
        <v>1383</v>
      </c>
      <c r="C414" s="16">
        <v>45243</v>
      </c>
      <c r="D414" s="6" t="s">
        <v>129</v>
      </c>
      <c r="E414" s="6" t="s">
        <v>3665</v>
      </c>
      <c r="F414" s="6"/>
      <c r="G414" s="106" t="s">
        <v>86</v>
      </c>
      <c r="H414" s="106" t="s">
        <v>165</v>
      </c>
      <c r="I414" s="49" t="s">
        <v>347</v>
      </c>
      <c r="J414" s="6" t="s">
        <v>108</v>
      </c>
      <c r="K414" s="6" t="str">
        <f>IF(E414="KTG","KTG",(VLOOKUP(J414,'list of outsource'!B:H,2,0)))</f>
        <v>UPM</v>
      </c>
      <c r="L414" s="6" t="s">
        <v>109</v>
      </c>
      <c r="M414" s="6">
        <v>37</v>
      </c>
      <c r="N414" s="6" t="s">
        <v>348</v>
      </c>
      <c r="O414" s="2" t="s">
        <v>3684</v>
      </c>
      <c r="P414" s="6" t="s">
        <v>349</v>
      </c>
      <c r="Q414" s="6">
        <v>1173683423</v>
      </c>
      <c r="R414" s="16"/>
      <c r="S414" s="6">
        <v>1</v>
      </c>
      <c r="T414" s="6"/>
      <c r="U414" s="6" t="s">
        <v>183</v>
      </c>
      <c r="V414" s="17">
        <v>45246</v>
      </c>
      <c r="W414" s="16"/>
      <c r="Z414" t="e">
        <v>#N/A</v>
      </c>
    </row>
    <row r="415" spans="1:26" customFormat="1">
      <c r="A415">
        <f t="shared" ca="1" si="7"/>
        <v>4</v>
      </c>
      <c r="B415" s="49" t="s">
        <v>1383</v>
      </c>
      <c r="C415" s="12">
        <v>45394</v>
      </c>
      <c r="D415" s="4" t="s">
        <v>1070</v>
      </c>
      <c r="E415" s="4" t="s">
        <v>3665</v>
      </c>
      <c r="F415" s="4"/>
      <c r="G415" s="106" t="s">
        <v>86</v>
      </c>
      <c r="H415" s="106" t="s">
        <v>165</v>
      </c>
      <c r="I415" s="49" t="s">
        <v>347</v>
      </c>
      <c r="J415" s="4" t="s">
        <v>108</v>
      </c>
      <c r="K415" s="4" t="str">
        <f>IF(E415="KTG","KTG",(VLOOKUP(J415,'list of outsource'!B:H,2,0)))</f>
        <v>UPM</v>
      </c>
      <c r="L415" s="4" t="s">
        <v>109</v>
      </c>
      <c r="M415" s="4">
        <v>38</v>
      </c>
      <c r="N415" s="4" t="s">
        <v>348</v>
      </c>
      <c r="O415" s="2" t="s">
        <v>3684</v>
      </c>
      <c r="P415" s="4" t="s">
        <v>349</v>
      </c>
      <c r="Q415" s="4">
        <v>1173683423</v>
      </c>
      <c r="R415" s="12" t="s">
        <v>549</v>
      </c>
      <c r="S415" s="4">
        <v>1</v>
      </c>
      <c r="T415" s="4" t="s">
        <v>307</v>
      </c>
      <c r="U415" s="4" t="s">
        <v>183</v>
      </c>
      <c r="V415" s="10">
        <v>45398</v>
      </c>
      <c r="W415" s="12">
        <v>45401</v>
      </c>
      <c r="Z415" t="e">
        <v>#N/A</v>
      </c>
    </row>
    <row r="416" spans="1:26" customFormat="1">
      <c r="A416">
        <f t="shared" ca="1" si="7"/>
        <v>22</v>
      </c>
      <c r="B416" s="49" t="s">
        <v>1383</v>
      </c>
      <c r="C416" s="12">
        <v>45735</v>
      </c>
      <c r="D416" s="4" t="s">
        <v>300</v>
      </c>
      <c r="E416" s="4" t="s">
        <v>3665</v>
      </c>
      <c r="F416" s="4"/>
      <c r="G416" s="106" t="s">
        <v>86</v>
      </c>
      <c r="H416" s="106" t="s">
        <v>165</v>
      </c>
      <c r="I416" s="49" t="s">
        <v>347</v>
      </c>
      <c r="J416" s="4" t="s">
        <v>108</v>
      </c>
      <c r="K416" s="4" t="str">
        <f>IF(E416="KTG","KTG",(VLOOKUP(J416,'list of outsource'!B:H,2,0)))</f>
        <v>UPM</v>
      </c>
      <c r="L416" s="4" t="s">
        <v>109</v>
      </c>
      <c r="M416" s="4">
        <v>45</v>
      </c>
      <c r="N416" s="4" t="s">
        <v>348</v>
      </c>
      <c r="O416" s="2" t="s">
        <v>3684</v>
      </c>
      <c r="P416" s="4" t="s">
        <v>349</v>
      </c>
      <c r="Q416" s="4" t="s">
        <v>2405</v>
      </c>
      <c r="R416" s="12"/>
      <c r="S416" s="4">
        <v>1</v>
      </c>
      <c r="T416" s="4" t="s">
        <v>307</v>
      </c>
      <c r="U416" s="4" t="s">
        <v>183</v>
      </c>
      <c r="V416" s="10">
        <v>45757</v>
      </c>
      <c r="W416" s="12">
        <v>45786</v>
      </c>
      <c r="Z416" t="e">
        <v>#N/A</v>
      </c>
    </row>
    <row r="417" spans="1:26" customFormat="1">
      <c r="A417">
        <f t="shared" ca="1" si="7"/>
        <v>48</v>
      </c>
      <c r="B417" s="104" t="s">
        <v>1395</v>
      </c>
      <c r="C417" s="16">
        <v>45251</v>
      </c>
      <c r="D417" s="6" t="s">
        <v>129</v>
      </c>
      <c r="E417" s="6" t="s">
        <v>3662</v>
      </c>
      <c r="F417" s="6"/>
      <c r="G417" s="106" t="s">
        <v>86</v>
      </c>
      <c r="H417" s="106" t="s">
        <v>165</v>
      </c>
      <c r="I417" s="49" t="s">
        <v>359</v>
      </c>
      <c r="J417" s="6" t="s">
        <v>302</v>
      </c>
      <c r="K417" s="6" t="str">
        <f>IF(E417="KTG","KTG",(VLOOKUP(J417,'list of outsource'!B:H,2,0)))</f>
        <v>ETC</v>
      </c>
      <c r="L417" s="6" t="s">
        <v>303</v>
      </c>
      <c r="M417" s="6">
        <v>57</v>
      </c>
      <c r="N417" s="6" t="s">
        <v>360</v>
      </c>
      <c r="O417" s="2" t="s">
        <v>3684</v>
      </c>
      <c r="P417" s="6" t="s">
        <v>361</v>
      </c>
      <c r="Q417" s="6">
        <v>1180241318</v>
      </c>
      <c r="R417" s="16" t="s">
        <v>549</v>
      </c>
      <c r="S417" s="6">
        <v>1</v>
      </c>
      <c r="T417" s="6" t="s">
        <v>307</v>
      </c>
      <c r="U417" s="6" t="s">
        <v>183</v>
      </c>
      <c r="V417" s="17">
        <v>45299</v>
      </c>
      <c r="W417" s="16"/>
      <c r="Z417" t="e">
        <v>#N/A</v>
      </c>
    </row>
    <row r="418" spans="1:26" customFormat="1">
      <c r="A418">
        <f t="shared" ca="1" si="7"/>
        <v>36</v>
      </c>
      <c r="B418" s="49" t="s">
        <v>1452</v>
      </c>
      <c r="C418" s="12">
        <v>45273</v>
      </c>
      <c r="D418" s="4" t="s">
        <v>1070</v>
      </c>
      <c r="E418" s="4" t="s">
        <v>3665</v>
      </c>
      <c r="F418" s="4"/>
      <c r="G418" s="106" t="s">
        <v>86</v>
      </c>
      <c r="H418" s="106" t="s">
        <v>165</v>
      </c>
      <c r="I418" s="49" t="s">
        <v>1453</v>
      </c>
      <c r="J418" s="4" t="s">
        <v>108</v>
      </c>
      <c r="K418" s="4" t="str">
        <f>IF(E418="KTG","KTG",(VLOOKUP(J418,'list of outsource'!B:H,2,0)))</f>
        <v>UPM</v>
      </c>
      <c r="L418" s="4" t="s">
        <v>109</v>
      </c>
      <c r="M418" s="4">
        <v>37</v>
      </c>
      <c r="N418" s="4" t="s">
        <v>1454</v>
      </c>
      <c r="O418" s="2" t="s">
        <v>3684</v>
      </c>
      <c r="P418" s="4" t="s">
        <v>1455</v>
      </c>
      <c r="Q418" s="4">
        <v>1292705003</v>
      </c>
      <c r="R418" s="12" t="s">
        <v>549</v>
      </c>
      <c r="S418" s="4">
        <v>4</v>
      </c>
      <c r="T418" s="4"/>
      <c r="U418" s="4" t="s">
        <v>39</v>
      </c>
      <c r="V418" s="10">
        <v>45309</v>
      </c>
      <c r="W418" s="12">
        <v>45313</v>
      </c>
      <c r="Z418" t="e">
        <v>#N/A</v>
      </c>
    </row>
    <row r="419" spans="1:26" customFormat="1" hidden="1">
      <c r="A419">
        <f t="shared" ca="1" si="7"/>
        <v>8</v>
      </c>
      <c r="B419" s="8" t="s">
        <v>1377</v>
      </c>
      <c r="C419" s="16">
        <v>45238</v>
      </c>
      <c r="D419" s="6" t="s">
        <v>129</v>
      </c>
      <c r="E419" s="6" t="s">
        <v>3665</v>
      </c>
      <c r="F419" s="6">
        <v>38</v>
      </c>
      <c r="G419" s="6" t="s">
        <v>86</v>
      </c>
      <c r="H419" s="6" t="s">
        <v>165</v>
      </c>
      <c r="I419" s="6" t="s">
        <v>430</v>
      </c>
      <c r="J419" s="6" t="s">
        <v>108</v>
      </c>
      <c r="K419" s="6" t="str">
        <f>IF(E419="KTG","KTG",(VLOOKUP(J419,'list of outsource'!B:H,2,0)))</f>
        <v>UPM</v>
      </c>
      <c r="L419" s="6" t="s">
        <v>109</v>
      </c>
      <c r="M419" s="6">
        <v>37</v>
      </c>
      <c r="N419" s="6" t="s">
        <v>431</v>
      </c>
      <c r="O419" s="2"/>
      <c r="P419" s="6" t="s">
        <v>667</v>
      </c>
      <c r="Q419" s="6">
        <v>1132173549</v>
      </c>
      <c r="R419" s="16"/>
      <c r="S419" s="6">
        <v>1</v>
      </c>
      <c r="T419" s="6"/>
      <c r="U419" s="6" t="s">
        <v>183</v>
      </c>
      <c r="V419" s="17">
        <v>45246</v>
      </c>
      <c r="W419" s="16"/>
      <c r="Z419">
        <v>0</v>
      </c>
    </row>
    <row r="420" spans="1:26" customFormat="1" hidden="1">
      <c r="A420">
        <f t="shared" ca="1" si="7"/>
        <v>4</v>
      </c>
      <c r="B420" s="4" t="s">
        <v>1377</v>
      </c>
      <c r="C420" s="12">
        <v>45394</v>
      </c>
      <c r="D420" s="4" t="s">
        <v>1070</v>
      </c>
      <c r="E420" s="4" t="s">
        <v>3665</v>
      </c>
      <c r="F420" s="4">
        <v>38</v>
      </c>
      <c r="G420" s="4" t="s">
        <v>86</v>
      </c>
      <c r="H420" s="4" t="s">
        <v>165</v>
      </c>
      <c r="I420" s="4" t="s">
        <v>430</v>
      </c>
      <c r="J420" s="4" t="s">
        <v>108</v>
      </c>
      <c r="K420" s="4" t="str">
        <f>IF(E420="KTG","KTG",(VLOOKUP(J420,'list of outsource'!B:H,2,0)))</f>
        <v>UPM</v>
      </c>
      <c r="L420" s="4" t="s">
        <v>109</v>
      </c>
      <c r="M420" s="4">
        <v>38</v>
      </c>
      <c r="N420" s="4" t="s">
        <v>431</v>
      </c>
      <c r="O420" s="2"/>
      <c r="P420" s="4" t="s">
        <v>667</v>
      </c>
      <c r="Q420" s="4">
        <v>1132173549</v>
      </c>
      <c r="R420" s="12" t="s">
        <v>549</v>
      </c>
      <c r="S420" s="4">
        <v>1</v>
      </c>
      <c r="T420" s="4" t="s">
        <v>307</v>
      </c>
      <c r="U420" s="4" t="s">
        <v>183</v>
      </c>
      <c r="V420" s="10">
        <v>45398</v>
      </c>
      <c r="W420" s="12">
        <v>45401</v>
      </c>
      <c r="Z420">
        <v>0</v>
      </c>
    </row>
    <row r="421" spans="1:26" customFormat="1" hidden="1">
      <c r="A421">
        <f t="shared" ca="1" si="7"/>
        <v>22</v>
      </c>
      <c r="B421" s="4" t="s">
        <v>1377</v>
      </c>
      <c r="C421" s="12">
        <v>45735</v>
      </c>
      <c r="D421" s="4" t="s">
        <v>300</v>
      </c>
      <c r="E421" s="4" t="s">
        <v>3665</v>
      </c>
      <c r="F421" s="4">
        <v>38</v>
      </c>
      <c r="G421" s="4" t="s">
        <v>86</v>
      </c>
      <c r="H421" s="4" t="s">
        <v>165</v>
      </c>
      <c r="I421" s="4" t="s">
        <v>430</v>
      </c>
      <c r="J421" s="4" t="s">
        <v>108</v>
      </c>
      <c r="K421" s="4" t="str">
        <f>IF(E421="KTG","KTG",(VLOOKUP(J421,'list of outsource'!B:H,2,0)))</f>
        <v>UPM</v>
      </c>
      <c r="L421" s="4" t="s">
        <v>109</v>
      </c>
      <c r="M421" s="4">
        <v>45</v>
      </c>
      <c r="N421" s="4" t="s">
        <v>431</v>
      </c>
      <c r="O421" s="2"/>
      <c r="P421" s="4" t="s">
        <v>667</v>
      </c>
      <c r="Q421" s="4" t="s">
        <v>2403</v>
      </c>
      <c r="R421" s="12"/>
      <c r="S421" s="4">
        <v>1</v>
      </c>
      <c r="T421" s="4" t="s">
        <v>307</v>
      </c>
      <c r="U421" s="4" t="s">
        <v>183</v>
      </c>
      <c r="V421" s="10">
        <v>45757</v>
      </c>
      <c r="W421" s="12">
        <v>45786</v>
      </c>
      <c r="Z421">
        <v>0</v>
      </c>
    </row>
    <row r="422" spans="1:26" customFormat="1" hidden="1">
      <c r="A422">
        <f t="shared" ca="1" si="7"/>
        <v>8</v>
      </c>
      <c r="B422" s="8" t="s">
        <v>1378</v>
      </c>
      <c r="C422" s="16">
        <v>45238</v>
      </c>
      <c r="D422" s="6" t="s">
        <v>129</v>
      </c>
      <c r="E422" s="6" t="s">
        <v>3662</v>
      </c>
      <c r="F422" s="6">
        <v>51</v>
      </c>
      <c r="G422" s="6" t="s">
        <v>86</v>
      </c>
      <c r="H422" s="6" t="s">
        <v>165</v>
      </c>
      <c r="I422" s="6" t="s">
        <v>426</v>
      </c>
      <c r="J422" s="6" t="s">
        <v>222</v>
      </c>
      <c r="K422" s="6" t="str">
        <f>IF(E422="KTG","KTG",(VLOOKUP(J422,'list of outsource'!B:H,2,0)))</f>
        <v>ETC</v>
      </c>
      <c r="L422" s="6" t="s">
        <v>223</v>
      </c>
      <c r="M422" s="6">
        <v>19</v>
      </c>
      <c r="N422" s="6" t="s">
        <v>427</v>
      </c>
      <c r="O422" s="2"/>
      <c r="P422" s="6" t="s">
        <v>1379</v>
      </c>
      <c r="Q422" s="6">
        <v>1132192015</v>
      </c>
      <c r="R422" s="16"/>
      <c r="S422" s="6">
        <v>1</v>
      </c>
      <c r="T422" s="6"/>
      <c r="U422" s="6" t="s">
        <v>183</v>
      </c>
      <c r="V422" s="17">
        <v>45246</v>
      </c>
      <c r="W422" s="16"/>
      <c r="Z422">
        <v>0</v>
      </c>
    </row>
    <row r="423" spans="1:26" customFormat="1" hidden="1">
      <c r="A423">
        <f t="shared" ca="1" si="7"/>
        <v>18</v>
      </c>
      <c r="B423" s="8" t="s">
        <v>1378</v>
      </c>
      <c r="C423" s="16">
        <v>45303</v>
      </c>
      <c r="D423" s="6" t="s">
        <v>129</v>
      </c>
      <c r="E423" s="6" t="s">
        <v>3662</v>
      </c>
      <c r="F423" s="6">
        <v>51</v>
      </c>
      <c r="G423" s="6" t="s">
        <v>86</v>
      </c>
      <c r="H423" s="6" t="s">
        <v>165</v>
      </c>
      <c r="I423" s="6" t="s">
        <v>426</v>
      </c>
      <c r="J423" s="6" t="s">
        <v>222</v>
      </c>
      <c r="K423" s="6" t="str">
        <f>IF(E423="KTG","KTG",(VLOOKUP(J423,'list of outsource'!B:H,2,0)))</f>
        <v>ETC</v>
      </c>
      <c r="L423" s="6" t="s">
        <v>223</v>
      </c>
      <c r="M423" s="6">
        <v>19</v>
      </c>
      <c r="N423" s="6" t="s">
        <v>427</v>
      </c>
      <c r="O423" s="2"/>
      <c r="P423" s="6" t="s">
        <v>1379</v>
      </c>
      <c r="Q423" s="6">
        <v>1132192015</v>
      </c>
      <c r="R423" s="16" t="s">
        <v>549</v>
      </c>
      <c r="S423" s="6">
        <v>1</v>
      </c>
      <c r="T423" s="6" t="s">
        <v>307</v>
      </c>
      <c r="U423" s="6" t="s">
        <v>183</v>
      </c>
      <c r="V423" s="17">
        <v>45321</v>
      </c>
      <c r="W423" s="16"/>
      <c r="Z423">
        <v>0</v>
      </c>
    </row>
    <row r="424" spans="1:26" customFormat="1" hidden="1">
      <c r="A424">
        <f t="shared" ca="1" si="7"/>
        <v>0</v>
      </c>
      <c r="B424" s="4" t="s">
        <v>1378</v>
      </c>
      <c r="C424" s="12">
        <v>45674</v>
      </c>
      <c r="D424" s="4" t="s">
        <v>300</v>
      </c>
      <c r="E424" s="4" t="s">
        <v>3662</v>
      </c>
      <c r="F424" s="4">
        <v>51</v>
      </c>
      <c r="G424" s="4" t="s">
        <v>86</v>
      </c>
      <c r="H424" s="4" t="s">
        <v>165</v>
      </c>
      <c r="I424" s="4" t="s">
        <v>426</v>
      </c>
      <c r="J424" s="4" t="s">
        <v>222</v>
      </c>
      <c r="K424" s="4" t="str">
        <f>IF(E424="KTG","KTG",(VLOOKUP(J424,'list of outsource'!B:H,2,0)))</f>
        <v>ETC</v>
      </c>
      <c r="L424" s="4" t="s">
        <v>223</v>
      </c>
      <c r="M424" s="4">
        <v>21</v>
      </c>
      <c r="N424" s="4" t="s">
        <v>427</v>
      </c>
      <c r="O424" s="2"/>
      <c r="P424" s="4" t="s">
        <v>1379</v>
      </c>
      <c r="Q424" s="4" t="s">
        <v>2270</v>
      </c>
      <c r="R424" s="12" t="s">
        <v>549</v>
      </c>
      <c r="S424" s="4">
        <v>1</v>
      </c>
      <c r="T424" s="4" t="s">
        <v>607</v>
      </c>
      <c r="U424" s="4" t="s">
        <v>183</v>
      </c>
      <c r="V424" s="10">
        <v>45674</v>
      </c>
      <c r="W424" s="12">
        <v>45677</v>
      </c>
      <c r="Z424">
        <v>0</v>
      </c>
    </row>
    <row r="425" spans="1:26" customFormat="1">
      <c r="A425">
        <f t="shared" ca="1" si="7"/>
        <v>23</v>
      </c>
      <c r="B425" s="49" t="s">
        <v>1452</v>
      </c>
      <c r="C425" s="12">
        <v>45648</v>
      </c>
      <c r="D425" s="4" t="s">
        <v>300</v>
      </c>
      <c r="E425" s="4" t="s">
        <v>3665</v>
      </c>
      <c r="F425" s="4"/>
      <c r="G425" s="106" t="s">
        <v>86</v>
      </c>
      <c r="H425" s="106" t="s">
        <v>165</v>
      </c>
      <c r="I425" s="49" t="s">
        <v>1453</v>
      </c>
      <c r="J425" s="4" t="s">
        <v>108</v>
      </c>
      <c r="K425" s="4" t="str">
        <f>IF(E425="KTG","KTG",(VLOOKUP(J425,'list of outsource'!B:H,2,0)))</f>
        <v>UPM</v>
      </c>
      <c r="L425" s="4" t="s">
        <v>109</v>
      </c>
      <c r="M425" s="4">
        <v>45</v>
      </c>
      <c r="N425" s="4" t="s">
        <v>1454</v>
      </c>
      <c r="O425" s="2" t="s">
        <v>3684</v>
      </c>
      <c r="P425" s="4" t="s">
        <v>1455</v>
      </c>
      <c r="Q425" s="4" t="s">
        <v>2227</v>
      </c>
      <c r="R425" s="12" t="s">
        <v>549</v>
      </c>
      <c r="S425" s="4">
        <v>1</v>
      </c>
      <c r="T425" s="4" t="s">
        <v>307</v>
      </c>
      <c r="U425" s="4" t="s">
        <v>550</v>
      </c>
      <c r="V425" s="10">
        <v>45671</v>
      </c>
      <c r="W425" s="12">
        <v>45678</v>
      </c>
      <c r="Z425" t="e">
        <v>#N/A</v>
      </c>
    </row>
    <row r="426" spans="1:26" customFormat="1">
      <c r="A426">
        <f t="shared" ca="1" si="7"/>
        <v>4</v>
      </c>
      <c r="B426" s="49" t="s">
        <v>1636</v>
      </c>
      <c r="C426" s="12">
        <v>45394</v>
      </c>
      <c r="D426" s="4" t="s">
        <v>1070</v>
      </c>
      <c r="E426" s="4" t="s">
        <v>3665</v>
      </c>
      <c r="F426" s="4"/>
      <c r="G426" s="106" t="s">
        <v>86</v>
      </c>
      <c r="H426" s="106" t="s">
        <v>165</v>
      </c>
      <c r="I426" s="49" t="s">
        <v>363</v>
      </c>
      <c r="J426" s="4" t="s">
        <v>108</v>
      </c>
      <c r="K426" s="4" t="str">
        <f>IF(E426="KTG","KTG",(VLOOKUP(J426,'list of outsource'!B:H,2,0)))</f>
        <v>UPM</v>
      </c>
      <c r="L426" s="4" t="s">
        <v>109</v>
      </c>
      <c r="M426" s="4">
        <v>38</v>
      </c>
      <c r="N426" s="4" t="s">
        <v>364</v>
      </c>
      <c r="O426" s="2" t="s">
        <v>3684</v>
      </c>
      <c r="P426" s="4" t="s">
        <v>365</v>
      </c>
      <c r="Q426" s="4">
        <v>1179806659</v>
      </c>
      <c r="R426" s="12" t="s">
        <v>549</v>
      </c>
      <c r="S426" s="4">
        <v>1</v>
      </c>
      <c r="T426" s="4" t="s">
        <v>307</v>
      </c>
      <c r="U426" s="4" t="s">
        <v>183</v>
      </c>
      <c r="V426" s="10">
        <v>45398</v>
      </c>
      <c r="W426" s="12">
        <v>45401</v>
      </c>
      <c r="Z426" t="e">
        <v>#N/A</v>
      </c>
    </row>
    <row r="427" spans="1:26" customFormat="1">
      <c r="A427">
        <f t="shared" ca="1" si="7"/>
        <v>34</v>
      </c>
      <c r="B427" s="104" t="s">
        <v>1500</v>
      </c>
      <c r="C427" s="16">
        <v>45302</v>
      </c>
      <c r="D427" s="6" t="s">
        <v>129</v>
      </c>
      <c r="E427" s="6" t="s">
        <v>3662</v>
      </c>
      <c r="F427" s="6"/>
      <c r="G427" s="106" t="s">
        <v>86</v>
      </c>
      <c r="H427" s="106" t="s">
        <v>165</v>
      </c>
      <c r="I427" s="49" t="s">
        <v>317</v>
      </c>
      <c r="J427" s="6" t="s">
        <v>222</v>
      </c>
      <c r="K427" s="6" t="str">
        <f>IF(E427="KTG","KTG",(VLOOKUP(J427,'list of outsource'!B:H,2,0)))</f>
        <v>ETC</v>
      </c>
      <c r="L427" s="6" t="s">
        <v>223</v>
      </c>
      <c r="M427" s="6">
        <v>20</v>
      </c>
      <c r="N427" s="6" t="s">
        <v>318</v>
      </c>
      <c r="O427" s="2" t="s">
        <v>3684</v>
      </c>
      <c r="P427" s="6" t="s">
        <v>319</v>
      </c>
      <c r="Q427" s="6">
        <v>1171172004</v>
      </c>
      <c r="R427" s="16" t="s">
        <v>549</v>
      </c>
      <c r="S427" s="6">
        <v>1</v>
      </c>
      <c r="T427" s="6" t="s">
        <v>307</v>
      </c>
      <c r="U427" s="6" t="s">
        <v>183</v>
      </c>
      <c r="V427" s="17">
        <v>45336</v>
      </c>
      <c r="W427" s="16"/>
      <c r="Z427" t="e">
        <v>#N/A</v>
      </c>
    </row>
    <row r="428" spans="1:26" customFormat="1">
      <c r="A428">
        <f t="shared" ca="1" si="7"/>
        <v>34</v>
      </c>
      <c r="B428" s="49" t="s">
        <v>1501</v>
      </c>
      <c r="C428" s="12">
        <v>45302</v>
      </c>
      <c r="D428" s="4" t="s">
        <v>1070</v>
      </c>
      <c r="E428" s="4" t="s">
        <v>3665</v>
      </c>
      <c r="F428" s="4"/>
      <c r="G428" s="106" t="s">
        <v>86</v>
      </c>
      <c r="H428" s="106" t="s">
        <v>165</v>
      </c>
      <c r="I428" s="49" t="s">
        <v>227</v>
      </c>
      <c r="J428" s="4" t="s">
        <v>96</v>
      </c>
      <c r="K428" s="4" t="str">
        <f>IF(E428="KTG","KTG",(VLOOKUP(J428,'list of outsource'!B:H,2,0)))</f>
        <v>Woer</v>
      </c>
      <c r="L428" s="4" t="s">
        <v>97</v>
      </c>
      <c r="M428" s="4">
        <v>40</v>
      </c>
      <c r="N428" s="4" t="s">
        <v>228</v>
      </c>
      <c r="O428" s="2" t="s">
        <v>3684</v>
      </c>
      <c r="P428" s="4" t="s">
        <v>229</v>
      </c>
      <c r="Q428" s="4">
        <v>1153182014</v>
      </c>
      <c r="R428" s="12" t="s">
        <v>549</v>
      </c>
      <c r="S428" s="4">
        <v>1</v>
      </c>
      <c r="T428" s="4" t="s">
        <v>307</v>
      </c>
      <c r="U428" s="4" t="s">
        <v>183</v>
      </c>
      <c r="V428" s="10">
        <v>45336</v>
      </c>
      <c r="W428" s="12">
        <v>45497</v>
      </c>
      <c r="Z428" t="e">
        <v>#N/A</v>
      </c>
    </row>
    <row r="429" spans="1:26" customFormat="1">
      <c r="A429">
        <f t="shared" ca="1" si="7"/>
        <v>34</v>
      </c>
      <c r="B429" s="104" t="s">
        <v>1502</v>
      </c>
      <c r="C429" s="16">
        <v>45302</v>
      </c>
      <c r="D429" s="6" t="s">
        <v>129</v>
      </c>
      <c r="E429" s="6" t="s">
        <v>3665</v>
      </c>
      <c r="F429" s="6"/>
      <c r="G429" s="106" t="s">
        <v>86</v>
      </c>
      <c r="H429" s="106" t="s">
        <v>165</v>
      </c>
      <c r="I429" s="49" t="s">
        <v>277</v>
      </c>
      <c r="J429" s="6" t="s">
        <v>190</v>
      </c>
      <c r="K429" s="6" t="str">
        <f>IF(E429="KTG","KTG",(VLOOKUP(J429,'list of outsource'!B:H,2,0)))</f>
        <v>UPM</v>
      </c>
      <c r="L429" s="6" t="s">
        <v>191</v>
      </c>
      <c r="M429" s="6">
        <v>12</v>
      </c>
      <c r="N429" s="6" t="s">
        <v>278</v>
      </c>
      <c r="O429" s="2" t="s">
        <v>3684</v>
      </c>
      <c r="P429" s="6" t="s">
        <v>279</v>
      </c>
      <c r="Q429" s="6">
        <v>1165241008</v>
      </c>
      <c r="R429" s="16" t="s">
        <v>549</v>
      </c>
      <c r="S429" s="6">
        <v>1</v>
      </c>
      <c r="T429" s="6" t="s">
        <v>307</v>
      </c>
      <c r="U429" s="6" t="s">
        <v>183</v>
      </c>
      <c r="V429" s="17">
        <v>45336</v>
      </c>
      <c r="W429" s="16"/>
      <c r="Z429" t="e">
        <v>#N/A</v>
      </c>
    </row>
    <row r="430" spans="1:26" customFormat="1">
      <c r="A430">
        <f t="shared" ca="1" si="7"/>
        <v>2</v>
      </c>
      <c r="B430" s="49" t="s">
        <v>1502</v>
      </c>
      <c r="C430" s="12">
        <v>45791</v>
      </c>
      <c r="D430" s="4" t="s">
        <v>300</v>
      </c>
      <c r="E430" s="4" t="s">
        <v>3665</v>
      </c>
      <c r="F430" s="4"/>
      <c r="G430" s="106" t="s">
        <v>86</v>
      </c>
      <c r="H430" s="106" t="s">
        <v>165</v>
      </c>
      <c r="I430" s="49" t="s">
        <v>277</v>
      </c>
      <c r="J430" s="4" t="s">
        <v>190</v>
      </c>
      <c r="K430" s="4" t="str">
        <f>IF(E430="KTG","KTG",(VLOOKUP(J430,'list of outsource'!B:H,2,0)))</f>
        <v>UPM</v>
      </c>
      <c r="L430" s="4" t="s">
        <v>191</v>
      </c>
      <c r="M430" s="4">
        <v>14</v>
      </c>
      <c r="N430" s="4" t="s">
        <v>278</v>
      </c>
      <c r="O430" s="2" t="s">
        <v>3684</v>
      </c>
      <c r="P430" s="4" t="s">
        <v>279</v>
      </c>
      <c r="Q430" s="4" t="s">
        <v>2494</v>
      </c>
      <c r="R430" s="12"/>
      <c r="S430" s="4">
        <v>1</v>
      </c>
      <c r="T430" s="4" t="s">
        <v>307</v>
      </c>
      <c r="U430" s="4" t="s">
        <v>183</v>
      </c>
      <c r="V430" s="10">
        <v>45793</v>
      </c>
      <c r="W430" s="12">
        <v>45806</v>
      </c>
      <c r="Z430" t="e">
        <v>#N/A</v>
      </c>
    </row>
    <row r="431" spans="1:26" customFormat="1">
      <c r="A431">
        <f t="shared" ca="1" si="7"/>
        <v>34</v>
      </c>
      <c r="B431" s="104" t="s">
        <v>1503</v>
      </c>
      <c r="C431" s="16">
        <v>45302</v>
      </c>
      <c r="D431" s="6" t="s">
        <v>129</v>
      </c>
      <c r="E431" s="6" t="s">
        <v>3665</v>
      </c>
      <c r="F431" s="6"/>
      <c r="G431" s="106" t="s">
        <v>86</v>
      </c>
      <c r="H431" s="106" t="s">
        <v>165</v>
      </c>
      <c r="I431" s="49" t="s">
        <v>327</v>
      </c>
      <c r="J431" s="6" t="s">
        <v>322</v>
      </c>
      <c r="K431" s="6" t="str">
        <f>IF(E431="KTG","KTG",(VLOOKUP(J431,'list of outsource'!B:H,2,0)))</f>
        <v>UPM</v>
      </c>
      <c r="L431" s="6" t="s">
        <v>323</v>
      </c>
      <c r="M431" s="6">
        <v>10</v>
      </c>
      <c r="N431" s="6" t="s">
        <v>328</v>
      </c>
      <c r="O431" s="2" t="s">
        <v>3684</v>
      </c>
      <c r="P431" s="6" t="s">
        <v>329</v>
      </c>
      <c r="Q431" s="6">
        <v>1173445164</v>
      </c>
      <c r="R431" s="16" t="s">
        <v>549</v>
      </c>
      <c r="S431" s="6">
        <v>1</v>
      </c>
      <c r="T431" s="6" t="s">
        <v>307</v>
      </c>
      <c r="U431" s="6" t="s">
        <v>183</v>
      </c>
      <c r="V431" s="17">
        <v>45336</v>
      </c>
      <c r="W431" s="16"/>
      <c r="Z431" t="e">
        <v>#N/A</v>
      </c>
    </row>
    <row r="432" spans="1:26" customFormat="1">
      <c r="A432">
        <f t="shared" ca="1" si="7"/>
        <v>34</v>
      </c>
      <c r="B432" s="104" t="s">
        <v>1504</v>
      </c>
      <c r="C432" s="16">
        <v>45302</v>
      </c>
      <c r="D432" s="6" t="s">
        <v>129</v>
      </c>
      <c r="E432" s="6" t="s">
        <v>3665</v>
      </c>
      <c r="F432" s="6"/>
      <c r="G432" s="106" t="s">
        <v>86</v>
      </c>
      <c r="H432" s="106" t="s">
        <v>165</v>
      </c>
      <c r="I432" s="49" t="s">
        <v>241</v>
      </c>
      <c r="J432" s="6" t="s">
        <v>232</v>
      </c>
      <c r="K432" s="6" t="str">
        <f>IF(E432="KTG","KTG",(VLOOKUP(J432,'list of outsource'!B:H,2,0)))</f>
        <v>UPM</v>
      </c>
      <c r="L432" s="6" t="s">
        <v>233</v>
      </c>
      <c r="M432" s="6">
        <v>10</v>
      </c>
      <c r="N432" s="6" t="s">
        <v>242</v>
      </c>
      <c r="O432" s="2" t="s">
        <v>3684</v>
      </c>
      <c r="P432" s="6" t="s">
        <v>243</v>
      </c>
      <c r="Q432" s="6">
        <v>1153164534</v>
      </c>
      <c r="R432" s="16" t="s">
        <v>549</v>
      </c>
      <c r="S432" s="6">
        <v>1</v>
      </c>
      <c r="T432" s="6" t="s">
        <v>307</v>
      </c>
      <c r="U432" s="6" t="s">
        <v>183</v>
      </c>
      <c r="V432" s="17">
        <v>45336</v>
      </c>
      <c r="W432" s="16"/>
      <c r="Z432" t="e">
        <v>#N/A</v>
      </c>
    </row>
    <row r="433" spans="1:26" customFormat="1">
      <c r="A433">
        <f t="shared" ca="1" si="7"/>
        <v>2</v>
      </c>
      <c r="B433" s="49" t="s">
        <v>1504</v>
      </c>
      <c r="C433" s="12">
        <v>45791</v>
      </c>
      <c r="D433" s="4" t="s">
        <v>300</v>
      </c>
      <c r="E433" s="4" t="s">
        <v>3665</v>
      </c>
      <c r="F433" s="4"/>
      <c r="G433" s="106" t="s">
        <v>86</v>
      </c>
      <c r="H433" s="106" t="s">
        <v>165</v>
      </c>
      <c r="I433" s="49" t="s">
        <v>241</v>
      </c>
      <c r="J433" s="4" t="s">
        <v>232</v>
      </c>
      <c r="K433" s="4" t="str">
        <f>IF(E433="KTG","KTG",(VLOOKUP(J433,'list of outsource'!B:H,2,0)))</f>
        <v>UPM</v>
      </c>
      <c r="L433" s="4" t="s">
        <v>233</v>
      </c>
      <c r="M433" s="4">
        <v>13</v>
      </c>
      <c r="N433" s="4" t="s">
        <v>242</v>
      </c>
      <c r="O433" s="2" t="s">
        <v>3684</v>
      </c>
      <c r="P433" s="4" t="s">
        <v>243</v>
      </c>
      <c r="Q433" s="4" t="s">
        <v>2495</v>
      </c>
      <c r="R433" s="12"/>
      <c r="S433" s="4">
        <v>1</v>
      </c>
      <c r="T433" s="4" t="s">
        <v>307</v>
      </c>
      <c r="U433" s="4" t="s">
        <v>183</v>
      </c>
      <c r="V433" s="10">
        <v>45793</v>
      </c>
      <c r="W433" s="12">
        <v>45797</v>
      </c>
      <c r="Z433" t="e">
        <v>#N/A</v>
      </c>
    </row>
    <row r="434" spans="1:26" customFormat="1">
      <c r="A434">
        <f t="shared" ca="1" si="7"/>
        <v>33</v>
      </c>
      <c r="B434" s="49" t="s">
        <v>1518</v>
      </c>
      <c r="C434" s="12">
        <v>45303</v>
      </c>
      <c r="D434" s="4" t="s">
        <v>1070</v>
      </c>
      <c r="E434" s="4" t="s">
        <v>3665</v>
      </c>
      <c r="F434" s="4"/>
      <c r="G434" s="106" t="s">
        <v>86</v>
      </c>
      <c r="H434" s="106" t="s">
        <v>165</v>
      </c>
      <c r="I434" s="49" t="s">
        <v>231</v>
      </c>
      <c r="J434" s="4" t="s">
        <v>232</v>
      </c>
      <c r="K434" s="4" t="str">
        <f>IF(E434="KTG","KTG",(VLOOKUP(J434,'list of outsource'!B:H,2,0)))</f>
        <v>UPM</v>
      </c>
      <c r="L434" s="4" t="s">
        <v>233</v>
      </c>
      <c r="M434" s="4">
        <v>10</v>
      </c>
      <c r="N434" s="4" t="s">
        <v>234</v>
      </c>
      <c r="O434" s="2" t="s">
        <v>3684</v>
      </c>
      <c r="P434" s="4" t="s">
        <v>1519</v>
      </c>
      <c r="Q434" s="4">
        <v>1153163904</v>
      </c>
      <c r="R434" s="12" t="s">
        <v>549</v>
      </c>
      <c r="S434" s="4">
        <v>1</v>
      </c>
      <c r="T434" s="4" t="s">
        <v>307</v>
      </c>
      <c r="U434" s="4" t="s">
        <v>183</v>
      </c>
      <c r="V434" s="10">
        <v>45336</v>
      </c>
      <c r="W434" s="12">
        <v>45398</v>
      </c>
      <c r="Z434" t="e">
        <v>#N/A</v>
      </c>
    </row>
    <row r="435" spans="1:26" customFormat="1">
      <c r="A435">
        <f t="shared" ca="1" si="7"/>
        <v>2</v>
      </c>
      <c r="B435" s="49" t="s">
        <v>1518</v>
      </c>
      <c r="C435" s="12">
        <v>45791</v>
      </c>
      <c r="D435" s="4" t="s">
        <v>300</v>
      </c>
      <c r="E435" s="4" t="s">
        <v>3665</v>
      </c>
      <c r="F435" s="4"/>
      <c r="G435" s="106" t="s">
        <v>86</v>
      </c>
      <c r="H435" s="106" t="s">
        <v>165</v>
      </c>
      <c r="I435" s="49" t="s">
        <v>231</v>
      </c>
      <c r="J435" s="4" t="s">
        <v>232</v>
      </c>
      <c r="K435" s="4" t="str">
        <f>IF(E435="KTG","KTG",(VLOOKUP(J435,'list of outsource'!B:H,2,0)))</f>
        <v>UPM</v>
      </c>
      <c r="L435" s="4" t="s">
        <v>233</v>
      </c>
      <c r="M435" s="4">
        <v>13</v>
      </c>
      <c r="N435" s="4" t="s">
        <v>234</v>
      </c>
      <c r="O435" s="2" t="s">
        <v>3684</v>
      </c>
      <c r="P435" s="4" t="s">
        <v>1519</v>
      </c>
      <c r="Q435" s="4" t="s">
        <v>2496</v>
      </c>
      <c r="R435" s="12"/>
      <c r="S435" s="4">
        <v>1</v>
      </c>
      <c r="T435" s="4" t="s">
        <v>307</v>
      </c>
      <c r="U435" s="4" t="s">
        <v>183</v>
      </c>
      <c r="V435" s="10">
        <v>45793</v>
      </c>
      <c r="W435" s="12">
        <v>45797</v>
      </c>
      <c r="Z435" t="e">
        <v>#N/A</v>
      </c>
    </row>
    <row r="436" spans="1:26" customFormat="1">
      <c r="A436">
        <f t="shared" ca="1" si="7"/>
        <v>33</v>
      </c>
      <c r="B436" s="104" t="s">
        <v>1520</v>
      </c>
      <c r="C436" s="16">
        <v>45303</v>
      </c>
      <c r="D436" s="6" t="s">
        <v>129</v>
      </c>
      <c r="E436" s="6" t="s">
        <v>3662</v>
      </c>
      <c r="F436" s="6"/>
      <c r="G436" s="106" t="s">
        <v>86</v>
      </c>
      <c r="H436" s="106" t="s">
        <v>165</v>
      </c>
      <c r="I436" s="49" t="s">
        <v>581</v>
      </c>
      <c r="J436" s="6" t="s">
        <v>222</v>
      </c>
      <c r="K436" s="6" t="str">
        <f>IF(E436="KTG","KTG",(VLOOKUP(J436,'list of outsource'!B:H,2,0)))</f>
        <v>ETC</v>
      </c>
      <c r="L436" s="6" t="s">
        <v>223</v>
      </c>
      <c r="M436" s="6">
        <v>20</v>
      </c>
      <c r="N436" s="6" t="s">
        <v>582</v>
      </c>
      <c r="O436" s="2" t="s">
        <v>3684</v>
      </c>
      <c r="P436" s="6" t="s">
        <v>583</v>
      </c>
      <c r="Q436" s="6">
        <v>1171171980</v>
      </c>
      <c r="R436" s="16" t="s">
        <v>549</v>
      </c>
      <c r="S436" s="6">
        <v>1</v>
      </c>
      <c r="T436" s="6" t="s">
        <v>307</v>
      </c>
      <c r="U436" s="6" t="s">
        <v>183</v>
      </c>
      <c r="V436" s="17">
        <v>45336</v>
      </c>
      <c r="W436" s="16"/>
      <c r="Z436" t="e">
        <v>#N/A</v>
      </c>
    </row>
    <row r="437" spans="1:26" customFormat="1" hidden="1">
      <c r="A437">
        <f t="shared" ca="1" si="7"/>
        <v>0</v>
      </c>
      <c r="B437" s="4" t="s">
        <v>1469</v>
      </c>
      <c r="C437" s="12">
        <v>45278</v>
      </c>
      <c r="D437" s="4" t="s">
        <v>504</v>
      </c>
      <c r="E437" s="4" t="s">
        <v>3662</v>
      </c>
      <c r="F437" s="4">
        <v>54</v>
      </c>
      <c r="G437" s="4" t="s">
        <v>86</v>
      </c>
      <c r="H437" s="4" t="s">
        <v>165</v>
      </c>
      <c r="I437" s="4" t="s">
        <v>874</v>
      </c>
      <c r="J437" s="4" t="s">
        <v>302</v>
      </c>
      <c r="K437" s="4" t="str">
        <f>IF(E437="KTG","KTG",(VLOOKUP(J437,'list of outsource'!B:H,2,0)))</f>
        <v>ETC</v>
      </c>
      <c r="L437" s="4" t="s">
        <v>303</v>
      </c>
      <c r="M437" s="4">
        <v>56</v>
      </c>
      <c r="N437" s="4" t="s">
        <v>875</v>
      </c>
      <c r="O437" s="2"/>
      <c r="P437" s="4" t="s">
        <v>876</v>
      </c>
      <c r="Q437" s="4">
        <v>1230815655</v>
      </c>
      <c r="R437" s="12"/>
      <c r="S437" s="4">
        <v>4</v>
      </c>
      <c r="T437" s="4"/>
      <c r="U437" s="4" t="s">
        <v>39</v>
      </c>
      <c r="V437" s="10">
        <v>45278</v>
      </c>
      <c r="W437" s="12">
        <v>45335</v>
      </c>
      <c r="Z437" t="s">
        <v>878</v>
      </c>
    </row>
    <row r="438" spans="1:26" customFormat="1" hidden="1">
      <c r="A438">
        <f t="shared" ca="1" si="7"/>
        <v>15</v>
      </c>
      <c r="B438" s="4" t="s">
        <v>1469</v>
      </c>
      <c r="C438" s="12">
        <v>45670</v>
      </c>
      <c r="D438" s="4" t="s">
        <v>300</v>
      </c>
      <c r="E438" s="4" t="s">
        <v>3662</v>
      </c>
      <c r="F438" s="4">
        <v>54</v>
      </c>
      <c r="G438" s="4" t="s">
        <v>86</v>
      </c>
      <c r="H438" s="4" t="s">
        <v>165</v>
      </c>
      <c r="I438" s="4" t="s">
        <v>874</v>
      </c>
      <c r="J438" s="4" t="s">
        <v>302</v>
      </c>
      <c r="K438" s="4" t="str">
        <f>IF(E438="KTG","KTG",(VLOOKUP(J438,'list of outsource'!B:H,2,0)))</f>
        <v>ETC</v>
      </c>
      <c r="L438" s="4" t="s">
        <v>303</v>
      </c>
      <c r="M438" s="4">
        <v>65</v>
      </c>
      <c r="N438" s="4" t="s">
        <v>875</v>
      </c>
      <c r="O438" s="2"/>
      <c r="P438" s="4" t="s">
        <v>876</v>
      </c>
      <c r="Q438" s="4" t="s">
        <v>877</v>
      </c>
      <c r="R438" s="12"/>
      <c r="S438" s="4">
        <v>1</v>
      </c>
      <c r="T438" s="4" t="s">
        <v>607</v>
      </c>
      <c r="U438" s="4" t="s">
        <v>550</v>
      </c>
      <c r="V438" s="10">
        <v>45685</v>
      </c>
      <c r="W438" s="12">
        <v>45686</v>
      </c>
      <c r="Z438" t="s">
        <v>878</v>
      </c>
    </row>
    <row r="439" spans="1:26" customFormat="1">
      <c r="A439">
        <f t="shared" ca="1" si="7"/>
        <v>2</v>
      </c>
      <c r="B439" s="49" t="s">
        <v>1520</v>
      </c>
      <c r="C439" s="12">
        <v>45791</v>
      </c>
      <c r="D439" s="4" t="s">
        <v>300</v>
      </c>
      <c r="E439" s="4" t="s">
        <v>3662</v>
      </c>
      <c r="F439" s="4"/>
      <c r="G439" s="106" t="s">
        <v>86</v>
      </c>
      <c r="H439" s="106" t="s">
        <v>165</v>
      </c>
      <c r="I439" s="49" t="s">
        <v>581</v>
      </c>
      <c r="J439" s="4" t="s">
        <v>222</v>
      </c>
      <c r="K439" s="4" t="str">
        <f>IF(E439="KTG","KTG",(VLOOKUP(J439,'list of outsource'!B:H,2,0)))</f>
        <v>ETC</v>
      </c>
      <c r="L439" s="4" t="s">
        <v>223</v>
      </c>
      <c r="M439" s="4">
        <v>23</v>
      </c>
      <c r="N439" s="4" t="s">
        <v>582</v>
      </c>
      <c r="O439" s="2" t="s">
        <v>3684</v>
      </c>
      <c r="P439" s="4" t="s">
        <v>583</v>
      </c>
      <c r="Q439" s="4" t="s">
        <v>2498</v>
      </c>
      <c r="R439" s="12"/>
      <c r="S439" s="4">
        <v>1</v>
      </c>
      <c r="T439" s="4" t="s">
        <v>307</v>
      </c>
      <c r="U439" s="4" t="s">
        <v>183</v>
      </c>
      <c r="V439" s="10">
        <v>45793</v>
      </c>
      <c r="W439" s="12">
        <v>45806</v>
      </c>
      <c r="Z439" t="e">
        <v>#N/A</v>
      </c>
    </row>
    <row r="440" spans="1:26" customFormat="1" hidden="1">
      <c r="A440">
        <f t="shared" ca="1" si="7"/>
        <v>34</v>
      </c>
      <c r="B440" s="8" t="s">
        <v>1499</v>
      </c>
      <c r="C440" s="16">
        <v>45302</v>
      </c>
      <c r="D440" s="6" t="s">
        <v>129</v>
      </c>
      <c r="E440" s="6" t="s">
        <v>3665</v>
      </c>
      <c r="F440" s="6">
        <v>50</v>
      </c>
      <c r="G440" s="6" t="s">
        <v>86</v>
      </c>
      <c r="H440" s="6" t="s">
        <v>165</v>
      </c>
      <c r="I440" s="6" t="s">
        <v>195</v>
      </c>
      <c r="J440" s="6" t="s">
        <v>190</v>
      </c>
      <c r="K440" s="6" t="str">
        <f>IF(E440="KTG","KTG",(VLOOKUP(J440,'list of outsource'!B:H,2,0)))</f>
        <v>UPM</v>
      </c>
      <c r="L440" s="6" t="s">
        <v>191</v>
      </c>
      <c r="M440" s="6">
        <v>12</v>
      </c>
      <c r="N440" s="6" t="s">
        <v>196</v>
      </c>
      <c r="O440" s="2"/>
      <c r="P440" s="6" t="s">
        <v>197</v>
      </c>
      <c r="Q440" s="6">
        <v>1134426525</v>
      </c>
      <c r="R440" s="16" t="s">
        <v>549</v>
      </c>
      <c r="S440" s="6">
        <v>1</v>
      </c>
      <c r="T440" s="6" t="s">
        <v>307</v>
      </c>
      <c r="U440" s="6" t="s">
        <v>183</v>
      </c>
      <c r="V440" s="17">
        <v>45336</v>
      </c>
      <c r="W440" s="16"/>
      <c r="Z440" t="e">
        <v>#N/A</v>
      </c>
    </row>
    <row r="441" spans="1:26" customFormat="1" hidden="1">
      <c r="A441">
        <f t="shared" ca="1" si="7"/>
        <v>6</v>
      </c>
      <c r="B441" s="9" t="s">
        <v>1499</v>
      </c>
      <c r="C441" s="12">
        <v>45791</v>
      </c>
      <c r="D441" s="4" t="s">
        <v>300</v>
      </c>
      <c r="E441" s="4" t="s">
        <v>3665</v>
      </c>
      <c r="F441" s="4">
        <v>50</v>
      </c>
      <c r="G441" s="4" t="s">
        <v>86</v>
      </c>
      <c r="H441" s="4" t="s">
        <v>165</v>
      </c>
      <c r="I441" s="4" t="s">
        <v>195</v>
      </c>
      <c r="J441" s="4" t="s">
        <v>190</v>
      </c>
      <c r="K441" s="4" t="str">
        <f>IF(E441="KTG","KTG",(VLOOKUP(J441,'list of outsource'!B:H,2,0)))</f>
        <v>UPM</v>
      </c>
      <c r="L441" s="4" t="s">
        <v>191</v>
      </c>
      <c r="M441" s="4">
        <v>14</v>
      </c>
      <c r="N441" s="4" t="s">
        <v>196</v>
      </c>
      <c r="O441" s="2"/>
      <c r="P441" s="4" t="s">
        <v>197</v>
      </c>
      <c r="Q441" s="4" t="s">
        <v>1926</v>
      </c>
      <c r="R441" s="12"/>
      <c r="S441" s="4">
        <v>1</v>
      </c>
      <c r="T441" s="4" t="s">
        <v>307</v>
      </c>
      <c r="U441" s="4" t="s">
        <v>183</v>
      </c>
      <c r="V441" s="10">
        <v>45797</v>
      </c>
      <c r="W441" s="12">
        <v>45803</v>
      </c>
      <c r="Z441" t="e">
        <v>#N/A</v>
      </c>
    </row>
    <row r="442" spans="1:26" customFormat="1">
      <c r="A442">
        <f t="shared" ca="1" si="7"/>
        <v>33</v>
      </c>
      <c r="B442" s="104" t="s">
        <v>1522</v>
      </c>
      <c r="C442" s="16">
        <v>45303</v>
      </c>
      <c r="D442" s="6" t="s">
        <v>129</v>
      </c>
      <c r="E442" s="6" t="s">
        <v>3665</v>
      </c>
      <c r="F442" s="6"/>
      <c r="G442" s="106" t="s">
        <v>86</v>
      </c>
      <c r="H442" s="106" t="s">
        <v>165</v>
      </c>
      <c r="I442" s="49" t="s">
        <v>335</v>
      </c>
      <c r="J442" s="6" t="s">
        <v>232</v>
      </c>
      <c r="K442" s="6" t="str">
        <f>IF(E442="KTG","KTG",(VLOOKUP(J442,'list of outsource'!B:H,2,0)))</f>
        <v>UPM</v>
      </c>
      <c r="L442" s="6" t="s">
        <v>233</v>
      </c>
      <c r="M442" s="6">
        <v>10</v>
      </c>
      <c r="N442" s="6" t="s">
        <v>336</v>
      </c>
      <c r="O442" s="2" t="s">
        <v>3684</v>
      </c>
      <c r="P442" s="6" t="s">
        <v>337</v>
      </c>
      <c r="Q442" s="6">
        <v>1173453366</v>
      </c>
      <c r="R442" s="16" t="s">
        <v>549</v>
      </c>
      <c r="S442" s="6">
        <v>1</v>
      </c>
      <c r="T442" s="6" t="s">
        <v>307</v>
      </c>
      <c r="U442" s="6" t="s">
        <v>183</v>
      </c>
      <c r="V442" s="17">
        <v>45336</v>
      </c>
      <c r="W442" s="16"/>
      <c r="Z442" t="e">
        <v>#N/A</v>
      </c>
    </row>
    <row r="443" spans="1:26" customFormat="1">
      <c r="A443">
        <f t="shared" ca="1" si="7"/>
        <v>33</v>
      </c>
      <c r="B443" s="104" t="s">
        <v>1524</v>
      </c>
      <c r="C443" s="16">
        <v>45303</v>
      </c>
      <c r="D443" s="6" t="s">
        <v>129</v>
      </c>
      <c r="E443" s="6" t="s">
        <v>3665</v>
      </c>
      <c r="F443" s="6"/>
      <c r="G443" s="106" t="s">
        <v>86</v>
      </c>
      <c r="H443" s="106" t="s">
        <v>165</v>
      </c>
      <c r="I443" s="49" t="s">
        <v>321</v>
      </c>
      <c r="J443" s="6" t="s">
        <v>322</v>
      </c>
      <c r="K443" s="6" t="str">
        <f>IF(E443="KTG","KTG",(VLOOKUP(J443,'list of outsource'!B:H,2,0)))</f>
        <v>UPM</v>
      </c>
      <c r="L443" s="6" t="s">
        <v>323</v>
      </c>
      <c r="M443" s="6">
        <v>10</v>
      </c>
      <c r="N443" s="6" t="s">
        <v>324</v>
      </c>
      <c r="O443" s="2" t="s">
        <v>3684</v>
      </c>
      <c r="P443" s="6" t="s">
        <v>325</v>
      </c>
      <c r="Q443" s="6">
        <v>1173444937</v>
      </c>
      <c r="R443" s="16" t="s">
        <v>549</v>
      </c>
      <c r="S443" s="6">
        <v>1</v>
      </c>
      <c r="T443" s="6" t="s">
        <v>307</v>
      </c>
      <c r="U443" s="6" t="s">
        <v>183</v>
      </c>
      <c r="V443" s="17">
        <v>45336</v>
      </c>
      <c r="W443" s="16"/>
      <c r="Z443" t="e">
        <v>#N/A</v>
      </c>
    </row>
    <row r="444" spans="1:26" customFormat="1">
      <c r="A444">
        <f t="shared" ca="1" si="7"/>
        <v>33</v>
      </c>
      <c r="B444" s="49" t="s">
        <v>1525</v>
      </c>
      <c r="C444" s="12">
        <v>45303</v>
      </c>
      <c r="D444" s="4" t="s">
        <v>1070</v>
      </c>
      <c r="E444" s="4" t="s">
        <v>3662</v>
      </c>
      <c r="F444" s="4"/>
      <c r="G444" s="106" t="s">
        <v>86</v>
      </c>
      <c r="H444" s="106" t="s">
        <v>165</v>
      </c>
      <c r="I444" s="49" t="s">
        <v>245</v>
      </c>
      <c r="J444" s="4" t="s">
        <v>222</v>
      </c>
      <c r="K444" s="4" t="str">
        <f>IF(E444="KTG","KTG",(VLOOKUP(J444,'list of outsource'!B:H,2,0)))</f>
        <v>ETC</v>
      </c>
      <c r="L444" s="4" t="s">
        <v>223</v>
      </c>
      <c r="M444" s="4">
        <v>20</v>
      </c>
      <c r="N444" s="4" t="s">
        <v>246</v>
      </c>
      <c r="O444" s="2" t="s">
        <v>3684</v>
      </c>
      <c r="P444" s="4" t="s">
        <v>572</v>
      </c>
      <c r="Q444" s="4">
        <v>1139567657</v>
      </c>
      <c r="R444" s="12" t="s">
        <v>549</v>
      </c>
      <c r="S444" s="4">
        <v>1</v>
      </c>
      <c r="T444" s="4" t="s">
        <v>307</v>
      </c>
      <c r="U444" s="4" t="s">
        <v>183</v>
      </c>
      <c r="V444" s="10">
        <v>45336</v>
      </c>
      <c r="W444" s="12">
        <v>45497</v>
      </c>
      <c r="Z444" t="e">
        <v>#N/A</v>
      </c>
    </row>
    <row r="445" spans="1:26" customFormat="1">
      <c r="A445">
        <f t="shared" ca="1" si="7"/>
        <v>33</v>
      </c>
      <c r="B445" s="49" t="s">
        <v>1526</v>
      </c>
      <c r="C445" s="12">
        <v>45303</v>
      </c>
      <c r="D445" s="4" t="s">
        <v>1070</v>
      </c>
      <c r="E445" s="4" t="s">
        <v>3665</v>
      </c>
      <c r="F445" s="4"/>
      <c r="G445" s="106" t="s">
        <v>86</v>
      </c>
      <c r="H445" s="106" t="s">
        <v>165</v>
      </c>
      <c r="I445" s="49" t="s">
        <v>249</v>
      </c>
      <c r="J445" s="4" t="s">
        <v>96</v>
      </c>
      <c r="K445" s="4" t="str">
        <f>IF(E445="KTG","KTG",(VLOOKUP(J445,'list of outsource'!B:H,2,0)))</f>
        <v>Woer</v>
      </c>
      <c r="L445" s="4" t="s">
        <v>97</v>
      </c>
      <c r="M445" s="4">
        <v>40</v>
      </c>
      <c r="N445" s="4" t="s">
        <v>250</v>
      </c>
      <c r="O445" s="2" t="s">
        <v>3684</v>
      </c>
      <c r="P445" s="4" t="s">
        <v>251</v>
      </c>
      <c r="Q445" s="4">
        <v>1152763539</v>
      </c>
      <c r="R445" s="12" t="s">
        <v>549</v>
      </c>
      <c r="S445" s="4">
        <v>1</v>
      </c>
      <c r="T445" s="4" t="s">
        <v>307</v>
      </c>
      <c r="U445" s="4" t="s">
        <v>183</v>
      </c>
      <c r="V445" s="10">
        <v>45336</v>
      </c>
      <c r="W445" s="12">
        <v>45483</v>
      </c>
      <c r="Z445" t="e">
        <v>#N/A</v>
      </c>
    </row>
    <row r="446" spans="1:26" customFormat="1">
      <c r="A446">
        <f t="shared" ca="1" si="7"/>
        <v>33</v>
      </c>
      <c r="B446" s="104" t="s">
        <v>1505</v>
      </c>
      <c r="C446" s="16">
        <v>45303</v>
      </c>
      <c r="D446" s="6" t="s">
        <v>129</v>
      </c>
      <c r="E446" s="6" t="s">
        <v>3663</v>
      </c>
      <c r="F446" s="6"/>
      <c r="G446" s="106" t="s">
        <v>86</v>
      </c>
      <c r="H446" s="106" t="s">
        <v>165</v>
      </c>
      <c r="I446" s="49" t="s">
        <v>1506</v>
      </c>
      <c r="J446" s="6"/>
      <c r="K446" s="6" t="e">
        <f>IF(E446="KTG","KTG",(VLOOKUP(J446,'list of outsource'!B:H,2,0)))</f>
        <v>#N/A</v>
      </c>
      <c r="L446" s="6"/>
      <c r="M446" s="6" t="s">
        <v>1476</v>
      </c>
      <c r="N446" s="6" t="s">
        <v>1507</v>
      </c>
      <c r="O446" s="2" t="s">
        <v>3684</v>
      </c>
      <c r="P446" s="6" t="s">
        <v>1508</v>
      </c>
      <c r="Q446" s="6">
        <v>984817423</v>
      </c>
      <c r="R446" s="16" t="s">
        <v>549</v>
      </c>
      <c r="S446" s="6">
        <v>4</v>
      </c>
      <c r="T446" s="6" t="s">
        <v>307</v>
      </c>
      <c r="U446" s="6" t="s">
        <v>183</v>
      </c>
      <c r="V446" s="17">
        <v>45336</v>
      </c>
      <c r="W446" s="16"/>
      <c r="Z446" t="e">
        <v>#N/A</v>
      </c>
    </row>
    <row r="447" spans="1:26" customFormat="1">
      <c r="A447">
        <f t="shared" ca="1" si="7"/>
        <v>35</v>
      </c>
      <c r="B447" s="49" t="s">
        <v>1505</v>
      </c>
      <c r="C447" s="12">
        <v>45791</v>
      </c>
      <c r="D447" s="4" t="s">
        <v>300</v>
      </c>
      <c r="E447" s="4" t="s">
        <v>3663</v>
      </c>
      <c r="F447" s="4"/>
      <c r="G447" s="106" t="s">
        <v>86</v>
      </c>
      <c r="H447" s="106" t="s">
        <v>165</v>
      </c>
      <c r="I447" s="49" t="s">
        <v>1506</v>
      </c>
      <c r="J447" s="4"/>
      <c r="K447" s="4" t="e">
        <f>IF(E447="KTG","KTG",(VLOOKUP(J447,'list of outsource'!B:H,2,0)))</f>
        <v>#N/A</v>
      </c>
      <c r="L447" s="4"/>
      <c r="M447" s="4"/>
      <c r="N447" s="4" t="s">
        <v>1507</v>
      </c>
      <c r="O447" s="2" t="s">
        <v>3684</v>
      </c>
      <c r="P447" s="4" t="s">
        <v>1508</v>
      </c>
      <c r="Q447" s="4" t="s">
        <v>2502</v>
      </c>
      <c r="R447" s="12"/>
      <c r="S447" s="4">
        <v>1</v>
      </c>
      <c r="T447" s="4" t="s">
        <v>307</v>
      </c>
      <c r="U447" s="4" t="s">
        <v>183</v>
      </c>
      <c r="V447" s="10">
        <v>45826</v>
      </c>
      <c r="W447" s="12">
        <v>45987</v>
      </c>
      <c r="Z447" t="e">
        <v>#N/A</v>
      </c>
    </row>
    <row r="448" spans="1:26" customFormat="1">
      <c r="A448">
        <f t="shared" ca="1" si="7"/>
        <v>33</v>
      </c>
      <c r="B448" s="104" t="s">
        <v>1513</v>
      </c>
      <c r="C448" s="16">
        <v>45303</v>
      </c>
      <c r="D448" s="6" t="s">
        <v>129</v>
      </c>
      <c r="E448" s="6" t="s">
        <v>3663</v>
      </c>
      <c r="F448" s="6"/>
      <c r="G448" s="106" t="s">
        <v>86</v>
      </c>
      <c r="H448" s="106" t="s">
        <v>165</v>
      </c>
      <c r="I448" s="49" t="s">
        <v>1514</v>
      </c>
      <c r="J448" s="6"/>
      <c r="K448" s="6" t="e">
        <f>IF(E448="KTG","KTG",(VLOOKUP(J448,'list of outsource'!B:H,2,0)))</f>
        <v>#N/A</v>
      </c>
      <c r="L448" s="6"/>
      <c r="M448" s="6" t="s">
        <v>1515</v>
      </c>
      <c r="N448" s="6" t="s">
        <v>1516</v>
      </c>
      <c r="O448" s="2" t="s">
        <v>3684</v>
      </c>
      <c r="P448" s="6" t="s">
        <v>1517</v>
      </c>
      <c r="Q448" s="6">
        <v>912298266</v>
      </c>
      <c r="R448" s="16" t="s">
        <v>549</v>
      </c>
      <c r="S448" s="6">
        <v>4</v>
      </c>
      <c r="T448" s="6" t="s">
        <v>307</v>
      </c>
      <c r="U448" s="6" t="s">
        <v>183</v>
      </c>
      <c r="V448" s="17">
        <v>45336</v>
      </c>
      <c r="W448" s="16"/>
      <c r="Z448" t="e">
        <v>#N/A</v>
      </c>
    </row>
    <row r="449" spans="1:26" customFormat="1">
      <c r="A449">
        <f t="shared" ca="1" si="7"/>
        <v>35</v>
      </c>
      <c r="B449" s="49" t="s">
        <v>1513</v>
      </c>
      <c r="C449" s="12">
        <v>45791</v>
      </c>
      <c r="D449" s="4" t="s">
        <v>300</v>
      </c>
      <c r="E449" s="4" t="s">
        <v>3663</v>
      </c>
      <c r="F449" s="4"/>
      <c r="G449" s="106" t="s">
        <v>86</v>
      </c>
      <c r="H449" s="106" t="s">
        <v>165</v>
      </c>
      <c r="I449" s="49" t="s">
        <v>1514</v>
      </c>
      <c r="J449" s="4"/>
      <c r="K449" s="4" t="e">
        <f>IF(E449="KTG","KTG",(VLOOKUP(J449,'list of outsource'!B:H,2,0)))</f>
        <v>#N/A</v>
      </c>
      <c r="L449" s="4"/>
      <c r="M449" s="4"/>
      <c r="N449" s="4" t="s">
        <v>1516</v>
      </c>
      <c r="O449" s="2" t="s">
        <v>3684</v>
      </c>
      <c r="P449" s="4" t="s">
        <v>1517</v>
      </c>
      <c r="Q449" s="4" t="s">
        <v>2503</v>
      </c>
      <c r="R449" s="12"/>
      <c r="S449" s="4">
        <v>1</v>
      </c>
      <c r="T449" s="4" t="s">
        <v>307</v>
      </c>
      <c r="U449" s="4" t="s">
        <v>183</v>
      </c>
      <c r="V449" s="10">
        <v>45826</v>
      </c>
      <c r="W449" s="12">
        <v>45987</v>
      </c>
      <c r="Z449" t="e">
        <v>#N/A</v>
      </c>
    </row>
    <row r="450" spans="1:26" customFormat="1">
      <c r="A450">
        <f t="shared" ca="1" si="7"/>
        <v>33</v>
      </c>
      <c r="B450" s="104" t="s">
        <v>1527</v>
      </c>
      <c r="C450" s="16">
        <v>45303</v>
      </c>
      <c r="D450" s="6" t="s">
        <v>129</v>
      </c>
      <c r="E450" s="6" t="s">
        <v>3665</v>
      </c>
      <c r="F450" s="6"/>
      <c r="G450" s="106" t="s">
        <v>86</v>
      </c>
      <c r="H450" s="106" t="s">
        <v>165</v>
      </c>
      <c r="I450" s="49" t="s">
        <v>207</v>
      </c>
      <c r="J450" s="6" t="s">
        <v>96</v>
      </c>
      <c r="K450" s="6" t="str">
        <f>IF(E450="KTG","KTG",(VLOOKUP(J450,'list of outsource'!B:H,2,0)))</f>
        <v>Woer</v>
      </c>
      <c r="L450" s="6" t="s">
        <v>97</v>
      </c>
      <c r="M450" s="6">
        <v>40</v>
      </c>
      <c r="N450" s="6" t="s">
        <v>208</v>
      </c>
      <c r="O450" s="2" t="s">
        <v>3684</v>
      </c>
      <c r="P450" s="6" t="s">
        <v>209</v>
      </c>
      <c r="Q450" s="6">
        <v>1152754527</v>
      </c>
      <c r="R450" s="16" t="s">
        <v>549</v>
      </c>
      <c r="S450" s="6">
        <v>1</v>
      </c>
      <c r="T450" s="6" t="s">
        <v>307</v>
      </c>
      <c r="U450" s="6" t="s">
        <v>183</v>
      </c>
      <c r="V450" s="17">
        <v>45336</v>
      </c>
      <c r="W450" s="16"/>
      <c r="Z450" t="e">
        <v>#N/A</v>
      </c>
    </row>
    <row r="451" spans="1:26" customFormat="1" hidden="1">
      <c r="A451">
        <f t="shared" ca="1" si="7"/>
        <v>4</v>
      </c>
      <c r="B451" s="4" t="s">
        <v>1637</v>
      </c>
      <c r="C451" s="12">
        <v>45394</v>
      </c>
      <c r="D451" s="4" t="s">
        <v>1070</v>
      </c>
      <c r="E451" s="4" t="s">
        <v>3665</v>
      </c>
      <c r="F451" s="4">
        <v>49</v>
      </c>
      <c r="G451" s="4" t="s">
        <v>86</v>
      </c>
      <c r="H451" s="4" t="s">
        <v>165</v>
      </c>
      <c r="I451" s="4" t="s">
        <v>257</v>
      </c>
      <c r="J451" s="4" t="s">
        <v>108</v>
      </c>
      <c r="K451" s="4" t="str">
        <f>IF(E451="KTG","KTG",(VLOOKUP(J451,'list of outsource'!B:H,2,0)))</f>
        <v>UPM</v>
      </c>
      <c r="L451" s="4" t="s">
        <v>109</v>
      </c>
      <c r="M451" s="4">
        <v>38</v>
      </c>
      <c r="N451" s="4" t="s">
        <v>258</v>
      </c>
      <c r="O451" s="2"/>
      <c r="P451" s="4" t="s">
        <v>259</v>
      </c>
      <c r="Q451" s="4">
        <v>1161359076</v>
      </c>
      <c r="R451" s="12" t="s">
        <v>549</v>
      </c>
      <c r="S451" s="4">
        <v>1</v>
      </c>
      <c r="T451" s="4" t="s">
        <v>307</v>
      </c>
      <c r="U451" s="4" t="s">
        <v>183</v>
      </c>
      <c r="V451" s="10">
        <v>45398</v>
      </c>
      <c r="W451" s="12">
        <v>45401</v>
      </c>
      <c r="Z451" t="e">
        <v>#N/A</v>
      </c>
    </row>
    <row r="452" spans="1:26" customFormat="1" hidden="1">
      <c r="A452">
        <f t="shared" ca="1" si="7"/>
        <v>2</v>
      </c>
      <c r="B452" s="4" t="s">
        <v>1637</v>
      </c>
      <c r="C452" s="12">
        <v>45791</v>
      </c>
      <c r="D452" s="4" t="s">
        <v>300</v>
      </c>
      <c r="E452" s="4" t="s">
        <v>3665</v>
      </c>
      <c r="F452" s="4">
        <v>49</v>
      </c>
      <c r="G452" s="4" t="s">
        <v>86</v>
      </c>
      <c r="H452" s="4" t="s">
        <v>165</v>
      </c>
      <c r="I452" s="4" t="s">
        <v>257</v>
      </c>
      <c r="J452" s="4" t="s">
        <v>108</v>
      </c>
      <c r="K452" s="4" t="str">
        <f>IF(E452="KTG","KTG",(VLOOKUP(J452,'list of outsource'!B:H,2,0)))</f>
        <v>UPM</v>
      </c>
      <c r="L452" s="4" t="s">
        <v>109</v>
      </c>
      <c r="M452" s="4">
        <v>45</v>
      </c>
      <c r="N452" s="4" t="s">
        <v>258</v>
      </c>
      <c r="O452" s="2"/>
      <c r="P452" s="4" t="s">
        <v>259</v>
      </c>
      <c r="Q452" s="4" t="s">
        <v>2497</v>
      </c>
      <c r="R452" s="12"/>
      <c r="S452" s="4">
        <v>1</v>
      </c>
      <c r="T452" s="4" t="s">
        <v>307</v>
      </c>
      <c r="U452" s="4" t="s">
        <v>183</v>
      </c>
      <c r="V452" s="10">
        <v>45793</v>
      </c>
      <c r="W452" s="12">
        <v>45797</v>
      </c>
      <c r="Z452" t="e">
        <v>#N/A</v>
      </c>
    </row>
    <row r="453" spans="1:26" customFormat="1">
      <c r="A453">
        <f t="shared" ca="1" si="7"/>
        <v>6</v>
      </c>
      <c r="B453" s="104" t="s">
        <v>1527</v>
      </c>
      <c r="C453" s="16">
        <v>45791</v>
      </c>
      <c r="D453" s="6" t="s">
        <v>129</v>
      </c>
      <c r="E453" s="6" t="s">
        <v>3665</v>
      </c>
      <c r="F453" s="6"/>
      <c r="G453" s="106" t="s">
        <v>86</v>
      </c>
      <c r="H453" s="106" t="s">
        <v>165</v>
      </c>
      <c r="I453" s="49" t="s">
        <v>207</v>
      </c>
      <c r="J453" s="6" t="s">
        <v>96</v>
      </c>
      <c r="K453" s="6" t="str">
        <f>IF(E453="KTG","KTG",(VLOOKUP(J453,'list of outsource'!B:H,2,0)))</f>
        <v>Woer</v>
      </c>
      <c r="L453" s="6" t="s">
        <v>97</v>
      </c>
      <c r="M453" s="6">
        <v>56</v>
      </c>
      <c r="N453" s="6" t="s">
        <v>208</v>
      </c>
      <c r="O453" s="2" t="s">
        <v>3684</v>
      </c>
      <c r="P453" s="6" t="s">
        <v>209</v>
      </c>
      <c r="Q453" s="6" t="s">
        <v>2500</v>
      </c>
      <c r="R453" s="16"/>
      <c r="S453" s="6">
        <v>1</v>
      </c>
      <c r="T453" s="6" t="s">
        <v>307</v>
      </c>
      <c r="U453" s="6" t="s">
        <v>183</v>
      </c>
      <c r="V453" s="17">
        <v>45797</v>
      </c>
      <c r="W453" s="16"/>
      <c r="Z453" t="e">
        <v>#N/A</v>
      </c>
    </row>
    <row r="454" spans="1:26" customFormat="1">
      <c r="A454">
        <f t="shared" ca="1" si="7"/>
        <v>33</v>
      </c>
      <c r="B454" s="104" t="s">
        <v>1528</v>
      </c>
      <c r="C454" s="16">
        <v>45303</v>
      </c>
      <c r="D454" s="6" t="s">
        <v>129</v>
      </c>
      <c r="E454" s="6" t="s">
        <v>3665</v>
      </c>
      <c r="F454" s="6"/>
      <c r="G454" s="106" t="s">
        <v>86</v>
      </c>
      <c r="H454" s="106" t="s">
        <v>165</v>
      </c>
      <c r="I454" s="49" t="s">
        <v>203</v>
      </c>
      <c r="J454" s="6" t="s">
        <v>96</v>
      </c>
      <c r="K454" s="6" t="str">
        <f>IF(E454="KTG","KTG",(VLOOKUP(J454,'list of outsource'!B:H,2,0)))</f>
        <v>Woer</v>
      </c>
      <c r="L454" s="6" t="s">
        <v>97</v>
      </c>
      <c r="M454" s="6">
        <v>40</v>
      </c>
      <c r="N454" s="6" t="s">
        <v>204</v>
      </c>
      <c r="O454" s="2" t="s">
        <v>3684</v>
      </c>
      <c r="P454" s="6" t="s">
        <v>205</v>
      </c>
      <c r="Q454" s="6">
        <v>1152750903</v>
      </c>
      <c r="R454" s="16" t="s">
        <v>549</v>
      </c>
      <c r="S454" s="6">
        <v>1</v>
      </c>
      <c r="T454" s="6" t="s">
        <v>307</v>
      </c>
      <c r="U454" s="6" t="s">
        <v>183</v>
      </c>
      <c r="V454" s="17">
        <v>45336</v>
      </c>
      <c r="W454" s="16"/>
      <c r="Z454" t="e">
        <v>#N/A</v>
      </c>
    </row>
    <row r="455" spans="1:26" customFormat="1" hidden="1">
      <c r="A455">
        <f t="shared" ca="1" si="7"/>
        <v>33</v>
      </c>
      <c r="B455" s="4" t="s">
        <v>1521</v>
      </c>
      <c r="C455" s="12">
        <v>45303</v>
      </c>
      <c r="D455" s="4" t="s">
        <v>1070</v>
      </c>
      <c r="E455" s="4" t="s">
        <v>3665</v>
      </c>
      <c r="F455" s="4">
        <v>41</v>
      </c>
      <c r="G455" s="4" t="s">
        <v>86</v>
      </c>
      <c r="H455" s="4" t="s">
        <v>165</v>
      </c>
      <c r="I455" s="4" t="s">
        <v>261</v>
      </c>
      <c r="J455" s="4" t="s">
        <v>96</v>
      </c>
      <c r="K455" s="4" t="str">
        <f>IF(E455="KTG","KTG",(VLOOKUP(J455,'list of outsource'!B:H,2,0)))</f>
        <v>Woer</v>
      </c>
      <c r="L455" s="4" t="s">
        <v>97</v>
      </c>
      <c r="M455" s="4">
        <v>40</v>
      </c>
      <c r="N455" s="4" t="s">
        <v>262</v>
      </c>
      <c r="O455" s="2"/>
      <c r="P455" s="4" t="s">
        <v>263</v>
      </c>
      <c r="Q455" s="4">
        <v>1160608585</v>
      </c>
      <c r="R455" s="12" t="s">
        <v>549</v>
      </c>
      <c r="S455" s="4">
        <v>1</v>
      </c>
      <c r="T455" s="4" t="s">
        <v>307</v>
      </c>
      <c r="U455" s="4" t="s">
        <v>183</v>
      </c>
      <c r="V455" s="10">
        <v>45336</v>
      </c>
      <c r="W455" s="12">
        <v>45497</v>
      </c>
      <c r="Z455" t="s">
        <v>1240</v>
      </c>
    </row>
    <row r="456" spans="1:26" customFormat="1">
      <c r="A456">
        <f t="shared" ca="1" si="7"/>
        <v>4</v>
      </c>
      <c r="B456" s="49" t="s">
        <v>1638</v>
      </c>
      <c r="C456" s="12">
        <v>45394</v>
      </c>
      <c r="D456" s="4" t="s">
        <v>1070</v>
      </c>
      <c r="E456" s="4" t="s">
        <v>3665</v>
      </c>
      <c r="F456" s="4"/>
      <c r="G456" s="106" t="s">
        <v>86</v>
      </c>
      <c r="H456" s="106" t="s">
        <v>165</v>
      </c>
      <c r="I456" s="49" t="s">
        <v>217</v>
      </c>
      <c r="J456" s="4" t="s">
        <v>108</v>
      </c>
      <c r="K456" s="4" t="str">
        <f>IF(E456="KTG","KTG",(VLOOKUP(J456,'list of outsource'!B:H,2,0)))</f>
        <v>UPM</v>
      </c>
      <c r="L456" s="4" t="s">
        <v>109</v>
      </c>
      <c r="M456" s="4">
        <v>38</v>
      </c>
      <c r="N456" s="4" t="s">
        <v>218</v>
      </c>
      <c r="O456" s="2" t="s">
        <v>3684</v>
      </c>
      <c r="P456" s="4" t="s">
        <v>219</v>
      </c>
      <c r="Q456" s="4">
        <v>1152763196</v>
      </c>
      <c r="R456" s="12" t="s">
        <v>549</v>
      </c>
      <c r="S456" s="4">
        <v>1</v>
      </c>
      <c r="T456" s="4" t="s">
        <v>307</v>
      </c>
      <c r="U456" s="4" t="s">
        <v>183</v>
      </c>
      <c r="V456" s="10">
        <v>45398</v>
      </c>
      <c r="W456" s="12">
        <v>45404</v>
      </c>
      <c r="Z456" t="e">
        <v>#N/A</v>
      </c>
    </row>
    <row r="457" spans="1:26" customFormat="1" hidden="1">
      <c r="A457">
        <f t="shared" ca="1" si="7"/>
        <v>33</v>
      </c>
      <c r="B457" s="8" t="s">
        <v>1523</v>
      </c>
      <c r="C457" s="16">
        <v>45303</v>
      </c>
      <c r="D457" s="6" t="s">
        <v>129</v>
      </c>
      <c r="E457" s="6" t="s">
        <v>3662</v>
      </c>
      <c r="F457" s="6">
        <v>4015</v>
      </c>
      <c r="G457" s="6" t="s">
        <v>86</v>
      </c>
      <c r="H457" s="6" t="s">
        <v>165</v>
      </c>
      <c r="I457" s="6" t="s">
        <v>313</v>
      </c>
      <c r="J457" s="6" t="s">
        <v>222</v>
      </c>
      <c r="K457" s="6" t="str">
        <f>IF(E457="KTG","KTG",(VLOOKUP(J457,'list of outsource'!B:H,2,0)))</f>
        <v>ETC</v>
      </c>
      <c r="L457" s="6" t="s">
        <v>223</v>
      </c>
      <c r="M457" s="6">
        <v>20</v>
      </c>
      <c r="N457" s="6" t="s">
        <v>314</v>
      </c>
      <c r="O457" s="2"/>
      <c r="P457" s="6" t="s">
        <v>578</v>
      </c>
      <c r="Q457" s="6">
        <v>1172779258</v>
      </c>
      <c r="R457" s="16" t="s">
        <v>549</v>
      </c>
      <c r="S457" s="6">
        <v>1</v>
      </c>
      <c r="T457" s="6" t="s">
        <v>307</v>
      </c>
      <c r="U457" s="6" t="s">
        <v>183</v>
      </c>
      <c r="V457" s="17">
        <v>45336</v>
      </c>
      <c r="W457" s="16"/>
      <c r="Z457" t="e">
        <v>#N/A</v>
      </c>
    </row>
    <row r="458" spans="1:26" customFormat="1" hidden="1">
      <c r="A458">
        <f t="shared" ca="1" si="7"/>
        <v>1</v>
      </c>
      <c r="B458" s="4" t="s">
        <v>1523</v>
      </c>
      <c r="C458" s="12">
        <v>45791</v>
      </c>
      <c r="D458" s="4" t="s">
        <v>300</v>
      </c>
      <c r="E458" s="4" t="s">
        <v>3662</v>
      </c>
      <c r="F458" s="4">
        <v>4015</v>
      </c>
      <c r="G458" s="4" t="s">
        <v>86</v>
      </c>
      <c r="H458" s="4" t="s">
        <v>165</v>
      </c>
      <c r="I458" s="4" t="s">
        <v>313</v>
      </c>
      <c r="J458" s="4" t="s">
        <v>222</v>
      </c>
      <c r="K458" s="4" t="str">
        <f>IF(E458="KTG","KTG",(VLOOKUP(J458,'list of outsource'!B:H,2,0)))</f>
        <v>ETC</v>
      </c>
      <c r="L458" s="4" t="s">
        <v>223</v>
      </c>
      <c r="M458" s="4">
        <v>23</v>
      </c>
      <c r="N458" s="4" t="s">
        <v>314</v>
      </c>
      <c r="O458" s="2"/>
      <c r="P458" s="4" t="s">
        <v>578</v>
      </c>
      <c r="Q458" s="4" t="s">
        <v>2499</v>
      </c>
      <c r="R458" s="12"/>
      <c r="S458" s="4">
        <v>1</v>
      </c>
      <c r="T458" s="4" t="s">
        <v>307</v>
      </c>
      <c r="U458" s="4" t="s">
        <v>183</v>
      </c>
      <c r="V458" s="10">
        <v>45792</v>
      </c>
      <c r="W458" s="12">
        <v>45804</v>
      </c>
      <c r="Z458" t="e">
        <v>#N/A</v>
      </c>
    </row>
    <row r="459" spans="1:26" customFormat="1">
      <c r="A459">
        <f t="shared" ca="1" si="7"/>
        <v>6</v>
      </c>
      <c r="B459" s="104" t="s">
        <v>1638</v>
      </c>
      <c r="C459" s="16">
        <v>45791</v>
      </c>
      <c r="D459" s="6" t="s">
        <v>129</v>
      </c>
      <c r="E459" s="6" t="s">
        <v>3665</v>
      </c>
      <c r="F459" s="6"/>
      <c r="G459" s="106" t="s">
        <v>86</v>
      </c>
      <c r="H459" s="106" t="s">
        <v>165</v>
      </c>
      <c r="I459" s="49" t="s">
        <v>217</v>
      </c>
      <c r="J459" s="6" t="s">
        <v>108</v>
      </c>
      <c r="K459" s="6" t="str">
        <f>IF(E459="KTG","KTG",(VLOOKUP(J459,'list of outsource'!B:H,2,0)))</f>
        <v>UPM</v>
      </c>
      <c r="L459" s="6" t="s">
        <v>109</v>
      </c>
      <c r="M459" s="6">
        <v>45</v>
      </c>
      <c r="N459" s="6" t="s">
        <v>218</v>
      </c>
      <c r="O459" s="2" t="s">
        <v>3684</v>
      </c>
      <c r="P459" s="6" t="s">
        <v>219</v>
      </c>
      <c r="Q459" s="6" t="s">
        <v>2501</v>
      </c>
      <c r="R459" s="16"/>
      <c r="S459" s="6">
        <v>1</v>
      </c>
      <c r="T459" s="6" t="s">
        <v>307</v>
      </c>
      <c r="U459" s="6" t="s">
        <v>183</v>
      </c>
      <c r="V459" s="17">
        <v>45797</v>
      </c>
      <c r="W459" s="16"/>
      <c r="Z459" t="e">
        <v>#N/A</v>
      </c>
    </row>
    <row r="460" spans="1:26" customFormat="1">
      <c r="A460">
        <f t="shared" ref="A460:A523" ca="1" si="8">IF(V460="",(TODAY()-C460),(V460-C460))</f>
        <v>54</v>
      </c>
      <c r="B460" s="104" t="s">
        <v>1530</v>
      </c>
      <c r="C460" s="16">
        <v>45310</v>
      </c>
      <c r="D460" s="6" t="s">
        <v>129</v>
      </c>
      <c r="E460" s="6" t="s">
        <v>3662</v>
      </c>
      <c r="F460" s="6"/>
      <c r="G460" s="106" t="s">
        <v>86</v>
      </c>
      <c r="H460" s="106" t="s">
        <v>165</v>
      </c>
      <c r="I460" s="49" t="s">
        <v>1531</v>
      </c>
      <c r="J460" s="6" t="s">
        <v>490</v>
      </c>
      <c r="K460" s="6" t="str">
        <f>IF(E460="KTG","KTG",(VLOOKUP(J460,'list of outsource'!B:H,2,0)))</f>
        <v>ETC</v>
      </c>
      <c r="L460" s="6" t="s">
        <v>491</v>
      </c>
      <c r="M460" s="6">
        <v>22</v>
      </c>
      <c r="N460" s="6" t="s">
        <v>1532</v>
      </c>
      <c r="O460" s="2" t="s">
        <v>3684</v>
      </c>
      <c r="P460" s="6" t="s">
        <v>1533</v>
      </c>
      <c r="Q460" s="6">
        <v>1309072701</v>
      </c>
      <c r="R460" s="16" t="s">
        <v>549</v>
      </c>
      <c r="S460" s="6">
        <v>4</v>
      </c>
      <c r="T460" s="6" t="s">
        <v>307</v>
      </c>
      <c r="U460" s="6" t="s">
        <v>39</v>
      </c>
      <c r="V460" s="17">
        <v>45364</v>
      </c>
      <c r="W460" s="16"/>
      <c r="Z460" t="e">
        <v>#N/A</v>
      </c>
    </row>
    <row r="461" spans="1:26" customFormat="1">
      <c r="A461">
        <f t="shared" ca="1" si="8"/>
        <v>0</v>
      </c>
      <c r="B461" s="49" t="s">
        <v>1530</v>
      </c>
      <c r="C461" s="12">
        <v>45399</v>
      </c>
      <c r="D461" s="4" t="s">
        <v>1070</v>
      </c>
      <c r="E461" s="4" t="s">
        <v>3662</v>
      </c>
      <c r="F461" s="4"/>
      <c r="G461" s="106" t="s">
        <v>86</v>
      </c>
      <c r="H461" s="106" t="s">
        <v>165</v>
      </c>
      <c r="I461" s="49" t="s">
        <v>1531</v>
      </c>
      <c r="J461" s="4" t="s">
        <v>490</v>
      </c>
      <c r="K461" s="4" t="str">
        <f>IF(E461="KTG","KTG",(VLOOKUP(J461,'list of outsource'!B:H,2,0)))</f>
        <v>ETC</v>
      </c>
      <c r="L461" s="4" t="s">
        <v>491</v>
      </c>
      <c r="M461" s="4">
        <v>23</v>
      </c>
      <c r="N461" s="4" t="s">
        <v>1532</v>
      </c>
      <c r="O461" s="2" t="s">
        <v>3684</v>
      </c>
      <c r="P461" s="4" t="s">
        <v>1533</v>
      </c>
      <c r="Q461" s="4">
        <v>1309072701</v>
      </c>
      <c r="R461" s="12" t="s">
        <v>549</v>
      </c>
      <c r="S461" s="4">
        <v>4</v>
      </c>
      <c r="T461" s="4" t="s">
        <v>307</v>
      </c>
      <c r="U461" s="4" t="s">
        <v>39</v>
      </c>
      <c r="V461" s="10">
        <v>45399</v>
      </c>
      <c r="W461" s="12">
        <v>45405</v>
      </c>
      <c r="Z461" t="e">
        <v>#N/A</v>
      </c>
    </row>
    <row r="462" spans="1:26" customFormat="1">
      <c r="A462">
        <f t="shared" ca="1" si="8"/>
        <v>18</v>
      </c>
      <c r="B462" s="49" t="s">
        <v>1530</v>
      </c>
      <c r="C462" s="12">
        <v>45739</v>
      </c>
      <c r="D462" s="4" t="s">
        <v>300</v>
      </c>
      <c r="E462" s="4" t="s">
        <v>3662</v>
      </c>
      <c r="F462" s="4"/>
      <c r="G462" s="106" t="s">
        <v>86</v>
      </c>
      <c r="H462" s="106" t="s">
        <v>165</v>
      </c>
      <c r="I462" s="49" t="s">
        <v>1531</v>
      </c>
      <c r="J462" s="4" t="s">
        <v>490</v>
      </c>
      <c r="K462" s="4" t="str">
        <f>IF(E462="KTG","KTG",(VLOOKUP(J462,'list of outsource'!B:H,2,0)))</f>
        <v>ETC</v>
      </c>
      <c r="L462" s="4" t="s">
        <v>491</v>
      </c>
      <c r="M462" s="4"/>
      <c r="N462" s="4" t="s">
        <v>1532</v>
      </c>
      <c r="O462" s="2" t="s">
        <v>3684</v>
      </c>
      <c r="P462" s="4" t="s">
        <v>1533</v>
      </c>
      <c r="Q462" s="4" t="s">
        <v>2406</v>
      </c>
      <c r="R462" s="12"/>
      <c r="S462" s="4">
        <v>1</v>
      </c>
      <c r="T462" s="4" t="s">
        <v>307</v>
      </c>
      <c r="U462" s="4" t="s">
        <v>550</v>
      </c>
      <c r="V462" s="10">
        <v>45757</v>
      </c>
      <c r="W462" s="12">
        <v>45791</v>
      </c>
      <c r="Z462" t="e">
        <v>#N/A</v>
      </c>
    </row>
    <row r="463" spans="1:26" customFormat="1">
      <c r="A463">
        <f t="shared" ca="1" si="8"/>
        <v>35</v>
      </c>
      <c r="B463" s="49" t="s">
        <v>1639</v>
      </c>
      <c r="C463" s="12">
        <v>45401</v>
      </c>
      <c r="D463" s="4" t="s">
        <v>1070</v>
      </c>
      <c r="E463" s="4" t="s">
        <v>3665</v>
      </c>
      <c r="F463" s="4"/>
      <c r="G463" s="106" t="s">
        <v>86</v>
      </c>
      <c r="H463" s="106" t="s">
        <v>165</v>
      </c>
      <c r="I463" s="49" t="s">
        <v>1640</v>
      </c>
      <c r="J463" s="4" t="s">
        <v>232</v>
      </c>
      <c r="K463" s="4" t="str">
        <f>IF(E463="KTG","KTG",(VLOOKUP(J463,'list of outsource'!B:H,2,0)))</f>
        <v>UPM</v>
      </c>
      <c r="L463" s="4" t="s">
        <v>233</v>
      </c>
      <c r="M463" s="4"/>
      <c r="N463" s="4" t="s">
        <v>1641</v>
      </c>
      <c r="O463" s="2" t="s">
        <v>3684</v>
      </c>
      <c r="P463" s="4" t="s">
        <v>1642</v>
      </c>
      <c r="Q463" s="4">
        <v>1326974042</v>
      </c>
      <c r="R463" s="12">
        <v>45413</v>
      </c>
      <c r="S463" s="4">
        <v>4</v>
      </c>
      <c r="T463" s="4" t="s">
        <v>1258</v>
      </c>
      <c r="U463" s="4" t="s">
        <v>39</v>
      </c>
      <c r="V463" s="10">
        <v>45436</v>
      </c>
      <c r="W463" s="12">
        <v>45463</v>
      </c>
      <c r="Z463" t="e">
        <v>#N/A</v>
      </c>
    </row>
    <row r="464" spans="1:26" customFormat="1" hidden="1">
      <c r="A464">
        <f t="shared" ca="1" si="8"/>
        <v>33</v>
      </c>
      <c r="B464" s="8" t="s">
        <v>1509</v>
      </c>
      <c r="C464" s="16">
        <v>45303</v>
      </c>
      <c r="D464" s="6" t="s">
        <v>129</v>
      </c>
      <c r="E464" s="6" t="s">
        <v>3663</v>
      </c>
      <c r="F464" s="6"/>
      <c r="G464" s="6" t="s">
        <v>86</v>
      </c>
      <c r="H464" s="6" t="s">
        <v>165</v>
      </c>
      <c r="I464" s="6" t="s">
        <v>1510</v>
      </c>
      <c r="J464" s="6"/>
      <c r="K464" s="6" t="e">
        <f>IF(E464="KTG","KTG",(VLOOKUP(J464,'list of outsource'!B:H,2,0)))</f>
        <v>#N/A</v>
      </c>
      <c r="L464" s="6"/>
      <c r="M464" s="6" t="s">
        <v>1476</v>
      </c>
      <c r="N464" s="49" t="s">
        <v>1511</v>
      </c>
      <c r="O464" s="2"/>
      <c r="P464" s="6" t="s">
        <v>1512</v>
      </c>
      <c r="Q464" s="6">
        <v>847010205</v>
      </c>
      <c r="R464" s="16" t="s">
        <v>549</v>
      </c>
      <c r="S464" s="6">
        <v>4</v>
      </c>
      <c r="T464" s="6" t="s">
        <v>307</v>
      </c>
      <c r="U464" s="6" t="s">
        <v>183</v>
      </c>
      <c r="V464" s="17">
        <v>45336</v>
      </c>
      <c r="W464" s="16"/>
      <c r="Z464" t="e">
        <v>#N/A</v>
      </c>
    </row>
    <row r="465" spans="1:26" customFormat="1">
      <c r="A465">
        <f t="shared" ca="1" si="8"/>
        <v>16</v>
      </c>
      <c r="B465" s="104" t="s">
        <v>1639</v>
      </c>
      <c r="C465" s="12">
        <v>45797</v>
      </c>
      <c r="D465" s="4" t="s">
        <v>300</v>
      </c>
      <c r="E465" s="4" t="s">
        <v>3665</v>
      </c>
      <c r="F465" s="4"/>
      <c r="G465" s="106" t="s">
        <v>86</v>
      </c>
      <c r="H465" s="106" t="s">
        <v>165</v>
      </c>
      <c r="I465" s="49" t="s">
        <v>1640</v>
      </c>
      <c r="J465" s="4" t="s">
        <v>232</v>
      </c>
      <c r="K465" s="4" t="str">
        <f>IF(E465="KTG","KTG",(VLOOKUP(J465,'list of outsource'!B:H,2,0)))</f>
        <v>UPM</v>
      </c>
      <c r="L465" s="4" t="s">
        <v>233</v>
      </c>
      <c r="M465" s="47"/>
      <c r="N465" s="4" t="s">
        <v>1641</v>
      </c>
      <c r="O465" s="2" t="s">
        <v>3684</v>
      </c>
      <c r="P465" s="4" t="s">
        <v>1642</v>
      </c>
      <c r="Q465" s="4" t="s">
        <v>2558</v>
      </c>
      <c r="R465" s="12">
        <v>45413</v>
      </c>
      <c r="S465" s="4">
        <v>1</v>
      </c>
      <c r="T465" s="4" t="s">
        <v>307</v>
      </c>
      <c r="U465" s="4" t="s">
        <v>183</v>
      </c>
      <c r="V465" s="10">
        <v>45813</v>
      </c>
      <c r="W465" s="12">
        <v>45814</v>
      </c>
      <c r="Z465" t="e">
        <v>#N/A</v>
      </c>
    </row>
    <row r="466" spans="1:26" customFormat="1">
      <c r="A466">
        <f t="shared" ca="1" si="8"/>
        <v>40</v>
      </c>
      <c r="B466" s="49" t="s">
        <v>1643</v>
      </c>
      <c r="C466" s="12">
        <v>45401</v>
      </c>
      <c r="D466" s="4" t="s">
        <v>1070</v>
      </c>
      <c r="E466" s="4" t="s">
        <v>3665</v>
      </c>
      <c r="F466" s="4"/>
      <c r="G466" s="106" t="s">
        <v>86</v>
      </c>
      <c r="H466" s="106" t="s">
        <v>165</v>
      </c>
      <c r="I466" s="49" t="s">
        <v>1644</v>
      </c>
      <c r="J466" s="4" t="s">
        <v>232</v>
      </c>
      <c r="K466" s="4" t="str">
        <f>IF(E466="KTG","KTG",(VLOOKUP(J466,'list of outsource'!B:H,2,0)))</f>
        <v>UPM</v>
      </c>
      <c r="L466" s="4" t="s">
        <v>233</v>
      </c>
      <c r="M466" s="4">
        <v>10</v>
      </c>
      <c r="N466" s="4" t="s">
        <v>1645</v>
      </c>
      <c r="O466" s="2" t="s">
        <v>3684</v>
      </c>
      <c r="P466" s="4" t="s">
        <v>1646</v>
      </c>
      <c r="Q466" s="4">
        <v>1326975182</v>
      </c>
      <c r="R466" s="12">
        <v>45413</v>
      </c>
      <c r="S466" s="4">
        <v>4</v>
      </c>
      <c r="T466" s="4" t="s">
        <v>1258</v>
      </c>
      <c r="U466" s="4" t="s">
        <v>39</v>
      </c>
      <c r="V466" s="10">
        <v>45441</v>
      </c>
      <c r="W466" s="12">
        <v>45463</v>
      </c>
      <c r="Z466" t="e">
        <v>#N/A</v>
      </c>
    </row>
    <row r="467" spans="1:26" customFormat="1">
      <c r="A467">
        <f t="shared" ca="1" si="8"/>
        <v>16</v>
      </c>
      <c r="B467" s="104" t="s">
        <v>1643</v>
      </c>
      <c r="C467" s="12">
        <v>45797</v>
      </c>
      <c r="D467" s="4" t="s">
        <v>300</v>
      </c>
      <c r="E467" s="4" t="s">
        <v>3665</v>
      </c>
      <c r="F467" s="4"/>
      <c r="G467" s="106" t="s">
        <v>86</v>
      </c>
      <c r="H467" s="106" t="s">
        <v>165</v>
      </c>
      <c r="I467" s="49" t="s">
        <v>1644</v>
      </c>
      <c r="J467" s="4" t="s">
        <v>232</v>
      </c>
      <c r="K467" s="4" t="str">
        <f>IF(E467="KTG","KTG",(VLOOKUP(J467,'list of outsource'!B:H,2,0)))</f>
        <v>UPM</v>
      </c>
      <c r="L467" s="4" t="s">
        <v>233</v>
      </c>
      <c r="M467" s="47"/>
      <c r="N467" s="4" t="s">
        <v>1645</v>
      </c>
      <c r="O467" s="2" t="s">
        <v>3684</v>
      </c>
      <c r="P467" s="4" t="s">
        <v>1646</v>
      </c>
      <c r="Q467" s="4" t="s">
        <v>2559</v>
      </c>
      <c r="R467" s="12">
        <v>45413</v>
      </c>
      <c r="S467" s="4">
        <v>1</v>
      </c>
      <c r="T467" s="4" t="s">
        <v>307</v>
      </c>
      <c r="U467" s="4" t="s">
        <v>183</v>
      </c>
      <c r="V467" s="10">
        <v>45813</v>
      </c>
      <c r="W467" s="12">
        <v>45814</v>
      </c>
      <c r="Z467" t="e">
        <v>#N/A</v>
      </c>
    </row>
    <row r="468" spans="1:26" customFormat="1">
      <c r="A468">
        <f t="shared" ca="1" si="8"/>
        <v>40</v>
      </c>
      <c r="B468" s="49" t="s">
        <v>1647</v>
      </c>
      <c r="C468" s="12">
        <v>45401</v>
      </c>
      <c r="D468" s="4" t="s">
        <v>1070</v>
      </c>
      <c r="E468" s="4" t="s">
        <v>3662</v>
      </c>
      <c r="F468" s="4"/>
      <c r="G468" s="106" t="s">
        <v>86</v>
      </c>
      <c r="H468" s="106" t="s">
        <v>165</v>
      </c>
      <c r="I468" s="49" t="s">
        <v>1648</v>
      </c>
      <c r="J468" s="4" t="s">
        <v>1253</v>
      </c>
      <c r="K468" s="4" t="str">
        <f>IF(E468="KTG","KTG",(VLOOKUP(J468,'list of outsource'!B:H,2,0)))</f>
        <v>ETC</v>
      </c>
      <c r="L468" s="4" t="s">
        <v>1254</v>
      </c>
      <c r="M468" s="4">
        <v>19</v>
      </c>
      <c r="N468" s="4" t="s">
        <v>1649</v>
      </c>
      <c r="O468" s="2" t="s">
        <v>3684</v>
      </c>
      <c r="P468" s="4" t="s">
        <v>1650</v>
      </c>
      <c r="Q468" s="4" t="s">
        <v>1651</v>
      </c>
      <c r="R468" s="12">
        <v>45422</v>
      </c>
      <c r="S468" s="4">
        <v>4</v>
      </c>
      <c r="T468" s="4" t="s">
        <v>1258</v>
      </c>
      <c r="U468" s="4" t="s">
        <v>39</v>
      </c>
      <c r="V468" s="10">
        <v>45441</v>
      </c>
      <c r="W468" s="12">
        <v>45463</v>
      </c>
      <c r="Z468" t="e">
        <v>#N/A</v>
      </c>
    </row>
    <row r="469" spans="1:26" customFormat="1">
      <c r="A469">
        <f t="shared" ca="1" si="8"/>
        <v>16</v>
      </c>
      <c r="B469" s="49" t="s">
        <v>1647</v>
      </c>
      <c r="C469" s="12">
        <v>45797</v>
      </c>
      <c r="D469" s="4" t="s">
        <v>300</v>
      </c>
      <c r="E469" s="4" t="s">
        <v>3662</v>
      </c>
      <c r="F469" s="4"/>
      <c r="G469" s="106" t="s">
        <v>86</v>
      </c>
      <c r="H469" s="106" t="s">
        <v>165</v>
      </c>
      <c r="I469" s="49" t="s">
        <v>1648</v>
      </c>
      <c r="J469" s="4" t="s">
        <v>1253</v>
      </c>
      <c r="K469" s="4" t="str">
        <f>IF(E469="KTG","KTG",(VLOOKUP(J469,'list of outsource'!B:H,2,0)))</f>
        <v>ETC</v>
      </c>
      <c r="L469" s="4" t="s">
        <v>1254</v>
      </c>
      <c r="M469" s="4">
        <v>20</v>
      </c>
      <c r="N469" s="4" t="s">
        <v>1649</v>
      </c>
      <c r="O469" s="2" t="s">
        <v>3684</v>
      </c>
      <c r="P469" s="4" t="s">
        <v>1650</v>
      </c>
      <c r="Q469" s="4" t="s">
        <v>2560</v>
      </c>
      <c r="R469" s="12">
        <v>45422</v>
      </c>
      <c r="S469" s="4">
        <v>1</v>
      </c>
      <c r="T469" s="4" t="s">
        <v>307</v>
      </c>
      <c r="U469" s="4" t="s">
        <v>183</v>
      </c>
      <c r="V469" s="10">
        <v>45813</v>
      </c>
      <c r="W469" s="12">
        <v>45825</v>
      </c>
      <c r="Z469" t="e">
        <v>#N/A</v>
      </c>
    </row>
    <row r="470" spans="1:26" customFormat="1" hidden="1">
      <c r="A470">
        <f t="shared" ca="1" si="8"/>
        <v>47</v>
      </c>
      <c r="B470" s="4" t="s">
        <v>1542</v>
      </c>
      <c r="C470" s="12">
        <v>45317</v>
      </c>
      <c r="D470" s="4" t="s">
        <v>1070</v>
      </c>
      <c r="E470" s="4" t="s">
        <v>3665</v>
      </c>
      <c r="F470" s="4">
        <v>42</v>
      </c>
      <c r="G470" s="4" t="s">
        <v>86</v>
      </c>
      <c r="H470" s="4" t="s">
        <v>165</v>
      </c>
      <c r="I470" s="4" t="s">
        <v>1543</v>
      </c>
      <c r="J470" s="4" t="s">
        <v>108</v>
      </c>
      <c r="K470" s="4" t="str">
        <f>IF(E470="KTG","KTG",(VLOOKUP(J470,'list of outsource'!B:H,2,0)))</f>
        <v>UPM</v>
      </c>
      <c r="L470" s="4" t="s">
        <v>109</v>
      </c>
      <c r="M470" s="4">
        <v>38</v>
      </c>
      <c r="N470" s="4" t="s">
        <v>1544</v>
      </c>
      <c r="O470" s="2"/>
      <c r="P470" s="4" t="s">
        <v>1545</v>
      </c>
      <c r="Q470" s="4">
        <v>1300849554</v>
      </c>
      <c r="R470" s="12" t="s">
        <v>549</v>
      </c>
      <c r="S470" s="4">
        <v>4</v>
      </c>
      <c r="T470" s="4" t="s">
        <v>1258</v>
      </c>
      <c r="U470" s="4" t="s">
        <v>39</v>
      </c>
      <c r="V470" s="10">
        <v>45364</v>
      </c>
      <c r="W470" s="12">
        <v>45372</v>
      </c>
      <c r="Z470" t="e">
        <v>#N/A</v>
      </c>
    </row>
    <row r="471" spans="1:26" customFormat="1" hidden="1">
      <c r="A471">
        <f t="shared" ca="1" si="8"/>
        <v>27</v>
      </c>
      <c r="B471" s="4" t="s">
        <v>1542</v>
      </c>
      <c r="C471" s="12">
        <v>45709</v>
      </c>
      <c r="D471" s="4" t="s">
        <v>300</v>
      </c>
      <c r="E471" s="4" t="s">
        <v>3665</v>
      </c>
      <c r="F471" s="4">
        <v>42</v>
      </c>
      <c r="G471" s="4" t="s">
        <v>86</v>
      </c>
      <c r="H471" s="4" t="s">
        <v>165</v>
      </c>
      <c r="I471" s="4" t="s">
        <v>1543</v>
      </c>
      <c r="J471" s="4" t="s">
        <v>108</v>
      </c>
      <c r="K471" s="4" t="str">
        <f>IF(E471="KTG","KTG",(VLOOKUP(J471,'list of outsource'!B:H,2,0)))</f>
        <v>UPM</v>
      </c>
      <c r="L471" s="4" t="s">
        <v>109</v>
      </c>
      <c r="M471" s="4">
        <v>45</v>
      </c>
      <c r="N471" s="4" t="s">
        <v>1544</v>
      </c>
      <c r="O471" s="2"/>
      <c r="P471" s="4" t="s">
        <v>1545</v>
      </c>
      <c r="Q471" s="4" t="s">
        <v>2369</v>
      </c>
      <c r="R471" s="12"/>
      <c r="S471" s="4">
        <v>1</v>
      </c>
      <c r="T471" s="4" t="s">
        <v>307</v>
      </c>
      <c r="U471" s="4" t="s">
        <v>183</v>
      </c>
      <c r="V471" s="10">
        <v>45736</v>
      </c>
      <c r="W471" s="12">
        <v>45740</v>
      </c>
      <c r="Z471" t="e">
        <v>#N/A</v>
      </c>
    </row>
    <row r="472" spans="1:26" customFormat="1">
      <c r="A472">
        <f t="shared" ca="1" si="8"/>
        <v>40</v>
      </c>
      <c r="B472" s="49" t="s">
        <v>1652</v>
      </c>
      <c r="C472" s="12">
        <v>45401</v>
      </c>
      <c r="D472" s="4" t="s">
        <v>1070</v>
      </c>
      <c r="E472" s="4" t="s">
        <v>3662</v>
      </c>
      <c r="F472" s="4"/>
      <c r="G472" s="106" t="s">
        <v>86</v>
      </c>
      <c r="H472" s="106" t="s">
        <v>165</v>
      </c>
      <c r="I472" s="49" t="s">
        <v>1653</v>
      </c>
      <c r="J472" s="4" t="s">
        <v>1253</v>
      </c>
      <c r="K472" s="4" t="str">
        <f>IF(E472="KTG","KTG",(VLOOKUP(J472,'list of outsource'!B:H,2,0)))</f>
        <v>ETC</v>
      </c>
      <c r="L472" s="4" t="s">
        <v>1254</v>
      </c>
      <c r="M472" s="4">
        <v>19</v>
      </c>
      <c r="N472" s="4" t="s">
        <v>1654</v>
      </c>
      <c r="O472" s="2" t="s">
        <v>3684</v>
      </c>
      <c r="P472" s="4" t="s">
        <v>1655</v>
      </c>
      <c r="Q472" s="4">
        <v>1326976042</v>
      </c>
      <c r="R472" s="12">
        <v>45422</v>
      </c>
      <c r="S472" s="4">
        <v>4</v>
      </c>
      <c r="T472" s="4" t="s">
        <v>1258</v>
      </c>
      <c r="U472" s="4" t="s">
        <v>39</v>
      </c>
      <c r="V472" s="10">
        <v>45441</v>
      </c>
      <c r="W472" s="12">
        <v>45464</v>
      </c>
      <c r="Z472" t="e">
        <v>#N/A</v>
      </c>
    </row>
    <row r="473" spans="1:26" customFormat="1">
      <c r="A473">
        <f t="shared" ca="1" si="8"/>
        <v>15</v>
      </c>
      <c r="B473" s="104" t="s">
        <v>1652</v>
      </c>
      <c r="C473" s="12">
        <v>45798</v>
      </c>
      <c r="D473" s="4" t="s">
        <v>300</v>
      </c>
      <c r="E473" s="4" t="s">
        <v>3662</v>
      </c>
      <c r="F473" s="4"/>
      <c r="G473" s="106" t="s">
        <v>86</v>
      </c>
      <c r="H473" s="106" t="s">
        <v>165</v>
      </c>
      <c r="I473" s="49" t="s">
        <v>1653</v>
      </c>
      <c r="J473" s="4" t="s">
        <v>1253</v>
      </c>
      <c r="K473" s="4" t="str">
        <f>IF(E473="KTG","KTG",(VLOOKUP(J473,'list of outsource'!B:H,2,0)))</f>
        <v>ETC</v>
      </c>
      <c r="L473" s="4" t="s">
        <v>1254</v>
      </c>
      <c r="M473" s="47">
        <v>20</v>
      </c>
      <c r="N473" s="4" t="s">
        <v>1654</v>
      </c>
      <c r="O473" s="2" t="s">
        <v>3684</v>
      </c>
      <c r="P473" s="4" t="s">
        <v>1655</v>
      </c>
      <c r="Q473" s="4" t="s">
        <v>2561</v>
      </c>
      <c r="R473" s="12">
        <v>45422</v>
      </c>
      <c r="S473" s="4">
        <v>1</v>
      </c>
      <c r="T473" s="4" t="s">
        <v>307</v>
      </c>
      <c r="U473" s="4" t="s">
        <v>183</v>
      </c>
      <c r="V473" s="10">
        <v>45813</v>
      </c>
      <c r="W473" s="12">
        <v>45825</v>
      </c>
      <c r="Z473" t="e">
        <v>#N/A</v>
      </c>
    </row>
    <row r="474" spans="1:26" customFormat="1">
      <c r="A474">
        <f t="shared" ca="1" si="8"/>
        <v>40</v>
      </c>
      <c r="B474" s="49" t="s">
        <v>1656</v>
      </c>
      <c r="C474" s="12">
        <v>45401</v>
      </c>
      <c r="D474" s="4" t="s">
        <v>1070</v>
      </c>
      <c r="E474" s="4" t="s">
        <v>3662</v>
      </c>
      <c r="F474" s="4"/>
      <c r="G474" s="106" t="s">
        <v>86</v>
      </c>
      <c r="H474" s="106" t="s">
        <v>165</v>
      </c>
      <c r="I474" s="49" t="s">
        <v>1657</v>
      </c>
      <c r="J474" s="4" t="s">
        <v>1253</v>
      </c>
      <c r="K474" s="4" t="str">
        <f>IF(E474="KTG","KTG",(VLOOKUP(J474,'list of outsource'!B:H,2,0)))</f>
        <v>ETC</v>
      </c>
      <c r="L474" s="4" t="s">
        <v>1254</v>
      </c>
      <c r="M474" s="4">
        <v>19</v>
      </c>
      <c r="N474" s="4" t="s">
        <v>1309</v>
      </c>
      <c r="O474" s="2" t="s">
        <v>3684</v>
      </c>
      <c r="P474" s="4" t="s">
        <v>1658</v>
      </c>
      <c r="Q474" s="4">
        <v>1326977769</v>
      </c>
      <c r="R474" s="12">
        <v>45422</v>
      </c>
      <c r="S474" s="4">
        <v>4</v>
      </c>
      <c r="T474" s="4" t="s">
        <v>1258</v>
      </c>
      <c r="U474" s="4" t="s">
        <v>39</v>
      </c>
      <c r="V474" s="10">
        <v>45441</v>
      </c>
      <c r="W474" s="12">
        <v>45464</v>
      </c>
      <c r="Z474" t="e">
        <v>#N/A</v>
      </c>
    </row>
    <row r="475" spans="1:26" customFormat="1">
      <c r="A475">
        <f t="shared" ca="1" si="8"/>
        <v>15</v>
      </c>
      <c r="B475" s="104" t="s">
        <v>1656</v>
      </c>
      <c r="C475" s="12">
        <v>45798</v>
      </c>
      <c r="D475" s="4" t="s">
        <v>300</v>
      </c>
      <c r="E475" s="4" t="s">
        <v>3662</v>
      </c>
      <c r="F475" s="4"/>
      <c r="G475" s="106" t="s">
        <v>86</v>
      </c>
      <c r="H475" s="106" t="s">
        <v>165</v>
      </c>
      <c r="I475" s="49" t="s">
        <v>1657</v>
      </c>
      <c r="J475" s="4" t="s">
        <v>1253</v>
      </c>
      <c r="K475" s="4" t="str">
        <f>IF(E475="KTG","KTG",(VLOOKUP(J475,'list of outsource'!B:H,2,0)))</f>
        <v>ETC</v>
      </c>
      <c r="L475" s="4" t="s">
        <v>1254</v>
      </c>
      <c r="M475" s="47">
        <v>20</v>
      </c>
      <c r="N475" s="4" t="s">
        <v>1309</v>
      </c>
      <c r="O475" s="2" t="s">
        <v>3684</v>
      </c>
      <c r="P475" s="4" t="s">
        <v>1658</v>
      </c>
      <c r="Q475" s="4" t="s">
        <v>2562</v>
      </c>
      <c r="R475" s="12">
        <v>45422</v>
      </c>
      <c r="S475" s="4">
        <v>1</v>
      </c>
      <c r="T475" s="4" t="s">
        <v>307</v>
      </c>
      <c r="U475" s="4" t="s">
        <v>183</v>
      </c>
      <c r="V475" s="10">
        <v>45813</v>
      </c>
      <c r="W475" s="12">
        <v>45825</v>
      </c>
      <c r="Z475" t="e">
        <v>#N/A</v>
      </c>
    </row>
    <row r="476" spans="1:26" customFormat="1">
      <c r="A476">
        <f t="shared" ca="1" si="8"/>
        <v>37</v>
      </c>
      <c r="B476" s="49" t="s">
        <v>1914</v>
      </c>
      <c r="C476" s="12">
        <v>45455</v>
      </c>
      <c r="D476" s="4" t="s">
        <v>1070</v>
      </c>
      <c r="E476" s="4" t="s">
        <v>3662</v>
      </c>
      <c r="F476" s="4"/>
      <c r="G476" s="106" t="s">
        <v>86</v>
      </c>
      <c r="H476" s="106" t="s">
        <v>165</v>
      </c>
      <c r="I476" s="49" t="s">
        <v>1915</v>
      </c>
      <c r="J476" s="4" t="s">
        <v>490</v>
      </c>
      <c r="K476" s="4" t="str">
        <f>IF(E476="KTG","KTG",(VLOOKUP(J476,'list of outsource'!B:H,2,0)))</f>
        <v>ETC</v>
      </c>
      <c r="L476" s="4" t="s">
        <v>491</v>
      </c>
      <c r="M476" s="4">
        <v>24</v>
      </c>
      <c r="N476" s="4" t="s">
        <v>1916</v>
      </c>
      <c r="O476" s="2" t="s">
        <v>3684</v>
      </c>
      <c r="P476" s="4" t="s">
        <v>1917</v>
      </c>
      <c r="Q476" s="4" t="s">
        <v>1918</v>
      </c>
      <c r="R476" s="12">
        <v>45475</v>
      </c>
      <c r="S476" s="4">
        <v>4</v>
      </c>
      <c r="T476" s="4" t="s">
        <v>1258</v>
      </c>
      <c r="U476" s="4" t="s">
        <v>39</v>
      </c>
      <c r="V476" s="10">
        <v>45492</v>
      </c>
      <c r="W476" s="12">
        <v>45497</v>
      </c>
      <c r="Z476" t="e">
        <v>#N/A</v>
      </c>
    </row>
    <row r="477" spans="1:26" customFormat="1" hidden="1">
      <c r="A477">
        <f t="shared" ca="1" si="8"/>
        <v>20</v>
      </c>
      <c r="B477" s="4" t="s">
        <v>1584</v>
      </c>
      <c r="C477" s="12">
        <v>45336</v>
      </c>
      <c r="D477" s="4" t="s">
        <v>1070</v>
      </c>
      <c r="E477" s="4" t="s">
        <v>3662</v>
      </c>
      <c r="F477" s="4">
        <v>56</v>
      </c>
      <c r="G477" s="4" t="s">
        <v>86</v>
      </c>
      <c r="H477" s="4" t="s">
        <v>165</v>
      </c>
      <c r="I477" s="4" t="s">
        <v>1585</v>
      </c>
      <c r="J477" s="4" t="s">
        <v>302</v>
      </c>
      <c r="K477" s="4" t="str">
        <f>IF(E477="KTG","KTG",(VLOOKUP(J477,'list of outsource'!B:H,2,0)))</f>
        <v>ETC</v>
      </c>
      <c r="L477" s="4" t="s">
        <v>303</v>
      </c>
      <c r="M477" s="4">
        <v>58</v>
      </c>
      <c r="N477" s="4" t="s">
        <v>475</v>
      </c>
      <c r="O477" s="2"/>
      <c r="P477" s="4" t="s">
        <v>474</v>
      </c>
      <c r="Q477" s="4">
        <v>1303588700</v>
      </c>
      <c r="R477" s="12" t="s">
        <v>549</v>
      </c>
      <c r="S477" s="4">
        <v>4</v>
      </c>
      <c r="T477" s="4" t="s">
        <v>307</v>
      </c>
      <c r="U477" s="4" t="s">
        <v>39</v>
      </c>
      <c r="V477" s="10">
        <v>45356</v>
      </c>
      <c r="W477" s="12">
        <v>45358</v>
      </c>
      <c r="Z477">
        <v>0</v>
      </c>
    </row>
    <row r="478" spans="1:26" customFormat="1" hidden="1">
      <c r="A478">
        <f t="shared" ca="1" si="8"/>
        <v>11</v>
      </c>
      <c r="B478" s="4" t="s">
        <v>1584</v>
      </c>
      <c r="C478" s="12">
        <v>45695</v>
      </c>
      <c r="D478" s="4" t="s">
        <v>300</v>
      </c>
      <c r="E478" s="4" t="s">
        <v>3662</v>
      </c>
      <c r="F478" s="4">
        <v>56</v>
      </c>
      <c r="G478" s="4" t="s">
        <v>86</v>
      </c>
      <c r="H478" s="4" t="s">
        <v>165</v>
      </c>
      <c r="I478" s="4" t="s">
        <v>1585</v>
      </c>
      <c r="J478" s="4" t="s">
        <v>302</v>
      </c>
      <c r="K478" s="4" t="str">
        <f>IF(E478="KTG","KTG",(VLOOKUP(J478,'list of outsource'!B:H,2,0)))</f>
        <v>ETC</v>
      </c>
      <c r="L478" s="4" t="s">
        <v>303</v>
      </c>
      <c r="M478" s="4">
        <v>65</v>
      </c>
      <c r="N478" s="4" t="s">
        <v>475</v>
      </c>
      <c r="O478" s="2"/>
      <c r="P478" s="4" t="s">
        <v>474</v>
      </c>
      <c r="Q478" s="4" t="s">
        <v>2351</v>
      </c>
      <c r="R478" s="12"/>
      <c r="S478" s="4">
        <v>1</v>
      </c>
      <c r="T478" s="4" t="s">
        <v>607</v>
      </c>
      <c r="U478" s="4" t="s">
        <v>550</v>
      </c>
      <c r="V478" s="10">
        <v>45706</v>
      </c>
      <c r="W478" s="12">
        <v>45706</v>
      </c>
      <c r="Z478">
        <v>0</v>
      </c>
    </row>
    <row r="479" spans="1:26" customFormat="1" hidden="1">
      <c r="A479">
        <f t="shared" ca="1" si="8"/>
        <v>14</v>
      </c>
      <c r="B479" s="4" t="s">
        <v>1587</v>
      </c>
      <c r="C479" s="12">
        <v>45342</v>
      </c>
      <c r="D479" s="4" t="s">
        <v>1070</v>
      </c>
      <c r="E479" s="4" t="s">
        <v>3662</v>
      </c>
      <c r="F479" s="4">
        <v>57</v>
      </c>
      <c r="G479" s="4" t="s">
        <v>86</v>
      </c>
      <c r="H479" s="4" t="s">
        <v>165</v>
      </c>
      <c r="I479" s="4" t="s">
        <v>1588</v>
      </c>
      <c r="J479" s="4" t="s">
        <v>302</v>
      </c>
      <c r="K479" s="4" t="str">
        <f>IF(E479="KTG","KTG",(VLOOKUP(J479,'list of outsource'!B:H,2,0)))</f>
        <v>ETC</v>
      </c>
      <c r="L479" s="4" t="s">
        <v>303</v>
      </c>
      <c r="M479" s="4">
        <v>58</v>
      </c>
      <c r="N479" s="4" t="s">
        <v>1589</v>
      </c>
      <c r="O479" s="2"/>
      <c r="P479" s="4" t="s">
        <v>1590</v>
      </c>
      <c r="Q479" s="4">
        <v>1303589769</v>
      </c>
      <c r="R479" s="12" t="s">
        <v>549</v>
      </c>
      <c r="S479" s="4">
        <v>4</v>
      </c>
      <c r="T479" s="4" t="s">
        <v>1258</v>
      </c>
      <c r="U479" s="4" t="s">
        <v>39</v>
      </c>
      <c r="V479" s="10">
        <v>45356</v>
      </c>
      <c r="W479" s="12">
        <v>45373</v>
      </c>
      <c r="Z479" t="e">
        <v>#N/A</v>
      </c>
    </row>
    <row r="480" spans="1:26" customFormat="1" hidden="1">
      <c r="A480">
        <f t="shared" ca="1" si="8"/>
        <v>26</v>
      </c>
      <c r="B480" s="4" t="s">
        <v>1587</v>
      </c>
      <c r="C480" s="12">
        <v>45710</v>
      </c>
      <c r="D480" s="4" t="s">
        <v>300</v>
      </c>
      <c r="E480" s="4" t="s">
        <v>3662</v>
      </c>
      <c r="F480" s="4">
        <v>57</v>
      </c>
      <c r="G480" s="4" t="s">
        <v>86</v>
      </c>
      <c r="H480" s="4" t="s">
        <v>165</v>
      </c>
      <c r="I480" s="4" t="s">
        <v>1588</v>
      </c>
      <c r="J480" s="4" t="s">
        <v>302</v>
      </c>
      <c r="K480" s="4" t="str">
        <f>IF(E480="KTG","KTG",(VLOOKUP(J480,'list of outsource'!B:H,2,0)))</f>
        <v>ETC</v>
      </c>
      <c r="L480" s="4" t="s">
        <v>303</v>
      </c>
      <c r="M480" s="4">
        <v>65</v>
      </c>
      <c r="N480" s="4" t="s">
        <v>1589</v>
      </c>
      <c r="O480" s="2"/>
      <c r="P480" s="4" t="s">
        <v>1590</v>
      </c>
      <c r="Q480" s="4" t="s">
        <v>2370</v>
      </c>
      <c r="R480" s="12" t="s">
        <v>549</v>
      </c>
      <c r="S480" s="4">
        <v>1</v>
      </c>
      <c r="T480" s="4" t="s">
        <v>307</v>
      </c>
      <c r="U480" s="4" t="s">
        <v>550</v>
      </c>
      <c r="V480" s="10">
        <v>45736</v>
      </c>
      <c r="W480" s="12">
        <v>45740</v>
      </c>
      <c r="Z480" t="e">
        <v>#N/A</v>
      </c>
    </row>
    <row r="481" spans="1:26" customFormat="1" hidden="1">
      <c r="A481">
        <f t="shared" ca="1" si="8"/>
        <v>21</v>
      </c>
      <c r="B481" s="8" t="s">
        <v>1627</v>
      </c>
      <c r="C481" s="16">
        <v>45377</v>
      </c>
      <c r="D481" s="6" t="s">
        <v>129</v>
      </c>
      <c r="E481" s="6" t="s">
        <v>3665</v>
      </c>
      <c r="F481" s="6">
        <v>4017</v>
      </c>
      <c r="G481" s="6" t="s">
        <v>86</v>
      </c>
      <c r="H481" s="6" t="s">
        <v>165</v>
      </c>
      <c r="I481" s="6" t="s">
        <v>610</v>
      </c>
      <c r="J481" s="6" t="s">
        <v>96</v>
      </c>
      <c r="K481" s="6" t="str">
        <f>IF(E481="KTG","KTG",(VLOOKUP(J481,'list of outsource'!B:H,2,0)))</f>
        <v>Woer</v>
      </c>
      <c r="L481" s="6" t="s">
        <v>97</v>
      </c>
      <c r="M481" s="6">
        <v>44</v>
      </c>
      <c r="N481" s="6" t="s">
        <v>611</v>
      </c>
      <c r="O481" s="2"/>
      <c r="P481" s="6" t="s">
        <v>612</v>
      </c>
      <c r="Q481" s="6">
        <v>1201795555</v>
      </c>
      <c r="R481" s="16">
        <v>44988</v>
      </c>
      <c r="S481" s="6">
        <v>4</v>
      </c>
      <c r="T481" s="6" t="s">
        <v>307</v>
      </c>
      <c r="U481" s="6" t="s">
        <v>39</v>
      </c>
      <c r="V481" s="17">
        <v>45398</v>
      </c>
      <c r="W481" s="16"/>
      <c r="Z481" t="e">
        <v>#N/A</v>
      </c>
    </row>
    <row r="482" spans="1:26" customFormat="1">
      <c r="A482">
        <f t="shared" ca="1" si="8"/>
        <v>36</v>
      </c>
      <c r="B482" s="49" t="s">
        <v>1952</v>
      </c>
      <c r="C482" s="12">
        <v>45463</v>
      </c>
      <c r="D482" s="4" t="s">
        <v>1070</v>
      </c>
      <c r="E482" s="4" t="s">
        <v>3665</v>
      </c>
      <c r="F482" s="4"/>
      <c r="G482" s="106" t="s">
        <v>86</v>
      </c>
      <c r="H482" s="106" t="s">
        <v>165</v>
      </c>
      <c r="I482" s="49" t="s">
        <v>1953</v>
      </c>
      <c r="J482" s="4" t="s">
        <v>232</v>
      </c>
      <c r="K482" s="4" t="str">
        <f>IF(E482="KTG","KTG",(VLOOKUP(J482,'list of outsource'!B:H,2,0)))</f>
        <v>UPM</v>
      </c>
      <c r="L482" s="4" t="s">
        <v>233</v>
      </c>
      <c r="M482" s="4">
        <v>11</v>
      </c>
      <c r="N482" s="4" t="s">
        <v>1954</v>
      </c>
      <c r="O482" s="2" t="s">
        <v>3684</v>
      </c>
      <c r="P482" s="4" t="s">
        <v>1955</v>
      </c>
      <c r="Q482" s="4">
        <v>1342983308</v>
      </c>
      <c r="R482" s="12">
        <v>45470</v>
      </c>
      <c r="S482" s="4">
        <v>4</v>
      </c>
      <c r="T482" s="4" t="s">
        <v>607</v>
      </c>
      <c r="U482" s="4" t="s">
        <v>39</v>
      </c>
      <c r="V482" s="10">
        <v>45499</v>
      </c>
      <c r="W482" s="12">
        <v>45505</v>
      </c>
      <c r="Z482" t="e">
        <v>#N/A</v>
      </c>
    </row>
    <row r="483" spans="1:26" customFormat="1">
      <c r="A483">
        <f t="shared" ca="1" si="8"/>
        <v>20</v>
      </c>
      <c r="B483" s="104" t="s">
        <v>1952</v>
      </c>
      <c r="C483" s="16">
        <v>45839</v>
      </c>
      <c r="D483" s="6" t="s">
        <v>129</v>
      </c>
      <c r="E483" s="6" t="s">
        <v>3665</v>
      </c>
      <c r="F483" s="6"/>
      <c r="G483" s="106" t="s">
        <v>86</v>
      </c>
      <c r="H483" s="106" t="s">
        <v>165</v>
      </c>
      <c r="I483" s="49" t="s">
        <v>1953</v>
      </c>
      <c r="J483" s="6" t="s">
        <v>232</v>
      </c>
      <c r="K483" s="6" t="str">
        <f>IF(E483="KTG","KTG",(VLOOKUP(J483,'list of outsource'!B:H,2,0)))</f>
        <v>UPM</v>
      </c>
      <c r="L483" s="6" t="s">
        <v>233</v>
      </c>
      <c r="M483" s="6">
        <v>13</v>
      </c>
      <c r="N483" s="6" t="s">
        <v>1954</v>
      </c>
      <c r="O483" s="2" t="s">
        <v>3684</v>
      </c>
      <c r="P483" s="6" t="s">
        <v>1955</v>
      </c>
      <c r="Q483" s="6" t="s">
        <v>2698</v>
      </c>
      <c r="R483" s="16">
        <v>45470</v>
      </c>
      <c r="S483" s="6">
        <v>1</v>
      </c>
      <c r="T483" s="6" t="s">
        <v>307</v>
      </c>
      <c r="U483" s="6" t="s">
        <v>550</v>
      </c>
      <c r="V483" s="17">
        <v>45859</v>
      </c>
      <c r="W483" s="16"/>
      <c r="Z483" t="e">
        <v>#N/A</v>
      </c>
    </row>
    <row r="484" spans="1:26" customFormat="1">
      <c r="A484">
        <f t="shared" ca="1" si="8"/>
        <v>9</v>
      </c>
      <c r="B484" s="104" t="s">
        <v>2472</v>
      </c>
      <c r="C484" s="12">
        <v>45783</v>
      </c>
      <c r="D484" s="4" t="s">
        <v>300</v>
      </c>
      <c r="E484" s="4" t="s">
        <v>3662</v>
      </c>
      <c r="F484" s="4"/>
      <c r="G484" s="106" t="s">
        <v>86</v>
      </c>
      <c r="H484" s="106" t="s">
        <v>165</v>
      </c>
      <c r="I484" s="49" t="s">
        <v>2473</v>
      </c>
      <c r="J484" s="4" t="s">
        <v>490</v>
      </c>
      <c r="K484" s="4" t="str">
        <f>IF(E484="KTG","KTG",(VLOOKUP(J484,'list of outsource'!B:H,2,0)))</f>
        <v>ETC</v>
      </c>
      <c r="L484" s="4" t="s">
        <v>491</v>
      </c>
      <c r="M484" s="47">
        <v>32</v>
      </c>
      <c r="N484" s="4" t="s">
        <v>1596</v>
      </c>
      <c r="O484" s="2" t="s">
        <v>3684</v>
      </c>
      <c r="P484" s="4" t="s">
        <v>1597</v>
      </c>
      <c r="Q484" s="4" t="s">
        <v>2474</v>
      </c>
      <c r="R484" s="12"/>
      <c r="S484" s="4">
        <v>4</v>
      </c>
      <c r="T484" s="4" t="s">
        <v>307</v>
      </c>
      <c r="U484" s="4" t="s">
        <v>39</v>
      </c>
      <c r="V484" s="10">
        <v>45792</v>
      </c>
      <c r="W484" s="12">
        <v>45832</v>
      </c>
      <c r="Z484" t="e">
        <v>#N/A</v>
      </c>
    </row>
    <row r="485" spans="1:26" customFormat="1">
      <c r="A485">
        <f t="shared" ca="1" si="8"/>
        <v>35</v>
      </c>
      <c r="B485" s="49" t="s">
        <v>2504</v>
      </c>
      <c r="C485" s="12">
        <v>45791</v>
      </c>
      <c r="D485" s="4" t="s">
        <v>300</v>
      </c>
      <c r="E485" s="4" t="s">
        <v>3663</v>
      </c>
      <c r="F485" s="4"/>
      <c r="G485" s="106" t="s">
        <v>86</v>
      </c>
      <c r="H485" s="106" t="s">
        <v>165</v>
      </c>
      <c r="I485" s="49" t="s">
        <v>2505</v>
      </c>
      <c r="J485" s="4"/>
      <c r="K485" s="4" t="e">
        <f>IF(E485="KTG","KTG",(VLOOKUP(J485,'list of outsource'!B:H,2,0)))</f>
        <v>#N/A</v>
      </c>
      <c r="L485" s="4"/>
      <c r="M485" s="4"/>
      <c r="N485" s="4" t="s">
        <v>2506</v>
      </c>
      <c r="O485" s="2" t="s">
        <v>3684</v>
      </c>
      <c r="P485" s="4" t="s">
        <v>2507</v>
      </c>
      <c r="Q485" s="4"/>
      <c r="R485" s="12"/>
      <c r="S485" s="4">
        <v>1</v>
      </c>
      <c r="T485" s="4" t="s">
        <v>307</v>
      </c>
      <c r="U485" s="4" t="s">
        <v>183</v>
      </c>
      <c r="V485" s="10">
        <v>45826</v>
      </c>
      <c r="W485" s="12">
        <v>45828</v>
      </c>
      <c r="Z485" t="e">
        <v>#N/A</v>
      </c>
    </row>
    <row r="486" spans="1:26" customFormat="1">
      <c r="A486">
        <f t="shared" ca="1" si="8"/>
        <v>35</v>
      </c>
      <c r="B486" s="49" t="s">
        <v>2508</v>
      </c>
      <c r="C486" s="12">
        <v>45791</v>
      </c>
      <c r="D486" s="4" t="s">
        <v>300</v>
      </c>
      <c r="E486" s="4" t="s">
        <v>3663</v>
      </c>
      <c r="F486" s="4"/>
      <c r="G486" s="106" t="s">
        <v>86</v>
      </c>
      <c r="H486" s="106" t="s">
        <v>165</v>
      </c>
      <c r="I486" s="49" t="s">
        <v>2509</v>
      </c>
      <c r="J486" s="4"/>
      <c r="K486" s="4" t="e">
        <f>IF(E486="KTG","KTG",(VLOOKUP(J486,'list of outsource'!B:H,2,0)))</f>
        <v>#N/A</v>
      </c>
      <c r="L486" s="4"/>
      <c r="M486" s="4"/>
      <c r="N486" s="4" t="s">
        <v>2510</v>
      </c>
      <c r="O486" s="2" t="s">
        <v>3684</v>
      </c>
      <c r="P486" s="4" t="s">
        <v>2511</v>
      </c>
      <c r="Q486" s="4"/>
      <c r="R486" s="12"/>
      <c r="S486" s="4">
        <v>1</v>
      </c>
      <c r="T486" s="4" t="s">
        <v>307</v>
      </c>
      <c r="U486" s="4" t="s">
        <v>183</v>
      </c>
      <c r="V486" s="10">
        <v>45826</v>
      </c>
      <c r="W486" s="12">
        <v>45952</v>
      </c>
      <c r="Z486" t="e">
        <v>#N/A</v>
      </c>
    </row>
    <row r="487" spans="1:26" customFormat="1">
      <c r="A487">
        <f t="shared" ca="1" si="8"/>
        <v>35</v>
      </c>
      <c r="B487" s="49" t="s">
        <v>2512</v>
      </c>
      <c r="C487" s="12">
        <v>45791</v>
      </c>
      <c r="D487" s="4" t="s">
        <v>300</v>
      </c>
      <c r="E487" s="4" t="s">
        <v>3663</v>
      </c>
      <c r="F487" s="4"/>
      <c r="G487" s="106" t="s">
        <v>86</v>
      </c>
      <c r="H487" s="106" t="s">
        <v>165</v>
      </c>
      <c r="I487" s="49" t="s">
        <v>2513</v>
      </c>
      <c r="J487" s="4"/>
      <c r="K487" s="4" t="e">
        <f>IF(E487="KTG","KTG",(VLOOKUP(J487,'list of outsource'!B:H,2,0)))</f>
        <v>#N/A</v>
      </c>
      <c r="L487" s="4"/>
      <c r="M487" s="4"/>
      <c r="N487" s="4" t="s">
        <v>2514</v>
      </c>
      <c r="O487" s="2" t="s">
        <v>3684</v>
      </c>
      <c r="P487" s="4" t="s">
        <v>2515</v>
      </c>
      <c r="Q487" s="4"/>
      <c r="R487" s="12"/>
      <c r="S487" s="4">
        <v>1</v>
      </c>
      <c r="T487" s="4" t="s">
        <v>307</v>
      </c>
      <c r="U487" s="4" t="s">
        <v>550</v>
      </c>
      <c r="V487" s="10">
        <v>45826</v>
      </c>
      <c r="W487" s="12">
        <v>45828</v>
      </c>
      <c r="Z487" t="e">
        <v>#N/A</v>
      </c>
    </row>
    <row r="488" spans="1:26" customFormat="1">
      <c r="A488">
        <f t="shared" ca="1" si="8"/>
        <v>36</v>
      </c>
      <c r="B488" s="49" t="s">
        <v>564</v>
      </c>
      <c r="C488" s="12">
        <v>44957</v>
      </c>
      <c r="D488" s="4" t="s">
        <v>129</v>
      </c>
      <c r="E488" s="4" t="s">
        <v>3662</v>
      </c>
      <c r="F488" s="4"/>
      <c r="G488" s="106" t="s">
        <v>86</v>
      </c>
      <c r="H488" s="106" t="s">
        <v>565</v>
      </c>
      <c r="I488" s="49" t="s">
        <v>371</v>
      </c>
      <c r="J488" s="4" t="s">
        <v>222</v>
      </c>
      <c r="K488" s="4" t="str">
        <f>IF(E488="KTG","KTG",(VLOOKUP(J488,'list of outsource'!B:H,2,0)))</f>
        <v>ETC</v>
      </c>
      <c r="L488" s="4" t="s">
        <v>223</v>
      </c>
      <c r="M488" s="4"/>
      <c r="N488" s="4" t="s">
        <v>372</v>
      </c>
      <c r="O488" s="2" t="s">
        <v>3684</v>
      </c>
      <c r="P488" s="4" t="s">
        <v>566</v>
      </c>
      <c r="Q488" s="4">
        <v>1200695361</v>
      </c>
      <c r="R488" s="12"/>
      <c r="S488" s="4">
        <v>3</v>
      </c>
      <c r="T488" s="4"/>
      <c r="U488" s="4" t="s">
        <v>39</v>
      </c>
      <c r="V488" s="10">
        <v>44993</v>
      </c>
      <c r="W488" s="12"/>
    </row>
    <row r="489" spans="1:26" customFormat="1">
      <c r="A489">
        <f t="shared" ca="1" si="8"/>
        <v>26</v>
      </c>
      <c r="B489" s="104" t="s">
        <v>564</v>
      </c>
      <c r="C489" s="16">
        <v>45815</v>
      </c>
      <c r="D489" s="6" t="s">
        <v>129</v>
      </c>
      <c r="E489" s="6" t="s">
        <v>3662</v>
      </c>
      <c r="F489" s="6"/>
      <c r="G489" s="106" t="s">
        <v>86</v>
      </c>
      <c r="H489" s="106" t="s">
        <v>565</v>
      </c>
      <c r="I489" s="49" t="s">
        <v>371</v>
      </c>
      <c r="J489" s="6" t="s">
        <v>222</v>
      </c>
      <c r="K489" s="6" t="str">
        <f>IF(E489="KTG","KTG",(VLOOKUP(J489,'list of outsource'!B:H,2,0)))</f>
        <v>ETC</v>
      </c>
      <c r="L489" s="6" t="s">
        <v>223</v>
      </c>
      <c r="M489" s="6">
        <v>23</v>
      </c>
      <c r="N489" s="6" t="s">
        <v>372</v>
      </c>
      <c r="O489" s="2" t="s">
        <v>3684</v>
      </c>
      <c r="P489" s="6" t="s">
        <v>566</v>
      </c>
      <c r="Q489" s="6" t="s">
        <v>567</v>
      </c>
      <c r="R489" s="16"/>
      <c r="S489" s="6">
        <v>1</v>
      </c>
      <c r="T489" s="6" t="s">
        <v>307</v>
      </c>
      <c r="U489" s="6" t="s">
        <v>550</v>
      </c>
      <c r="V489" s="17">
        <v>45841</v>
      </c>
      <c r="W489" s="16"/>
      <c r="Z489">
        <v>0</v>
      </c>
    </row>
    <row r="490" spans="1:26" customFormat="1">
      <c r="A490">
        <f t="shared" ca="1" si="8"/>
        <v>36</v>
      </c>
      <c r="B490" s="49" t="s">
        <v>569</v>
      </c>
      <c r="C490" s="12">
        <v>44957</v>
      </c>
      <c r="D490" s="4" t="s">
        <v>504</v>
      </c>
      <c r="E490" s="4" t="s">
        <v>3662</v>
      </c>
      <c r="F490" s="4"/>
      <c r="G490" s="106" t="s">
        <v>86</v>
      </c>
      <c r="H490" s="106" t="s">
        <v>565</v>
      </c>
      <c r="I490" s="49" t="s">
        <v>309</v>
      </c>
      <c r="J490" s="4" t="s">
        <v>222</v>
      </c>
      <c r="K490" s="4" t="str">
        <f>IF(E490="KTG","KTG",(VLOOKUP(J490,'list of outsource'!B:H,2,0)))</f>
        <v>ETC</v>
      </c>
      <c r="L490" s="4" t="s">
        <v>223</v>
      </c>
      <c r="M490" s="4"/>
      <c r="N490" s="4" t="s">
        <v>310</v>
      </c>
      <c r="O490" s="2" t="s">
        <v>3684</v>
      </c>
      <c r="P490" s="4" t="s">
        <v>570</v>
      </c>
      <c r="Q490" s="4">
        <v>1172779204</v>
      </c>
      <c r="R490" s="12"/>
      <c r="S490" s="4">
        <v>3</v>
      </c>
      <c r="T490" s="4"/>
      <c r="U490" s="4" t="s">
        <v>39</v>
      </c>
      <c r="V490" s="10">
        <v>44993</v>
      </c>
      <c r="W490" s="12">
        <v>45209</v>
      </c>
    </row>
    <row r="491" spans="1:26" customFormat="1">
      <c r="A491">
        <f t="shared" ca="1" si="8"/>
        <v>36</v>
      </c>
      <c r="B491" s="49" t="s">
        <v>571</v>
      </c>
      <c r="C491" s="12">
        <v>44957</v>
      </c>
      <c r="D491" s="4" t="s">
        <v>129</v>
      </c>
      <c r="E491" s="4" t="s">
        <v>3662</v>
      </c>
      <c r="F491" s="4"/>
      <c r="G491" s="106" t="s">
        <v>86</v>
      </c>
      <c r="H491" s="106" t="s">
        <v>565</v>
      </c>
      <c r="I491" s="49" t="s">
        <v>245</v>
      </c>
      <c r="J491" s="4" t="s">
        <v>222</v>
      </c>
      <c r="K491" s="4" t="str">
        <f>IF(E491="KTG","KTG",(VLOOKUP(J491,'list of outsource'!B:H,2,0)))</f>
        <v>ETC</v>
      </c>
      <c r="L491" s="4" t="s">
        <v>223</v>
      </c>
      <c r="M491" s="4"/>
      <c r="N491" s="4" t="s">
        <v>246</v>
      </c>
      <c r="O491" s="2" t="s">
        <v>3684</v>
      </c>
      <c r="P491" s="4" t="s">
        <v>572</v>
      </c>
      <c r="Q491" s="4">
        <v>1201049996</v>
      </c>
      <c r="R491" s="12"/>
      <c r="S491" s="4">
        <v>3</v>
      </c>
      <c r="T491" s="4"/>
      <c r="U491" s="4" t="s">
        <v>39</v>
      </c>
      <c r="V491" s="10">
        <v>44993</v>
      </c>
      <c r="W491" s="12"/>
    </row>
    <row r="492" spans="1:26" customFormat="1">
      <c r="A492">
        <f t="shared" ca="1" si="8"/>
        <v>36</v>
      </c>
      <c r="B492" s="49" t="s">
        <v>573</v>
      </c>
      <c r="C492" s="12">
        <v>44957</v>
      </c>
      <c r="D492" s="4" t="s">
        <v>129</v>
      </c>
      <c r="E492" s="4" t="s">
        <v>3662</v>
      </c>
      <c r="F492" s="4"/>
      <c r="G492" s="106" t="s">
        <v>86</v>
      </c>
      <c r="H492" s="106" t="s">
        <v>565</v>
      </c>
      <c r="I492" s="49" t="s">
        <v>574</v>
      </c>
      <c r="J492" s="4" t="s">
        <v>222</v>
      </c>
      <c r="K492" s="4" t="str">
        <f>IF(E492="KTG","KTG",(VLOOKUP(J492,'list of outsource'!B:H,2,0)))</f>
        <v>ETC</v>
      </c>
      <c r="L492" s="4" t="s">
        <v>223</v>
      </c>
      <c r="M492" s="4"/>
      <c r="N492" s="4" t="s">
        <v>575</v>
      </c>
      <c r="O492" s="2" t="s">
        <v>3684</v>
      </c>
      <c r="P492" s="4" t="s">
        <v>576</v>
      </c>
      <c r="Q492" s="4">
        <v>1201403652</v>
      </c>
      <c r="R492" s="12"/>
      <c r="S492" s="4">
        <v>3</v>
      </c>
      <c r="T492" s="4"/>
      <c r="U492" s="4" t="s">
        <v>39</v>
      </c>
      <c r="V492" s="10">
        <v>44993</v>
      </c>
      <c r="W492" s="12"/>
    </row>
    <row r="493" spans="1:26" customFormat="1">
      <c r="A493">
        <f t="shared" ca="1" si="8"/>
        <v>36</v>
      </c>
      <c r="B493" s="49" t="s">
        <v>577</v>
      </c>
      <c r="C493" s="12">
        <v>44957</v>
      </c>
      <c r="D493" s="4" t="s">
        <v>129</v>
      </c>
      <c r="E493" s="4" t="s">
        <v>3662</v>
      </c>
      <c r="F493" s="4"/>
      <c r="G493" s="106" t="s">
        <v>86</v>
      </c>
      <c r="H493" s="106" t="s">
        <v>565</v>
      </c>
      <c r="I493" s="49" t="s">
        <v>313</v>
      </c>
      <c r="J493" s="4" t="s">
        <v>222</v>
      </c>
      <c r="K493" s="4" t="str">
        <f>IF(E493="KTG","KTG",(VLOOKUP(J493,'list of outsource'!B:H,2,0)))</f>
        <v>ETC</v>
      </c>
      <c r="L493" s="4" t="s">
        <v>223</v>
      </c>
      <c r="M493" s="4"/>
      <c r="N493" s="4" t="s">
        <v>314</v>
      </c>
      <c r="O493" s="2" t="s">
        <v>3684</v>
      </c>
      <c r="P493" s="4" t="s">
        <v>578</v>
      </c>
      <c r="Q493" s="4">
        <v>1201408694</v>
      </c>
      <c r="R493" s="12"/>
      <c r="S493" s="4">
        <v>3</v>
      </c>
      <c r="T493" s="4"/>
      <c r="U493" s="4" t="s">
        <v>39</v>
      </c>
      <c r="V493" s="10">
        <v>44993</v>
      </c>
      <c r="W493" s="12"/>
    </row>
    <row r="494" spans="1:26" customFormat="1">
      <c r="A494">
        <f t="shared" ca="1" si="8"/>
        <v>26</v>
      </c>
      <c r="B494" s="104" t="s">
        <v>577</v>
      </c>
      <c r="C494" s="16">
        <v>45815</v>
      </c>
      <c r="D494" s="6" t="s">
        <v>129</v>
      </c>
      <c r="E494" s="6" t="s">
        <v>3662</v>
      </c>
      <c r="F494" s="6"/>
      <c r="G494" s="106" t="s">
        <v>86</v>
      </c>
      <c r="H494" s="106" t="s">
        <v>565</v>
      </c>
      <c r="I494" s="49" t="s">
        <v>313</v>
      </c>
      <c r="J494" s="6" t="s">
        <v>222</v>
      </c>
      <c r="K494" s="6" t="str">
        <f>IF(E494="KTG","KTG",(VLOOKUP(J494,'list of outsource'!B:H,2,0)))</f>
        <v>ETC</v>
      </c>
      <c r="L494" s="6" t="s">
        <v>223</v>
      </c>
      <c r="M494" s="6">
        <v>23</v>
      </c>
      <c r="N494" s="6" t="s">
        <v>314</v>
      </c>
      <c r="O494" s="2" t="s">
        <v>3684</v>
      </c>
      <c r="P494" s="6" t="s">
        <v>578</v>
      </c>
      <c r="Q494" s="6" t="s">
        <v>579</v>
      </c>
      <c r="R494" s="16"/>
      <c r="S494" s="6">
        <v>1</v>
      </c>
      <c r="T494" s="6" t="s">
        <v>307</v>
      </c>
      <c r="U494" s="6" t="s">
        <v>550</v>
      </c>
      <c r="V494" s="17">
        <v>45841</v>
      </c>
      <c r="W494" s="16"/>
      <c r="Z494" t="e">
        <v>#N/A</v>
      </c>
    </row>
    <row r="495" spans="1:26" customFormat="1">
      <c r="A495">
        <f t="shared" ca="1" si="8"/>
        <v>36</v>
      </c>
      <c r="B495" s="49" t="s">
        <v>580</v>
      </c>
      <c r="C495" s="12">
        <v>44957</v>
      </c>
      <c r="D495" s="4" t="s">
        <v>129</v>
      </c>
      <c r="E495" s="4" t="s">
        <v>3662</v>
      </c>
      <c r="F495" s="4"/>
      <c r="G495" s="106" t="s">
        <v>86</v>
      </c>
      <c r="H495" s="106" t="s">
        <v>565</v>
      </c>
      <c r="I495" s="49" t="s">
        <v>581</v>
      </c>
      <c r="J495" s="4" t="s">
        <v>222</v>
      </c>
      <c r="K495" s="4" t="str">
        <f>IF(E495="KTG","KTG",(VLOOKUP(J495,'list of outsource'!B:H,2,0)))</f>
        <v>ETC</v>
      </c>
      <c r="L495" s="4" t="s">
        <v>223</v>
      </c>
      <c r="M495" s="4"/>
      <c r="N495" s="4" t="s">
        <v>582</v>
      </c>
      <c r="O495" s="2" t="s">
        <v>3684</v>
      </c>
      <c r="P495" s="4" t="s">
        <v>583</v>
      </c>
      <c r="Q495" s="4">
        <v>1201415221</v>
      </c>
      <c r="R495" s="12"/>
      <c r="S495" s="4">
        <v>3</v>
      </c>
      <c r="T495" s="4"/>
      <c r="U495" s="4" t="s">
        <v>39</v>
      </c>
      <c r="V495" s="10">
        <v>44993</v>
      </c>
      <c r="W495" s="12"/>
    </row>
    <row r="496" spans="1:26" customFormat="1">
      <c r="A496">
        <f t="shared" ca="1" si="8"/>
        <v>1051</v>
      </c>
      <c r="B496" s="49" t="s">
        <v>584</v>
      </c>
      <c r="C496" s="12">
        <v>44957</v>
      </c>
      <c r="D496" s="4" t="s">
        <v>585</v>
      </c>
      <c r="E496" s="4" t="s">
        <v>3662</v>
      </c>
      <c r="F496" s="4"/>
      <c r="G496" s="106" t="s">
        <v>86</v>
      </c>
      <c r="H496" s="106" t="s">
        <v>565</v>
      </c>
      <c r="I496" s="49" t="s">
        <v>586</v>
      </c>
      <c r="J496" s="4" t="s">
        <v>302</v>
      </c>
      <c r="K496" s="4" t="str">
        <f>IF(E496="KTG","KTG",(VLOOKUP(J496,'list of outsource'!B:H,2,0)))</f>
        <v>ETC</v>
      </c>
      <c r="L496" s="4" t="s">
        <v>303</v>
      </c>
      <c r="M496" s="4"/>
      <c r="N496" s="4" t="s">
        <v>587</v>
      </c>
      <c r="O496" s="2" t="s">
        <v>3684</v>
      </c>
      <c r="P496" s="4" t="s">
        <v>588</v>
      </c>
      <c r="Q496" s="4">
        <v>1201418073</v>
      </c>
      <c r="R496" s="12"/>
      <c r="S496" s="4">
        <v>2</v>
      </c>
      <c r="T496" s="4"/>
      <c r="U496" s="4" t="s">
        <v>39</v>
      </c>
      <c r="V496" s="10"/>
      <c r="W496" s="12"/>
    </row>
    <row r="497" spans="1:26" customFormat="1">
      <c r="A497">
        <f t="shared" ca="1" si="8"/>
        <v>36</v>
      </c>
      <c r="B497" s="49" t="s">
        <v>589</v>
      </c>
      <c r="C497" s="12">
        <v>44957</v>
      </c>
      <c r="D497" s="4" t="s">
        <v>129</v>
      </c>
      <c r="E497" s="4" t="s">
        <v>3662</v>
      </c>
      <c r="F497" s="4"/>
      <c r="G497" s="106" t="s">
        <v>86</v>
      </c>
      <c r="H497" s="106" t="s">
        <v>565</v>
      </c>
      <c r="I497" s="49" t="s">
        <v>590</v>
      </c>
      <c r="J497" s="4" t="s">
        <v>302</v>
      </c>
      <c r="K497" s="4" t="str">
        <f>IF(E497="KTG","KTG",(VLOOKUP(J497,'list of outsource'!B:H,2,0)))</f>
        <v>ETC</v>
      </c>
      <c r="L497" s="4" t="s">
        <v>303</v>
      </c>
      <c r="M497" s="4"/>
      <c r="N497" s="4" t="s">
        <v>467</v>
      </c>
      <c r="O497" s="2" t="s">
        <v>3684</v>
      </c>
      <c r="P497" s="4" t="s">
        <v>591</v>
      </c>
      <c r="Q497" s="4">
        <v>1201419866</v>
      </c>
      <c r="R497" s="12"/>
      <c r="S497" s="4">
        <v>2</v>
      </c>
      <c r="T497" s="4"/>
      <c r="U497" s="4" t="s">
        <v>39</v>
      </c>
      <c r="V497" s="10">
        <v>44993</v>
      </c>
      <c r="W497" s="12"/>
    </row>
    <row r="498" spans="1:26" customFormat="1">
      <c r="A498">
        <f t="shared" ca="1" si="8"/>
        <v>26</v>
      </c>
      <c r="B498" s="104" t="s">
        <v>589</v>
      </c>
      <c r="C498" s="16">
        <v>45815</v>
      </c>
      <c r="D498" s="6" t="s">
        <v>129</v>
      </c>
      <c r="E498" s="6" t="s">
        <v>3662</v>
      </c>
      <c r="F498" s="6"/>
      <c r="G498" s="106" t="s">
        <v>86</v>
      </c>
      <c r="H498" s="106" t="s">
        <v>565</v>
      </c>
      <c r="I498" s="49" t="s">
        <v>590</v>
      </c>
      <c r="J498" s="6" t="s">
        <v>302</v>
      </c>
      <c r="K498" s="6" t="str">
        <f>IF(E498="KTG","KTG",(VLOOKUP(J498,'list of outsource'!B:H,2,0)))</f>
        <v>ETC</v>
      </c>
      <c r="L498" s="6" t="s">
        <v>303</v>
      </c>
      <c r="M498" s="6">
        <v>71</v>
      </c>
      <c r="N498" s="6" t="s">
        <v>467</v>
      </c>
      <c r="O498" s="2" t="s">
        <v>3684</v>
      </c>
      <c r="P498" s="6" t="s">
        <v>591</v>
      </c>
      <c r="Q498" s="6" t="s">
        <v>592</v>
      </c>
      <c r="R498" s="16"/>
      <c r="S498" s="6">
        <v>1</v>
      </c>
      <c r="T498" s="6" t="s">
        <v>307</v>
      </c>
      <c r="U498" s="6" t="s">
        <v>550</v>
      </c>
      <c r="V498" s="17">
        <v>45841</v>
      </c>
      <c r="W498" s="16"/>
      <c r="Z498" t="e">
        <v>#N/A</v>
      </c>
    </row>
    <row r="499" spans="1:26" customFormat="1">
      <c r="A499">
        <f t="shared" ca="1" si="8"/>
        <v>36</v>
      </c>
      <c r="B499" s="49" t="s">
        <v>593</v>
      </c>
      <c r="C499" s="12">
        <v>44957</v>
      </c>
      <c r="D499" s="4" t="s">
        <v>129</v>
      </c>
      <c r="E499" s="4" t="s">
        <v>3662</v>
      </c>
      <c r="F499" s="4"/>
      <c r="G499" s="106" t="s">
        <v>86</v>
      </c>
      <c r="H499" s="106" t="s">
        <v>565</v>
      </c>
      <c r="I499" s="49" t="s">
        <v>594</v>
      </c>
      <c r="J499" s="4" t="s">
        <v>222</v>
      </c>
      <c r="K499" s="4" t="str">
        <f>IF(E499="KTG","KTG",(VLOOKUP(J499,'list of outsource'!B:H,2,0)))</f>
        <v>ETC</v>
      </c>
      <c r="L499" s="4" t="s">
        <v>223</v>
      </c>
      <c r="M499" s="4"/>
      <c r="N499" s="4" t="s">
        <v>595</v>
      </c>
      <c r="O499" s="2" t="s">
        <v>3684</v>
      </c>
      <c r="P499" s="4" t="s">
        <v>596</v>
      </c>
      <c r="Q499" s="4">
        <v>1201420648</v>
      </c>
      <c r="R499" s="12"/>
      <c r="S499" s="4">
        <v>2</v>
      </c>
      <c r="T499" s="4"/>
      <c r="U499" s="4" t="s">
        <v>39</v>
      </c>
      <c r="V499" s="10">
        <v>44993</v>
      </c>
      <c r="W499" s="12"/>
    </row>
    <row r="500" spans="1:26" customFormat="1" hidden="1">
      <c r="A500">
        <f t="shared" ca="1" si="8"/>
        <v>8</v>
      </c>
      <c r="B500" s="4" t="s">
        <v>2206</v>
      </c>
      <c r="C500" s="12">
        <v>45637</v>
      </c>
      <c r="D500" s="4" t="s">
        <v>300</v>
      </c>
      <c r="E500" s="4" t="s">
        <v>3663</v>
      </c>
      <c r="F500" s="4">
        <v>36</v>
      </c>
      <c r="G500" s="4" t="s">
        <v>86</v>
      </c>
      <c r="H500" s="4" t="s">
        <v>165</v>
      </c>
      <c r="I500" s="4" t="s">
        <v>2207</v>
      </c>
      <c r="J500" s="4"/>
      <c r="K500" s="4" t="e">
        <f>IF(E500="KTG","KTG",(VLOOKUP(J500,'list of outsource'!B:H,2,0)))</f>
        <v>#N/A</v>
      </c>
      <c r="L500" s="4"/>
      <c r="M500" s="4"/>
      <c r="N500" s="4" t="s">
        <v>2208</v>
      </c>
      <c r="O500" s="2"/>
      <c r="P500" s="4" t="s">
        <v>2209</v>
      </c>
      <c r="Q500" s="4"/>
      <c r="R500" s="12"/>
      <c r="S500" s="4">
        <v>1</v>
      </c>
      <c r="T500" s="4" t="s">
        <v>307</v>
      </c>
      <c r="U500" s="4" t="s">
        <v>183</v>
      </c>
      <c r="V500" s="10">
        <v>45645</v>
      </c>
      <c r="W500" s="12">
        <v>45709</v>
      </c>
      <c r="Z500" t="e">
        <v>#N/A</v>
      </c>
    </row>
    <row r="501" spans="1:26" customFormat="1">
      <c r="A501">
        <f t="shared" ca="1" si="8"/>
        <v>26</v>
      </c>
      <c r="B501" s="104" t="s">
        <v>593</v>
      </c>
      <c r="C501" s="16">
        <v>45815</v>
      </c>
      <c r="D501" s="6" t="s">
        <v>129</v>
      </c>
      <c r="E501" s="6" t="s">
        <v>3662</v>
      </c>
      <c r="F501" s="6"/>
      <c r="G501" s="106" t="s">
        <v>86</v>
      </c>
      <c r="H501" s="106" t="s">
        <v>565</v>
      </c>
      <c r="I501" s="49" t="s">
        <v>594</v>
      </c>
      <c r="J501" s="6" t="s">
        <v>222</v>
      </c>
      <c r="K501" s="6" t="str">
        <f>IF(E501="KTG","KTG",(VLOOKUP(J501,'list of outsource'!B:H,2,0)))</f>
        <v>ETC</v>
      </c>
      <c r="L501" s="6" t="s">
        <v>223</v>
      </c>
      <c r="M501" s="6">
        <v>23</v>
      </c>
      <c r="N501" s="6" t="s">
        <v>595</v>
      </c>
      <c r="O501" s="2" t="s">
        <v>3684</v>
      </c>
      <c r="P501" s="6" t="s">
        <v>596</v>
      </c>
      <c r="Q501" s="6" t="s">
        <v>597</v>
      </c>
      <c r="R501" s="16"/>
      <c r="S501" s="6">
        <v>1</v>
      </c>
      <c r="T501" s="6" t="s">
        <v>307</v>
      </c>
      <c r="U501" s="6" t="s">
        <v>550</v>
      </c>
      <c r="V501" s="17">
        <v>45841</v>
      </c>
      <c r="W501" s="16"/>
      <c r="Z501" t="e">
        <v>#N/A</v>
      </c>
    </row>
    <row r="502" spans="1:26" customFormat="1">
      <c r="A502">
        <f t="shared" ca="1" si="8"/>
        <v>36</v>
      </c>
      <c r="B502" s="49" t="s">
        <v>598</v>
      </c>
      <c r="C502" s="12">
        <v>44957</v>
      </c>
      <c r="D502" s="4" t="s">
        <v>129</v>
      </c>
      <c r="E502" s="4" t="s">
        <v>3662</v>
      </c>
      <c r="F502" s="4"/>
      <c r="G502" s="106" t="s">
        <v>86</v>
      </c>
      <c r="H502" s="106" t="s">
        <v>565</v>
      </c>
      <c r="I502" s="49" t="s">
        <v>599</v>
      </c>
      <c r="J502" s="4" t="s">
        <v>302</v>
      </c>
      <c r="K502" s="4" t="str">
        <f>IF(E502="KTG","KTG",(VLOOKUP(J502,'list of outsource'!B:H,2,0)))</f>
        <v>ETC</v>
      </c>
      <c r="L502" s="4" t="s">
        <v>303</v>
      </c>
      <c r="M502" s="4"/>
      <c r="N502" s="4" t="s">
        <v>600</v>
      </c>
      <c r="O502" s="2" t="s">
        <v>3684</v>
      </c>
      <c r="P502" s="4" t="s">
        <v>601</v>
      </c>
      <c r="Q502" s="4">
        <v>1201422476</v>
      </c>
      <c r="R502" s="12"/>
      <c r="S502" s="4">
        <v>3</v>
      </c>
      <c r="T502" s="4"/>
      <c r="U502" s="4" t="s">
        <v>39</v>
      </c>
      <c r="V502" s="10">
        <v>44993</v>
      </c>
      <c r="W502" s="12"/>
    </row>
    <row r="503" spans="1:26" customFormat="1">
      <c r="A503">
        <f t="shared" ca="1" si="8"/>
        <v>36</v>
      </c>
      <c r="B503" s="49" t="s">
        <v>602</v>
      </c>
      <c r="C503" s="12">
        <v>44957</v>
      </c>
      <c r="D503" s="4" t="s">
        <v>129</v>
      </c>
      <c r="E503" s="4" t="s">
        <v>3662</v>
      </c>
      <c r="F503" s="4"/>
      <c r="G503" s="106" t="s">
        <v>86</v>
      </c>
      <c r="H503" s="106" t="s">
        <v>565</v>
      </c>
      <c r="I503" s="49" t="s">
        <v>603</v>
      </c>
      <c r="J503" s="4" t="s">
        <v>302</v>
      </c>
      <c r="K503" s="4" t="str">
        <f>IF(E503="KTG","KTG",(VLOOKUP(J503,'list of outsource'!B:H,2,0)))</f>
        <v>ETC</v>
      </c>
      <c r="L503" s="4" t="s">
        <v>303</v>
      </c>
      <c r="M503" s="4">
        <v>29</v>
      </c>
      <c r="N503" s="4" t="s">
        <v>604</v>
      </c>
      <c r="O503" s="2" t="s">
        <v>3684</v>
      </c>
      <c r="P503" s="4" t="s">
        <v>605</v>
      </c>
      <c r="Q503" s="4">
        <v>1201792533</v>
      </c>
      <c r="R503" s="12"/>
      <c r="S503" s="4">
        <v>3</v>
      </c>
      <c r="T503" s="4"/>
      <c r="U503" s="4" t="s">
        <v>39</v>
      </c>
      <c r="V503" s="10">
        <v>44993</v>
      </c>
      <c r="W503" s="12"/>
    </row>
    <row r="504" spans="1:26" customFormat="1">
      <c r="A504">
        <f t="shared" ca="1" si="8"/>
        <v>26</v>
      </c>
      <c r="B504" s="104" t="s">
        <v>602</v>
      </c>
      <c r="C504" s="16">
        <v>45815</v>
      </c>
      <c r="D504" s="6" t="s">
        <v>129</v>
      </c>
      <c r="E504" s="6" t="s">
        <v>3662</v>
      </c>
      <c r="F504" s="6"/>
      <c r="G504" s="106" t="s">
        <v>86</v>
      </c>
      <c r="H504" s="106" t="s">
        <v>565</v>
      </c>
      <c r="I504" s="49" t="s">
        <v>603</v>
      </c>
      <c r="J504" s="6" t="s">
        <v>302</v>
      </c>
      <c r="K504" s="6" t="str">
        <f>IF(E504="KTG","KTG",(VLOOKUP(J504,'list of outsource'!B:H,2,0)))</f>
        <v>ETC</v>
      </c>
      <c r="L504" s="6" t="s">
        <v>303</v>
      </c>
      <c r="M504" s="6">
        <v>71</v>
      </c>
      <c r="N504" s="6" t="s">
        <v>604</v>
      </c>
      <c r="O504" s="2" t="s">
        <v>3684</v>
      </c>
      <c r="P504" s="6" t="s">
        <v>605</v>
      </c>
      <c r="Q504" s="6" t="s">
        <v>606</v>
      </c>
      <c r="R504" s="16"/>
      <c r="S504" s="6">
        <v>1</v>
      </c>
      <c r="T504" s="6" t="s">
        <v>607</v>
      </c>
      <c r="U504" s="6" t="s">
        <v>550</v>
      </c>
      <c r="V504" s="17">
        <v>45841</v>
      </c>
      <c r="W504" s="16"/>
      <c r="Z504" t="s">
        <v>608</v>
      </c>
    </row>
    <row r="505" spans="1:26" customFormat="1">
      <c r="A505">
        <f t="shared" ca="1" si="8"/>
        <v>36</v>
      </c>
      <c r="B505" s="49" t="s">
        <v>609</v>
      </c>
      <c r="C505" s="12">
        <v>44957</v>
      </c>
      <c r="D505" s="4" t="s">
        <v>129</v>
      </c>
      <c r="E505" s="4" t="s">
        <v>3665</v>
      </c>
      <c r="F505" s="4"/>
      <c r="G505" s="106" t="s">
        <v>86</v>
      </c>
      <c r="H505" s="106" t="s">
        <v>565</v>
      </c>
      <c r="I505" s="49" t="s">
        <v>610</v>
      </c>
      <c r="J505" s="4" t="s">
        <v>96</v>
      </c>
      <c r="K505" s="4" t="str">
        <f>IF(E505="KTG","KTG",(VLOOKUP(J505,'list of outsource'!B:H,2,0)))</f>
        <v>Woer</v>
      </c>
      <c r="L505" s="4" t="s">
        <v>97</v>
      </c>
      <c r="M505" s="4"/>
      <c r="N505" s="4" t="s">
        <v>611</v>
      </c>
      <c r="O505" s="2" t="s">
        <v>3684</v>
      </c>
      <c r="P505" s="4" t="s">
        <v>612</v>
      </c>
      <c r="Q505" s="4">
        <v>1201795555</v>
      </c>
      <c r="R505" s="12"/>
      <c r="S505" s="4">
        <v>3</v>
      </c>
      <c r="T505" s="4"/>
      <c r="U505" s="4" t="s">
        <v>39</v>
      </c>
      <c r="V505" s="10">
        <v>44993</v>
      </c>
      <c r="W505" s="12"/>
    </row>
    <row r="506" spans="1:26" customFormat="1">
      <c r="A506">
        <f t="shared" ca="1" si="8"/>
        <v>26</v>
      </c>
      <c r="B506" s="104" t="s">
        <v>609</v>
      </c>
      <c r="C506" s="16">
        <v>45815</v>
      </c>
      <c r="D506" s="6" t="s">
        <v>129</v>
      </c>
      <c r="E506" s="6" t="s">
        <v>3665</v>
      </c>
      <c r="F506" s="6"/>
      <c r="G506" s="106" t="s">
        <v>86</v>
      </c>
      <c r="H506" s="106" t="s">
        <v>565</v>
      </c>
      <c r="I506" s="49" t="s">
        <v>610</v>
      </c>
      <c r="J506" s="6" t="s">
        <v>96</v>
      </c>
      <c r="K506" s="6" t="str">
        <f>IF(E506="KTG","KTG",(VLOOKUP(J506,'list of outsource'!B:H,2,0)))</f>
        <v>Woer</v>
      </c>
      <c r="L506" s="6" t="s">
        <v>97</v>
      </c>
      <c r="M506" s="6">
        <v>56</v>
      </c>
      <c r="N506" s="6" t="s">
        <v>611</v>
      </c>
      <c r="O506" s="2" t="s">
        <v>3684</v>
      </c>
      <c r="P506" s="6" t="s">
        <v>612</v>
      </c>
      <c r="Q506" s="6" t="s">
        <v>613</v>
      </c>
      <c r="R506" s="16">
        <v>45822</v>
      </c>
      <c r="S506" s="6">
        <v>1</v>
      </c>
      <c r="T506" s="6" t="s">
        <v>307</v>
      </c>
      <c r="U506" s="6" t="s">
        <v>550</v>
      </c>
      <c r="V506" s="17">
        <v>45841</v>
      </c>
      <c r="W506" s="16"/>
      <c r="Z506" t="e">
        <v>#N/A</v>
      </c>
    </row>
    <row r="507" spans="1:26" customFormat="1" hidden="1">
      <c r="A507">
        <f t="shared" ca="1" si="8"/>
        <v>54</v>
      </c>
      <c r="B507" s="8" t="s">
        <v>2578</v>
      </c>
      <c r="C507" s="16">
        <v>45800</v>
      </c>
      <c r="D507" s="6" t="s">
        <v>2169</v>
      </c>
      <c r="E507" s="6" t="s">
        <v>3662</v>
      </c>
      <c r="F507" s="6">
        <v>4018</v>
      </c>
      <c r="G507" s="6" t="s">
        <v>86</v>
      </c>
      <c r="H507" s="6" t="s">
        <v>165</v>
      </c>
      <c r="I507" s="6" t="s">
        <v>603</v>
      </c>
      <c r="J507" s="6" t="s">
        <v>302</v>
      </c>
      <c r="K507" s="6" t="str">
        <f>IF(E507="KTG","KTG",(VLOOKUP(J507,'list of outsource'!B:H,2,0)))</f>
        <v>ETC</v>
      </c>
      <c r="L507" s="6" t="s">
        <v>303</v>
      </c>
      <c r="M507" s="6">
        <v>71</v>
      </c>
      <c r="N507" s="6" t="s">
        <v>604</v>
      </c>
      <c r="O507" s="2"/>
      <c r="P507" s="6" t="s">
        <v>605</v>
      </c>
      <c r="Q507" s="6" t="s">
        <v>606</v>
      </c>
      <c r="R507" s="16"/>
      <c r="S507" s="6">
        <v>4</v>
      </c>
      <c r="T507" s="6" t="s">
        <v>607</v>
      </c>
      <c r="U507" s="6" t="s">
        <v>39</v>
      </c>
      <c r="V507" s="17">
        <v>45854</v>
      </c>
      <c r="W507" s="16"/>
      <c r="X507" t="s">
        <v>2171</v>
      </c>
      <c r="Z507" t="s">
        <v>608</v>
      </c>
    </row>
    <row r="508" spans="1:26" customFormat="1">
      <c r="A508">
        <f t="shared" ca="1" si="8"/>
        <v>36</v>
      </c>
      <c r="B508" s="49" t="s">
        <v>614</v>
      </c>
      <c r="C508" s="12">
        <v>44957</v>
      </c>
      <c r="D508" s="4" t="s">
        <v>129</v>
      </c>
      <c r="E508" s="4" t="s">
        <v>3662</v>
      </c>
      <c r="F508" s="4"/>
      <c r="G508" s="106" t="s">
        <v>86</v>
      </c>
      <c r="H508" s="106" t="s">
        <v>565</v>
      </c>
      <c r="I508" s="49" t="s">
        <v>615</v>
      </c>
      <c r="J508" s="4" t="s">
        <v>490</v>
      </c>
      <c r="K508" s="4" t="str">
        <f>IF(E508="KTG","KTG",(VLOOKUP(J508,'list of outsource'!B:H,2,0)))</f>
        <v>ETC</v>
      </c>
      <c r="L508" s="4" t="s">
        <v>491</v>
      </c>
      <c r="M508" s="4"/>
      <c r="N508" s="4" t="s">
        <v>616</v>
      </c>
      <c r="O508" s="2" t="s">
        <v>3684</v>
      </c>
      <c r="P508" s="4" t="s">
        <v>617</v>
      </c>
      <c r="Q508" s="4">
        <v>1201805481</v>
      </c>
      <c r="R508" s="12"/>
      <c r="S508" s="4">
        <v>3</v>
      </c>
      <c r="T508" s="4"/>
      <c r="U508" s="4" t="s">
        <v>39</v>
      </c>
      <c r="V508" s="10">
        <v>44993</v>
      </c>
      <c r="W508" s="12"/>
    </row>
    <row r="509" spans="1:26" customFormat="1" hidden="1">
      <c r="A509">
        <f t="shared" ca="1" si="8"/>
        <v>102</v>
      </c>
      <c r="B509" s="4" t="s">
        <v>469</v>
      </c>
      <c r="C509" s="12">
        <v>44879</v>
      </c>
      <c r="D509" s="4" t="s">
        <v>129</v>
      </c>
      <c r="E509" s="4" t="s">
        <v>3662</v>
      </c>
      <c r="F509" s="4"/>
      <c r="G509" s="4" t="s">
        <v>174</v>
      </c>
      <c r="H509" s="4" t="s">
        <v>34</v>
      </c>
      <c r="I509" s="4" t="s">
        <v>470</v>
      </c>
      <c r="J509" s="4" t="s">
        <v>302</v>
      </c>
      <c r="K509" s="4" t="str">
        <f>IF(E509="KTG","KTG",(VLOOKUP(J509,'list of outsource'!B:H,2,0)))</f>
        <v>ETC</v>
      </c>
      <c r="L509" s="4" t="s">
        <v>303</v>
      </c>
      <c r="M509" s="4"/>
      <c r="N509" s="49" t="s">
        <v>471</v>
      </c>
      <c r="O509" s="2"/>
      <c r="P509" s="4" t="s">
        <v>472</v>
      </c>
      <c r="Q509" s="4">
        <v>1198497434</v>
      </c>
      <c r="R509" s="12"/>
      <c r="S509" s="4">
        <v>2</v>
      </c>
      <c r="T509" s="4"/>
      <c r="U509" s="4" t="s">
        <v>39</v>
      </c>
      <c r="V509" s="10">
        <v>44981</v>
      </c>
      <c r="W509" s="12"/>
    </row>
    <row r="510" spans="1:26" customFormat="1">
      <c r="A510">
        <f t="shared" ca="1" si="8"/>
        <v>36</v>
      </c>
      <c r="B510" s="49" t="s">
        <v>618</v>
      </c>
      <c r="C510" s="12">
        <v>44957</v>
      </c>
      <c r="D510" s="4" t="s">
        <v>129</v>
      </c>
      <c r="E510" s="4" t="s">
        <v>3662</v>
      </c>
      <c r="F510" s="4"/>
      <c r="G510" s="106" t="s">
        <v>86</v>
      </c>
      <c r="H510" s="106" t="s">
        <v>565</v>
      </c>
      <c r="I510" s="49" t="s">
        <v>619</v>
      </c>
      <c r="J510" s="4" t="s">
        <v>490</v>
      </c>
      <c r="K510" s="4" t="str">
        <f>IF(E510="KTG","KTG",(VLOOKUP(J510,'list of outsource'!B:H,2,0)))</f>
        <v>ETC</v>
      </c>
      <c r="L510" s="4" t="s">
        <v>491</v>
      </c>
      <c r="M510" s="4"/>
      <c r="N510" s="4" t="s">
        <v>620</v>
      </c>
      <c r="O510" s="2" t="s">
        <v>3684</v>
      </c>
      <c r="P510" s="4" t="s">
        <v>621</v>
      </c>
      <c r="Q510" s="4">
        <v>1202120858</v>
      </c>
      <c r="R510" s="12"/>
      <c r="S510" s="4">
        <v>3</v>
      </c>
      <c r="T510" s="4"/>
      <c r="U510" s="4" t="s">
        <v>39</v>
      </c>
      <c r="V510" s="10">
        <v>44993</v>
      </c>
      <c r="W510" s="12"/>
    </row>
    <row r="511" spans="1:26" customFormat="1">
      <c r="A511">
        <f t="shared" ca="1" si="8"/>
        <v>36</v>
      </c>
      <c r="B511" s="49" t="s">
        <v>622</v>
      </c>
      <c r="C511" s="12">
        <v>44957</v>
      </c>
      <c r="D511" s="4" t="s">
        <v>129</v>
      </c>
      <c r="E511" s="4" t="s">
        <v>3662</v>
      </c>
      <c r="F511" s="4"/>
      <c r="G511" s="106" t="s">
        <v>86</v>
      </c>
      <c r="H511" s="106" t="s">
        <v>565</v>
      </c>
      <c r="I511" s="49" t="s">
        <v>623</v>
      </c>
      <c r="J511" s="4" t="s">
        <v>490</v>
      </c>
      <c r="K511" s="4" t="str">
        <f>IF(E511="KTG","KTG",(VLOOKUP(J511,'list of outsource'!B:H,2,0)))</f>
        <v>ETC</v>
      </c>
      <c r="L511" s="4" t="s">
        <v>491</v>
      </c>
      <c r="M511" s="4"/>
      <c r="N511" s="4" t="s">
        <v>492</v>
      </c>
      <c r="O511" s="2" t="s">
        <v>3684</v>
      </c>
      <c r="P511" s="4" t="s">
        <v>624</v>
      </c>
      <c r="Q511" s="4">
        <v>1202139545</v>
      </c>
      <c r="R511" s="12"/>
      <c r="S511" s="4">
        <v>3</v>
      </c>
      <c r="T511" s="4"/>
      <c r="U511" s="4" t="s">
        <v>39</v>
      </c>
      <c r="V511" s="10">
        <v>44993</v>
      </c>
      <c r="W511" s="12"/>
    </row>
    <row r="512" spans="1:26" customFormat="1" hidden="1">
      <c r="A512">
        <f t="shared" ca="1" si="8"/>
        <v>102</v>
      </c>
      <c r="B512" s="4" t="s">
        <v>479</v>
      </c>
      <c r="C512" s="12">
        <v>44879</v>
      </c>
      <c r="D512" s="4" t="s">
        <v>129</v>
      </c>
      <c r="E512" s="4" t="s">
        <v>3662</v>
      </c>
      <c r="F512" s="4"/>
      <c r="G512" s="4" t="s">
        <v>174</v>
      </c>
      <c r="H512" s="4" t="s">
        <v>34</v>
      </c>
      <c r="I512" s="4" t="s">
        <v>480</v>
      </c>
      <c r="J512" s="4" t="s">
        <v>302</v>
      </c>
      <c r="K512" s="4" t="str">
        <f>IF(E512="KTG","KTG",(VLOOKUP(J512,'list of outsource'!B:H,2,0)))</f>
        <v>ETC</v>
      </c>
      <c r="L512" s="4" t="s">
        <v>303</v>
      </c>
      <c r="M512" s="4"/>
      <c r="N512" s="49" t="s">
        <v>481</v>
      </c>
      <c r="O512" s="2"/>
      <c r="P512" s="4" t="s">
        <v>480</v>
      </c>
      <c r="Q512" s="4">
        <v>1199293620</v>
      </c>
      <c r="R512" s="12"/>
      <c r="S512" s="4">
        <v>2</v>
      </c>
      <c r="T512" s="4"/>
      <c r="U512" s="4" t="s">
        <v>39</v>
      </c>
      <c r="V512" s="10">
        <v>44981</v>
      </c>
      <c r="W512" s="12"/>
    </row>
    <row r="513" spans="1:26" customFormat="1">
      <c r="A513">
        <f t="shared" ca="1" si="8"/>
        <v>1051</v>
      </c>
      <c r="B513" s="49" t="s">
        <v>658</v>
      </c>
      <c r="C513" s="12">
        <v>44957</v>
      </c>
      <c r="D513" s="4" t="s">
        <v>585</v>
      </c>
      <c r="E513" s="4" t="s">
        <v>3665</v>
      </c>
      <c r="F513" s="4"/>
      <c r="G513" s="106" t="s">
        <v>86</v>
      </c>
      <c r="H513" s="106" t="s">
        <v>565</v>
      </c>
      <c r="I513" s="49" t="s">
        <v>179</v>
      </c>
      <c r="J513" s="4" t="s">
        <v>108</v>
      </c>
      <c r="K513" s="4" t="str">
        <f>IF(E513="KTG","KTG",(VLOOKUP(J513,'list of outsource'!B:H,2,0)))</f>
        <v>UPM</v>
      </c>
      <c r="L513" s="4" t="s">
        <v>109</v>
      </c>
      <c r="M513" s="4"/>
      <c r="N513" s="4" t="s">
        <v>180</v>
      </c>
      <c r="O513" s="2" t="s">
        <v>3684</v>
      </c>
      <c r="P513" s="4" t="s">
        <v>657</v>
      </c>
      <c r="Q513" s="4">
        <v>1202433545</v>
      </c>
      <c r="R513" s="12"/>
      <c r="S513" s="4">
        <v>2</v>
      </c>
      <c r="T513" s="4"/>
      <c r="U513" s="4" t="s">
        <v>39</v>
      </c>
      <c r="V513" s="10"/>
      <c r="W513" s="12"/>
    </row>
    <row r="514" spans="1:26" customFormat="1">
      <c r="A514">
        <f t="shared" ca="1" si="8"/>
        <v>1051</v>
      </c>
      <c r="B514" s="49" t="s">
        <v>659</v>
      </c>
      <c r="C514" s="12">
        <v>44957</v>
      </c>
      <c r="D514" s="4" t="s">
        <v>585</v>
      </c>
      <c r="E514" s="4" t="s">
        <v>3665</v>
      </c>
      <c r="F514" s="4"/>
      <c r="G514" s="106" t="s">
        <v>86</v>
      </c>
      <c r="H514" s="106" t="s">
        <v>565</v>
      </c>
      <c r="I514" s="49" t="s">
        <v>170</v>
      </c>
      <c r="J514" s="4" t="s">
        <v>108</v>
      </c>
      <c r="K514" s="4" t="str">
        <f>IF(E514="KTG","KTG",(VLOOKUP(J514,'list of outsource'!B:H,2,0)))</f>
        <v>UPM</v>
      </c>
      <c r="L514" s="4" t="s">
        <v>109</v>
      </c>
      <c r="M514" s="4"/>
      <c r="N514" s="4" t="s">
        <v>171</v>
      </c>
      <c r="O514" s="2" t="s">
        <v>3684</v>
      </c>
      <c r="P514" s="4" t="s">
        <v>660</v>
      </c>
      <c r="Q514" s="4"/>
      <c r="R514" s="12"/>
      <c r="S514" s="4">
        <v>2</v>
      </c>
      <c r="T514" s="4"/>
      <c r="U514" s="4" t="s">
        <v>39</v>
      </c>
      <c r="V514" s="10"/>
      <c r="W514" s="12"/>
    </row>
    <row r="515" spans="1:26" customFormat="1">
      <c r="A515">
        <f t="shared" ca="1" si="8"/>
        <v>1051</v>
      </c>
      <c r="B515" s="49" t="s">
        <v>661</v>
      </c>
      <c r="C515" s="12">
        <v>44957</v>
      </c>
      <c r="D515" s="4" t="s">
        <v>585</v>
      </c>
      <c r="E515" s="4" t="s">
        <v>3665</v>
      </c>
      <c r="F515" s="4"/>
      <c r="G515" s="106" t="s">
        <v>86</v>
      </c>
      <c r="H515" s="106" t="s">
        <v>565</v>
      </c>
      <c r="I515" s="49" t="s">
        <v>237</v>
      </c>
      <c r="J515" s="4" t="s">
        <v>108</v>
      </c>
      <c r="K515" s="4" t="str">
        <f>IF(E515="KTG","KTG",(VLOOKUP(J515,'list of outsource'!B:H,2,0)))</f>
        <v>UPM</v>
      </c>
      <c r="L515" s="4" t="s">
        <v>109</v>
      </c>
      <c r="M515" s="4"/>
      <c r="N515" s="4" t="s">
        <v>238</v>
      </c>
      <c r="O515" s="2" t="s">
        <v>3684</v>
      </c>
      <c r="P515" s="4" t="s">
        <v>459</v>
      </c>
      <c r="Q515" s="4"/>
      <c r="R515" s="12"/>
      <c r="S515" s="4">
        <v>2</v>
      </c>
      <c r="T515" s="4"/>
      <c r="U515" s="4" t="s">
        <v>39</v>
      </c>
      <c r="V515" s="10"/>
      <c r="W515" s="12"/>
    </row>
    <row r="516" spans="1:26" customFormat="1">
      <c r="A516">
        <f t="shared" ca="1" si="8"/>
        <v>1051</v>
      </c>
      <c r="B516" s="49" t="s">
        <v>666</v>
      </c>
      <c r="C516" s="12">
        <v>44957</v>
      </c>
      <c r="D516" s="4" t="s">
        <v>585</v>
      </c>
      <c r="E516" s="4" t="s">
        <v>3665</v>
      </c>
      <c r="F516" s="4"/>
      <c r="G516" s="106" t="s">
        <v>86</v>
      </c>
      <c r="H516" s="106" t="s">
        <v>565</v>
      </c>
      <c r="I516" s="49" t="s">
        <v>430</v>
      </c>
      <c r="J516" s="4" t="s">
        <v>108</v>
      </c>
      <c r="K516" s="4" t="str">
        <f>IF(E516="KTG","KTG",(VLOOKUP(J516,'list of outsource'!B:H,2,0)))</f>
        <v>UPM</v>
      </c>
      <c r="L516" s="4" t="s">
        <v>109</v>
      </c>
      <c r="M516" s="4"/>
      <c r="N516" s="4" t="s">
        <v>431</v>
      </c>
      <c r="O516" s="2" t="s">
        <v>3684</v>
      </c>
      <c r="P516" s="4" t="s">
        <v>667</v>
      </c>
      <c r="Q516" s="4"/>
      <c r="R516" s="12"/>
      <c r="S516" s="4">
        <v>2</v>
      </c>
      <c r="T516" s="4"/>
      <c r="U516" s="4" t="s">
        <v>39</v>
      </c>
      <c r="V516" s="10"/>
      <c r="W516" s="12"/>
    </row>
    <row r="517" spans="1:26" customFormat="1">
      <c r="A517">
        <f t="shared" ca="1" si="8"/>
        <v>45</v>
      </c>
      <c r="B517" s="49" t="s">
        <v>687</v>
      </c>
      <c r="C517" s="12">
        <v>44992</v>
      </c>
      <c r="D517" s="4" t="s">
        <v>129</v>
      </c>
      <c r="E517" s="4" t="s">
        <v>3662</v>
      </c>
      <c r="F517" s="4"/>
      <c r="G517" s="106" t="s">
        <v>86</v>
      </c>
      <c r="H517" s="106" t="s">
        <v>565</v>
      </c>
      <c r="I517" s="49" t="s">
        <v>688</v>
      </c>
      <c r="J517" s="4" t="s">
        <v>302</v>
      </c>
      <c r="K517" s="4" t="str">
        <f>IF(E517="KTG","KTG",(VLOOKUP(J517,'list of outsource'!B:H,2,0)))</f>
        <v>ETC</v>
      </c>
      <c r="L517" s="4" t="s">
        <v>303</v>
      </c>
      <c r="M517" s="4"/>
      <c r="N517" s="4" t="s">
        <v>689</v>
      </c>
      <c r="O517" s="2" t="s">
        <v>3684</v>
      </c>
      <c r="P517" s="4" t="s">
        <v>690</v>
      </c>
      <c r="Q517" s="4">
        <v>1213677083</v>
      </c>
      <c r="R517" s="12"/>
      <c r="S517" s="4">
        <v>3</v>
      </c>
      <c r="T517" s="4"/>
      <c r="U517" s="4" t="s">
        <v>39</v>
      </c>
      <c r="V517" s="10" t="s">
        <v>674</v>
      </c>
      <c r="W517" s="12"/>
    </row>
    <row r="518" spans="1:26" customFormat="1" hidden="1">
      <c r="A518">
        <f t="shared" ca="1" si="8"/>
        <v>102</v>
      </c>
      <c r="B518" s="4" t="s">
        <v>500</v>
      </c>
      <c r="C518" s="12">
        <v>44879</v>
      </c>
      <c r="D518" s="4" t="s">
        <v>129</v>
      </c>
      <c r="E518" s="4" t="s">
        <v>3662</v>
      </c>
      <c r="F518" s="4"/>
      <c r="G518" s="4" t="s">
        <v>174</v>
      </c>
      <c r="H518" s="4" t="s">
        <v>34</v>
      </c>
      <c r="I518" s="4" t="s">
        <v>501</v>
      </c>
      <c r="J518" s="4" t="s">
        <v>302</v>
      </c>
      <c r="K518" s="4" t="str">
        <f>IF(E518="KTG","KTG",(VLOOKUP(J518,'list of outsource'!B:H,2,0)))</f>
        <v>ETC</v>
      </c>
      <c r="L518" s="4" t="s">
        <v>303</v>
      </c>
      <c r="M518" s="4"/>
      <c r="N518" s="49" t="s">
        <v>502</v>
      </c>
      <c r="O518" s="2"/>
      <c r="P518" s="4" t="s">
        <v>501</v>
      </c>
      <c r="Q518" s="4">
        <v>1199875322</v>
      </c>
      <c r="R518" s="12"/>
      <c r="S518" s="4">
        <v>2</v>
      </c>
      <c r="T518" s="4"/>
      <c r="U518" s="4" t="s">
        <v>39</v>
      </c>
      <c r="V518" s="10">
        <v>44981</v>
      </c>
      <c r="W518" s="12"/>
    </row>
    <row r="519" spans="1:26" customFormat="1">
      <c r="A519">
        <f t="shared" ca="1" si="8"/>
        <v>45</v>
      </c>
      <c r="B519" s="49" t="s">
        <v>2177</v>
      </c>
      <c r="C519" s="12">
        <v>44992</v>
      </c>
      <c r="D519" s="4" t="s">
        <v>129</v>
      </c>
      <c r="E519" s="4" t="s">
        <v>3662</v>
      </c>
      <c r="F519" s="4"/>
      <c r="G519" s="106" t="s">
        <v>86</v>
      </c>
      <c r="H519" s="106" t="s">
        <v>565</v>
      </c>
      <c r="I519" s="49" t="s">
        <v>798</v>
      </c>
      <c r="J519" s="4" t="s">
        <v>302</v>
      </c>
      <c r="K519" s="4" t="str">
        <f>IF(E519="KTG","KTG",(VLOOKUP(J519,'list of outsource'!B:H,2,0)))</f>
        <v>ETC</v>
      </c>
      <c r="L519" s="4" t="s">
        <v>303</v>
      </c>
      <c r="M519" s="4"/>
      <c r="N519" s="4" t="s">
        <v>487</v>
      </c>
      <c r="O519" s="2" t="s">
        <v>3684</v>
      </c>
      <c r="P519" s="4" t="s">
        <v>799</v>
      </c>
      <c r="Q519" s="4">
        <v>1210982220</v>
      </c>
      <c r="R519" s="12"/>
      <c r="S519" s="4">
        <v>3</v>
      </c>
      <c r="T519" s="4"/>
      <c r="U519" s="4" t="s">
        <v>39</v>
      </c>
      <c r="V519" s="10" t="s">
        <v>674</v>
      </c>
      <c r="W519" s="12"/>
    </row>
    <row r="520" spans="1:26" customFormat="1">
      <c r="A520">
        <f t="shared" ca="1" si="8"/>
        <v>36</v>
      </c>
      <c r="B520" s="104" t="s">
        <v>2177</v>
      </c>
      <c r="C520" s="16">
        <v>45581</v>
      </c>
      <c r="D520" s="6" t="s">
        <v>129</v>
      </c>
      <c r="E520" s="6" t="s">
        <v>3662</v>
      </c>
      <c r="F520" s="6"/>
      <c r="G520" s="106" t="s">
        <v>86</v>
      </c>
      <c r="H520" s="106" t="s">
        <v>565</v>
      </c>
      <c r="I520" s="49" t="s">
        <v>798</v>
      </c>
      <c r="J520" s="6" t="s">
        <v>302</v>
      </c>
      <c r="K520" s="6" t="str">
        <f>IF(E520="KTG","KTG",(VLOOKUP(J520,'list of outsource'!B:H,2,0)))</f>
        <v>ETC</v>
      </c>
      <c r="L520" s="6" t="s">
        <v>303</v>
      </c>
      <c r="M520" s="6">
        <v>64</v>
      </c>
      <c r="N520" s="6" t="s">
        <v>487</v>
      </c>
      <c r="O520" s="2" t="s">
        <v>3684</v>
      </c>
      <c r="P520" s="6" t="s">
        <v>799</v>
      </c>
      <c r="Q520" s="6" t="s">
        <v>1529</v>
      </c>
      <c r="R520" s="16"/>
      <c r="S520" s="6">
        <v>4</v>
      </c>
      <c r="T520" s="6" t="s">
        <v>1465</v>
      </c>
      <c r="U520" s="6" t="s">
        <v>39</v>
      </c>
      <c r="V520" s="17">
        <v>45617</v>
      </c>
      <c r="W520" s="16"/>
      <c r="Z520" t="e">
        <v>#N/A</v>
      </c>
    </row>
    <row r="521" spans="1:26" customFormat="1">
      <c r="A521">
        <f t="shared" ca="1" si="8"/>
        <v>45</v>
      </c>
      <c r="B521" s="49" t="s">
        <v>2178</v>
      </c>
      <c r="C521" s="12">
        <v>44992</v>
      </c>
      <c r="D521" s="4" t="s">
        <v>129</v>
      </c>
      <c r="E521" s="4" t="s">
        <v>3662</v>
      </c>
      <c r="F521" s="4"/>
      <c r="G521" s="106" t="s">
        <v>86</v>
      </c>
      <c r="H521" s="106" t="s">
        <v>565</v>
      </c>
      <c r="I521" s="49" t="s">
        <v>559</v>
      </c>
      <c r="J521" s="4" t="s">
        <v>302</v>
      </c>
      <c r="K521" s="4" t="str">
        <f>IF(E521="KTG","KTG",(VLOOKUP(J521,'list of outsource'!B:H,2,0)))</f>
        <v>ETC</v>
      </c>
      <c r="L521" s="4" t="s">
        <v>303</v>
      </c>
      <c r="M521" s="4"/>
      <c r="N521" s="4" t="s">
        <v>495</v>
      </c>
      <c r="O521" s="2" t="s">
        <v>3684</v>
      </c>
      <c r="P521" s="4" t="s">
        <v>1541</v>
      </c>
      <c r="Q521" s="4">
        <v>1194209127</v>
      </c>
      <c r="R521" s="12"/>
      <c r="S521" s="4">
        <v>3</v>
      </c>
      <c r="T521" s="4"/>
      <c r="U521" s="4" t="s">
        <v>39</v>
      </c>
      <c r="V521" s="10" t="s">
        <v>674</v>
      </c>
      <c r="W521" s="12"/>
    </row>
    <row r="522" spans="1:26" customFormat="1">
      <c r="A522">
        <f t="shared" ca="1" si="8"/>
        <v>36</v>
      </c>
      <c r="B522" s="104" t="s">
        <v>2178</v>
      </c>
      <c r="C522" s="16">
        <v>45581</v>
      </c>
      <c r="D522" s="6" t="s">
        <v>129</v>
      </c>
      <c r="E522" s="6" t="s">
        <v>3662</v>
      </c>
      <c r="F522" s="6"/>
      <c r="G522" s="106" t="s">
        <v>86</v>
      </c>
      <c r="H522" s="106" t="s">
        <v>565</v>
      </c>
      <c r="I522" s="49" t="s">
        <v>559</v>
      </c>
      <c r="J522" s="6" t="s">
        <v>302</v>
      </c>
      <c r="K522" s="6" t="str">
        <f>IF(E522="KTG","KTG",(VLOOKUP(J522,'list of outsource'!B:H,2,0)))</f>
        <v>ETC</v>
      </c>
      <c r="L522" s="6" t="s">
        <v>303</v>
      </c>
      <c r="M522" s="6">
        <v>64</v>
      </c>
      <c r="N522" s="6" t="s">
        <v>495</v>
      </c>
      <c r="O522" s="2" t="s">
        <v>3684</v>
      </c>
      <c r="P522" s="6" t="s">
        <v>1541</v>
      </c>
      <c r="Q522" s="6" t="s">
        <v>1928</v>
      </c>
      <c r="R522" s="16"/>
      <c r="S522" s="6">
        <v>4</v>
      </c>
      <c r="T522" s="6" t="s">
        <v>1465</v>
      </c>
      <c r="U522" s="6" t="s">
        <v>39</v>
      </c>
      <c r="V522" s="17">
        <v>45617</v>
      </c>
      <c r="W522" s="16"/>
      <c r="Z522" t="e">
        <v>#N/A</v>
      </c>
    </row>
    <row r="523" spans="1:26" customFormat="1">
      <c r="A523">
        <f t="shared" ca="1" si="8"/>
        <v>45</v>
      </c>
      <c r="B523" s="49" t="s">
        <v>2179</v>
      </c>
      <c r="C523" s="12">
        <v>44992</v>
      </c>
      <c r="D523" s="4" t="s">
        <v>129</v>
      </c>
      <c r="E523" s="4" t="s">
        <v>3662</v>
      </c>
      <c r="F523" s="4"/>
      <c r="G523" s="106" t="s">
        <v>86</v>
      </c>
      <c r="H523" s="106" t="s">
        <v>565</v>
      </c>
      <c r="I523" s="49" t="s">
        <v>834</v>
      </c>
      <c r="J523" s="4" t="s">
        <v>302</v>
      </c>
      <c r="K523" s="4" t="str">
        <f>IF(E523="KTG","KTG",(VLOOKUP(J523,'list of outsource'!B:H,2,0)))</f>
        <v>ETC</v>
      </c>
      <c r="L523" s="4" t="s">
        <v>303</v>
      </c>
      <c r="M523" s="4"/>
      <c r="N523" s="4" t="s">
        <v>835</v>
      </c>
      <c r="O523" s="2" t="s">
        <v>3684</v>
      </c>
      <c r="P523" s="4" t="s">
        <v>2180</v>
      </c>
      <c r="Q523" s="4">
        <v>1214709577</v>
      </c>
      <c r="R523" s="12"/>
      <c r="S523" s="4">
        <v>3</v>
      </c>
      <c r="T523" s="4"/>
      <c r="U523" s="4" t="s">
        <v>39</v>
      </c>
      <c r="V523" s="10" t="s">
        <v>674</v>
      </c>
      <c r="W523" s="12"/>
    </row>
    <row r="524" spans="1:26" customFormat="1">
      <c r="A524">
        <f t="shared" ref="A524:A585" ca="1" si="9">IF(V524="",(TODAY()-C524),(V524-C524))</f>
        <v>34</v>
      </c>
      <c r="B524" s="49" t="s">
        <v>2179</v>
      </c>
      <c r="C524" s="12">
        <v>45581</v>
      </c>
      <c r="D524" s="4" t="s">
        <v>300</v>
      </c>
      <c r="E524" s="4" t="s">
        <v>3662</v>
      </c>
      <c r="F524" s="4"/>
      <c r="G524" s="106" t="s">
        <v>86</v>
      </c>
      <c r="H524" s="106" t="s">
        <v>565</v>
      </c>
      <c r="I524" s="49" t="s">
        <v>834</v>
      </c>
      <c r="J524" s="4" t="s">
        <v>302</v>
      </c>
      <c r="K524" s="4" t="str">
        <f>IF(E524="KTG","KTG",(VLOOKUP(J524,'list of outsource'!B:H,2,0)))</f>
        <v>ETC</v>
      </c>
      <c r="L524" s="4" t="s">
        <v>303</v>
      </c>
      <c r="M524" s="4">
        <v>64</v>
      </c>
      <c r="N524" s="4" t="s">
        <v>835</v>
      </c>
      <c r="O524" s="2" t="s">
        <v>3684</v>
      </c>
      <c r="P524" s="4" t="s">
        <v>2180</v>
      </c>
      <c r="Q524" s="4" t="s">
        <v>837</v>
      </c>
      <c r="R524" s="12">
        <v>45611</v>
      </c>
      <c r="S524" s="4">
        <v>4</v>
      </c>
      <c r="T524" s="4" t="s">
        <v>1465</v>
      </c>
      <c r="U524" s="4" t="s">
        <v>39</v>
      </c>
      <c r="V524" s="10">
        <v>45615</v>
      </c>
      <c r="W524" s="12">
        <v>45713</v>
      </c>
      <c r="Z524" t="e">
        <v>#N/A</v>
      </c>
    </row>
    <row r="525" spans="1:26" customFormat="1">
      <c r="A525">
        <f t="shared" ca="1" si="9"/>
        <v>45</v>
      </c>
      <c r="B525" s="49" t="s">
        <v>2266</v>
      </c>
      <c r="C525" s="12">
        <v>44992</v>
      </c>
      <c r="D525" s="4" t="s">
        <v>129</v>
      </c>
      <c r="E525" s="4" t="s">
        <v>3662</v>
      </c>
      <c r="F525" s="4"/>
      <c r="G525" s="106" t="s">
        <v>86</v>
      </c>
      <c r="H525" s="106" t="s">
        <v>565</v>
      </c>
      <c r="I525" s="49" t="s">
        <v>2267</v>
      </c>
      <c r="J525" s="4" t="s">
        <v>302</v>
      </c>
      <c r="K525" s="4" t="str">
        <f>IF(E525="KTG","KTG",(VLOOKUP(J525,'list of outsource'!B:H,2,0)))</f>
        <v>ETC</v>
      </c>
      <c r="L525" s="4" t="s">
        <v>303</v>
      </c>
      <c r="M525" s="4"/>
      <c r="N525" s="4" t="s">
        <v>2268</v>
      </c>
      <c r="O525" s="2" t="s">
        <v>3684</v>
      </c>
      <c r="P525" s="4" t="s">
        <v>2269</v>
      </c>
      <c r="Q525" s="4">
        <v>1214745059</v>
      </c>
      <c r="R525" s="12"/>
      <c r="S525" s="4">
        <v>3</v>
      </c>
      <c r="T525" s="4"/>
      <c r="U525" s="4" t="s">
        <v>39</v>
      </c>
      <c r="V525" s="10" t="s">
        <v>674</v>
      </c>
      <c r="W525" s="12"/>
    </row>
    <row r="526" spans="1:26" customFormat="1">
      <c r="A526">
        <f t="shared" ca="1" si="9"/>
        <v>34</v>
      </c>
      <c r="B526" s="49" t="s">
        <v>2266</v>
      </c>
      <c r="C526" s="12">
        <v>45581</v>
      </c>
      <c r="D526" s="4" t="s">
        <v>300</v>
      </c>
      <c r="E526" s="4" t="s">
        <v>3662</v>
      </c>
      <c r="F526" s="4"/>
      <c r="G526" s="106" t="s">
        <v>86</v>
      </c>
      <c r="H526" s="106" t="s">
        <v>565</v>
      </c>
      <c r="I526" s="49" t="s">
        <v>2267</v>
      </c>
      <c r="J526" s="4" t="s">
        <v>302</v>
      </c>
      <c r="K526" s="4" t="str">
        <f>IF(E526="KTG","KTG",(VLOOKUP(J526,'list of outsource'!B:H,2,0)))</f>
        <v>ETC</v>
      </c>
      <c r="L526" s="4" t="s">
        <v>303</v>
      </c>
      <c r="M526" s="4">
        <v>64</v>
      </c>
      <c r="N526" s="4" t="s">
        <v>2268</v>
      </c>
      <c r="O526" s="2" t="s">
        <v>3684</v>
      </c>
      <c r="P526" s="4" t="s">
        <v>2269</v>
      </c>
      <c r="Q526" s="4" t="s">
        <v>2470</v>
      </c>
      <c r="R526" s="12">
        <v>45611</v>
      </c>
      <c r="S526" s="4">
        <v>4</v>
      </c>
      <c r="T526" s="4" t="s">
        <v>1465</v>
      </c>
      <c r="U526" s="4" t="s">
        <v>39</v>
      </c>
      <c r="V526" s="10">
        <v>45615</v>
      </c>
      <c r="W526" s="12">
        <v>45713</v>
      </c>
      <c r="Z526" t="e">
        <v>#N/A</v>
      </c>
    </row>
    <row r="527" spans="1:26" customFormat="1">
      <c r="A527">
        <f t="shared" ca="1" si="9"/>
        <v>45</v>
      </c>
      <c r="B527" s="49" t="s">
        <v>2471</v>
      </c>
      <c r="C527" s="12">
        <v>44992</v>
      </c>
      <c r="D527" s="4" t="s">
        <v>129</v>
      </c>
      <c r="E527" s="4" t="s">
        <v>3662</v>
      </c>
      <c r="F527" s="4"/>
      <c r="G527" s="106" t="s">
        <v>86</v>
      </c>
      <c r="H527" s="106" t="s">
        <v>565</v>
      </c>
      <c r="I527" s="49" t="s">
        <v>1046</v>
      </c>
      <c r="J527" s="4" t="s">
        <v>525</v>
      </c>
      <c r="K527" s="4" t="str">
        <f>IF(E527="KTG","KTG",(VLOOKUP(J527,'list of outsource'!B:H,2,0)))</f>
        <v>ETC</v>
      </c>
      <c r="L527" s="4" t="s">
        <v>526</v>
      </c>
      <c r="M527" s="4"/>
      <c r="N527" s="4" t="s">
        <v>1047</v>
      </c>
      <c r="O527" s="2" t="s">
        <v>3684</v>
      </c>
      <c r="P527" s="4" t="s">
        <v>1048</v>
      </c>
      <c r="Q527" s="4">
        <v>1214811503</v>
      </c>
      <c r="R527" s="12"/>
      <c r="S527" s="4">
        <v>3</v>
      </c>
      <c r="T527" s="4"/>
      <c r="U527" s="4" t="s">
        <v>39</v>
      </c>
      <c r="V527" s="10" t="s">
        <v>674</v>
      </c>
      <c r="W527" s="12"/>
    </row>
    <row r="528" spans="1:26" customFormat="1" hidden="1">
      <c r="A528">
        <f t="shared" ca="1" si="9"/>
        <v>-323</v>
      </c>
      <c r="B528" s="4" t="s">
        <v>1069</v>
      </c>
      <c r="C528" s="12">
        <v>45126</v>
      </c>
      <c r="D528" s="4" t="s">
        <v>1070</v>
      </c>
      <c r="E528" s="4" t="s">
        <v>3665</v>
      </c>
      <c r="F528" s="4">
        <v>4284</v>
      </c>
      <c r="G528" s="4" t="s">
        <v>631</v>
      </c>
      <c r="H528" s="4" t="s">
        <v>34</v>
      </c>
      <c r="I528" s="4" t="s">
        <v>1071</v>
      </c>
      <c r="J528" s="4" t="s">
        <v>108</v>
      </c>
      <c r="K528" s="4" t="str">
        <f>IF(E528="KTG","KTG",(VLOOKUP(J528,'list of outsource'!B:H,2,0)))</f>
        <v>UPM</v>
      </c>
      <c r="L528" s="4" t="s">
        <v>109</v>
      </c>
      <c r="M528" s="4">
        <v>34</v>
      </c>
      <c r="N528" s="4" t="s">
        <v>186</v>
      </c>
      <c r="O528" s="2"/>
      <c r="P528" s="4" t="s">
        <v>845</v>
      </c>
      <c r="Q528" s="4">
        <v>1253003769</v>
      </c>
      <c r="R528" s="12"/>
      <c r="S528" s="4">
        <v>2</v>
      </c>
      <c r="T528" s="4"/>
      <c r="U528" s="4" t="s">
        <v>39</v>
      </c>
      <c r="V528" s="10" t="s">
        <v>1072</v>
      </c>
      <c r="W528" s="12">
        <v>45436</v>
      </c>
    </row>
    <row r="529" spans="1:26" customFormat="1" hidden="1">
      <c r="A529">
        <f t="shared" ca="1" si="9"/>
        <v>-323</v>
      </c>
      <c r="B529" s="4" t="s">
        <v>1073</v>
      </c>
      <c r="C529" s="12">
        <v>45126</v>
      </c>
      <c r="D529" s="4" t="s">
        <v>1070</v>
      </c>
      <c r="E529" s="4" t="s">
        <v>3665</v>
      </c>
      <c r="F529" s="4">
        <v>4275</v>
      </c>
      <c r="G529" s="4" t="s">
        <v>631</v>
      </c>
      <c r="H529" s="4" t="s">
        <v>34</v>
      </c>
      <c r="I529" s="4" t="s">
        <v>1074</v>
      </c>
      <c r="J529" s="4" t="s">
        <v>108</v>
      </c>
      <c r="K529" s="4" t="str">
        <f>IF(E529="KTG","KTG",(VLOOKUP(J529,'list of outsource'!B:H,2,0)))</f>
        <v>UPM</v>
      </c>
      <c r="L529" s="4" t="s">
        <v>109</v>
      </c>
      <c r="M529" s="4">
        <v>34</v>
      </c>
      <c r="N529" s="4" t="s">
        <v>431</v>
      </c>
      <c r="O529" s="2"/>
      <c r="P529" s="4" t="s">
        <v>667</v>
      </c>
      <c r="Q529" s="4">
        <v>1253006214</v>
      </c>
      <c r="R529" s="12"/>
      <c r="S529" s="4">
        <v>2</v>
      </c>
      <c r="T529" s="4"/>
      <c r="U529" s="4" t="s">
        <v>39</v>
      </c>
      <c r="V529" s="10" t="s">
        <v>1072</v>
      </c>
      <c r="W529" s="12">
        <v>45436</v>
      </c>
    </row>
    <row r="530" spans="1:26" customFormat="1" hidden="1">
      <c r="A530">
        <f t="shared" ca="1" si="9"/>
        <v>-323</v>
      </c>
      <c r="B530" s="8" t="s">
        <v>1079</v>
      </c>
      <c r="C530" s="16">
        <v>45126</v>
      </c>
      <c r="D530" s="6" t="s">
        <v>129</v>
      </c>
      <c r="E530" s="6" t="s">
        <v>3665</v>
      </c>
      <c r="F530" s="6">
        <v>4277</v>
      </c>
      <c r="G530" s="6" t="s">
        <v>631</v>
      </c>
      <c r="H530" s="6" t="s">
        <v>34</v>
      </c>
      <c r="I530" s="6" t="s">
        <v>1080</v>
      </c>
      <c r="J530" s="6" t="s">
        <v>108</v>
      </c>
      <c r="K530" s="6" t="str">
        <f>IF(E530="KTG","KTG",(VLOOKUP(J530,'list of outsource'!B:H,2,0)))</f>
        <v>UPM</v>
      </c>
      <c r="L530" s="6" t="s">
        <v>109</v>
      </c>
      <c r="M530" s="6"/>
      <c r="N530" s="6" t="s">
        <v>167</v>
      </c>
      <c r="O530" s="2"/>
      <c r="P530" s="6" t="s">
        <v>851</v>
      </c>
      <c r="Q530" s="6">
        <v>1253010950</v>
      </c>
      <c r="R530" s="16"/>
      <c r="S530" s="6">
        <v>2</v>
      </c>
      <c r="T530" s="6"/>
      <c r="U530" s="6" t="s">
        <v>39</v>
      </c>
      <c r="V530" s="17" t="s">
        <v>1072</v>
      </c>
      <c r="W530" s="16"/>
    </row>
    <row r="531" spans="1:26" customFormat="1" hidden="1">
      <c r="A531">
        <f t="shared" ca="1" si="9"/>
        <v>34</v>
      </c>
      <c r="B531" s="4" t="s">
        <v>1079</v>
      </c>
      <c r="C531" s="12">
        <v>45328</v>
      </c>
      <c r="D531" s="4" t="s">
        <v>1070</v>
      </c>
      <c r="E531" s="4" t="s">
        <v>3665</v>
      </c>
      <c r="F531" s="4">
        <v>4277</v>
      </c>
      <c r="G531" s="4" t="s">
        <v>631</v>
      </c>
      <c r="H531" s="4" t="s">
        <v>34</v>
      </c>
      <c r="I531" s="4" t="s">
        <v>1080</v>
      </c>
      <c r="J531" s="4" t="s">
        <v>108</v>
      </c>
      <c r="K531" s="4" t="str">
        <f>IF(E531="KTG","KTG",(VLOOKUP(J531,'list of outsource'!B:H,2,0)))</f>
        <v>UPM</v>
      </c>
      <c r="L531" s="4" t="s">
        <v>109</v>
      </c>
      <c r="M531" s="4">
        <v>38</v>
      </c>
      <c r="N531" s="4" t="s">
        <v>167</v>
      </c>
      <c r="O531" s="2"/>
      <c r="P531" s="4" t="s">
        <v>851</v>
      </c>
      <c r="Q531" s="4">
        <v>1253010950</v>
      </c>
      <c r="R531" s="12" t="s">
        <v>549</v>
      </c>
      <c r="S531" s="4">
        <v>4</v>
      </c>
      <c r="T531" s="4" t="s">
        <v>1258</v>
      </c>
      <c r="U531" s="4" t="s">
        <v>39</v>
      </c>
      <c r="V531" s="10">
        <v>45362</v>
      </c>
      <c r="W531" s="12">
        <v>45464</v>
      </c>
      <c r="Z531" t="e">
        <v>#N/A</v>
      </c>
    </row>
    <row r="532" spans="1:26" customFormat="1" hidden="1">
      <c r="A532">
        <f t="shared" ca="1" si="9"/>
        <v>-323</v>
      </c>
      <c r="B532" s="4" t="s">
        <v>1075</v>
      </c>
      <c r="C532" s="12">
        <v>45126</v>
      </c>
      <c r="D532" s="4" t="s">
        <v>1070</v>
      </c>
      <c r="E532" s="4" t="s">
        <v>3665</v>
      </c>
      <c r="F532" s="4">
        <v>4278</v>
      </c>
      <c r="G532" s="4" t="s">
        <v>631</v>
      </c>
      <c r="H532" s="4" t="s">
        <v>34</v>
      </c>
      <c r="I532" s="4" t="s">
        <v>1076</v>
      </c>
      <c r="J532" s="4" t="s">
        <v>108</v>
      </c>
      <c r="K532" s="4" t="str">
        <f>IF(E532="KTG","KTG",(VLOOKUP(J532,'list of outsource'!B:H,2,0)))</f>
        <v>UPM</v>
      </c>
      <c r="L532" s="4" t="s">
        <v>109</v>
      </c>
      <c r="M532" s="4">
        <v>34</v>
      </c>
      <c r="N532" s="4" t="s">
        <v>171</v>
      </c>
      <c r="O532" s="2"/>
      <c r="P532" s="4" t="s">
        <v>806</v>
      </c>
      <c r="Q532" s="4">
        <v>1247862284</v>
      </c>
      <c r="R532" s="12"/>
      <c r="S532" s="4">
        <v>2</v>
      </c>
      <c r="T532" s="4"/>
      <c r="U532" s="4" t="s">
        <v>39</v>
      </c>
      <c r="V532" s="10" t="s">
        <v>1072</v>
      </c>
      <c r="W532" s="12">
        <v>45436</v>
      </c>
    </row>
    <row r="533" spans="1:26" customFormat="1" hidden="1">
      <c r="A533">
        <f t="shared" ca="1" si="9"/>
        <v>-323</v>
      </c>
      <c r="B533" s="4" t="s">
        <v>1077</v>
      </c>
      <c r="C533" s="12">
        <v>45126</v>
      </c>
      <c r="D533" s="4" t="s">
        <v>1070</v>
      </c>
      <c r="E533" s="4" t="s">
        <v>3665</v>
      </c>
      <c r="F533" s="4">
        <v>4281</v>
      </c>
      <c r="G533" s="4" t="s">
        <v>631</v>
      </c>
      <c r="H533" s="4" t="s">
        <v>34</v>
      </c>
      <c r="I533" s="4" t="s">
        <v>1078</v>
      </c>
      <c r="J533" s="4" t="s">
        <v>108</v>
      </c>
      <c r="K533" s="4" t="str">
        <f>IF(E533="KTG","KTG",(VLOOKUP(J533,'list of outsource'!B:H,2,0)))</f>
        <v>UPM</v>
      </c>
      <c r="L533" s="4" t="s">
        <v>109</v>
      </c>
      <c r="M533" s="4">
        <v>34</v>
      </c>
      <c r="N533" s="4" t="s">
        <v>180</v>
      </c>
      <c r="O533" s="2"/>
      <c r="P533" s="4" t="s">
        <v>657</v>
      </c>
      <c r="Q533" s="4">
        <v>1247863112</v>
      </c>
      <c r="R533" s="12"/>
      <c r="S533" s="4">
        <v>2</v>
      </c>
      <c r="T533" s="4"/>
      <c r="U533" s="4" t="s">
        <v>39</v>
      </c>
      <c r="V533" s="10" t="s">
        <v>1072</v>
      </c>
      <c r="W533" s="12">
        <v>45436</v>
      </c>
    </row>
    <row r="534" spans="1:26" customFormat="1">
      <c r="A534">
        <f t="shared" ca="1" si="9"/>
        <v>36</v>
      </c>
      <c r="B534" s="104" t="s">
        <v>2471</v>
      </c>
      <c r="C534" s="16">
        <v>45581</v>
      </c>
      <c r="D534" s="6" t="s">
        <v>129</v>
      </c>
      <c r="E534" s="6" t="s">
        <v>3662</v>
      </c>
      <c r="F534" s="6"/>
      <c r="G534" s="106" t="s">
        <v>86</v>
      </c>
      <c r="H534" s="106" t="s">
        <v>565</v>
      </c>
      <c r="I534" s="49" t="s">
        <v>1046</v>
      </c>
      <c r="J534" s="6" t="s">
        <v>525</v>
      </c>
      <c r="K534" s="6" t="str">
        <f>IF(E534="KTG","KTG",(VLOOKUP(J534,'list of outsource'!B:H,2,0)))</f>
        <v>ETC</v>
      </c>
      <c r="L534" s="6" t="s">
        <v>526</v>
      </c>
      <c r="M534" s="6">
        <v>20</v>
      </c>
      <c r="N534" s="6" t="s">
        <v>1047</v>
      </c>
      <c r="O534" s="2" t="s">
        <v>3684</v>
      </c>
      <c r="P534" s="6" t="s">
        <v>1048</v>
      </c>
      <c r="Q534" s="6" t="s">
        <v>2588</v>
      </c>
      <c r="R534" s="16">
        <v>45611</v>
      </c>
      <c r="S534" s="6">
        <v>4</v>
      </c>
      <c r="T534" s="6" t="s">
        <v>1465</v>
      </c>
      <c r="U534" s="6" t="s">
        <v>39</v>
      </c>
      <c r="V534" s="17">
        <v>45617</v>
      </c>
      <c r="W534" s="16"/>
      <c r="Z534" t="e">
        <v>#N/A</v>
      </c>
    </row>
    <row r="535" spans="1:26" customFormat="1">
      <c r="A535">
        <f t="shared" ca="1" si="9"/>
        <v>39</v>
      </c>
      <c r="B535" s="104" t="s">
        <v>2589</v>
      </c>
      <c r="C535" s="16">
        <v>45058</v>
      </c>
      <c r="D535" s="6" t="s">
        <v>129</v>
      </c>
      <c r="E535" s="6" t="s">
        <v>3662</v>
      </c>
      <c r="F535" s="6"/>
      <c r="G535" s="106" t="s">
        <v>86</v>
      </c>
      <c r="H535" s="106" t="s">
        <v>565</v>
      </c>
      <c r="I535" s="49" t="s">
        <v>2473</v>
      </c>
      <c r="J535" s="6" t="s">
        <v>490</v>
      </c>
      <c r="K535" s="6" t="str">
        <f>IF(E535="KTG","KTG",(VLOOKUP(J535,'list of outsource'!B:H,2,0)))</f>
        <v>ETC</v>
      </c>
      <c r="L535" s="6" t="s">
        <v>491</v>
      </c>
      <c r="M535" s="6"/>
      <c r="N535" s="6" t="s">
        <v>1596</v>
      </c>
      <c r="O535" s="2" t="s">
        <v>3684</v>
      </c>
      <c r="P535" s="6" t="s">
        <v>1597</v>
      </c>
      <c r="Q535" s="6">
        <v>1232776754</v>
      </c>
      <c r="R535" s="16"/>
      <c r="S535" s="6">
        <v>2</v>
      </c>
      <c r="T535" s="6"/>
      <c r="U535" s="6" t="s">
        <v>39</v>
      </c>
      <c r="V535" s="17">
        <v>45097</v>
      </c>
      <c r="W535" s="16"/>
    </row>
    <row r="536" spans="1:26" customFormat="1">
      <c r="A536">
        <f t="shared" ca="1" si="9"/>
        <v>34</v>
      </c>
      <c r="B536" s="49" t="s">
        <v>2590</v>
      </c>
      <c r="C536" s="12">
        <v>45581</v>
      </c>
      <c r="D536" s="4" t="s">
        <v>300</v>
      </c>
      <c r="E536" s="4" t="s">
        <v>3665</v>
      </c>
      <c r="F536" s="4"/>
      <c r="G536" s="106" t="s">
        <v>86</v>
      </c>
      <c r="H536" s="106" t="s">
        <v>565</v>
      </c>
      <c r="I536" s="49" t="s">
        <v>331</v>
      </c>
      <c r="J536" s="4" t="s">
        <v>96</v>
      </c>
      <c r="K536" s="4" t="str">
        <f>IF(E536="KTG","KTG",(VLOOKUP(J536,'list of outsource'!B:H,2,0)))</f>
        <v>Woer</v>
      </c>
      <c r="L536" s="4" t="s">
        <v>97</v>
      </c>
      <c r="M536" s="4">
        <v>50</v>
      </c>
      <c r="N536" s="4" t="s">
        <v>332</v>
      </c>
      <c r="O536" s="2" t="s">
        <v>3684</v>
      </c>
      <c r="P536" s="4" t="s">
        <v>857</v>
      </c>
      <c r="Q536" s="4" t="s">
        <v>2591</v>
      </c>
      <c r="R536" s="12"/>
      <c r="S536" s="4">
        <v>4</v>
      </c>
      <c r="T536" s="4" t="s">
        <v>1465</v>
      </c>
      <c r="U536" s="4" t="s">
        <v>39</v>
      </c>
      <c r="V536" s="10">
        <v>45615</v>
      </c>
      <c r="W536" s="12">
        <v>45713</v>
      </c>
      <c r="Z536" t="e">
        <v>#N/A</v>
      </c>
    </row>
    <row r="537" spans="1:26" customFormat="1" hidden="1">
      <c r="A537">
        <f t="shared" ca="1" si="9"/>
        <v>41</v>
      </c>
      <c r="B537" s="4" t="s">
        <v>1546</v>
      </c>
      <c r="C537" s="12">
        <v>45321</v>
      </c>
      <c r="D537" s="4" t="s">
        <v>1070</v>
      </c>
      <c r="E537" s="4" t="s">
        <v>3665</v>
      </c>
      <c r="F537" s="4">
        <v>4285</v>
      </c>
      <c r="G537" s="4" t="s">
        <v>631</v>
      </c>
      <c r="H537" s="4" t="s">
        <v>34</v>
      </c>
      <c r="I537" s="4" t="s">
        <v>1547</v>
      </c>
      <c r="J537" s="4" t="s">
        <v>108</v>
      </c>
      <c r="K537" s="4" t="str">
        <f>IF(E537="KTG","KTG",(VLOOKUP(J537,'list of outsource'!B:H,2,0)))</f>
        <v>UPM</v>
      </c>
      <c r="L537" s="4" t="s">
        <v>109</v>
      </c>
      <c r="M537" s="4">
        <v>38</v>
      </c>
      <c r="N537" s="4" t="s">
        <v>200</v>
      </c>
      <c r="O537" s="2"/>
      <c r="P537" s="4" t="s">
        <v>201</v>
      </c>
      <c r="Q537" s="4">
        <v>1307226947</v>
      </c>
      <c r="R537" s="12" t="s">
        <v>549</v>
      </c>
      <c r="S537" s="4">
        <v>4</v>
      </c>
      <c r="T537" s="4" t="s">
        <v>307</v>
      </c>
      <c r="U537" s="4" t="s">
        <v>39</v>
      </c>
      <c r="V537" s="10">
        <v>45362</v>
      </c>
      <c r="W537" s="12">
        <v>45464</v>
      </c>
      <c r="Z537" t="e">
        <v>#N/A</v>
      </c>
    </row>
    <row r="538" spans="1:26" customFormat="1">
      <c r="A538">
        <f t="shared" ca="1" si="9"/>
        <v>13</v>
      </c>
      <c r="B538" s="49" t="s">
        <v>2592</v>
      </c>
      <c r="C538" s="12">
        <v>45672</v>
      </c>
      <c r="D538" s="4" t="s">
        <v>300</v>
      </c>
      <c r="E538" s="4" t="s">
        <v>3665</v>
      </c>
      <c r="F538" s="4"/>
      <c r="G538" s="106" t="s">
        <v>86</v>
      </c>
      <c r="H538" s="106" t="s">
        <v>565</v>
      </c>
      <c r="I538" s="49" t="s">
        <v>257</v>
      </c>
      <c r="J538" s="4" t="s">
        <v>108</v>
      </c>
      <c r="K538" s="4" t="str">
        <f>IF(E538="KTG","KTG",(VLOOKUP(J538,'list of outsource'!B:H,2,0)))</f>
        <v>UPM</v>
      </c>
      <c r="L538" s="4" t="s">
        <v>109</v>
      </c>
      <c r="M538" s="4">
        <v>45</v>
      </c>
      <c r="N538" s="4" t="s">
        <v>258</v>
      </c>
      <c r="O538" s="2" t="s">
        <v>3684</v>
      </c>
      <c r="P538" s="4" t="s">
        <v>259</v>
      </c>
      <c r="Q538" s="4" t="s">
        <v>2497</v>
      </c>
      <c r="R538" s="12">
        <v>45344</v>
      </c>
      <c r="S538" s="4">
        <v>4</v>
      </c>
      <c r="T538" s="4" t="s">
        <v>1465</v>
      </c>
      <c r="U538" s="4" t="s">
        <v>39</v>
      </c>
      <c r="V538" s="10">
        <v>45685</v>
      </c>
      <c r="W538" s="12">
        <v>45713</v>
      </c>
      <c r="Z538" t="e">
        <v>#N/A</v>
      </c>
    </row>
    <row r="539" spans="1:26" customFormat="1" hidden="1">
      <c r="A539">
        <f t="shared" ca="1" si="9"/>
        <v>41</v>
      </c>
      <c r="B539" s="4" t="s">
        <v>1550</v>
      </c>
      <c r="C539" s="12">
        <v>45321</v>
      </c>
      <c r="D539" s="4" t="s">
        <v>1070</v>
      </c>
      <c r="E539" s="4" t="s">
        <v>3665</v>
      </c>
      <c r="F539" s="4">
        <v>4287</v>
      </c>
      <c r="G539" s="4" t="s">
        <v>631</v>
      </c>
      <c r="H539" s="4" t="s">
        <v>34</v>
      </c>
      <c r="I539" s="4" t="s">
        <v>1551</v>
      </c>
      <c r="J539" s="4" t="s">
        <v>108</v>
      </c>
      <c r="K539" s="4" t="str">
        <f>IF(E539="KTG","KTG",(VLOOKUP(J539,'list of outsource'!B:H,2,0)))</f>
        <v>UPM</v>
      </c>
      <c r="L539" s="4" t="s">
        <v>109</v>
      </c>
      <c r="M539" s="4">
        <v>38</v>
      </c>
      <c r="N539" s="4" t="s">
        <v>258</v>
      </c>
      <c r="O539" s="2"/>
      <c r="P539" s="4" t="s">
        <v>259</v>
      </c>
      <c r="Q539" s="4">
        <v>1306693339</v>
      </c>
      <c r="R539" s="12" t="s">
        <v>549</v>
      </c>
      <c r="S539" s="4">
        <v>4</v>
      </c>
      <c r="T539" s="4" t="s">
        <v>1258</v>
      </c>
      <c r="U539" s="4" t="s">
        <v>39</v>
      </c>
      <c r="V539" s="10">
        <v>45362</v>
      </c>
      <c r="W539" s="12">
        <v>45456</v>
      </c>
      <c r="Z539" t="e">
        <v>#N/A</v>
      </c>
    </row>
    <row r="540" spans="1:26" customFormat="1" hidden="1">
      <c r="A540">
        <f t="shared" ca="1" si="9"/>
        <v>41</v>
      </c>
      <c r="B540" s="4" t="s">
        <v>1552</v>
      </c>
      <c r="C540" s="12">
        <v>45321</v>
      </c>
      <c r="D540" s="4" t="s">
        <v>1070</v>
      </c>
      <c r="E540" s="4" t="s">
        <v>3665</v>
      </c>
      <c r="F540" s="4">
        <v>4286</v>
      </c>
      <c r="G540" s="4" t="s">
        <v>631</v>
      </c>
      <c r="H540" s="4" t="s">
        <v>34</v>
      </c>
      <c r="I540" s="4" t="s">
        <v>1553</v>
      </c>
      <c r="J540" s="4" t="s">
        <v>108</v>
      </c>
      <c r="K540" s="4" t="str">
        <f>IF(E540="KTG","KTG",(VLOOKUP(J540,'list of outsource'!B:H,2,0)))</f>
        <v>UPM</v>
      </c>
      <c r="L540" s="4" t="s">
        <v>109</v>
      </c>
      <c r="M540" s="4">
        <v>38</v>
      </c>
      <c r="N540" s="4" t="s">
        <v>238</v>
      </c>
      <c r="O540" s="2"/>
      <c r="P540" s="4" t="s">
        <v>459</v>
      </c>
      <c r="Q540" s="4">
        <v>1307236998</v>
      </c>
      <c r="R540" s="12" t="s">
        <v>549</v>
      </c>
      <c r="S540" s="4">
        <v>4</v>
      </c>
      <c r="T540" s="4" t="s">
        <v>1258</v>
      </c>
      <c r="U540" s="4" t="s">
        <v>39</v>
      </c>
      <c r="V540" s="10">
        <v>45362</v>
      </c>
      <c r="W540" s="12">
        <v>45456</v>
      </c>
      <c r="Z540">
        <v>0</v>
      </c>
    </row>
    <row r="541" spans="1:26" customFormat="1" hidden="1">
      <c r="A541">
        <f t="shared" ca="1" si="9"/>
        <v>0</v>
      </c>
      <c r="B541" s="4" t="s">
        <v>1593</v>
      </c>
      <c r="C541" s="12">
        <v>45348</v>
      </c>
      <c r="D541" s="4" t="s">
        <v>1594</v>
      </c>
      <c r="E541" s="4" t="s">
        <v>3662</v>
      </c>
      <c r="F541" s="4">
        <v>4288</v>
      </c>
      <c r="G541" s="4" t="s">
        <v>631</v>
      </c>
      <c r="H541" s="4" t="s">
        <v>34</v>
      </c>
      <c r="I541" s="4" t="s">
        <v>1595</v>
      </c>
      <c r="J541" s="4" t="s">
        <v>490</v>
      </c>
      <c r="K541" s="4" t="str">
        <f>IF(E541="KTG","KTG",(VLOOKUP(J541,'list of outsource'!B:H,2,0)))</f>
        <v>ETC</v>
      </c>
      <c r="L541" s="4" t="s">
        <v>491</v>
      </c>
      <c r="M541" s="4"/>
      <c r="N541" s="4" t="s">
        <v>1596</v>
      </c>
      <c r="O541" s="2"/>
      <c r="P541" s="4" t="s">
        <v>1597</v>
      </c>
      <c r="Q541" s="4">
        <v>1304247396</v>
      </c>
      <c r="R541" s="12"/>
      <c r="S541" s="4"/>
      <c r="T541" s="4" t="s">
        <v>307</v>
      </c>
      <c r="U541" s="4" t="s">
        <v>1598</v>
      </c>
      <c r="V541" s="10">
        <v>45348</v>
      </c>
      <c r="W541" s="12"/>
      <c r="Z541" t="e">
        <v>#N/A</v>
      </c>
    </row>
    <row r="542" spans="1:26" customFormat="1" hidden="1">
      <c r="A542">
        <f t="shared" ca="1" si="9"/>
        <v>59</v>
      </c>
      <c r="B542" s="8" t="s">
        <v>1593</v>
      </c>
      <c r="C542" s="16">
        <v>45873</v>
      </c>
      <c r="D542" s="6" t="s">
        <v>2169</v>
      </c>
      <c r="E542" s="6" t="s">
        <v>3662</v>
      </c>
      <c r="F542" s="6">
        <v>4288</v>
      </c>
      <c r="G542" s="6" t="s">
        <v>631</v>
      </c>
      <c r="H542" s="6" t="s">
        <v>34</v>
      </c>
      <c r="I542" s="6" t="s">
        <v>1595</v>
      </c>
      <c r="J542" s="6" t="s">
        <v>490</v>
      </c>
      <c r="K542" s="6" t="str">
        <f>IF(E542="KTG","KTG",(VLOOKUP(J542,'list of outsource'!B:H,2,0)))</f>
        <v>ETC</v>
      </c>
      <c r="L542" s="6" t="s">
        <v>491</v>
      </c>
      <c r="M542" s="6">
        <v>34</v>
      </c>
      <c r="N542" s="6" t="s">
        <v>1596</v>
      </c>
      <c r="O542" s="2"/>
      <c r="P542" s="6" t="s">
        <v>1597</v>
      </c>
      <c r="Q542" s="6" t="s">
        <v>2958</v>
      </c>
      <c r="R542" s="16"/>
      <c r="S542" s="6">
        <v>4</v>
      </c>
      <c r="T542" s="6" t="s">
        <v>1465</v>
      </c>
      <c r="U542" s="6" t="s">
        <v>39</v>
      </c>
      <c r="V542" s="17">
        <v>45932</v>
      </c>
      <c r="W542" s="16"/>
      <c r="X542" t="s">
        <v>2171</v>
      </c>
    </row>
    <row r="543" spans="1:26" customFormat="1" hidden="1">
      <c r="A543">
        <f t="shared" ca="1" si="9"/>
        <v>3</v>
      </c>
      <c r="B543" s="4" t="s">
        <v>1956</v>
      </c>
      <c r="C543" s="12">
        <v>45465</v>
      </c>
      <c r="D543" s="4" t="s">
        <v>1070</v>
      </c>
      <c r="E543" s="4" t="s">
        <v>3665</v>
      </c>
      <c r="F543" s="4">
        <v>4280</v>
      </c>
      <c r="G543" s="4" t="s">
        <v>631</v>
      </c>
      <c r="H543" s="4" t="s">
        <v>34</v>
      </c>
      <c r="I543" s="4" t="s">
        <v>3668</v>
      </c>
      <c r="J543" s="4" t="s">
        <v>108</v>
      </c>
      <c r="K543" s="4" t="str">
        <f>IF(E543="KTG","KTG",(VLOOKUP(J543,'list of outsource'!B:H,2,0)))</f>
        <v>UPM</v>
      </c>
      <c r="L543" s="4" t="s">
        <v>109</v>
      </c>
      <c r="M543" s="4">
        <v>38</v>
      </c>
      <c r="N543" s="4" t="s">
        <v>1544</v>
      </c>
      <c r="O543" s="2"/>
      <c r="P543" s="4" t="s">
        <v>1545</v>
      </c>
      <c r="Q543" s="4">
        <v>1331795147</v>
      </c>
      <c r="R543" s="12"/>
      <c r="S543" s="4">
        <v>4</v>
      </c>
      <c r="T543" s="4" t="s">
        <v>307</v>
      </c>
      <c r="U543" s="4" t="s">
        <v>39</v>
      </c>
      <c r="V543" s="10">
        <v>45468</v>
      </c>
      <c r="W543" s="12">
        <v>45475</v>
      </c>
      <c r="Z543" t="e">
        <v>#N/A</v>
      </c>
    </row>
    <row r="544" spans="1:26" customFormat="1" hidden="1">
      <c r="A544">
        <f t="shared" ca="1" si="9"/>
        <v>56</v>
      </c>
      <c r="B544" s="8" t="s">
        <v>1941</v>
      </c>
      <c r="C544" s="16">
        <v>45462</v>
      </c>
      <c r="D544" s="6" t="s">
        <v>129</v>
      </c>
      <c r="E544" s="6" t="s">
        <v>3663</v>
      </c>
      <c r="F544" s="6"/>
      <c r="G544" s="6" t="s">
        <v>631</v>
      </c>
      <c r="H544" s="6" t="s">
        <v>34</v>
      </c>
      <c r="I544" s="6" t="s">
        <v>1942</v>
      </c>
      <c r="J544" s="6"/>
      <c r="K544" s="6" t="e">
        <f>IF(E544="KTG","KTG",(VLOOKUP(J544,'list of outsource'!B:H,2,0)))</f>
        <v>#N/A</v>
      </c>
      <c r="L544" s="6"/>
      <c r="M544" s="6"/>
      <c r="N544" s="49" t="s">
        <v>1943</v>
      </c>
      <c r="O544" s="2"/>
      <c r="P544" s="6" t="s">
        <v>1944</v>
      </c>
      <c r="Q544" s="6"/>
      <c r="R544" s="16">
        <v>45483</v>
      </c>
      <c r="S544" s="6">
        <v>4</v>
      </c>
      <c r="T544" s="6" t="s">
        <v>307</v>
      </c>
      <c r="U544" s="6" t="s">
        <v>39</v>
      </c>
      <c r="V544" s="17">
        <v>45518</v>
      </c>
      <c r="W544" s="16"/>
      <c r="Z544" t="e">
        <v>#N/A</v>
      </c>
    </row>
    <row r="545" spans="1:26" customFormat="1">
      <c r="A545">
        <f t="shared" ca="1" si="9"/>
        <v>22</v>
      </c>
      <c r="B545" s="49" t="s">
        <v>2593</v>
      </c>
      <c r="C545" s="12">
        <v>45777</v>
      </c>
      <c r="D545" s="4" t="s">
        <v>300</v>
      </c>
      <c r="E545" s="4" t="s">
        <v>3665</v>
      </c>
      <c r="F545" s="4"/>
      <c r="G545" s="106" t="s">
        <v>86</v>
      </c>
      <c r="H545" s="106" t="s">
        <v>565</v>
      </c>
      <c r="I545" s="49" t="s">
        <v>261</v>
      </c>
      <c r="J545" s="4" t="s">
        <v>96</v>
      </c>
      <c r="K545" s="4" t="str">
        <f>IF(E545="KTG","KTG",(VLOOKUP(J545,'list of outsource'!B:H,2,0)))</f>
        <v>Woer</v>
      </c>
      <c r="L545" s="4" t="s">
        <v>97</v>
      </c>
      <c r="M545" s="4">
        <v>56</v>
      </c>
      <c r="N545" s="4" t="s">
        <v>262</v>
      </c>
      <c r="O545" s="2" t="s">
        <v>3684</v>
      </c>
      <c r="P545" s="4" t="s">
        <v>1964</v>
      </c>
      <c r="Q545" s="4" t="s">
        <v>2594</v>
      </c>
      <c r="R545" s="12"/>
      <c r="S545" s="4">
        <v>4</v>
      </c>
      <c r="T545" s="4" t="s">
        <v>307</v>
      </c>
      <c r="U545" s="4" t="s">
        <v>39</v>
      </c>
      <c r="V545" s="10">
        <v>45799</v>
      </c>
      <c r="W545" s="12">
        <v>45825</v>
      </c>
      <c r="Z545" t="s">
        <v>1240</v>
      </c>
    </row>
    <row r="546" spans="1:26" customFormat="1" hidden="1">
      <c r="A546">
        <f t="shared" ca="1" si="9"/>
        <v>22</v>
      </c>
      <c r="B546" s="4" t="s">
        <v>3473</v>
      </c>
      <c r="C546" s="12">
        <v>45936</v>
      </c>
      <c r="D546" s="4" t="s">
        <v>300</v>
      </c>
      <c r="E546" s="4" t="s">
        <v>3665</v>
      </c>
      <c r="F546" s="4">
        <v>4566</v>
      </c>
      <c r="G546" s="4" t="s">
        <v>626</v>
      </c>
      <c r="H546" s="4" t="s">
        <v>379</v>
      </c>
      <c r="I546" s="4">
        <v>350058</v>
      </c>
      <c r="J546" s="4" t="s">
        <v>96</v>
      </c>
      <c r="K546" s="4" t="str">
        <f>IF(E546="KTG","KTG",(VLOOKUP(J546,'list of outsource'!B:H,2,0)))</f>
        <v>Woer</v>
      </c>
      <c r="L546" s="4" t="s">
        <v>97</v>
      </c>
      <c r="M546" s="4">
        <v>57</v>
      </c>
      <c r="N546" s="4" t="s">
        <v>3163</v>
      </c>
      <c r="O546" s="2"/>
      <c r="P546" s="4" t="s">
        <v>3164</v>
      </c>
      <c r="Q546" s="4" t="s">
        <v>3369</v>
      </c>
      <c r="R546" s="12">
        <v>45943</v>
      </c>
      <c r="S546" s="4">
        <v>3</v>
      </c>
      <c r="T546" s="4" t="s">
        <v>607</v>
      </c>
      <c r="U546" s="4" t="s">
        <v>39</v>
      </c>
      <c r="V546" s="10">
        <v>45958</v>
      </c>
      <c r="W546" s="12">
        <v>45978</v>
      </c>
      <c r="X546" t="s">
        <v>2171</v>
      </c>
      <c r="Z546" t="s">
        <v>3515</v>
      </c>
    </row>
    <row r="547" spans="1:26" customFormat="1">
      <c r="A547">
        <f t="shared" ca="1" si="9"/>
        <v>22</v>
      </c>
      <c r="B547" s="49" t="s">
        <v>2595</v>
      </c>
      <c r="C547" s="12">
        <v>45777</v>
      </c>
      <c r="D547" s="4" t="s">
        <v>300</v>
      </c>
      <c r="E547" s="4" t="s">
        <v>3665</v>
      </c>
      <c r="F547" s="4"/>
      <c r="G547" s="106" t="s">
        <v>86</v>
      </c>
      <c r="H547" s="106" t="s">
        <v>565</v>
      </c>
      <c r="I547" s="49" t="s">
        <v>2596</v>
      </c>
      <c r="J547" s="4" t="s">
        <v>96</v>
      </c>
      <c r="K547" s="4" t="str">
        <f>IF(E547="KTG","KTG",(VLOOKUP(J547,'list of outsource'!B:H,2,0)))</f>
        <v>Woer</v>
      </c>
      <c r="L547" s="4" t="s">
        <v>97</v>
      </c>
      <c r="M547" s="4">
        <v>56</v>
      </c>
      <c r="N547" s="4" t="s">
        <v>2597</v>
      </c>
      <c r="O547" s="2" t="s">
        <v>3684</v>
      </c>
      <c r="P547" s="4" t="s">
        <v>2598</v>
      </c>
      <c r="Q547" s="4" t="s">
        <v>2599</v>
      </c>
      <c r="R547" s="12">
        <v>45796</v>
      </c>
      <c r="S547" s="4">
        <v>4</v>
      </c>
      <c r="T547" s="4" t="s">
        <v>307</v>
      </c>
      <c r="U547" s="4" t="s">
        <v>39</v>
      </c>
      <c r="V547" s="10">
        <v>45799</v>
      </c>
      <c r="W547" s="12">
        <v>45825</v>
      </c>
      <c r="Z547" t="s">
        <v>2600</v>
      </c>
    </row>
    <row r="548" spans="1:26" customFormat="1" hidden="1">
      <c r="A548">
        <f t="shared" ca="1" si="9"/>
        <v>45</v>
      </c>
      <c r="B548" s="4" t="s">
        <v>1202</v>
      </c>
      <c r="C548" s="12">
        <v>45188</v>
      </c>
      <c r="D548" s="4" t="s">
        <v>1070</v>
      </c>
      <c r="E548" s="4" t="s">
        <v>3665</v>
      </c>
      <c r="F548" s="4">
        <v>4563</v>
      </c>
      <c r="G548" s="4" t="s">
        <v>626</v>
      </c>
      <c r="H548" s="4" t="s">
        <v>379</v>
      </c>
      <c r="I548" s="4" t="s">
        <v>1203</v>
      </c>
      <c r="J548" s="4" t="s">
        <v>151</v>
      </c>
      <c r="K548" s="4" t="str">
        <f>IF(E548="KTG","KTG",(VLOOKUP(J548,'list of outsource'!B:H,2,0)))</f>
        <v>UPM</v>
      </c>
      <c r="L548" s="4" t="s">
        <v>381</v>
      </c>
      <c r="M548" s="4">
        <v>23</v>
      </c>
      <c r="N548" s="4" t="s">
        <v>382</v>
      </c>
      <c r="O548" s="2"/>
      <c r="P548" s="4" t="s">
        <v>1204</v>
      </c>
      <c r="Q548" s="4" t="s">
        <v>1205</v>
      </c>
      <c r="R548" s="12"/>
      <c r="S548" s="4">
        <v>4</v>
      </c>
      <c r="T548" s="4"/>
      <c r="U548" s="4" t="s">
        <v>39</v>
      </c>
      <c r="V548" s="10">
        <v>45233</v>
      </c>
      <c r="W548" s="12">
        <v>45366</v>
      </c>
      <c r="Z548">
        <v>0</v>
      </c>
    </row>
    <row r="549" spans="1:26" customFormat="1" hidden="1">
      <c r="A549">
        <f t="shared" ca="1" si="9"/>
        <v>45</v>
      </c>
      <c r="B549" s="4" t="s">
        <v>1206</v>
      </c>
      <c r="C549" s="12">
        <v>45188</v>
      </c>
      <c r="D549" s="4" t="s">
        <v>1070</v>
      </c>
      <c r="E549" s="4" t="s">
        <v>3665</v>
      </c>
      <c r="F549" s="4">
        <v>4564</v>
      </c>
      <c r="G549" s="4" t="s">
        <v>626</v>
      </c>
      <c r="H549" s="4" t="s">
        <v>379</v>
      </c>
      <c r="I549" s="4" t="s">
        <v>1207</v>
      </c>
      <c r="J549" s="4" t="s">
        <v>151</v>
      </c>
      <c r="K549" s="4" t="str">
        <f>IF(E549="KTG","KTG",(VLOOKUP(J549,'list of outsource'!B:H,2,0)))</f>
        <v>UPM</v>
      </c>
      <c r="L549" s="4" t="s">
        <v>381</v>
      </c>
      <c r="M549" s="4">
        <v>23</v>
      </c>
      <c r="N549" s="4" t="s">
        <v>738</v>
      </c>
      <c r="O549" s="2"/>
      <c r="P549" s="4" t="s">
        <v>1208</v>
      </c>
      <c r="Q549" s="4" t="s">
        <v>1209</v>
      </c>
      <c r="R549" s="12"/>
      <c r="S549" s="4">
        <v>4</v>
      </c>
      <c r="T549" s="4"/>
      <c r="U549" s="4" t="s">
        <v>39</v>
      </c>
      <c r="V549" s="10">
        <v>45233</v>
      </c>
      <c r="W549" s="12">
        <v>45366</v>
      </c>
      <c r="Z549" t="e">
        <v>#N/A</v>
      </c>
    </row>
    <row r="550" spans="1:26" customFormat="1" hidden="1">
      <c r="A550">
        <f t="shared" ca="1" si="9"/>
        <v>45</v>
      </c>
      <c r="B550" s="4" t="s">
        <v>1210</v>
      </c>
      <c r="C550" s="12">
        <v>45188</v>
      </c>
      <c r="D550" s="4" t="s">
        <v>1070</v>
      </c>
      <c r="E550" s="4" t="s">
        <v>3665</v>
      </c>
      <c r="F550" s="4">
        <v>4565</v>
      </c>
      <c r="G550" s="4" t="s">
        <v>626</v>
      </c>
      <c r="H550" s="4" t="s">
        <v>379</v>
      </c>
      <c r="I550" s="4" t="s">
        <v>1211</v>
      </c>
      <c r="J550" s="4" t="s">
        <v>151</v>
      </c>
      <c r="K550" s="4" t="str">
        <f>IF(E550="KTG","KTG",(VLOOKUP(J550,'list of outsource'!B:H,2,0)))</f>
        <v>UPM</v>
      </c>
      <c r="L550" s="4" t="s">
        <v>381</v>
      </c>
      <c r="M550" s="4">
        <v>23</v>
      </c>
      <c r="N550" s="4" t="s">
        <v>153</v>
      </c>
      <c r="O550" s="2"/>
      <c r="P550" s="4" t="s">
        <v>1212</v>
      </c>
      <c r="Q550" s="4" t="s">
        <v>1213</v>
      </c>
      <c r="R550" s="12"/>
      <c r="S550" s="4">
        <v>4</v>
      </c>
      <c r="T550" s="4"/>
      <c r="U550" s="4" t="s">
        <v>39</v>
      </c>
      <c r="V550" s="10">
        <v>45233</v>
      </c>
      <c r="W550" s="12">
        <v>45366</v>
      </c>
      <c r="Z550" t="e">
        <v>#N/A</v>
      </c>
    </row>
    <row r="551" spans="1:26" customFormat="1">
      <c r="A551">
        <f t="shared" ca="1" si="9"/>
        <v>9</v>
      </c>
      <c r="B551" s="49" t="s">
        <v>3063</v>
      </c>
      <c r="C551" s="12">
        <v>45896</v>
      </c>
      <c r="D551" s="4" t="s">
        <v>300</v>
      </c>
      <c r="E551" s="4" t="s">
        <v>3662</v>
      </c>
      <c r="F551" s="4"/>
      <c r="G551" s="106" t="s">
        <v>86</v>
      </c>
      <c r="H551" s="106" t="s">
        <v>565</v>
      </c>
      <c r="I551" s="49" t="s">
        <v>359</v>
      </c>
      <c r="J551" s="4" t="s">
        <v>302</v>
      </c>
      <c r="K551" s="4" t="str">
        <f>IF(E551="KTG","KTG",(VLOOKUP(J551,'list of outsource'!B:H,2,0)))</f>
        <v>ETC</v>
      </c>
      <c r="L551" s="4" t="s">
        <v>303</v>
      </c>
      <c r="M551" s="4">
        <v>73</v>
      </c>
      <c r="N551" s="4" t="s">
        <v>360</v>
      </c>
      <c r="O551" s="2" t="s">
        <v>3684</v>
      </c>
      <c r="P551" s="4" t="s">
        <v>361</v>
      </c>
      <c r="Q551" s="4" t="s">
        <v>3064</v>
      </c>
      <c r="R551" s="12">
        <v>45903</v>
      </c>
      <c r="S551" s="4">
        <v>3</v>
      </c>
      <c r="T551" s="4" t="s">
        <v>307</v>
      </c>
      <c r="U551" s="4" t="s">
        <v>39</v>
      </c>
      <c r="V551" s="10">
        <v>45905</v>
      </c>
      <c r="W551" s="12">
        <v>45910</v>
      </c>
    </row>
    <row r="552" spans="1:26" customFormat="1" hidden="1">
      <c r="A552">
        <f t="shared" ca="1" si="9"/>
        <v>45</v>
      </c>
      <c r="B552" s="4" t="s">
        <v>1217</v>
      </c>
      <c r="C552" s="12">
        <v>45188</v>
      </c>
      <c r="D552" s="4" t="s">
        <v>1070</v>
      </c>
      <c r="E552" s="4" t="s">
        <v>3665</v>
      </c>
      <c r="F552" s="4">
        <v>4567</v>
      </c>
      <c r="G552" s="4" t="s">
        <v>626</v>
      </c>
      <c r="H552" s="4" t="s">
        <v>379</v>
      </c>
      <c r="I552" s="4" t="s">
        <v>1218</v>
      </c>
      <c r="J552" s="4" t="s">
        <v>151</v>
      </c>
      <c r="K552" s="4" t="str">
        <f>IF(E552="KTG","KTG",(VLOOKUP(J552,'list of outsource'!B:H,2,0)))</f>
        <v>UPM</v>
      </c>
      <c r="L552" s="4" t="s">
        <v>381</v>
      </c>
      <c r="M552" s="4">
        <v>23</v>
      </c>
      <c r="N552" s="4" t="s">
        <v>792</v>
      </c>
      <c r="O552" s="2"/>
      <c r="P552" s="4" t="s">
        <v>1219</v>
      </c>
      <c r="Q552" s="4" t="s">
        <v>1220</v>
      </c>
      <c r="R552" s="12"/>
      <c r="S552" s="4">
        <v>4</v>
      </c>
      <c r="T552" s="4"/>
      <c r="U552" s="4" t="s">
        <v>39</v>
      </c>
      <c r="V552" s="10">
        <v>45233</v>
      </c>
      <c r="W552" s="12">
        <v>45366</v>
      </c>
      <c r="Z552" t="e">
        <v>#N/A</v>
      </c>
    </row>
    <row r="553" spans="1:26" customFormat="1">
      <c r="A553">
        <f t="shared" ca="1" si="9"/>
        <v>134</v>
      </c>
      <c r="B553" s="104" t="s">
        <v>932</v>
      </c>
      <c r="C553" s="16">
        <v>45110</v>
      </c>
      <c r="D553" s="6" t="s">
        <v>129</v>
      </c>
      <c r="E553" s="6" t="s">
        <v>3662</v>
      </c>
      <c r="F553" s="6"/>
      <c r="G553" s="106" t="s">
        <v>86</v>
      </c>
      <c r="H553" s="106" t="s">
        <v>926</v>
      </c>
      <c r="I553" s="49" t="s">
        <v>933</v>
      </c>
      <c r="J553" s="6" t="s">
        <v>840</v>
      </c>
      <c r="K553" s="6" t="str">
        <f>IF(E553="KTG","KTG",(VLOOKUP(J553,'list of outsource'!B:H,2,0)))</f>
        <v>ETC</v>
      </c>
      <c r="L553" s="6" t="s">
        <v>841</v>
      </c>
      <c r="M553" s="6">
        <v>16</v>
      </c>
      <c r="N553" s="6" t="s">
        <v>934</v>
      </c>
      <c r="O553" s="2" t="s">
        <v>3669</v>
      </c>
      <c r="P553" s="6" t="s">
        <v>935</v>
      </c>
      <c r="Q553" s="6" t="s">
        <v>936</v>
      </c>
      <c r="R553" s="16"/>
      <c r="S553" s="6">
        <v>2</v>
      </c>
      <c r="T553" s="6"/>
      <c r="U553" s="6" t="s">
        <v>39</v>
      </c>
      <c r="V553" s="17">
        <v>45244</v>
      </c>
      <c r="W553" s="16"/>
    </row>
    <row r="554" spans="1:26" customFormat="1" hidden="1">
      <c r="A554">
        <f t="shared" ca="1" si="9"/>
        <v>45</v>
      </c>
      <c r="B554" s="4" t="s">
        <v>1225</v>
      </c>
      <c r="C554" s="12">
        <v>45188</v>
      </c>
      <c r="D554" s="4" t="s">
        <v>1070</v>
      </c>
      <c r="E554" s="4" t="s">
        <v>3665</v>
      </c>
      <c r="F554" s="4">
        <v>4562</v>
      </c>
      <c r="G554" s="4" t="s">
        <v>626</v>
      </c>
      <c r="H554" s="4" t="s">
        <v>379</v>
      </c>
      <c r="I554" s="4" t="s">
        <v>1226</v>
      </c>
      <c r="J554" s="4" t="s">
        <v>151</v>
      </c>
      <c r="K554" s="4" t="str">
        <f>IF(E554="KTG","KTG",(VLOOKUP(J554,'list of outsource'!B:H,2,0)))</f>
        <v>UPM</v>
      </c>
      <c r="L554" s="4" t="s">
        <v>381</v>
      </c>
      <c r="M554" s="4">
        <v>23</v>
      </c>
      <c r="N554" s="4" t="s">
        <v>787</v>
      </c>
      <c r="O554" s="2"/>
      <c r="P554" s="4" t="s">
        <v>1227</v>
      </c>
      <c r="Q554" s="4" t="s">
        <v>1228</v>
      </c>
      <c r="R554" s="12" t="s">
        <v>549</v>
      </c>
      <c r="S554" s="4">
        <v>4</v>
      </c>
      <c r="T554" s="4"/>
      <c r="U554" s="4" t="s">
        <v>39</v>
      </c>
      <c r="V554" s="10">
        <v>45233</v>
      </c>
      <c r="W554" s="12">
        <v>45420</v>
      </c>
      <c r="Z554" t="s">
        <v>789</v>
      </c>
    </row>
    <row r="555" spans="1:26" customFormat="1">
      <c r="A555">
        <f t="shared" ca="1" si="9"/>
        <v>134</v>
      </c>
      <c r="B555" s="104" t="s">
        <v>1000</v>
      </c>
      <c r="C555" s="16">
        <v>45110</v>
      </c>
      <c r="D555" s="6" t="s">
        <v>129</v>
      </c>
      <c r="E555" s="6" t="s">
        <v>3662</v>
      </c>
      <c r="F555" s="6"/>
      <c r="G555" s="106" t="s">
        <v>86</v>
      </c>
      <c r="H555" s="106" t="s">
        <v>926</v>
      </c>
      <c r="I555" s="49" t="s">
        <v>1001</v>
      </c>
      <c r="J555" s="6" t="s">
        <v>840</v>
      </c>
      <c r="K555" s="6" t="str">
        <f>IF(E555="KTG","KTG",(VLOOKUP(J555,'list of outsource'!B:H,2,0)))</f>
        <v>ETC</v>
      </c>
      <c r="L555" s="6" t="s">
        <v>841</v>
      </c>
      <c r="M555" s="6">
        <v>16</v>
      </c>
      <c r="N555" s="6" t="s">
        <v>1002</v>
      </c>
      <c r="O555" s="2" t="s">
        <v>3669</v>
      </c>
      <c r="P555" s="6" t="s">
        <v>1003</v>
      </c>
      <c r="Q555" s="6" t="s">
        <v>1004</v>
      </c>
      <c r="R555" s="16"/>
      <c r="S555" s="6">
        <v>2</v>
      </c>
      <c r="T555" s="6"/>
      <c r="U555" s="6" t="s">
        <v>39</v>
      </c>
      <c r="V555" s="17">
        <v>45244</v>
      </c>
      <c r="W555" s="16"/>
    </row>
    <row r="556" spans="1:26" customFormat="1">
      <c r="A556">
        <f t="shared" ca="1" si="9"/>
        <v>134</v>
      </c>
      <c r="B556" s="104" t="s">
        <v>1009</v>
      </c>
      <c r="C556" s="16">
        <v>45110</v>
      </c>
      <c r="D556" s="6" t="s">
        <v>129</v>
      </c>
      <c r="E556" s="6" t="s">
        <v>3662</v>
      </c>
      <c r="F556" s="6"/>
      <c r="G556" s="106" t="s">
        <v>86</v>
      </c>
      <c r="H556" s="106" t="s">
        <v>926</v>
      </c>
      <c r="I556" s="49" t="s">
        <v>1010</v>
      </c>
      <c r="J556" s="6" t="s">
        <v>840</v>
      </c>
      <c r="K556" s="6" t="str">
        <f>IF(E556="KTG","KTG",(VLOOKUP(J556,'list of outsource'!B:H,2,0)))</f>
        <v>ETC</v>
      </c>
      <c r="L556" s="6" t="s">
        <v>841</v>
      </c>
      <c r="M556" s="6">
        <v>16</v>
      </c>
      <c r="N556" s="6" t="s">
        <v>1011</v>
      </c>
      <c r="O556" s="2" t="s">
        <v>3669</v>
      </c>
      <c r="P556" s="6" t="s">
        <v>1012</v>
      </c>
      <c r="Q556" s="6" t="s">
        <v>1013</v>
      </c>
      <c r="R556" s="16"/>
      <c r="S556" s="6">
        <v>2</v>
      </c>
      <c r="T556" s="6"/>
      <c r="U556" s="6" t="s">
        <v>39</v>
      </c>
      <c r="V556" s="17">
        <v>45244</v>
      </c>
      <c r="W556" s="16"/>
    </row>
    <row r="557" spans="1:26" customFormat="1">
      <c r="A557">
        <f t="shared" ca="1" si="9"/>
        <v>134</v>
      </c>
      <c r="B557" s="104" t="s">
        <v>1029</v>
      </c>
      <c r="C557" s="16">
        <v>45110</v>
      </c>
      <c r="D557" s="6" t="s">
        <v>129</v>
      </c>
      <c r="E557" s="6" t="s">
        <v>3662</v>
      </c>
      <c r="F557" s="6"/>
      <c r="G557" s="106" t="s">
        <v>86</v>
      </c>
      <c r="H557" s="106" t="s">
        <v>926</v>
      </c>
      <c r="I557" s="49" t="s">
        <v>1030</v>
      </c>
      <c r="J557" s="6" t="s">
        <v>490</v>
      </c>
      <c r="K557" s="6" t="str">
        <f>IF(E557="KTG","KTG",(VLOOKUP(J557,'list of outsource'!B:H,2,0)))</f>
        <v>ETC</v>
      </c>
      <c r="L557" s="6" t="s">
        <v>491</v>
      </c>
      <c r="M557" s="6">
        <v>19</v>
      </c>
      <c r="N557" s="6" t="s">
        <v>1031</v>
      </c>
      <c r="O557" s="2" t="s">
        <v>3669</v>
      </c>
      <c r="P557" s="6" t="s">
        <v>1032</v>
      </c>
      <c r="Q557" s="6">
        <v>1262271639</v>
      </c>
      <c r="R557" s="16"/>
      <c r="S557" s="6">
        <v>2</v>
      </c>
      <c r="T557" s="6"/>
      <c r="U557" s="6" t="s">
        <v>39</v>
      </c>
      <c r="V557" s="17">
        <v>45244</v>
      </c>
      <c r="W557" s="16"/>
    </row>
    <row r="558" spans="1:26" customFormat="1">
      <c r="A558">
        <f t="shared" ca="1" si="9"/>
        <v>134</v>
      </c>
      <c r="B558" s="104" t="s">
        <v>1045</v>
      </c>
      <c r="C558" s="16">
        <v>45110</v>
      </c>
      <c r="D558" s="6" t="s">
        <v>129</v>
      </c>
      <c r="E558" s="6" t="s">
        <v>3662</v>
      </c>
      <c r="F558" s="6"/>
      <c r="G558" s="106" t="s">
        <v>86</v>
      </c>
      <c r="H558" s="106" t="s">
        <v>926</v>
      </c>
      <c r="I558" s="49" t="s">
        <v>1046</v>
      </c>
      <c r="J558" s="6" t="s">
        <v>525</v>
      </c>
      <c r="K558" s="6" t="str">
        <f>IF(E558="KTG","KTG",(VLOOKUP(J558,'list of outsource'!B:H,2,0)))</f>
        <v>ETC</v>
      </c>
      <c r="L558" s="6" t="s">
        <v>526</v>
      </c>
      <c r="M558" s="6">
        <v>17</v>
      </c>
      <c r="N558" s="6" t="s">
        <v>1047</v>
      </c>
      <c r="O558" s="2" t="s">
        <v>3669</v>
      </c>
      <c r="P558" s="6" t="s">
        <v>1048</v>
      </c>
      <c r="Q558" s="6">
        <v>1214811503</v>
      </c>
      <c r="R558" s="16"/>
      <c r="S558" s="6">
        <v>2</v>
      </c>
      <c r="T558" s="6"/>
      <c r="U558" s="6" t="s">
        <v>39</v>
      </c>
      <c r="V558" s="17">
        <v>45244</v>
      </c>
      <c r="W558" s="16"/>
    </row>
    <row r="559" spans="1:26" customFormat="1">
      <c r="A559">
        <f t="shared" ca="1" si="9"/>
        <v>1</v>
      </c>
      <c r="B559" s="104" t="s">
        <v>3520</v>
      </c>
      <c r="C559" s="16">
        <v>45980</v>
      </c>
      <c r="D559" s="6" t="s">
        <v>129</v>
      </c>
      <c r="E559" s="6" t="s">
        <v>3665</v>
      </c>
      <c r="F559" s="6"/>
      <c r="G559" s="106" t="s">
        <v>1834</v>
      </c>
      <c r="H559" s="106" t="s">
        <v>165</v>
      </c>
      <c r="I559" s="49" t="s">
        <v>281</v>
      </c>
      <c r="J559" s="6" t="s">
        <v>96</v>
      </c>
      <c r="K559" s="6" t="str">
        <f>IF(E559="KTG","KTG",(VLOOKUP(J559,'list of outsource'!B:H,2,0)))</f>
        <v>Woer</v>
      </c>
      <c r="L559" s="6" t="s">
        <v>97</v>
      </c>
      <c r="M559" s="6">
        <v>57</v>
      </c>
      <c r="N559" s="6" t="s">
        <v>282</v>
      </c>
      <c r="O559" s="2" t="s">
        <v>3684</v>
      </c>
      <c r="P559" s="6" t="s">
        <v>860</v>
      </c>
      <c r="Q559" s="6" t="s">
        <v>3517</v>
      </c>
      <c r="R559" s="16">
        <v>45436</v>
      </c>
      <c r="S559" s="6">
        <v>1</v>
      </c>
      <c r="T559" s="6" t="s">
        <v>307</v>
      </c>
      <c r="U559" s="6" t="s">
        <v>183</v>
      </c>
      <c r="V559" s="17">
        <v>45981</v>
      </c>
      <c r="W559" s="16"/>
    </row>
    <row r="560" spans="1:26" customFormat="1">
      <c r="A560">
        <f t="shared" ca="1" si="9"/>
        <v>3</v>
      </c>
      <c r="B560" s="49" t="s">
        <v>3471</v>
      </c>
      <c r="C560" s="12">
        <v>45971</v>
      </c>
      <c r="D560" s="4" t="s">
        <v>300</v>
      </c>
      <c r="E560" s="4" t="s">
        <v>3663</v>
      </c>
      <c r="F560" s="4"/>
      <c r="G560" s="106" t="s">
        <v>1834</v>
      </c>
      <c r="H560" s="106" t="s">
        <v>165</v>
      </c>
      <c r="I560" s="49" t="s">
        <v>1844</v>
      </c>
      <c r="J560" s="4"/>
      <c r="K560" s="4" t="e">
        <f>IF(E560="KTG","KTG",(VLOOKUP(J560,'list of outsource'!B:H,2,0)))</f>
        <v>#N/A</v>
      </c>
      <c r="L560" s="4"/>
      <c r="M560" s="4"/>
      <c r="N560" s="4" t="s">
        <v>1845</v>
      </c>
      <c r="O560" s="2" t="s">
        <v>3684</v>
      </c>
      <c r="P560" s="4" t="s">
        <v>1846</v>
      </c>
      <c r="Q560" s="4"/>
      <c r="R560" s="12">
        <v>45442</v>
      </c>
      <c r="S560" s="4">
        <v>1</v>
      </c>
      <c r="T560" s="4" t="s">
        <v>307</v>
      </c>
      <c r="U560" s="4" t="s">
        <v>183</v>
      </c>
      <c r="V560" s="10">
        <v>45974</v>
      </c>
      <c r="W560" s="12">
        <v>45981</v>
      </c>
    </row>
    <row r="561" spans="1:26" customFormat="1">
      <c r="A561">
        <f t="shared" ca="1" si="9"/>
        <v>1</v>
      </c>
      <c r="B561" s="104" t="s">
        <v>859</v>
      </c>
      <c r="C561" s="16">
        <v>45435</v>
      </c>
      <c r="D561" s="6" t="s">
        <v>129</v>
      </c>
      <c r="E561" s="6" t="s">
        <v>3665</v>
      </c>
      <c r="F561" s="6"/>
      <c r="G561" s="106" t="s">
        <v>1834</v>
      </c>
      <c r="H561" s="106" t="s">
        <v>165</v>
      </c>
      <c r="I561" s="49" t="s">
        <v>281</v>
      </c>
      <c r="J561" s="6" t="s">
        <v>96</v>
      </c>
      <c r="K561" s="6" t="str">
        <f>IF(E561="KTG","KTG",(VLOOKUP(J561,'list of outsource'!B:H,2,0)))</f>
        <v>Woer</v>
      </c>
      <c r="L561" s="6" t="s">
        <v>97</v>
      </c>
      <c r="M561" s="6"/>
      <c r="N561" s="6" t="s">
        <v>282</v>
      </c>
      <c r="O561" s="2" t="s">
        <v>3684</v>
      </c>
      <c r="P561" s="6" t="s">
        <v>860</v>
      </c>
      <c r="Q561" s="6" t="s">
        <v>861</v>
      </c>
      <c r="R561" s="16">
        <v>45436</v>
      </c>
      <c r="S561" s="6">
        <v>1</v>
      </c>
      <c r="T561" s="6" t="s">
        <v>307</v>
      </c>
      <c r="U561" s="6" t="s">
        <v>183</v>
      </c>
      <c r="V561" s="17">
        <v>45436</v>
      </c>
      <c r="W561" s="16"/>
      <c r="Z561" t="e">
        <v>#N/A</v>
      </c>
    </row>
    <row r="562" spans="1:26" customFormat="1">
      <c r="A562">
        <f t="shared" ca="1" si="9"/>
        <v>7</v>
      </c>
      <c r="B562" s="104" t="s">
        <v>1835</v>
      </c>
      <c r="C562" s="16">
        <v>45435</v>
      </c>
      <c r="D562" s="6" t="s">
        <v>129</v>
      </c>
      <c r="E562" s="6" t="s">
        <v>3663</v>
      </c>
      <c r="F562" s="6"/>
      <c r="G562" s="106" t="s">
        <v>1834</v>
      </c>
      <c r="H562" s="106" t="s">
        <v>165</v>
      </c>
      <c r="I562" s="49" t="s">
        <v>1836</v>
      </c>
      <c r="J562" s="6"/>
      <c r="K562" s="6" t="e">
        <f>IF(E562="KTG","KTG",(VLOOKUP(J562,'list of outsource'!B:H,2,0)))</f>
        <v>#N/A</v>
      </c>
      <c r="L562" s="6"/>
      <c r="M562" s="6"/>
      <c r="N562" s="6" t="s">
        <v>1837</v>
      </c>
      <c r="O562" s="2" t="s">
        <v>3684</v>
      </c>
      <c r="P562" s="6" t="s">
        <v>1838</v>
      </c>
      <c r="Q562" s="6"/>
      <c r="R562" s="16">
        <v>45442</v>
      </c>
      <c r="S562" s="6">
        <v>1</v>
      </c>
      <c r="T562" s="6" t="s">
        <v>307</v>
      </c>
      <c r="U562" s="6" t="s">
        <v>183</v>
      </c>
      <c r="V562" s="17">
        <v>45442</v>
      </c>
      <c r="W562" s="16"/>
      <c r="Z562" t="e">
        <v>#N/A</v>
      </c>
    </row>
    <row r="563" spans="1:26" customFormat="1">
      <c r="A563">
        <f t="shared" ca="1" si="9"/>
        <v>35</v>
      </c>
      <c r="B563" s="49" t="s">
        <v>1835</v>
      </c>
      <c r="C563" s="12">
        <v>45791</v>
      </c>
      <c r="D563" s="4" t="s">
        <v>300</v>
      </c>
      <c r="E563" s="4" t="s">
        <v>3663</v>
      </c>
      <c r="F563" s="4"/>
      <c r="G563" s="106" t="s">
        <v>1834</v>
      </c>
      <c r="H563" s="106" t="s">
        <v>165</v>
      </c>
      <c r="I563" s="49" t="s">
        <v>1836</v>
      </c>
      <c r="J563" s="4"/>
      <c r="K563" s="4" t="e">
        <f>IF(E563="KTG","KTG",(VLOOKUP(J563,'list of outsource'!B:H,2,0)))</f>
        <v>#N/A</v>
      </c>
      <c r="L563" s="4"/>
      <c r="M563" s="4"/>
      <c r="N563" s="4" t="s">
        <v>1837</v>
      </c>
      <c r="O563" s="2" t="s">
        <v>3684</v>
      </c>
      <c r="P563" s="4" t="s">
        <v>1838</v>
      </c>
      <c r="Q563" s="4"/>
      <c r="R563" s="12">
        <v>45442</v>
      </c>
      <c r="S563" s="4">
        <v>1</v>
      </c>
      <c r="T563" s="4" t="s">
        <v>307</v>
      </c>
      <c r="U563" s="4" t="s">
        <v>183</v>
      </c>
      <c r="V563" s="10">
        <v>45826</v>
      </c>
      <c r="W563" s="12">
        <v>45987</v>
      </c>
      <c r="Z563" t="e">
        <v>#N/A</v>
      </c>
    </row>
    <row r="564" spans="1:26" customFormat="1">
      <c r="A564">
        <f t="shared" ca="1" si="9"/>
        <v>7</v>
      </c>
      <c r="B564" s="104" t="s">
        <v>1839</v>
      </c>
      <c r="C564" s="16">
        <v>45435</v>
      </c>
      <c r="D564" s="6" t="s">
        <v>129</v>
      </c>
      <c r="E564" s="6" t="s">
        <v>3663</v>
      </c>
      <c r="F564" s="6"/>
      <c r="G564" s="106" t="s">
        <v>1834</v>
      </c>
      <c r="H564" s="106" t="s">
        <v>165</v>
      </c>
      <c r="I564" s="49" t="s">
        <v>1840</v>
      </c>
      <c r="J564" s="6"/>
      <c r="K564" s="6" t="e">
        <f>IF(E564="KTG","KTG",(VLOOKUP(J564,'list of outsource'!B:H,2,0)))</f>
        <v>#N/A</v>
      </c>
      <c r="L564" s="6"/>
      <c r="M564" s="6"/>
      <c r="N564" s="6" t="s">
        <v>1841</v>
      </c>
      <c r="O564" s="2" t="s">
        <v>3684</v>
      </c>
      <c r="P564" s="6" t="s">
        <v>1842</v>
      </c>
      <c r="Q564" s="6"/>
      <c r="R564" s="16">
        <v>45442</v>
      </c>
      <c r="S564" s="6">
        <v>1</v>
      </c>
      <c r="T564" s="6" t="s">
        <v>307</v>
      </c>
      <c r="U564" s="6" t="s">
        <v>183</v>
      </c>
      <c r="V564" s="17">
        <v>45442</v>
      </c>
      <c r="W564" s="16"/>
      <c r="Z564" t="e">
        <v>#N/A</v>
      </c>
    </row>
    <row r="565" spans="1:26" customFormat="1">
      <c r="A565">
        <f t="shared" ca="1" si="9"/>
        <v>35</v>
      </c>
      <c r="B565" s="104" t="s">
        <v>1839</v>
      </c>
      <c r="C565" s="16">
        <v>45791</v>
      </c>
      <c r="D565" s="6" t="s">
        <v>129</v>
      </c>
      <c r="E565" s="6" t="s">
        <v>3663</v>
      </c>
      <c r="F565" s="6"/>
      <c r="G565" s="106" t="s">
        <v>1834</v>
      </c>
      <c r="H565" s="106" t="s">
        <v>165</v>
      </c>
      <c r="I565" s="49" t="s">
        <v>1840</v>
      </c>
      <c r="J565" s="6"/>
      <c r="K565" s="6" t="e">
        <f>IF(E565="KTG","KTG",(VLOOKUP(J565,'list of outsource'!B:H,2,0)))</f>
        <v>#N/A</v>
      </c>
      <c r="L565" s="6"/>
      <c r="M565" s="48"/>
      <c r="N565" s="6" t="s">
        <v>1841</v>
      </c>
      <c r="O565" s="2" t="s">
        <v>3684</v>
      </c>
      <c r="P565" s="6" t="s">
        <v>1842</v>
      </c>
      <c r="Q565" s="6"/>
      <c r="R565" s="16">
        <v>45442</v>
      </c>
      <c r="S565" s="6">
        <v>1</v>
      </c>
      <c r="T565" s="6" t="s">
        <v>307</v>
      </c>
      <c r="U565" s="6" t="s">
        <v>183</v>
      </c>
      <c r="V565" s="17">
        <v>45826</v>
      </c>
      <c r="W565" s="16"/>
      <c r="Z565" t="e">
        <v>#N/A</v>
      </c>
    </row>
    <row r="566" spans="1:26" customFormat="1">
      <c r="A566">
        <f t="shared" ca="1" si="9"/>
        <v>7</v>
      </c>
      <c r="B566" s="104" t="s">
        <v>1843</v>
      </c>
      <c r="C566" s="16">
        <v>45435</v>
      </c>
      <c r="D566" s="6" t="s">
        <v>129</v>
      </c>
      <c r="E566" s="6" t="s">
        <v>3663</v>
      </c>
      <c r="F566" s="6"/>
      <c r="G566" s="106" t="s">
        <v>1834</v>
      </c>
      <c r="H566" s="106" t="s">
        <v>165</v>
      </c>
      <c r="I566" s="49" t="s">
        <v>1844</v>
      </c>
      <c r="J566" s="6"/>
      <c r="K566" s="6" t="e">
        <f>IF(E566="KTG","KTG",(VLOOKUP(J566,'list of outsource'!B:H,2,0)))</f>
        <v>#N/A</v>
      </c>
      <c r="L566" s="6"/>
      <c r="M566" s="6"/>
      <c r="N566" s="6" t="s">
        <v>1845</v>
      </c>
      <c r="O566" s="2" t="s">
        <v>3684</v>
      </c>
      <c r="P566" s="6" t="s">
        <v>1846</v>
      </c>
      <c r="Q566" s="6"/>
      <c r="R566" s="16">
        <v>45442</v>
      </c>
      <c r="S566" s="6">
        <v>1</v>
      </c>
      <c r="T566" s="6" t="s">
        <v>307</v>
      </c>
      <c r="U566" s="6" t="s">
        <v>183</v>
      </c>
      <c r="V566" s="17">
        <v>45442</v>
      </c>
      <c r="W566" s="16"/>
      <c r="Z566" t="e">
        <v>#N/A</v>
      </c>
    </row>
    <row r="567" spans="1:26" customFormat="1">
      <c r="A567">
        <f t="shared" ca="1" si="9"/>
        <v>35</v>
      </c>
      <c r="B567" s="49" t="s">
        <v>2516</v>
      </c>
      <c r="C567" s="12">
        <v>45791</v>
      </c>
      <c r="D567" s="4" t="s">
        <v>300</v>
      </c>
      <c r="E567" s="4" t="s">
        <v>3663</v>
      </c>
      <c r="F567" s="4"/>
      <c r="G567" s="106" t="s">
        <v>1834</v>
      </c>
      <c r="H567" s="106" t="s">
        <v>165</v>
      </c>
      <c r="I567" s="49" t="s">
        <v>2517</v>
      </c>
      <c r="J567" s="4"/>
      <c r="K567" s="4" t="e">
        <f>IF(E567="KTG","KTG",(VLOOKUP(J567,'list of outsource'!B:H,2,0)))</f>
        <v>#N/A</v>
      </c>
      <c r="L567" s="4"/>
      <c r="M567" s="4"/>
      <c r="N567" s="4" t="s">
        <v>2518</v>
      </c>
      <c r="O567" s="2" t="s">
        <v>3684</v>
      </c>
      <c r="P567" s="4" t="s">
        <v>2519</v>
      </c>
      <c r="Q567" s="4"/>
      <c r="R567" s="12"/>
      <c r="S567" s="4">
        <v>1</v>
      </c>
      <c r="T567" s="4" t="s">
        <v>307</v>
      </c>
      <c r="U567" s="4" t="s">
        <v>183</v>
      </c>
      <c r="V567" s="10">
        <v>45826</v>
      </c>
      <c r="W567" s="12">
        <v>45828</v>
      </c>
      <c r="Z567" t="e">
        <v>#N/A</v>
      </c>
    </row>
    <row r="568" spans="1:26" customFormat="1">
      <c r="A568">
        <f t="shared" ca="1" si="9"/>
        <v>35</v>
      </c>
      <c r="B568" s="49" t="s">
        <v>2520</v>
      </c>
      <c r="C568" s="12">
        <v>45791</v>
      </c>
      <c r="D568" s="4" t="s">
        <v>300</v>
      </c>
      <c r="E568" s="4" t="s">
        <v>3663</v>
      </c>
      <c r="F568" s="4"/>
      <c r="G568" s="106" t="s">
        <v>1834</v>
      </c>
      <c r="H568" s="106" t="s">
        <v>165</v>
      </c>
      <c r="I568" s="49" t="s">
        <v>2521</v>
      </c>
      <c r="J568" s="4"/>
      <c r="K568" s="4" t="e">
        <f>IF(E568="KTG","KTG",(VLOOKUP(J568,'list of outsource'!B:H,2,0)))</f>
        <v>#N/A</v>
      </c>
      <c r="L568" s="4"/>
      <c r="M568" s="4"/>
      <c r="N568" s="4" t="s">
        <v>2522</v>
      </c>
      <c r="O568" s="2" t="s">
        <v>3684</v>
      </c>
      <c r="P568" s="4" t="s">
        <v>2523</v>
      </c>
      <c r="Q568" s="4"/>
      <c r="R568" s="12"/>
      <c r="S568" s="4">
        <v>1</v>
      </c>
      <c r="T568" s="4" t="s">
        <v>307</v>
      </c>
      <c r="U568" s="4" t="s">
        <v>183</v>
      </c>
      <c r="V568" s="10">
        <v>45826</v>
      </c>
      <c r="W568" s="12">
        <v>45828</v>
      </c>
      <c r="Z568" t="e">
        <v>#N/A</v>
      </c>
    </row>
    <row r="569" spans="1:26" customFormat="1">
      <c r="A569">
        <f t="shared" ca="1" si="9"/>
        <v>42</v>
      </c>
      <c r="B569" s="104" t="s">
        <v>813</v>
      </c>
      <c r="C569" s="16">
        <v>45049</v>
      </c>
      <c r="D569" s="6" t="s">
        <v>129</v>
      </c>
      <c r="E569" s="6" t="s">
        <v>3662</v>
      </c>
      <c r="F569" s="6"/>
      <c r="G569" s="106" t="s">
        <v>420</v>
      </c>
      <c r="H569" s="106" t="s">
        <v>379</v>
      </c>
      <c r="I569" s="49" t="s">
        <v>814</v>
      </c>
      <c r="J569" s="6" t="s">
        <v>302</v>
      </c>
      <c r="K569" s="6" t="str">
        <f>IF(E569="KTG","KTG",(VLOOKUP(J569,'list of outsource'!B:H,2,0)))</f>
        <v>ETC</v>
      </c>
      <c r="L569" s="6" t="s">
        <v>303</v>
      </c>
      <c r="M569" s="6"/>
      <c r="N569" s="6" t="s">
        <v>815</v>
      </c>
      <c r="O569" s="2" t="s">
        <v>3669</v>
      </c>
      <c r="P569" s="6" t="s">
        <v>771</v>
      </c>
      <c r="Q569" s="6">
        <v>1230873815</v>
      </c>
      <c r="R569" s="16"/>
      <c r="S569" s="6">
        <v>2</v>
      </c>
      <c r="T569" s="6"/>
      <c r="U569" s="6" t="s">
        <v>39</v>
      </c>
      <c r="V569" s="17">
        <v>45091</v>
      </c>
      <c r="W569" s="16"/>
    </row>
    <row r="570" spans="1:26" customFormat="1">
      <c r="A570">
        <f t="shared" ca="1" si="9"/>
        <v>42</v>
      </c>
      <c r="B570" s="104" t="s">
        <v>824</v>
      </c>
      <c r="C570" s="16">
        <v>45049</v>
      </c>
      <c r="D570" s="6" t="s">
        <v>129</v>
      </c>
      <c r="E570" s="6" t="s">
        <v>3662</v>
      </c>
      <c r="F570" s="6"/>
      <c r="G570" s="106" t="s">
        <v>420</v>
      </c>
      <c r="H570" s="106" t="s">
        <v>379</v>
      </c>
      <c r="I570" s="49" t="s">
        <v>825</v>
      </c>
      <c r="J570" s="6" t="s">
        <v>302</v>
      </c>
      <c r="K570" s="6" t="str">
        <f>IF(E570="KTG","KTG",(VLOOKUP(J570,'list of outsource'!B:H,2,0)))</f>
        <v>ETC</v>
      </c>
      <c r="L570" s="6" t="s">
        <v>303</v>
      </c>
      <c r="M570" s="6"/>
      <c r="N570" s="6" t="s">
        <v>478</v>
      </c>
      <c r="O570" s="2" t="s">
        <v>3669</v>
      </c>
      <c r="P570" s="6" t="s">
        <v>826</v>
      </c>
      <c r="Q570" s="6">
        <v>1231239934</v>
      </c>
      <c r="R570" s="16"/>
      <c r="S570" s="6">
        <v>2</v>
      </c>
      <c r="T570" s="6"/>
      <c r="U570" s="6" t="s">
        <v>39</v>
      </c>
      <c r="V570" s="17">
        <v>45091</v>
      </c>
      <c r="W570" s="16"/>
    </row>
    <row r="571" spans="1:26" customFormat="1">
      <c r="A571">
        <f t="shared" ca="1" si="9"/>
        <v>21</v>
      </c>
      <c r="B571" s="104" t="s">
        <v>831</v>
      </c>
      <c r="C571" s="16">
        <v>45049</v>
      </c>
      <c r="D571" s="6" t="s">
        <v>129</v>
      </c>
      <c r="E571" s="6" t="s">
        <v>3662</v>
      </c>
      <c r="F571" s="6"/>
      <c r="G571" s="106" t="s">
        <v>420</v>
      </c>
      <c r="H571" s="106" t="s">
        <v>379</v>
      </c>
      <c r="I571" s="49" t="s">
        <v>586</v>
      </c>
      <c r="J571" s="6" t="s">
        <v>302</v>
      </c>
      <c r="K571" s="6" t="str">
        <f>IF(E571="KTG","KTG",(VLOOKUP(J571,'list of outsource'!B:H,2,0)))</f>
        <v>ETC</v>
      </c>
      <c r="L571" s="6" t="s">
        <v>303</v>
      </c>
      <c r="M571" s="6"/>
      <c r="N571" s="6" t="s">
        <v>587</v>
      </c>
      <c r="O571" s="2" t="s">
        <v>3669</v>
      </c>
      <c r="P571" s="6" t="s">
        <v>588</v>
      </c>
      <c r="Q571" s="6">
        <v>1201418073</v>
      </c>
      <c r="R571" s="16"/>
      <c r="S571" s="6">
        <v>2</v>
      </c>
      <c r="T571" s="6"/>
      <c r="U571" s="6" t="s">
        <v>39</v>
      </c>
      <c r="V571" s="17">
        <v>45070</v>
      </c>
      <c r="W571" s="16"/>
      <c r="Z571" t="e">
        <v>#N/A</v>
      </c>
    </row>
    <row r="572" spans="1:26" customFormat="1">
      <c r="A572">
        <f t="shared" ca="1" si="9"/>
        <v>17</v>
      </c>
      <c r="B572" s="104" t="s">
        <v>831</v>
      </c>
      <c r="C572" s="16">
        <v>45818</v>
      </c>
      <c r="D572" s="6" t="s">
        <v>129</v>
      </c>
      <c r="E572" s="6" t="s">
        <v>3662</v>
      </c>
      <c r="F572" s="6"/>
      <c r="G572" s="106" t="s">
        <v>420</v>
      </c>
      <c r="H572" s="106" t="s">
        <v>379</v>
      </c>
      <c r="I572" s="49" t="s">
        <v>586</v>
      </c>
      <c r="J572" s="6" t="s">
        <v>302</v>
      </c>
      <c r="K572" s="6" t="str">
        <f>IF(E572="KTG","KTG",(VLOOKUP(J572,'list of outsource'!B:H,2,0)))</f>
        <v>ETC</v>
      </c>
      <c r="L572" s="6" t="s">
        <v>303</v>
      </c>
      <c r="M572" s="6">
        <v>70</v>
      </c>
      <c r="N572" s="6" t="s">
        <v>587</v>
      </c>
      <c r="O572" s="2" t="s">
        <v>3669</v>
      </c>
      <c r="P572" s="6" t="s">
        <v>588</v>
      </c>
      <c r="Q572" s="6" t="s">
        <v>832</v>
      </c>
      <c r="R572" s="16"/>
      <c r="S572" s="6">
        <v>3</v>
      </c>
      <c r="T572" s="6" t="s">
        <v>307</v>
      </c>
      <c r="U572" s="6" t="s">
        <v>550</v>
      </c>
      <c r="V572" s="17">
        <v>45835</v>
      </c>
      <c r="W572" s="16"/>
      <c r="Z572" t="e">
        <v>#N/A</v>
      </c>
    </row>
    <row r="573" spans="1:26" customFormat="1">
      <c r="A573">
        <f t="shared" ca="1" si="9"/>
        <v>20</v>
      </c>
      <c r="B573" s="104" t="s">
        <v>833</v>
      </c>
      <c r="C573" s="16">
        <v>45049</v>
      </c>
      <c r="D573" s="6" t="s">
        <v>129</v>
      </c>
      <c r="E573" s="6" t="s">
        <v>3662</v>
      </c>
      <c r="F573" s="6"/>
      <c r="G573" s="106" t="s">
        <v>420</v>
      </c>
      <c r="H573" s="106" t="s">
        <v>379</v>
      </c>
      <c r="I573" s="49" t="s">
        <v>834</v>
      </c>
      <c r="J573" s="6" t="s">
        <v>302</v>
      </c>
      <c r="K573" s="6" t="str">
        <f>IF(E573="KTG","KTG",(VLOOKUP(J573,'list of outsource'!B:H,2,0)))</f>
        <v>ETC</v>
      </c>
      <c r="L573" s="6" t="s">
        <v>303</v>
      </c>
      <c r="M573" s="6"/>
      <c r="N573" s="6" t="s">
        <v>835</v>
      </c>
      <c r="O573" s="2" t="s">
        <v>3669</v>
      </c>
      <c r="P573" s="6" t="s">
        <v>836</v>
      </c>
      <c r="Q573" s="6">
        <v>1214709577</v>
      </c>
      <c r="R573" s="16"/>
      <c r="S573" s="6">
        <v>2</v>
      </c>
      <c r="T573" s="6"/>
      <c r="U573" s="6" t="s">
        <v>39</v>
      </c>
      <c r="V573" s="17">
        <v>45069</v>
      </c>
      <c r="W573" s="16"/>
      <c r="Z573" t="e">
        <v>#N/A</v>
      </c>
    </row>
    <row r="574" spans="1:26" customFormat="1">
      <c r="A574">
        <f t="shared" ca="1" si="9"/>
        <v>17</v>
      </c>
      <c r="B574" s="104" t="s">
        <v>833</v>
      </c>
      <c r="C574" s="16">
        <v>45818</v>
      </c>
      <c r="D574" s="6" t="s">
        <v>129</v>
      </c>
      <c r="E574" s="6" t="s">
        <v>3662</v>
      </c>
      <c r="F574" s="6"/>
      <c r="G574" s="106" t="s">
        <v>420</v>
      </c>
      <c r="H574" s="106" t="s">
        <v>379</v>
      </c>
      <c r="I574" s="49" t="s">
        <v>834</v>
      </c>
      <c r="J574" s="6" t="s">
        <v>302</v>
      </c>
      <c r="K574" s="6" t="str">
        <f>IF(E574="KTG","KTG",(VLOOKUP(J574,'list of outsource'!B:H,2,0)))</f>
        <v>ETC</v>
      </c>
      <c r="L574" s="6" t="s">
        <v>303</v>
      </c>
      <c r="M574" s="6">
        <v>70</v>
      </c>
      <c r="N574" s="6" t="s">
        <v>835</v>
      </c>
      <c r="O574" s="2" t="s">
        <v>3669</v>
      </c>
      <c r="P574" s="6" t="s">
        <v>836</v>
      </c>
      <c r="Q574" s="6" t="s">
        <v>837</v>
      </c>
      <c r="R574" s="16"/>
      <c r="S574" s="6">
        <v>3</v>
      </c>
      <c r="T574" s="6" t="s">
        <v>307</v>
      </c>
      <c r="U574" s="6" t="s">
        <v>550</v>
      </c>
      <c r="V574" s="17">
        <v>45835</v>
      </c>
      <c r="W574" s="16"/>
      <c r="Z574" t="e">
        <v>#N/A</v>
      </c>
    </row>
    <row r="575" spans="1:26" customFormat="1">
      <c r="A575">
        <f t="shared" ca="1" si="9"/>
        <v>42</v>
      </c>
      <c r="B575" s="104" t="s">
        <v>838</v>
      </c>
      <c r="C575" s="16">
        <v>45049</v>
      </c>
      <c r="D575" s="6" t="s">
        <v>129</v>
      </c>
      <c r="E575" s="6" t="s">
        <v>3662</v>
      </c>
      <c r="F575" s="6"/>
      <c r="G575" s="106" t="s">
        <v>420</v>
      </c>
      <c r="H575" s="106" t="s">
        <v>379</v>
      </c>
      <c r="I575" s="49" t="s">
        <v>839</v>
      </c>
      <c r="J575" s="6" t="s">
        <v>840</v>
      </c>
      <c r="K575" s="6" t="str">
        <f>IF(E575="KTG","KTG",(VLOOKUP(J575,'list of outsource'!B:H,2,0)))</f>
        <v>ETC</v>
      </c>
      <c r="L575" s="6" t="s">
        <v>841</v>
      </c>
      <c r="M575" s="6"/>
      <c r="N575" s="6" t="s">
        <v>842</v>
      </c>
      <c r="O575" s="2" t="s">
        <v>3669</v>
      </c>
      <c r="P575" s="6" t="s">
        <v>843</v>
      </c>
      <c r="Q575" s="6">
        <v>1230226930</v>
      </c>
      <c r="R575" s="16"/>
      <c r="S575" s="6">
        <v>2</v>
      </c>
      <c r="T575" s="6"/>
      <c r="U575" s="6" t="s">
        <v>39</v>
      </c>
      <c r="V575" s="17">
        <v>45091</v>
      </c>
      <c r="W575" s="16"/>
    </row>
    <row r="576" spans="1:26" customFormat="1">
      <c r="A576">
        <f t="shared" ca="1" si="9"/>
        <v>17</v>
      </c>
      <c r="B576" s="104" t="s">
        <v>838</v>
      </c>
      <c r="C576" s="16">
        <v>45818</v>
      </c>
      <c r="D576" s="6" t="s">
        <v>129</v>
      </c>
      <c r="E576" s="6" t="s">
        <v>3662</v>
      </c>
      <c r="F576" s="6"/>
      <c r="G576" s="106" t="s">
        <v>420</v>
      </c>
      <c r="H576" s="106" t="s">
        <v>379</v>
      </c>
      <c r="I576" s="49" t="s">
        <v>839</v>
      </c>
      <c r="J576" s="6" t="s">
        <v>840</v>
      </c>
      <c r="K576" s="6" t="str">
        <f>IF(E576="KTG","KTG",(VLOOKUP(J576,'list of outsource'!B:H,2,0)))</f>
        <v>ETC</v>
      </c>
      <c r="L576" s="6" t="s">
        <v>841</v>
      </c>
      <c r="M576" s="6">
        <v>20</v>
      </c>
      <c r="N576" s="6" t="s">
        <v>842</v>
      </c>
      <c r="O576" s="2" t="s">
        <v>3669</v>
      </c>
      <c r="P576" s="6" t="s">
        <v>843</v>
      </c>
      <c r="Q576" s="6" t="s">
        <v>872</v>
      </c>
      <c r="R576" s="16"/>
      <c r="S576" s="6">
        <v>3</v>
      </c>
      <c r="T576" s="6" t="s">
        <v>307</v>
      </c>
      <c r="U576" s="6" t="s">
        <v>550</v>
      </c>
      <c r="V576" s="17">
        <v>45835</v>
      </c>
      <c r="W576" s="16"/>
      <c r="Z576" t="e">
        <v>#N/A</v>
      </c>
    </row>
    <row r="577" spans="1:26" customFormat="1" hidden="1">
      <c r="A577">
        <f t="shared" ca="1" si="9"/>
        <v>1051</v>
      </c>
      <c r="B577" s="4" t="s">
        <v>662</v>
      </c>
      <c r="C577" s="12">
        <v>44957</v>
      </c>
      <c r="D577" s="4" t="s">
        <v>585</v>
      </c>
      <c r="E577" s="4" t="s">
        <v>3665</v>
      </c>
      <c r="F577" s="4"/>
      <c r="G577" s="4" t="s">
        <v>86</v>
      </c>
      <c r="H577" s="4" t="s">
        <v>565</v>
      </c>
      <c r="I577" s="4" t="s">
        <v>663</v>
      </c>
      <c r="J577" s="4" t="s">
        <v>408</v>
      </c>
      <c r="K577" s="4" t="str">
        <f>IF(E577="KTG","KTG",(VLOOKUP(J577,'list of outsource'!B:H,2,0)))</f>
        <v>UPM</v>
      </c>
      <c r="L577" s="4" t="s">
        <v>409</v>
      </c>
      <c r="M577" s="4"/>
      <c r="N577" s="49" t="s">
        <v>664</v>
      </c>
      <c r="O577" s="2"/>
      <c r="P577" s="4" t="s">
        <v>665</v>
      </c>
      <c r="Q577" s="4"/>
      <c r="R577" s="12"/>
      <c r="S577" s="4">
        <v>2</v>
      </c>
      <c r="T577" s="4"/>
      <c r="U577" s="4" t="s">
        <v>39</v>
      </c>
      <c r="V577" s="10"/>
      <c r="W577" s="12"/>
    </row>
    <row r="578" spans="1:26" customFormat="1">
      <c r="A578">
        <f t="shared" ca="1" si="9"/>
        <v>42</v>
      </c>
      <c r="B578" s="104" t="s">
        <v>873</v>
      </c>
      <c r="C578" s="16">
        <v>45049</v>
      </c>
      <c r="D578" s="6" t="s">
        <v>129</v>
      </c>
      <c r="E578" s="6" t="s">
        <v>3662</v>
      </c>
      <c r="F578" s="6"/>
      <c r="G578" s="106" t="s">
        <v>420</v>
      </c>
      <c r="H578" s="106" t="s">
        <v>379</v>
      </c>
      <c r="I578" s="49" t="s">
        <v>874</v>
      </c>
      <c r="J578" s="6" t="s">
        <v>302</v>
      </c>
      <c r="K578" s="6" t="str">
        <f>IF(E578="KTG","KTG",(VLOOKUP(J578,'list of outsource'!B:H,2,0)))</f>
        <v>ETC</v>
      </c>
      <c r="L578" s="6" t="s">
        <v>303</v>
      </c>
      <c r="M578" s="6">
        <v>38</v>
      </c>
      <c r="N578" s="6" t="s">
        <v>875</v>
      </c>
      <c r="O578" s="2" t="s">
        <v>3669</v>
      </c>
      <c r="P578" s="6" t="s">
        <v>876</v>
      </c>
      <c r="Q578" s="6">
        <v>1230815655</v>
      </c>
      <c r="R578" s="16"/>
      <c r="S578" s="6">
        <v>2</v>
      </c>
      <c r="T578" s="6"/>
      <c r="U578" s="6" t="s">
        <v>39</v>
      </c>
      <c r="V578" s="17">
        <v>45091</v>
      </c>
      <c r="W578" s="16"/>
    </row>
    <row r="579" spans="1:26" customFormat="1" hidden="1">
      <c r="A579">
        <f t="shared" ca="1" si="9"/>
        <v>1051</v>
      </c>
      <c r="B579" s="4" t="s">
        <v>668</v>
      </c>
      <c r="C579" s="12">
        <v>44957</v>
      </c>
      <c r="D579" s="4" t="s">
        <v>585</v>
      </c>
      <c r="E579" s="4" t="s">
        <v>3665</v>
      </c>
      <c r="F579" s="4"/>
      <c r="G579" s="4" t="s">
        <v>86</v>
      </c>
      <c r="H579" s="4" t="s">
        <v>565</v>
      </c>
      <c r="I579" s="4" t="s">
        <v>552</v>
      </c>
      <c r="J579" s="4" t="s">
        <v>190</v>
      </c>
      <c r="K579" s="4" t="str">
        <f>IF(E579="KTG","KTG",(VLOOKUP(J579,'list of outsource'!B:H,2,0)))</f>
        <v>UPM</v>
      </c>
      <c r="L579" s="4" t="s">
        <v>191</v>
      </c>
      <c r="M579" s="4"/>
      <c r="N579" s="4" t="s">
        <v>553</v>
      </c>
      <c r="O579" s="2"/>
      <c r="P579" s="4" t="s">
        <v>669</v>
      </c>
      <c r="Q579" s="4"/>
      <c r="R579" s="12"/>
      <c r="S579" s="4">
        <v>2</v>
      </c>
      <c r="T579" s="4"/>
      <c r="U579" s="4" t="s">
        <v>39</v>
      </c>
      <c r="V579" s="10"/>
      <c r="W579" s="12"/>
    </row>
    <row r="580" spans="1:26" customFormat="1" hidden="1">
      <c r="A580">
        <f t="shared" ca="1" si="9"/>
        <v>45</v>
      </c>
      <c r="B580" s="4" t="s">
        <v>670</v>
      </c>
      <c r="C580" s="12">
        <v>44992</v>
      </c>
      <c r="D580" s="4" t="s">
        <v>129</v>
      </c>
      <c r="E580" s="4" t="s">
        <v>3665</v>
      </c>
      <c r="F580" s="4"/>
      <c r="G580" s="4" t="s">
        <v>86</v>
      </c>
      <c r="H580" s="4" t="s">
        <v>565</v>
      </c>
      <c r="I580" s="4" t="s">
        <v>671</v>
      </c>
      <c r="J580" s="4" t="s">
        <v>96</v>
      </c>
      <c r="K580" s="4" t="str">
        <f>IF(E580="KTG","KTG",(VLOOKUP(J580,'list of outsource'!B:H,2,0)))</f>
        <v>Woer</v>
      </c>
      <c r="L580" s="4" t="s">
        <v>97</v>
      </c>
      <c r="M580" s="4"/>
      <c r="N580" s="49" t="s">
        <v>672</v>
      </c>
      <c r="O580" s="2"/>
      <c r="P580" s="4" t="s">
        <v>673</v>
      </c>
      <c r="Q580" s="4">
        <v>1213326486</v>
      </c>
      <c r="R580" s="12"/>
      <c r="S580" s="4">
        <v>3</v>
      </c>
      <c r="T580" s="4"/>
      <c r="U580" s="4" t="s">
        <v>39</v>
      </c>
      <c r="V580" s="10" t="s">
        <v>674</v>
      </c>
      <c r="W580" s="12"/>
    </row>
    <row r="581" spans="1:26" customFormat="1" hidden="1">
      <c r="A581">
        <f t="shared" ca="1" si="9"/>
        <v>45</v>
      </c>
      <c r="B581" s="4" t="s">
        <v>675</v>
      </c>
      <c r="C581" s="12">
        <v>44992</v>
      </c>
      <c r="D581" s="4" t="s">
        <v>129</v>
      </c>
      <c r="E581" s="4" t="s">
        <v>3665</v>
      </c>
      <c r="F581" s="4"/>
      <c r="G581" s="4" t="s">
        <v>86</v>
      </c>
      <c r="H581" s="4" t="s">
        <v>565</v>
      </c>
      <c r="I581" s="4" t="s">
        <v>676</v>
      </c>
      <c r="J581" s="4" t="s">
        <v>96</v>
      </c>
      <c r="K581" s="4" t="str">
        <f>IF(E581="KTG","KTG",(VLOOKUP(J581,'list of outsource'!B:H,2,0)))</f>
        <v>Woer</v>
      </c>
      <c r="L581" s="4" t="s">
        <v>97</v>
      </c>
      <c r="M581" s="4"/>
      <c r="N581" s="49" t="s">
        <v>677</v>
      </c>
      <c r="O581" s="2"/>
      <c r="P581" s="4" t="s">
        <v>678</v>
      </c>
      <c r="Q581" s="4">
        <v>1213335305</v>
      </c>
      <c r="R581" s="12"/>
      <c r="S581" s="4">
        <v>3</v>
      </c>
      <c r="T581" s="4"/>
      <c r="U581" s="4" t="s">
        <v>39</v>
      </c>
      <c r="V581" s="10" t="s">
        <v>674</v>
      </c>
      <c r="W581" s="12"/>
    </row>
    <row r="582" spans="1:26" customFormat="1" hidden="1">
      <c r="A582">
        <f t="shared" ca="1" si="9"/>
        <v>45</v>
      </c>
      <c r="B582" s="4" t="s">
        <v>679</v>
      </c>
      <c r="C582" s="12">
        <v>44992</v>
      </c>
      <c r="D582" s="4" t="s">
        <v>129</v>
      </c>
      <c r="E582" s="4" t="s">
        <v>3665</v>
      </c>
      <c r="F582" s="4"/>
      <c r="G582" s="4" t="s">
        <v>86</v>
      </c>
      <c r="H582" s="4" t="s">
        <v>565</v>
      </c>
      <c r="I582" s="4" t="s">
        <v>680</v>
      </c>
      <c r="J582" s="4" t="s">
        <v>96</v>
      </c>
      <c r="K582" s="4" t="str">
        <f>IF(E582="KTG","KTG",(VLOOKUP(J582,'list of outsource'!B:H,2,0)))</f>
        <v>Woer</v>
      </c>
      <c r="L582" s="4" t="s">
        <v>97</v>
      </c>
      <c r="M582" s="4"/>
      <c r="N582" s="49" t="s">
        <v>681</v>
      </c>
      <c r="O582" s="2"/>
      <c r="P582" s="4" t="s">
        <v>682</v>
      </c>
      <c r="Q582" s="4">
        <v>1213338798</v>
      </c>
      <c r="R582" s="12"/>
      <c r="S582" s="4">
        <v>3</v>
      </c>
      <c r="T582" s="4"/>
      <c r="U582" s="4" t="s">
        <v>39</v>
      </c>
      <c r="V582" s="10" t="s">
        <v>674</v>
      </c>
      <c r="W582" s="12"/>
    </row>
    <row r="583" spans="1:26" customFormat="1" hidden="1">
      <c r="A583">
        <f t="shared" ca="1" si="9"/>
        <v>45</v>
      </c>
      <c r="B583" s="4" t="s">
        <v>683</v>
      </c>
      <c r="C583" s="12">
        <v>44992</v>
      </c>
      <c r="D583" s="4" t="s">
        <v>129</v>
      </c>
      <c r="E583" s="4" t="s">
        <v>3665</v>
      </c>
      <c r="F583" s="4"/>
      <c r="G583" s="4" t="s">
        <v>86</v>
      </c>
      <c r="H583" s="4" t="s">
        <v>565</v>
      </c>
      <c r="I583" s="4" t="s">
        <v>684</v>
      </c>
      <c r="J583" s="4" t="s">
        <v>96</v>
      </c>
      <c r="K583" s="4" t="str">
        <f>IF(E583="KTG","KTG",(VLOOKUP(J583,'list of outsource'!B:H,2,0)))</f>
        <v>Woer</v>
      </c>
      <c r="L583" s="4" t="s">
        <v>97</v>
      </c>
      <c r="M583" s="4"/>
      <c r="N583" s="49" t="s">
        <v>685</v>
      </c>
      <c r="O583" s="2"/>
      <c r="P583" s="4" t="s">
        <v>686</v>
      </c>
      <c r="Q583" s="4">
        <v>1213657930</v>
      </c>
      <c r="R583" s="12"/>
      <c r="S583" s="4">
        <v>3</v>
      </c>
      <c r="T583" s="4"/>
      <c r="U583" s="4" t="s">
        <v>39</v>
      </c>
      <c r="V583" s="10" t="s">
        <v>674</v>
      </c>
      <c r="W583" s="12"/>
    </row>
    <row r="584" spans="1:26" customFormat="1">
      <c r="A584">
        <f t="shared" ca="1" si="9"/>
        <v>17</v>
      </c>
      <c r="B584" s="104" t="s">
        <v>873</v>
      </c>
      <c r="C584" s="16">
        <v>45818</v>
      </c>
      <c r="D584" s="6" t="s">
        <v>129</v>
      </c>
      <c r="E584" s="6" t="s">
        <v>3662</v>
      </c>
      <c r="F584" s="6"/>
      <c r="G584" s="106" t="s">
        <v>420</v>
      </c>
      <c r="H584" s="106" t="s">
        <v>379</v>
      </c>
      <c r="I584" s="49" t="s">
        <v>874</v>
      </c>
      <c r="J584" s="6" t="s">
        <v>302</v>
      </c>
      <c r="K584" s="6" t="str">
        <f>IF(E584="KTG","KTG",(VLOOKUP(J584,'list of outsource'!B:H,2,0)))</f>
        <v>ETC</v>
      </c>
      <c r="L584" s="6" t="s">
        <v>303</v>
      </c>
      <c r="M584" s="6">
        <v>70</v>
      </c>
      <c r="N584" s="6" t="s">
        <v>875</v>
      </c>
      <c r="O584" s="2" t="s">
        <v>3669</v>
      </c>
      <c r="P584" s="6" t="s">
        <v>876</v>
      </c>
      <c r="Q584" s="6" t="s">
        <v>877</v>
      </c>
      <c r="R584" s="16"/>
      <c r="S584" s="6">
        <v>3</v>
      </c>
      <c r="T584" s="6" t="s">
        <v>607</v>
      </c>
      <c r="U584" s="6" t="s">
        <v>550</v>
      </c>
      <c r="V584" s="17">
        <v>45835</v>
      </c>
      <c r="W584" s="16"/>
      <c r="Z584" t="s">
        <v>878</v>
      </c>
    </row>
    <row r="585" spans="1:26" customFormat="1" hidden="1">
      <c r="A585">
        <f t="shared" ca="1" si="9"/>
        <v>45</v>
      </c>
      <c r="B585" s="4" t="s">
        <v>862</v>
      </c>
      <c r="C585" s="12">
        <v>44992</v>
      </c>
      <c r="D585" s="4" t="s">
        <v>129</v>
      </c>
      <c r="E585" s="4" t="s">
        <v>3665</v>
      </c>
      <c r="F585" s="4"/>
      <c r="G585" s="4" t="s">
        <v>86</v>
      </c>
      <c r="H585" s="4" t="s">
        <v>565</v>
      </c>
      <c r="I585" s="4" t="s">
        <v>863</v>
      </c>
      <c r="J585" s="4" t="s">
        <v>96</v>
      </c>
      <c r="K585" s="4" t="str">
        <f>IF(E585="KTG","KTG",(VLOOKUP(J585,'list of outsource'!B:H,2,0)))</f>
        <v>Woer</v>
      </c>
      <c r="L585" s="4" t="s">
        <v>97</v>
      </c>
      <c r="M585" s="4"/>
      <c r="N585" s="49" t="s">
        <v>864</v>
      </c>
      <c r="O585" s="2"/>
      <c r="P585" s="4" t="s">
        <v>865</v>
      </c>
      <c r="Q585" s="4">
        <v>1213680579</v>
      </c>
      <c r="R585" s="12"/>
      <c r="S585" s="4">
        <v>3</v>
      </c>
      <c r="T585" s="4"/>
      <c r="U585" s="4" t="s">
        <v>39</v>
      </c>
      <c r="V585" s="10" t="s">
        <v>674</v>
      </c>
      <c r="W585" s="12"/>
    </row>
    <row r="586" spans="1:26" customFormat="1">
      <c r="A586">
        <f t="shared" ref="A586:A649" ca="1" si="10">IF(V586="",(TODAY()-C586),(V586-C586))</f>
        <v>20</v>
      </c>
      <c r="B586" s="104" t="s">
        <v>879</v>
      </c>
      <c r="C586" s="16">
        <v>45049</v>
      </c>
      <c r="D586" s="6" t="s">
        <v>129</v>
      </c>
      <c r="E586" s="6" t="s">
        <v>3662</v>
      </c>
      <c r="F586" s="6"/>
      <c r="G586" s="106" t="s">
        <v>420</v>
      </c>
      <c r="H586" s="106" t="s">
        <v>379</v>
      </c>
      <c r="I586" s="49" t="s">
        <v>688</v>
      </c>
      <c r="J586" s="6" t="s">
        <v>302</v>
      </c>
      <c r="K586" s="6" t="str">
        <f>IF(E586="KTG","KTG",(VLOOKUP(J586,'list of outsource'!B:H,2,0)))</f>
        <v>ETC</v>
      </c>
      <c r="L586" s="6" t="s">
        <v>303</v>
      </c>
      <c r="M586" s="6"/>
      <c r="N586" s="6" t="s">
        <v>689</v>
      </c>
      <c r="O586" s="2" t="s">
        <v>3669</v>
      </c>
      <c r="P586" s="6" t="s">
        <v>690</v>
      </c>
      <c r="Q586" s="6">
        <v>1213677083</v>
      </c>
      <c r="R586" s="16"/>
      <c r="S586" s="6">
        <v>2</v>
      </c>
      <c r="T586" s="6"/>
      <c r="U586" s="6" t="s">
        <v>39</v>
      </c>
      <c r="V586" s="17">
        <v>45069</v>
      </c>
      <c r="W586" s="16"/>
      <c r="Z586" t="e">
        <v>#N/A</v>
      </c>
    </row>
    <row r="587" spans="1:26" customFormat="1">
      <c r="A587">
        <f t="shared" ca="1" si="10"/>
        <v>17</v>
      </c>
      <c r="B587" s="104" t="s">
        <v>879</v>
      </c>
      <c r="C587" s="16">
        <v>45818</v>
      </c>
      <c r="D587" s="6" t="s">
        <v>129</v>
      </c>
      <c r="E587" s="6" t="s">
        <v>3662</v>
      </c>
      <c r="F587" s="6"/>
      <c r="G587" s="106" t="s">
        <v>420</v>
      </c>
      <c r="H587" s="106" t="s">
        <v>379</v>
      </c>
      <c r="I587" s="49" t="s">
        <v>688</v>
      </c>
      <c r="J587" s="6" t="s">
        <v>302</v>
      </c>
      <c r="K587" s="6" t="str">
        <f>IF(E587="KTG","KTG",(VLOOKUP(J587,'list of outsource'!B:H,2,0)))</f>
        <v>ETC</v>
      </c>
      <c r="L587" s="6" t="s">
        <v>303</v>
      </c>
      <c r="M587" s="6">
        <v>70</v>
      </c>
      <c r="N587" s="6" t="s">
        <v>689</v>
      </c>
      <c r="O587" s="2" t="s">
        <v>3669</v>
      </c>
      <c r="P587" s="6" t="s">
        <v>690</v>
      </c>
      <c r="Q587" s="6" t="s">
        <v>1054</v>
      </c>
      <c r="R587" s="16"/>
      <c r="S587" s="6">
        <v>3</v>
      </c>
      <c r="T587" s="6" t="s">
        <v>307</v>
      </c>
      <c r="U587" s="6" t="s">
        <v>550</v>
      </c>
      <c r="V587" s="17">
        <v>45835</v>
      </c>
      <c r="W587" s="16"/>
      <c r="Z587" t="e">
        <v>#N/A</v>
      </c>
    </row>
    <row r="588" spans="1:26" customFormat="1">
      <c r="A588">
        <f t="shared" ca="1" si="10"/>
        <v>42</v>
      </c>
      <c r="B588" s="104" t="s">
        <v>1096</v>
      </c>
      <c r="C588" s="16">
        <v>45049</v>
      </c>
      <c r="D588" s="6" t="s">
        <v>129</v>
      </c>
      <c r="E588" s="6" t="s">
        <v>3662</v>
      </c>
      <c r="F588" s="6"/>
      <c r="G588" s="106" t="s">
        <v>420</v>
      </c>
      <c r="H588" s="106" t="s">
        <v>379</v>
      </c>
      <c r="I588" s="49" t="s">
        <v>1097</v>
      </c>
      <c r="J588" s="6" t="s">
        <v>302</v>
      </c>
      <c r="K588" s="6" t="str">
        <f>IF(E588="KTG","KTG",(VLOOKUP(J588,'list of outsource'!B:H,2,0)))</f>
        <v>ETC</v>
      </c>
      <c r="L588" s="6" t="s">
        <v>303</v>
      </c>
      <c r="M588" s="6"/>
      <c r="N588" s="6" t="s">
        <v>1098</v>
      </c>
      <c r="O588" s="2" t="s">
        <v>3669</v>
      </c>
      <c r="P588" s="6" t="s">
        <v>1099</v>
      </c>
      <c r="Q588" s="6">
        <v>1230868873</v>
      </c>
      <c r="R588" s="16"/>
      <c r="S588" s="6">
        <v>2</v>
      </c>
      <c r="T588" s="6"/>
      <c r="U588" s="6" t="s">
        <v>39</v>
      </c>
      <c r="V588" s="17">
        <v>45091</v>
      </c>
      <c r="W588" s="16"/>
    </row>
    <row r="589" spans="1:26" customFormat="1">
      <c r="A589">
        <f t="shared" ca="1" si="10"/>
        <v>17</v>
      </c>
      <c r="B589" s="104" t="s">
        <v>1096</v>
      </c>
      <c r="C589" s="16">
        <v>45818</v>
      </c>
      <c r="D589" s="6" t="s">
        <v>129</v>
      </c>
      <c r="E589" s="6" t="s">
        <v>3662</v>
      </c>
      <c r="F589" s="6"/>
      <c r="G589" s="106" t="s">
        <v>420</v>
      </c>
      <c r="H589" s="106" t="s">
        <v>379</v>
      </c>
      <c r="I589" s="49" t="s">
        <v>1097</v>
      </c>
      <c r="J589" s="6" t="s">
        <v>302</v>
      </c>
      <c r="K589" s="6" t="str">
        <f>IF(E589="KTG","KTG",(VLOOKUP(J589,'list of outsource'!B:H,2,0)))</f>
        <v>ETC</v>
      </c>
      <c r="L589" s="6" t="s">
        <v>303</v>
      </c>
      <c r="M589" s="6">
        <v>70</v>
      </c>
      <c r="N589" s="6" t="s">
        <v>1098</v>
      </c>
      <c r="O589" s="2" t="s">
        <v>3669</v>
      </c>
      <c r="P589" s="6" t="s">
        <v>1099</v>
      </c>
      <c r="Q589" s="6" t="s">
        <v>1470</v>
      </c>
      <c r="R589" s="16"/>
      <c r="S589" s="6">
        <v>3</v>
      </c>
      <c r="T589" s="6" t="s">
        <v>307</v>
      </c>
      <c r="U589" s="6" t="s">
        <v>550</v>
      </c>
      <c r="V589" s="17">
        <v>45835</v>
      </c>
      <c r="W589" s="16"/>
      <c r="Z589" t="e">
        <v>#N/A</v>
      </c>
    </row>
    <row r="590" spans="1:26" customFormat="1">
      <c r="A590">
        <f t="shared" ca="1" si="10"/>
        <v>21</v>
      </c>
      <c r="B590" s="104" t="s">
        <v>1498</v>
      </c>
      <c r="C590" s="16">
        <v>45049</v>
      </c>
      <c r="D590" s="6" t="s">
        <v>129</v>
      </c>
      <c r="E590" s="6" t="s">
        <v>3662</v>
      </c>
      <c r="F590" s="6"/>
      <c r="G590" s="106" t="s">
        <v>420</v>
      </c>
      <c r="H590" s="106" t="s">
        <v>379</v>
      </c>
      <c r="I590" s="49" t="s">
        <v>798</v>
      </c>
      <c r="J590" s="6" t="s">
        <v>302</v>
      </c>
      <c r="K590" s="6" t="str">
        <f>IF(E590="KTG","KTG",(VLOOKUP(J590,'list of outsource'!B:H,2,0)))</f>
        <v>ETC</v>
      </c>
      <c r="L590" s="6" t="s">
        <v>303</v>
      </c>
      <c r="M590" s="6"/>
      <c r="N590" s="6" t="s">
        <v>487</v>
      </c>
      <c r="O590" s="2" t="s">
        <v>3669</v>
      </c>
      <c r="P590" s="6" t="s">
        <v>799</v>
      </c>
      <c r="Q590" s="6">
        <v>1210982220</v>
      </c>
      <c r="R590" s="16"/>
      <c r="S590" s="6">
        <v>2</v>
      </c>
      <c r="T590" s="6"/>
      <c r="U590" s="6" t="s">
        <v>39</v>
      </c>
      <c r="V590" s="17">
        <v>45070</v>
      </c>
      <c r="W590" s="16"/>
      <c r="Z590" t="e">
        <v>#N/A</v>
      </c>
    </row>
    <row r="591" spans="1:26" customFormat="1">
      <c r="A591">
        <f t="shared" ca="1" si="10"/>
        <v>17</v>
      </c>
      <c r="B591" s="104" t="s">
        <v>1498</v>
      </c>
      <c r="C591" s="16">
        <v>45818</v>
      </c>
      <c r="D591" s="6" t="s">
        <v>129</v>
      </c>
      <c r="E591" s="6" t="s">
        <v>3662</v>
      </c>
      <c r="F591" s="6"/>
      <c r="G591" s="106" t="s">
        <v>420</v>
      </c>
      <c r="H591" s="106" t="s">
        <v>379</v>
      </c>
      <c r="I591" s="49" t="s">
        <v>798</v>
      </c>
      <c r="J591" s="6" t="s">
        <v>302</v>
      </c>
      <c r="K591" s="6" t="str">
        <f>IF(E591="KTG","KTG",(VLOOKUP(J591,'list of outsource'!B:H,2,0)))</f>
        <v>ETC</v>
      </c>
      <c r="L591" s="6" t="s">
        <v>303</v>
      </c>
      <c r="M591" s="6">
        <v>70</v>
      </c>
      <c r="N591" s="6" t="s">
        <v>487</v>
      </c>
      <c r="O591" s="2" t="s">
        <v>3669</v>
      </c>
      <c r="P591" s="6" t="s">
        <v>799</v>
      </c>
      <c r="Q591" s="6" t="s">
        <v>1529</v>
      </c>
      <c r="R591" s="16"/>
      <c r="S591" s="6">
        <v>3</v>
      </c>
      <c r="T591" s="6" t="s">
        <v>307</v>
      </c>
      <c r="U591" s="6" t="s">
        <v>550</v>
      </c>
      <c r="V591" s="17">
        <v>45835</v>
      </c>
      <c r="W591" s="16"/>
      <c r="Z591" t="e">
        <v>#N/A</v>
      </c>
    </row>
    <row r="592" spans="1:26" customFormat="1">
      <c r="A592">
        <f t="shared" ca="1" si="10"/>
        <v>35</v>
      </c>
      <c r="B592" s="104" t="s">
        <v>2407</v>
      </c>
      <c r="C592" s="16">
        <v>45065</v>
      </c>
      <c r="D592" s="6" t="s">
        <v>129</v>
      </c>
      <c r="E592" s="6" t="s">
        <v>3662</v>
      </c>
      <c r="F592" s="6"/>
      <c r="G592" s="106" t="s">
        <v>420</v>
      </c>
      <c r="H592" s="106" t="s">
        <v>379</v>
      </c>
      <c r="I592" s="49" t="s">
        <v>2267</v>
      </c>
      <c r="J592" s="6" t="s">
        <v>302</v>
      </c>
      <c r="K592" s="6" t="str">
        <f>IF(E592="KTG","KTG",(VLOOKUP(J592,'list of outsource'!B:H,2,0)))</f>
        <v>ETC</v>
      </c>
      <c r="L592" s="6" t="s">
        <v>303</v>
      </c>
      <c r="M592" s="6"/>
      <c r="N592" s="6" t="s">
        <v>2268</v>
      </c>
      <c r="O592" s="2" t="s">
        <v>3669</v>
      </c>
      <c r="P592" s="6" t="s">
        <v>2269</v>
      </c>
      <c r="Q592" s="6">
        <v>1214745059</v>
      </c>
      <c r="R592" s="16"/>
      <c r="S592" s="6">
        <v>2</v>
      </c>
      <c r="T592" s="6"/>
      <c r="U592" s="6" t="s">
        <v>39</v>
      </c>
      <c r="V592" s="17">
        <v>45100</v>
      </c>
      <c r="W592" s="16"/>
    </row>
    <row r="593" spans="1:26" customFormat="1">
      <c r="A593">
        <f t="shared" ca="1" si="10"/>
        <v>35</v>
      </c>
      <c r="B593" s="104" t="s">
        <v>2414</v>
      </c>
      <c r="C593" s="16">
        <v>45065</v>
      </c>
      <c r="D593" s="6" t="s">
        <v>129</v>
      </c>
      <c r="E593" s="6" t="s">
        <v>3662</v>
      </c>
      <c r="F593" s="6"/>
      <c r="G593" s="106" t="s">
        <v>420</v>
      </c>
      <c r="H593" s="106" t="s">
        <v>379</v>
      </c>
      <c r="I593" s="49" t="s">
        <v>2415</v>
      </c>
      <c r="J593" s="6" t="s">
        <v>302</v>
      </c>
      <c r="K593" s="6" t="str">
        <f>IF(E593="KTG","KTG",(VLOOKUP(J593,'list of outsource'!B:H,2,0)))</f>
        <v>ETC</v>
      </c>
      <c r="L593" s="6" t="s">
        <v>303</v>
      </c>
      <c r="M593" s="6"/>
      <c r="N593" s="6" t="s">
        <v>2416</v>
      </c>
      <c r="O593" s="2" t="s">
        <v>3669</v>
      </c>
      <c r="P593" s="6" t="s">
        <v>2417</v>
      </c>
      <c r="Q593" s="6">
        <v>1233581520</v>
      </c>
      <c r="R593" s="16"/>
      <c r="S593" s="6">
        <v>2</v>
      </c>
      <c r="T593" s="6"/>
      <c r="U593" s="6" t="s">
        <v>39</v>
      </c>
      <c r="V593" s="17">
        <v>45100</v>
      </c>
      <c r="W593" s="16"/>
    </row>
    <row r="594" spans="1:26" customFormat="1">
      <c r="A594">
        <f t="shared" ca="1" si="10"/>
        <v>36</v>
      </c>
      <c r="B594" s="104" t="s">
        <v>2623</v>
      </c>
      <c r="C594" s="16">
        <v>45146</v>
      </c>
      <c r="D594" s="6" t="s">
        <v>129</v>
      </c>
      <c r="E594" s="6" t="s">
        <v>3665</v>
      </c>
      <c r="F594" s="6"/>
      <c r="G594" s="106" t="s">
        <v>420</v>
      </c>
      <c r="H594" s="106" t="s">
        <v>379</v>
      </c>
      <c r="I594" s="49" t="s">
        <v>231</v>
      </c>
      <c r="J594" s="6" t="s">
        <v>232</v>
      </c>
      <c r="K594" s="6" t="str">
        <f>IF(E594="KTG","KTG",(VLOOKUP(J594,'list of outsource'!B:H,2,0)))</f>
        <v>UPM</v>
      </c>
      <c r="L594" s="6" t="s">
        <v>233</v>
      </c>
      <c r="M594" s="6"/>
      <c r="N594" s="6" t="s">
        <v>234</v>
      </c>
      <c r="O594" s="2" t="s">
        <v>3669</v>
      </c>
      <c r="P594" s="6" t="s">
        <v>1519</v>
      </c>
      <c r="Q594" s="6">
        <v>1257334022</v>
      </c>
      <c r="R594" s="16"/>
      <c r="S594" s="6">
        <v>2</v>
      </c>
      <c r="T594" s="6"/>
      <c r="U594" s="6" t="s">
        <v>39</v>
      </c>
      <c r="V594" s="17">
        <v>45182</v>
      </c>
      <c r="W594" s="16"/>
    </row>
    <row r="595" spans="1:26" customFormat="1">
      <c r="A595">
        <f t="shared" ca="1" si="10"/>
        <v>17</v>
      </c>
      <c r="B595" s="104" t="s">
        <v>2625</v>
      </c>
      <c r="C595" s="16">
        <v>45740</v>
      </c>
      <c r="D595" s="6" t="s">
        <v>129</v>
      </c>
      <c r="E595" s="6" t="s">
        <v>3663</v>
      </c>
      <c r="F595" s="6"/>
      <c r="G595" s="106" t="s">
        <v>420</v>
      </c>
      <c r="H595" s="106" t="s">
        <v>379</v>
      </c>
      <c r="I595" s="49" t="s">
        <v>1190</v>
      </c>
      <c r="J595" s="6"/>
      <c r="K595" s="6" t="e">
        <f>IF(E595="KTG","KTG",(VLOOKUP(J595,'list of outsource'!B:H,2,0)))</f>
        <v>#N/A</v>
      </c>
      <c r="L595" s="6"/>
      <c r="M595" s="6"/>
      <c r="N595" s="6" t="s">
        <v>1191</v>
      </c>
      <c r="O595" s="2" t="s">
        <v>3669</v>
      </c>
      <c r="P595" s="6" t="s">
        <v>1192</v>
      </c>
      <c r="Q595" s="6" t="s">
        <v>2626</v>
      </c>
      <c r="R595" s="16"/>
      <c r="S595" s="6">
        <v>1</v>
      </c>
      <c r="T595" s="6" t="s">
        <v>307</v>
      </c>
      <c r="U595" s="6" t="s">
        <v>550</v>
      </c>
      <c r="V595" s="17">
        <v>45757</v>
      </c>
      <c r="W595" s="16"/>
      <c r="Z595" t="e">
        <v>#N/A</v>
      </c>
    </row>
    <row r="596" spans="1:26" customFormat="1">
      <c r="A596">
        <f t="shared" ca="1" si="10"/>
        <v>13</v>
      </c>
      <c r="B596" s="104" t="s">
        <v>2627</v>
      </c>
      <c r="C596" s="16">
        <v>45750</v>
      </c>
      <c r="D596" s="6" t="s">
        <v>129</v>
      </c>
      <c r="E596" s="6" t="s">
        <v>3663</v>
      </c>
      <c r="F596" s="6"/>
      <c r="G596" s="106" t="s">
        <v>420</v>
      </c>
      <c r="H596" s="106" t="s">
        <v>379</v>
      </c>
      <c r="I596" s="49" t="s">
        <v>2513</v>
      </c>
      <c r="J596" s="6"/>
      <c r="K596" s="6" t="e">
        <f>IF(E596="KTG","KTG",(VLOOKUP(J596,'list of outsource'!B:H,2,0)))</f>
        <v>#N/A</v>
      </c>
      <c r="L596" s="6"/>
      <c r="M596" s="6"/>
      <c r="N596" s="6" t="s">
        <v>2514</v>
      </c>
      <c r="O596" s="2" t="s">
        <v>3669</v>
      </c>
      <c r="P596" s="6" t="s">
        <v>2515</v>
      </c>
      <c r="Q596" s="6"/>
      <c r="R596" s="16"/>
      <c r="S596" s="6">
        <v>1</v>
      </c>
      <c r="T596" s="6" t="s">
        <v>307</v>
      </c>
      <c r="U596" s="6" t="s">
        <v>550</v>
      </c>
      <c r="V596" s="17">
        <v>45763</v>
      </c>
      <c r="W596" s="16"/>
      <c r="Z596" t="e">
        <v>#N/A</v>
      </c>
    </row>
    <row r="597" spans="1:26" customFormat="1">
      <c r="A597">
        <f t="shared" ca="1" si="10"/>
        <v>13</v>
      </c>
      <c r="B597" s="104" t="s">
        <v>2628</v>
      </c>
      <c r="C597" s="16">
        <v>45750</v>
      </c>
      <c r="D597" s="6" t="s">
        <v>129</v>
      </c>
      <c r="E597" s="6" t="s">
        <v>3663</v>
      </c>
      <c r="F597" s="6"/>
      <c r="G597" s="106" t="s">
        <v>420</v>
      </c>
      <c r="H597" s="106" t="s">
        <v>379</v>
      </c>
      <c r="I597" s="49" t="s">
        <v>2505</v>
      </c>
      <c r="J597" s="6"/>
      <c r="K597" s="6" t="e">
        <f>IF(E597="KTG","KTG",(VLOOKUP(J597,'list of outsource'!B:H,2,0)))</f>
        <v>#N/A</v>
      </c>
      <c r="L597" s="6"/>
      <c r="M597" s="6"/>
      <c r="N597" s="6" t="s">
        <v>2506</v>
      </c>
      <c r="O597" s="2" t="s">
        <v>3669</v>
      </c>
      <c r="P597" s="6" t="s">
        <v>2507</v>
      </c>
      <c r="Q597" s="6"/>
      <c r="R597" s="16"/>
      <c r="S597" s="6">
        <v>1</v>
      </c>
      <c r="T597" s="6" t="s">
        <v>307</v>
      </c>
      <c r="U597" s="6" t="s">
        <v>550</v>
      </c>
      <c r="V597" s="17">
        <v>45763</v>
      </c>
      <c r="W597" s="16"/>
      <c r="Z597" t="e">
        <v>#N/A</v>
      </c>
    </row>
    <row r="598" spans="1:26" customFormat="1">
      <c r="A598">
        <f t="shared" ca="1" si="10"/>
        <v>20</v>
      </c>
      <c r="B598" s="49" t="s">
        <v>3079</v>
      </c>
      <c r="C598" s="12">
        <v>45897</v>
      </c>
      <c r="D598" s="4" t="s">
        <v>300</v>
      </c>
      <c r="E598" s="4" t="s">
        <v>3662</v>
      </c>
      <c r="F598" s="4"/>
      <c r="G598" s="106" t="s">
        <v>420</v>
      </c>
      <c r="H598" s="106" t="s">
        <v>379</v>
      </c>
      <c r="I598" s="49" t="s">
        <v>3080</v>
      </c>
      <c r="J598" s="4" t="s">
        <v>302</v>
      </c>
      <c r="K598" s="4" t="str">
        <f>IF(E598="KTG","KTG",(VLOOKUP(J598,'list of outsource'!B:H,2,0)))</f>
        <v>ETC</v>
      </c>
      <c r="L598" s="4" t="s">
        <v>303</v>
      </c>
      <c r="M598" s="4">
        <v>73</v>
      </c>
      <c r="N598" s="4" t="s">
        <v>3081</v>
      </c>
      <c r="O598" s="2" t="s">
        <v>3669</v>
      </c>
      <c r="P598" s="4" t="s">
        <v>3082</v>
      </c>
      <c r="Q598" s="4" t="s">
        <v>3083</v>
      </c>
      <c r="R598" s="12">
        <v>45912</v>
      </c>
      <c r="S598" s="4">
        <v>3</v>
      </c>
      <c r="T598" s="4" t="s">
        <v>1258</v>
      </c>
      <c r="U598" s="4" t="s">
        <v>39</v>
      </c>
      <c r="V598" s="10">
        <v>45917</v>
      </c>
      <c r="W598" s="12">
        <v>45959</v>
      </c>
    </row>
    <row r="599" spans="1:26" customFormat="1">
      <c r="A599">
        <f t="shared" ca="1" si="10"/>
        <v>35</v>
      </c>
      <c r="B599" s="49" t="s">
        <v>1296</v>
      </c>
      <c r="C599" s="12">
        <v>45224</v>
      </c>
      <c r="D599" s="4" t="s">
        <v>504</v>
      </c>
      <c r="E599" s="4" t="s">
        <v>3662</v>
      </c>
      <c r="F599" s="4"/>
      <c r="G599" s="106" t="s">
        <v>1297</v>
      </c>
      <c r="H599" s="106" t="s">
        <v>379</v>
      </c>
      <c r="I599" s="105" t="s">
        <v>1298</v>
      </c>
      <c r="J599" s="4" t="s">
        <v>1299</v>
      </c>
      <c r="K599" s="4" t="str">
        <f>IF(E599="KTG","KTG",(VLOOKUP(J599,'list of outsource'!B:H,2,0)))</f>
        <v>ETC</v>
      </c>
      <c r="L599" s="4" t="s">
        <v>1300</v>
      </c>
      <c r="M599" s="4">
        <v>4</v>
      </c>
      <c r="N599" s="105" t="s">
        <v>1301</v>
      </c>
      <c r="O599" s="2" t="s">
        <v>3685</v>
      </c>
      <c r="P599" s="4" t="s">
        <v>1302</v>
      </c>
      <c r="Q599" s="4" t="s">
        <v>1303</v>
      </c>
      <c r="R599" s="12"/>
      <c r="S599" s="4">
        <v>4</v>
      </c>
      <c r="T599" s="4"/>
      <c r="U599" s="4" t="s">
        <v>39</v>
      </c>
      <c r="V599" s="10">
        <v>45259</v>
      </c>
      <c r="W599" s="12">
        <v>45265</v>
      </c>
      <c r="Z599" t="e">
        <v>#N/A</v>
      </c>
    </row>
    <row r="600" spans="1:26" customFormat="1">
      <c r="A600">
        <f t="shared" ca="1" si="10"/>
        <v>21</v>
      </c>
      <c r="B600" s="104" t="s">
        <v>3533</v>
      </c>
      <c r="C600" s="58">
        <v>45987</v>
      </c>
      <c r="D600" s="18" t="s">
        <v>3536</v>
      </c>
      <c r="E600" s="18" t="s">
        <v>3665</v>
      </c>
      <c r="F600" s="18"/>
      <c r="G600" s="107" t="s">
        <v>2223</v>
      </c>
      <c r="H600" s="107" t="s">
        <v>34</v>
      </c>
      <c r="I600" s="104" t="s">
        <v>3534</v>
      </c>
      <c r="J600" s="18" t="s">
        <v>108</v>
      </c>
      <c r="K600" s="18" t="str">
        <f>IF(E600="KTG","KTG",(VLOOKUP(J600,'list of outsource'!B:H,2,0)))</f>
        <v>UPM</v>
      </c>
      <c r="L600" s="18" t="s">
        <v>109</v>
      </c>
      <c r="M600" s="59"/>
      <c r="N600" s="18" t="s">
        <v>171</v>
      </c>
      <c r="O600" s="2" t="s">
        <v>3675</v>
      </c>
      <c r="P600" s="18" t="s">
        <v>3535</v>
      </c>
      <c r="Q600" s="18"/>
      <c r="R600" s="58"/>
      <c r="S600" s="18">
        <v>3</v>
      </c>
      <c r="T600" s="18" t="s">
        <v>1465</v>
      </c>
      <c r="U600" s="18" t="s">
        <v>39</v>
      </c>
      <c r="V600" s="60"/>
      <c r="W600" s="58"/>
      <c r="X600" s="55"/>
      <c r="Y600" s="55"/>
      <c r="Z600" s="55"/>
    </row>
    <row r="601" spans="1:26" customFormat="1">
      <c r="A601">
        <f t="shared" ca="1" si="10"/>
        <v>18</v>
      </c>
      <c r="B601" s="104" t="s">
        <v>2222</v>
      </c>
      <c r="C601" s="16">
        <v>45645</v>
      </c>
      <c r="D601" s="6" t="s">
        <v>129</v>
      </c>
      <c r="E601" s="6" t="s">
        <v>3663</v>
      </c>
      <c r="F601" s="6"/>
      <c r="G601" s="106" t="s">
        <v>2223</v>
      </c>
      <c r="H601" s="106" t="s">
        <v>34</v>
      </c>
      <c r="I601" s="49" t="s">
        <v>2224</v>
      </c>
      <c r="J601" s="6"/>
      <c r="K601" s="6" t="e">
        <f>IF(E601="KTG","KTG",(VLOOKUP(J601,'list of outsource'!B:H,2,0)))</f>
        <v>#N/A</v>
      </c>
      <c r="L601" s="6"/>
      <c r="M601" s="6"/>
      <c r="N601" s="6" t="s">
        <v>2225</v>
      </c>
      <c r="O601" s="2" t="s">
        <v>3675</v>
      </c>
      <c r="P601" s="6" t="s">
        <v>2226</v>
      </c>
      <c r="Q601" s="6"/>
      <c r="R601" s="16"/>
      <c r="S601" s="6">
        <v>4</v>
      </c>
      <c r="T601" s="6" t="s">
        <v>1465</v>
      </c>
      <c r="U601" s="6" t="s">
        <v>39</v>
      </c>
      <c r="V601" s="17">
        <v>45663</v>
      </c>
      <c r="W601" s="16"/>
      <c r="Z601" t="e">
        <v>#N/A</v>
      </c>
    </row>
    <row r="602" spans="1:26" customFormat="1" hidden="1">
      <c r="A602">
        <f t="shared" ca="1" si="10"/>
        <v>65</v>
      </c>
      <c r="B602" s="4" t="s">
        <v>635</v>
      </c>
      <c r="C602" s="12">
        <v>44964</v>
      </c>
      <c r="D602" s="4" t="s">
        <v>504</v>
      </c>
      <c r="E602" s="4" t="s">
        <v>3664</v>
      </c>
      <c r="F602" s="4">
        <v>137</v>
      </c>
      <c r="G602" s="4" t="s">
        <v>636</v>
      </c>
      <c r="H602" s="4"/>
      <c r="I602" s="4" t="s">
        <v>637</v>
      </c>
      <c r="J602" s="4" t="s">
        <v>455</v>
      </c>
      <c r="K602" s="4" t="e">
        <f>IF(E602="KTG","KTG",(VLOOKUP(J602,'list of outsource'!B:H,2,0)))</f>
        <v>#N/A</v>
      </c>
      <c r="L602" s="4" t="s">
        <v>638</v>
      </c>
      <c r="M602" s="4"/>
      <c r="N602" s="4" t="s">
        <v>455</v>
      </c>
      <c r="O602" s="2"/>
      <c r="P602" s="4" t="s">
        <v>456</v>
      </c>
      <c r="Q602" s="4">
        <v>1212289387</v>
      </c>
      <c r="R602" s="12"/>
      <c r="S602" s="4">
        <v>2</v>
      </c>
      <c r="T602" s="4"/>
      <c r="U602" s="4" t="s">
        <v>39</v>
      </c>
      <c r="V602" s="10" t="s">
        <v>639</v>
      </c>
      <c r="W602" s="12">
        <v>45076</v>
      </c>
    </row>
    <row r="603" spans="1:26" customFormat="1" hidden="1">
      <c r="A603">
        <f t="shared" ca="1" si="10"/>
        <v>22</v>
      </c>
      <c r="B603" s="4" t="s">
        <v>1534</v>
      </c>
      <c r="C603" s="12">
        <v>45315</v>
      </c>
      <c r="D603" s="4" t="s">
        <v>1070</v>
      </c>
      <c r="E603" s="4" t="s">
        <v>3663</v>
      </c>
      <c r="F603" s="4">
        <v>134</v>
      </c>
      <c r="G603" s="4" t="s">
        <v>636</v>
      </c>
      <c r="H603" s="4" t="s">
        <v>379</v>
      </c>
      <c r="I603" s="4" t="s">
        <v>1535</v>
      </c>
      <c r="J603" s="4"/>
      <c r="K603" s="4" t="e">
        <f>IF(E603="KTG","KTG",(VLOOKUP(J603,'list of outsource'!B:H,2,0)))</f>
        <v>#N/A</v>
      </c>
      <c r="L603" s="4"/>
      <c r="M603" s="4" t="s">
        <v>1515</v>
      </c>
      <c r="N603" s="4" t="s">
        <v>1536</v>
      </c>
      <c r="O603" s="2"/>
      <c r="P603" s="4" t="s">
        <v>1537</v>
      </c>
      <c r="Q603" s="4">
        <v>1294638633</v>
      </c>
      <c r="R603" s="12" t="s">
        <v>549</v>
      </c>
      <c r="S603" s="4">
        <v>1</v>
      </c>
      <c r="T603" s="4"/>
      <c r="U603" s="4" t="s">
        <v>183</v>
      </c>
      <c r="V603" s="10">
        <v>45337</v>
      </c>
      <c r="W603" s="12">
        <v>45338</v>
      </c>
      <c r="Z603" t="e">
        <v>#N/A</v>
      </c>
    </row>
    <row r="604" spans="1:26" customFormat="1" hidden="1">
      <c r="A604">
        <f t="shared" ca="1" si="10"/>
        <v>16</v>
      </c>
      <c r="B604" s="8" t="s">
        <v>3404</v>
      </c>
      <c r="C604" s="16">
        <v>45965</v>
      </c>
      <c r="D604" s="6" t="s">
        <v>129</v>
      </c>
      <c r="E604" s="6" t="s">
        <v>3663</v>
      </c>
      <c r="F604" s="6">
        <v>4748</v>
      </c>
      <c r="G604" s="6" t="s">
        <v>645</v>
      </c>
      <c r="H604" s="6" t="s">
        <v>34</v>
      </c>
      <c r="I604" s="6">
        <v>12186167</v>
      </c>
      <c r="J604" s="6"/>
      <c r="K604" s="6" t="e">
        <f>IF(E604="KTG","KTG",(VLOOKUP(J604,'list of outsource'!B:H,2,0)))</f>
        <v>#N/A</v>
      </c>
      <c r="L604" s="6"/>
      <c r="M604" s="6"/>
      <c r="N604" s="6" t="s">
        <v>1920</v>
      </c>
      <c r="O604" s="2"/>
      <c r="P604" s="6" t="s">
        <v>1921</v>
      </c>
      <c r="Q604" s="6"/>
      <c r="R604" s="16">
        <v>45974</v>
      </c>
      <c r="S604" s="6">
        <v>4</v>
      </c>
      <c r="T604" s="6" t="s">
        <v>307</v>
      </c>
      <c r="U604" s="6" t="s">
        <v>550</v>
      </c>
      <c r="V604" s="17">
        <v>45981</v>
      </c>
      <c r="W604" s="16"/>
    </row>
    <row r="605" spans="1:26" customFormat="1" hidden="1">
      <c r="A605">
        <f t="shared" ca="1" si="10"/>
        <v>19</v>
      </c>
      <c r="B605" s="8" t="s">
        <v>3333</v>
      </c>
      <c r="C605" s="16">
        <v>45947</v>
      </c>
      <c r="D605" s="6" t="s">
        <v>129</v>
      </c>
      <c r="E605" s="6" t="s">
        <v>3662</v>
      </c>
      <c r="F605" s="6">
        <v>4784</v>
      </c>
      <c r="G605" s="6" t="s">
        <v>645</v>
      </c>
      <c r="H605" s="6" t="s">
        <v>34</v>
      </c>
      <c r="I605" s="6">
        <v>35738195</v>
      </c>
      <c r="J605" s="6" t="s">
        <v>222</v>
      </c>
      <c r="K605" s="6" t="str">
        <f>IF(E605="KTG","KTG",(VLOOKUP(J605,'list of outsource'!B:H,2,0)))</f>
        <v>ETC</v>
      </c>
      <c r="L605" s="6" t="s">
        <v>223</v>
      </c>
      <c r="M605" s="6">
        <v>24</v>
      </c>
      <c r="N605" s="6" t="s">
        <v>912</v>
      </c>
      <c r="O605" s="2"/>
      <c r="P605" s="6" t="s">
        <v>3183</v>
      </c>
      <c r="Q605" s="6" t="s">
        <v>3432</v>
      </c>
      <c r="R605" s="16">
        <v>45963</v>
      </c>
      <c r="S605" s="6">
        <v>3</v>
      </c>
      <c r="T605" s="6" t="s">
        <v>1465</v>
      </c>
      <c r="U605" s="6" t="s">
        <v>39</v>
      </c>
      <c r="V605" s="17">
        <v>45966</v>
      </c>
      <c r="W605" s="16"/>
    </row>
    <row r="606" spans="1:26" customFormat="1" hidden="1">
      <c r="A606">
        <f t="shared" ca="1" si="10"/>
        <v>14</v>
      </c>
      <c r="B606" s="4" t="s">
        <v>644</v>
      </c>
      <c r="C606" s="12">
        <v>44973</v>
      </c>
      <c r="D606" s="4" t="s">
        <v>129</v>
      </c>
      <c r="E606" s="4" t="s">
        <v>3662</v>
      </c>
      <c r="F606" s="4">
        <v>4803</v>
      </c>
      <c r="G606" s="4" t="s">
        <v>645</v>
      </c>
      <c r="H606" s="4" t="s">
        <v>34</v>
      </c>
      <c r="I606" s="4">
        <v>13778222</v>
      </c>
      <c r="J606" s="4" t="s">
        <v>490</v>
      </c>
      <c r="K606" s="4" t="str">
        <f>IF(E606="KTG","KTG",(VLOOKUP(J606,'list of outsource'!B:H,2,0)))</f>
        <v>ETC</v>
      </c>
      <c r="L606" s="4" t="s">
        <v>491</v>
      </c>
      <c r="M606" s="4"/>
      <c r="N606" s="4" t="s">
        <v>646</v>
      </c>
      <c r="O606" s="2"/>
      <c r="P606" s="4" t="s">
        <v>647</v>
      </c>
      <c r="Q606" s="4">
        <v>1201048994</v>
      </c>
      <c r="R606" s="12"/>
      <c r="S606" s="4">
        <v>2</v>
      </c>
      <c r="T606" s="4"/>
      <c r="U606" s="4" t="s">
        <v>39</v>
      </c>
      <c r="V606" s="10">
        <v>44987</v>
      </c>
      <c r="W606" s="12"/>
    </row>
    <row r="607" spans="1:26" customFormat="1" hidden="1">
      <c r="A607">
        <f t="shared" ca="1" si="10"/>
        <v>26</v>
      </c>
      <c r="B607" s="8" t="s">
        <v>644</v>
      </c>
      <c r="C607" s="16">
        <v>45709</v>
      </c>
      <c r="D607" s="6" t="s">
        <v>129</v>
      </c>
      <c r="E607" s="6" t="s">
        <v>3662</v>
      </c>
      <c r="F607" s="6">
        <v>4803</v>
      </c>
      <c r="G607" s="6" t="s">
        <v>645</v>
      </c>
      <c r="H607" s="6" t="s">
        <v>34</v>
      </c>
      <c r="I607" s="6">
        <v>13778222</v>
      </c>
      <c r="J607" s="6" t="s">
        <v>490</v>
      </c>
      <c r="K607" s="6" t="str">
        <f>IF(E607="KTG","KTG",(VLOOKUP(J607,'list of outsource'!B:H,2,0)))</f>
        <v>ETC</v>
      </c>
      <c r="L607" s="6" t="s">
        <v>491</v>
      </c>
      <c r="M607" s="6">
        <v>32</v>
      </c>
      <c r="N607" s="6" t="s">
        <v>646</v>
      </c>
      <c r="O607" s="2"/>
      <c r="P607" s="6" t="s">
        <v>647</v>
      </c>
      <c r="Q607" s="6" t="s">
        <v>2368</v>
      </c>
      <c r="R607" s="16"/>
      <c r="S607" s="6">
        <v>4</v>
      </c>
      <c r="T607" s="6" t="s">
        <v>307</v>
      </c>
      <c r="U607" s="6" t="s">
        <v>183</v>
      </c>
      <c r="V607" s="17">
        <v>45735</v>
      </c>
      <c r="W607" s="16"/>
    </row>
    <row r="608" spans="1:26" customFormat="1" hidden="1">
      <c r="A608">
        <f t="shared" ca="1" si="10"/>
        <v>14</v>
      </c>
      <c r="B608" s="4" t="s">
        <v>648</v>
      </c>
      <c r="C608" s="12">
        <v>44973</v>
      </c>
      <c r="D608" s="4" t="s">
        <v>129</v>
      </c>
      <c r="E608" s="4" t="s">
        <v>3662</v>
      </c>
      <c r="F608" s="4">
        <v>4802</v>
      </c>
      <c r="G608" s="4" t="s">
        <v>645</v>
      </c>
      <c r="H608" s="4" t="s">
        <v>34</v>
      </c>
      <c r="I608" s="4">
        <v>13778227</v>
      </c>
      <c r="J608" s="4" t="s">
        <v>490</v>
      </c>
      <c r="K608" s="4" t="str">
        <f>IF(E608="KTG","KTG",(VLOOKUP(J608,'list of outsource'!B:H,2,0)))</f>
        <v>ETC</v>
      </c>
      <c r="L608" s="4" t="s">
        <v>491</v>
      </c>
      <c r="M608" s="4"/>
      <c r="N608" s="4" t="s">
        <v>649</v>
      </c>
      <c r="O608" s="2"/>
      <c r="P608" s="4" t="s">
        <v>650</v>
      </c>
      <c r="Q608" s="4">
        <v>1201049955</v>
      </c>
      <c r="R608" s="12"/>
      <c r="S608" s="4">
        <v>2</v>
      </c>
      <c r="T608" s="4"/>
      <c r="U608" s="4" t="s">
        <v>39</v>
      </c>
      <c r="V608" s="10">
        <v>44987</v>
      </c>
      <c r="W608" s="12"/>
    </row>
    <row r="609" spans="1:26" customFormat="1" hidden="1">
      <c r="A609">
        <f t="shared" ca="1" si="10"/>
        <v>66</v>
      </c>
      <c r="B609" s="4" t="s">
        <v>768</v>
      </c>
      <c r="C609" s="12">
        <v>45020</v>
      </c>
      <c r="D609" s="4" t="s">
        <v>504</v>
      </c>
      <c r="E609" s="4" t="s">
        <v>3662</v>
      </c>
      <c r="F609" s="4">
        <v>4774</v>
      </c>
      <c r="G609" s="4" t="s">
        <v>645</v>
      </c>
      <c r="H609" s="4" t="s">
        <v>34</v>
      </c>
      <c r="I609" s="4" t="s">
        <v>769</v>
      </c>
      <c r="J609" s="4" t="s">
        <v>302</v>
      </c>
      <c r="K609" s="4" t="str">
        <f>IF(E609="KTG","KTG",(VLOOKUP(J609,'list of outsource'!B:H,2,0)))</f>
        <v>ETC</v>
      </c>
      <c r="L609" s="4" t="s">
        <v>303</v>
      </c>
      <c r="M609" s="4"/>
      <c r="N609" s="4" t="s">
        <v>770</v>
      </c>
      <c r="O609" s="2"/>
      <c r="P609" s="4" t="s">
        <v>771</v>
      </c>
      <c r="Q609" s="4">
        <v>1229761980</v>
      </c>
      <c r="R609" s="12"/>
      <c r="S609" s="4">
        <v>2</v>
      </c>
      <c r="T609" s="4"/>
      <c r="U609" s="4" t="s">
        <v>39</v>
      </c>
      <c r="V609" s="10">
        <v>45086</v>
      </c>
      <c r="W609" s="12">
        <v>45111</v>
      </c>
    </row>
    <row r="610" spans="1:26" customFormat="1" hidden="1">
      <c r="A610">
        <f t="shared" ca="1" si="10"/>
        <v>38</v>
      </c>
      <c r="B610" s="8" t="s">
        <v>920</v>
      </c>
      <c r="C610" s="16">
        <v>45110</v>
      </c>
      <c r="D610" s="6" t="s">
        <v>129</v>
      </c>
      <c r="E610" s="6" t="s">
        <v>3665</v>
      </c>
      <c r="F610" s="6">
        <v>4806</v>
      </c>
      <c r="G610" s="6" t="s">
        <v>645</v>
      </c>
      <c r="H610" s="6" t="s">
        <v>34</v>
      </c>
      <c r="I610" s="6">
        <v>13927985</v>
      </c>
      <c r="J610" s="6" t="s">
        <v>444</v>
      </c>
      <c r="K610" s="6" t="str">
        <f>IF(E610="KTG","KTG",(VLOOKUP(J610,'list of outsource'!B:H,2,0)))</f>
        <v>UPM</v>
      </c>
      <c r="L610" s="6" t="s">
        <v>445</v>
      </c>
      <c r="M610" s="6"/>
      <c r="N610" s="6" t="s">
        <v>921</v>
      </c>
      <c r="O610" s="2"/>
      <c r="P610" s="6" t="s">
        <v>922</v>
      </c>
      <c r="Q610" s="6">
        <v>1243704290</v>
      </c>
      <c r="R610" s="16"/>
      <c r="S610" s="6">
        <v>4</v>
      </c>
      <c r="T610" s="6"/>
      <c r="U610" s="6" t="s">
        <v>39</v>
      </c>
      <c r="V610" s="17" t="s">
        <v>923</v>
      </c>
      <c r="W610" s="16"/>
    </row>
    <row r="611" spans="1:26" customFormat="1" hidden="1">
      <c r="A611">
        <f t="shared" ca="1" si="10"/>
        <v>38</v>
      </c>
      <c r="B611" s="8" t="s">
        <v>924</v>
      </c>
      <c r="C611" s="16">
        <v>45110</v>
      </c>
      <c r="D611" s="6" t="s">
        <v>129</v>
      </c>
      <c r="E611" s="6" t="s">
        <v>3662</v>
      </c>
      <c r="F611" s="6">
        <v>4764</v>
      </c>
      <c r="G611" s="6" t="s">
        <v>645</v>
      </c>
      <c r="H611" s="6" t="s">
        <v>34</v>
      </c>
      <c r="I611" s="6">
        <v>35738191</v>
      </c>
      <c r="J611" s="6" t="s">
        <v>222</v>
      </c>
      <c r="K611" s="6" t="str">
        <f>IF(E611="KTG","KTG",(VLOOKUP(J611,'list of outsource'!B:H,2,0)))</f>
        <v>ETC</v>
      </c>
      <c r="L611" s="6" t="s">
        <v>223</v>
      </c>
      <c r="M611" s="6"/>
      <c r="N611" s="6" t="s">
        <v>310</v>
      </c>
      <c r="O611" s="2"/>
      <c r="P611" s="6" t="s">
        <v>570</v>
      </c>
      <c r="Q611" s="6">
        <v>1243709196</v>
      </c>
      <c r="R611" s="16"/>
      <c r="S611" s="6">
        <v>4</v>
      </c>
      <c r="T611" s="6"/>
      <c r="U611" s="6" t="s">
        <v>39</v>
      </c>
      <c r="V611" s="17" t="s">
        <v>923</v>
      </c>
      <c r="W611" s="16"/>
    </row>
    <row r="612" spans="1:26" customFormat="1" hidden="1">
      <c r="A612">
        <f t="shared" ca="1" si="10"/>
        <v>38</v>
      </c>
      <c r="B612" s="8" t="s">
        <v>1049</v>
      </c>
      <c r="C612" s="16">
        <v>45110</v>
      </c>
      <c r="D612" s="6" t="s">
        <v>129</v>
      </c>
      <c r="E612" s="6" t="s">
        <v>3665</v>
      </c>
      <c r="F612" s="6">
        <v>4761</v>
      </c>
      <c r="G612" s="6" t="s">
        <v>645</v>
      </c>
      <c r="H612" s="6" t="s">
        <v>34</v>
      </c>
      <c r="I612" s="6" t="s">
        <v>1050</v>
      </c>
      <c r="J612" s="6" t="s">
        <v>96</v>
      </c>
      <c r="K612" s="6" t="str">
        <f>IF(E612="KTG","KTG",(VLOOKUP(J612,'list of outsource'!B:H,2,0)))</f>
        <v>Woer</v>
      </c>
      <c r="L612" s="6" t="s">
        <v>97</v>
      </c>
      <c r="M612" s="6"/>
      <c r="N612" s="6" t="s">
        <v>900</v>
      </c>
      <c r="O612" s="2"/>
      <c r="P612" s="6" t="s">
        <v>901</v>
      </c>
      <c r="Q612" s="6">
        <v>1243710949</v>
      </c>
      <c r="R612" s="16"/>
      <c r="S612" s="6">
        <v>4</v>
      </c>
      <c r="T612" s="6"/>
      <c r="U612" s="6" t="s">
        <v>39</v>
      </c>
      <c r="V612" s="17" t="s">
        <v>923</v>
      </c>
      <c r="W612" s="16"/>
      <c r="Z612" t="e">
        <v>#N/A</v>
      </c>
    </row>
    <row r="613" spans="1:26" customFormat="1" hidden="1">
      <c r="A613">
        <f t="shared" ca="1" si="10"/>
        <v>38</v>
      </c>
      <c r="B613" s="8" t="s">
        <v>1051</v>
      </c>
      <c r="C613" s="16">
        <v>45110</v>
      </c>
      <c r="D613" s="6" t="s">
        <v>129</v>
      </c>
      <c r="E613" s="6" t="s">
        <v>3662</v>
      </c>
      <c r="F613" s="6">
        <v>4804</v>
      </c>
      <c r="G613" s="6" t="s">
        <v>645</v>
      </c>
      <c r="H613" s="6" t="s">
        <v>34</v>
      </c>
      <c r="I613" s="6">
        <v>33260604</v>
      </c>
      <c r="J613" s="6" t="s">
        <v>302</v>
      </c>
      <c r="K613" s="6" t="str">
        <f>IF(E613="KTG","KTG",(VLOOKUP(J613,'list of outsource'!B:H,2,0)))</f>
        <v>ETC</v>
      </c>
      <c r="L613" s="6" t="s">
        <v>303</v>
      </c>
      <c r="M613" s="6"/>
      <c r="N613" s="6" t="s">
        <v>1052</v>
      </c>
      <c r="O613" s="2"/>
      <c r="P613" s="6" t="s">
        <v>1053</v>
      </c>
      <c r="Q613" s="6">
        <v>1247793125</v>
      </c>
      <c r="R613" s="16"/>
      <c r="S613" s="6">
        <v>4</v>
      </c>
      <c r="T613" s="6"/>
      <c r="U613" s="6" t="s">
        <v>39</v>
      </c>
      <c r="V613" s="17" t="s">
        <v>923</v>
      </c>
      <c r="W613" s="16"/>
      <c r="Z613" t="e">
        <v>#N/A</v>
      </c>
    </row>
    <row r="614" spans="1:26" customFormat="1" hidden="1">
      <c r="A614">
        <f t="shared" ca="1" si="10"/>
        <v>25</v>
      </c>
      <c r="B614" s="4" t="s">
        <v>1065</v>
      </c>
      <c r="C614" s="12">
        <v>45124</v>
      </c>
      <c r="D614" s="4" t="s">
        <v>300</v>
      </c>
      <c r="E614" s="4" t="s">
        <v>3662</v>
      </c>
      <c r="F614" s="4">
        <v>4800</v>
      </c>
      <c r="G614" s="4" t="s">
        <v>645</v>
      </c>
      <c r="H614" s="4" t="s">
        <v>34</v>
      </c>
      <c r="I614" s="4">
        <v>35758276</v>
      </c>
      <c r="J614" s="4" t="s">
        <v>222</v>
      </c>
      <c r="K614" s="4" t="str">
        <f>IF(E614="KTG","KTG",(VLOOKUP(J614,'list of outsource'!B:H,2,0)))</f>
        <v>ETC</v>
      </c>
      <c r="L614" s="4" t="s">
        <v>223</v>
      </c>
      <c r="M614" s="4">
        <v>18</v>
      </c>
      <c r="N614" s="4" t="s">
        <v>1066</v>
      </c>
      <c r="O614" s="2"/>
      <c r="P614" s="4" t="s">
        <v>1067</v>
      </c>
      <c r="Q614" s="4" t="s">
        <v>1068</v>
      </c>
      <c r="R614" s="12"/>
      <c r="S614" s="4">
        <v>4</v>
      </c>
      <c r="T614" s="4"/>
      <c r="U614" s="4" t="s">
        <v>39</v>
      </c>
      <c r="V614" s="10" t="s">
        <v>1056</v>
      </c>
      <c r="W614" s="12">
        <v>45782</v>
      </c>
      <c r="Z614" t="e">
        <v>#N/A</v>
      </c>
    </row>
    <row r="615" spans="1:26" customFormat="1" hidden="1">
      <c r="A615">
        <f t="shared" ca="1" si="10"/>
        <v>43</v>
      </c>
      <c r="B615" s="4" t="s">
        <v>1172</v>
      </c>
      <c r="C615" s="12">
        <v>45175</v>
      </c>
      <c r="D615" s="4" t="s">
        <v>504</v>
      </c>
      <c r="E615" s="4" t="s">
        <v>3662</v>
      </c>
      <c r="F615" s="4">
        <v>4801</v>
      </c>
      <c r="G615" s="4" t="s">
        <v>645</v>
      </c>
      <c r="H615" s="4" t="s">
        <v>34</v>
      </c>
      <c r="I615" s="4">
        <v>35758281</v>
      </c>
      <c r="J615" s="4" t="s">
        <v>222</v>
      </c>
      <c r="K615" s="4" t="str">
        <f>IF(E615="KTG","KTG",(VLOOKUP(J615,'list of outsource'!B:H,2,0)))</f>
        <v>ETC</v>
      </c>
      <c r="L615" s="4" t="s">
        <v>223</v>
      </c>
      <c r="M615" s="4"/>
      <c r="N615" s="4" t="s">
        <v>1173</v>
      </c>
      <c r="O615" s="2"/>
      <c r="P615" s="4" t="s">
        <v>1174</v>
      </c>
      <c r="Q615" s="4">
        <v>1265476774</v>
      </c>
      <c r="R615" s="12"/>
      <c r="S615" s="4">
        <v>4</v>
      </c>
      <c r="T615" s="4"/>
      <c r="U615" s="4" t="s">
        <v>39</v>
      </c>
      <c r="V615" s="10">
        <v>45218</v>
      </c>
      <c r="W615" s="12">
        <v>45218</v>
      </c>
      <c r="Z615" t="e">
        <v>#N/A</v>
      </c>
    </row>
    <row r="616" spans="1:26" customFormat="1" hidden="1">
      <c r="A616">
        <f t="shared" ca="1" si="10"/>
        <v>43</v>
      </c>
      <c r="B616" s="4" t="s">
        <v>1175</v>
      </c>
      <c r="C616" s="12">
        <v>45175</v>
      </c>
      <c r="D616" s="4" t="s">
        <v>504</v>
      </c>
      <c r="E616" s="4" t="s">
        <v>3662</v>
      </c>
      <c r="F616" s="4">
        <v>4800</v>
      </c>
      <c r="G616" s="4" t="s">
        <v>645</v>
      </c>
      <c r="H616" s="4" t="s">
        <v>34</v>
      </c>
      <c r="I616" s="4">
        <v>35758276</v>
      </c>
      <c r="J616" s="4" t="s">
        <v>222</v>
      </c>
      <c r="K616" s="4" t="str">
        <f>IF(E616="KTG","KTG",(VLOOKUP(J616,'list of outsource'!B:H,2,0)))</f>
        <v>ETC</v>
      </c>
      <c r="L616" s="4" t="s">
        <v>223</v>
      </c>
      <c r="M616" s="4"/>
      <c r="N616" s="4" t="s">
        <v>1066</v>
      </c>
      <c r="O616" s="2"/>
      <c r="P616" s="4" t="s">
        <v>1067</v>
      </c>
      <c r="Q616" s="4">
        <v>1265478553</v>
      </c>
      <c r="R616" s="12"/>
      <c r="S616" s="4">
        <v>4</v>
      </c>
      <c r="T616" s="4"/>
      <c r="U616" s="4" t="s">
        <v>39</v>
      </c>
      <c r="V616" s="10">
        <v>45218</v>
      </c>
      <c r="W616" s="12">
        <v>45218</v>
      </c>
      <c r="Z616" t="e">
        <v>#N/A</v>
      </c>
    </row>
    <row r="617" spans="1:26" customFormat="1" hidden="1">
      <c r="A617">
        <f t="shared" ca="1" si="10"/>
        <v>43</v>
      </c>
      <c r="B617" s="4" t="s">
        <v>1176</v>
      </c>
      <c r="C617" s="12">
        <v>45175</v>
      </c>
      <c r="D617" s="4" t="s">
        <v>504</v>
      </c>
      <c r="E617" s="4" t="s">
        <v>3662</v>
      </c>
      <c r="F617" s="4">
        <v>4786</v>
      </c>
      <c r="G617" s="4" t="s">
        <v>645</v>
      </c>
      <c r="H617" s="4" t="s">
        <v>34</v>
      </c>
      <c r="I617" s="4">
        <v>35738172</v>
      </c>
      <c r="J617" s="4" t="s">
        <v>525</v>
      </c>
      <c r="K617" s="4" t="str">
        <f>IF(E617="KTG","KTG",(VLOOKUP(J617,'list of outsource'!B:H,2,0)))</f>
        <v>ETC</v>
      </c>
      <c r="L617" s="4" t="s">
        <v>526</v>
      </c>
      <c r="M617" s="4"/>
      <c r="N617" s="4" t="s">
        <v>1177</v>
      </c>
      <c r="O617" s="2"/>
      <c r="P617" s="4" t="s">
        <v>1178</v>
      </c>
      <c r="Q617" s="4">
        <v>1265479368</v>
      </c>
      <c r="R617" s="12"/>
      <c r="S617" s="4">
        <v>4</v>
      </c>
      <c r="T617" s="4"/>
      <c r="U617" s="4" t="s">
        <v>39</v>
      </c>
      <c r="V617" s="10">
        <v>45218</v>
      </c>
      <c r="W617" s="12">
        <v>45218</v>
      </c>
      <c r="Z617" t="e">
        <v>#N/A</v>
      </c>
    </row>
    <row r="618" spans="1:26" customFormat="1" hidden="1">
      <c r="A618">
        <f t="shared" ca="1" si="10"/>
        <v>43</v>
      </c>
      <c r="B618" s="4" t="s">
        <v>1179</v>
      </c>
      <c r="C618" s="12">
        <v>45175</v>
      </c>
      <c r="D618" s="4" t="s">
        <v>504</v>
      </c>
      <c r="E618" s="4" t="s">
        <v>3662</v>
      </c>
      <c r="F618" s="4">
        <v>4771</v>
      </c>
      <c r="G618" s="4" t="s">
        <v>645</v>
      </c>
      <c r="H618" s="4" t="s">
        <v>34</v>
      </c>
      <c r="I618" s="4">
        <v>35804066</v>
      </c>
      <c r="J618" s="4" t="s">
        <v>222</v>
      </c>
      <c r="K618" s="4" t="str">
        <f>IF(E618="KTG","KTG",(VLOOKUP(J618,'list of outsource'!B:H,2,0)))</f>
        <v>ETC</v>
      </c>
      <c r="L618" s="4" t="s">
        <v>223</v>
      </c>
      <c r="M618" s="4"/>
      <c r="N618" s="4" t="s">
        <v>575</v>
      </c>
      <c r="O618" s="2"/>
      <c r="P618" s="4" t="s">
        <v>576</v>
      </c>
      <c r="Q618" s="4">
        <v>1265951151</v>
      </c>
      <c r="R618" s="12"/>
      <c r="S618" s="4">
        <v>4</v>
      </c>
      <c r="T618" s="4"/>
      <c r="U618" s="4" t="s">
        <v>39</v>
      </c>
      <c r="V618" s="10">
        <v>45218</v>
      </c>
      <c r="W618" s="12">
        <v>45218</v>
      </c>
      <c r="Z618" t="e">
        <v>#N/A</v>
      </c>
    </row>
    <row r="619" spans="1:26" customFormat="1" hidden="1">
      <c r="A619">
        <f t="shared" ca="1" si="10"/>
        <v>43</v>
      </c>
      <c r="B619" s="4" t="s">
        <v>1180</v>
      </c>
      <c r="C619" s="12">
        <v>45175</v>
      </c>
      <c r="D619" s="4" t="s">
        <v>504</v>
      </c>
      <c r="E619" s="4" t="s">
        <v>3662</v>
      </c>
      <c r="F619" s="4">
        <v>4797</v>
      </c>
      <c r="G619" s="4" t="s">
        <v>645</v>
      </c>
      <c r="H619" s="4" t="s">
        <v>34</v>
      </c>
      <c r="I619" s="4">
        <v>35758256</v>
      </c>
      <c r="J619" s="4" t="s">
        <v>525</v>
      </c>
      <c r="K619" s="4" t="str">
        <f>IF(E619="KTG","KTG",(VLOOKUP(J619,'list of outsource'!B:H,2,0)))</f>
        <v>ETC</v>
      </c>
      <c r="L619" s="4" t="s">
        <v>526</v>
      </c>
      <c r="M619" s="4"/>
      <c r="N619" s="4" t="s">
        <v>1181</v>
      </c>
      <c r="O619" s="2"/>
      <c r="P619" s="4" t="s">
        <v>1182</v>
      </c>
      <c r="Q619" s="4">
        <v>1265951638</v>
      </c>
      <c r="R619" s="12"/>
      <c r="S619" s="4">
        <v>4</v>
      </c>
      <c r="T619" s="4"/>
      <c r="U619" s="4" t="s">
        <v>39</v>
      </c>
      <c r="V619" s="10">
        <v>45218</v>
      </c>
      <c r="W619" s="12">
        <v>45218</v>
      </c>
      <c r="Z619" t="e">
        <v>#N/A</v>
      </c>
    </row>
    <row r="620" spans="1:26" customFormat="1" hidden="1">
      <c r="A620">
        <f t="shared" ca="1" si="10"/>
        <v>43</v>
      </c>
      <c r="B620" s="4" t="s">
        <v>1183</v>
      </c>
      <c r="C620" s="12">
        <v>45175</v>
      </c>
      <c r="D620" s="4" t="s">
        <v>504</v>
      </c>
      <c r="E620" s="4" t="s">
        <v>3662</v>
      </c>
      <c r="F620" s="4">
        <v>4787</v>
      </c>
      <c r="G620" s="4" t="s">
        <v>645</v>
      </c>
      <c r="H620" s="4" t="s">
        <v>34</v>
      </c>
      <c r="I620" s="4">
        <v>35738174</v>
      </c>
      <c r="J620" s="4" t="s">
        <v>525</v>
      </c>
      <c r="K620" s="4" t="str">
        <f>IF(E620="KTG","KTG",(VLOOKUP(J620,'list of outsource'!B:H,2,0)))</f>
        <v>ETC</v>
      </c>
      <c r="L620" s="4" t="s">
        <v>526</v>
      </c>
      <c r="M620" s="4"/>
      <c r="N620" s="4" t="s">
        <v>1184</v>
      </c>
      <c r="O620" s="2"/>
      <c r="P620" s="4" t="s">
        <v>1185</v>
      </c>
      <c r="Q620" s="4">
        <v>1265952189</v>
      </c>
      <c r="R620" s="12"/>
      <c r="S620" s="4">
        <v>4</v>
      </c>
      <c r="T620" s="4"/>
      <c r="U620" s="4" t="s">
        <v>39</v>
      </c>
      <c r="V620" s="10">
        <v>45218</v>
      </c>
      <c r="W620" s="12">
        <v>45218</v>
      </c>
      <c r="Z620" t="e">
        <v>#N/A</v>
      </c>
    </row>
    <row r="621" spans="1:26" customFormat="1">
      <c r="A621">
        <f t="shared" ca="1" si="10"/>
        <v>24</v>
      </c>
      <c r="B621" s="104" t="s">
        <v>2601</v>
      </c>
      <c r="C621" s="16">
        <v>45817</v>
      </c>
      <c r="D621" s="6" t="s">
        <v>129</v>
      </c>
      <c r="E621" s="6" t="s">
        <v>3663</v>
      </c>
      <c r="F621" s="6"/>
      <c r="G621" s="106" t="s">
        <v>2223</v>
      </c>
      <c r="H621" s="106" t="s">
        <v>34</v>
      </c>
      <c r="I621" s="49" t="s">
        <v>2602</v>
      </c>
      <c r="J621" s="6"/>
      <c r="K621" s="6" t="e">
        <f>IF(E621="KTG","KTG",(VLOOKUP(J621,'list of outsource'!B:H,2,0)))</f>
        <v>#N/A</v>
      </c>
      <c r="L621" s="6"/>
      <c r="M621" s="6"/>
      <c r="N621" s="6" t="s">
        <v>2603</v>
      </c>
      <c r="O621" s="2" t="s">
        <v>3675</v>
      </c>
      <c r="P621" s="6" t="s">
        <v>2604</v>
      </c>
      <c r="Q621" s="6"/>
      <c r="R621" s="16"/>
      <c r="S621" s="6">
        <v>4</v>
      </c>
      <c r="T621" s="6" t="s">
        <v>1258</v>
      </c>
      <c r="U621" s="6" t="s">
        <v>39</v>
      </c>
      <c r="V621" s="17">
        <v>45841</v>
      </c>
      <c r="W621" s="16"/>
      <c r="Z621" t="e">
        <v>#N/A</v>
      </c>
    </row>
    <row r="622" spans="1:26" customFormat="1" hidden="1">
      <c r="A622">
        <f t="shared" ca="1" si="10"/>
        <v>16</v>
      </c>
      <c r="B622" s="4" t="s">
        <v>1246</v>
      </c>
      <c r="C622" s="12">
        <v>45202</v>
      </c>
      <c r="D622" s="4" t="s">
        <v>504</v>
      </c>
      <c r="E622" s="4" t="s">
        <v>3662</v>
      </c>
      <c r="F622" s="4">
        <v>4766</v>
      </c>
      <c r="G622" s="4" t="s">
        <v>645</v>
      </c>
      <c r="H622" s="4" t="s">
        <v>34</v>
      </c>
      <c r="I622" s="4">
        <v>35738192</v>
      </c>
      <c r="J622" s="4" t="s">
        <v>222</v>
      </c>
      <c r="K622" s="4" t="str">
        <f>IF(E622="KTG","KTG",(VLOOKUP(J622,'list of outsource'!B:H,2,0)))</f>
        <v>ETC</v>
      </c>
      <c r="L622" s="4" t="s">
        <v>223</v>
      </c>
      <c r="M622" s="4"/>
      <c r="N622" s="4" t="s">
        <v>582</v>
      </c>
      <c r="O622" s="2"/>
      <c r="P622" s="4" t="s">
        <v>1247</v>
      </c>
      <c r="Q622" s="4">
        <v>1268459412</v>
      </c>
      <c r="R622" s="12"/>
      <c r="S622" s="4">
        <v>4</v>
      </c>
      <c r="T622" s="4"/>
      <c r="U622" s="4" t="s">
        <v>39</v>
      </c>
      <c r="V622" s="10">
        <v>45218</v>
      </c>
      <c r="W622" s="12">
        <v>45218</v>
      </c>
      <c r="Z622" t="e">
        <v>#N/A</v>
      </c>
    </row>
    <row r="623" spans="1:26" customFormat="1" hidden="1">
      <c r="A623">
        <f t="shared" ca="1" si="10"/>
        <v>12</v>
      </c>
      <c r="B623" s="8" t="s">
        <v>1304</v>
      </c>
      <c r="C623" s="16">
        <v>45224</v>
      </c>
      <c r="D623" s="6" t="s">
        <v>129</v>
      </c>
      <c r="E623" s="6" t="s">
        <v>3662</v>
      </c>
      <c r="F623" s="6">
        <v>4767</v>
      </c>
      <c r="G623" s="6" t="s">
        <v>645</v>
      </c>
      <c r="H623" s="6" t="s">
        <v>34</v>
      </c>
      <c r="I623" s="6">
        <v>35758264</v>
      </c>
      <c r="J623" s="6" t="s">
        <v>222</v>
      </c>
      <c r="K623" s="6" t="str">
        <f>IF(E623="KTG","KTG",(VLOOKUP(J623,'list of outsource'!B:H,2,0)))</f>
        <v>ETC</v>
      </c>
      <c r="L623" s="6" t="s">
        <v>223</v>
      </c>
      <c r="M623" s="6"/>
      <c r="N623" s="6" t="s">
        <v>372</v>
      </c>
      <c r="O623" s="2"/>
      <c r="P623" s="6" t="s">
        <v>566</v>
      </c>
      <c r="Q623" s="6">
        <v>1272787771</v>
      </c>
      <c r="R623" s="16"/>
      <c r="S623" s="6">
        <v>4</v>
      </c>
      <c r="T623" s="6"/>
      <c r="U623" s="6" t="s">
        <v>39</v>
      </c>
      <c r="V623" s="17">
        <v>45236</v>
      </c>
      <c r="W623" s="16"/>
      <c r="Z623">
        <v>0</v>
      </c>
    </row>
    <row r="624" spans="1:26" customFormat="1" hidden="1">
      <c r="A624">
        <f t="shared" ca="1" si="10"/>
        <v>50</v>
      </c>
      <c r="B624" s="4" t="s">
        <v>1305</v>
      </c>
      <c r="C624" s="12">
        <v>45224</v>
      </c>
      <c r="D624" s="4" t="s">
        <v>1070</v>
      </c>
      <c r="E624" s="4" t="s">
        <v>3662</v>
      </c>
      <c r="F624" s="4">
        <v>4798</v>
      </c>
      <c r="G624" s="4" t="s">
        <v>645</v>
      </c>
      <c r="H624" s="4" t="s">
        <v>34</v>
      </c>
      <c r="I624" s="4">
        <v>35758262</v>
      </c>
      <c r="J624" s="4" t="s">
        <v>222</v>
      </c>
      <c r="K624" s="4" t="str">
        <f>IF(E624="KTG","KTG",(VLOOKUP(J624,'list of outsource'!B:H,2,0)))</f>
        <v>ETC</v>
      </c>
      <c r="L624" s="4" t="s">
        <v>223</v>
      </c>
      <c r="M624" s="4">
        <v>19</v>
      </c>
      <c r="N624" s="4" t="s">
        <v>1306</v>
      </c>
      <c r="O624" s="2"/>
      <c r="P624" s="4" t="s">
        <v>1307</v>
      </c>
      <c r="Q624" s="4">
        <v>1284823804</v>
      </c>
      <c r="R624" s="12" t="s">
        <v>549</v>
      </c>
      <c r="S624" s="4">
        <v>4</v>
      </c>
      <c r="T624" s="4"/>
      <c r="U624" s="4" t="s">
        <v>39</v>
      </c>
      <c r="V624" s="10">
        <v>45274</v>
      </c>
      <c r="W624" s="12">
        <v>45454</v>
      </c>
      <c r="Z624" t="e">
        <v>#N/A</v>
      </c>
    </row>
    <row r="625" spans="1:26" customFormat="1" hidden="1">
      <c r="A625">
        <f t="shared" ca="1" si="10"/>
        <v>72</v>
      </c>
      <c r="B625" s="4" t="s">
        <v>1308</v>
      </c>
      <c r="C625" s="12">
        <v>45224</v>
      </c>
      <c r="D625" s="4" t="s">
        <v>1070</v>
      </c>
      <c r="E625" s="4" t="s">
        <v>3662</v>
      </c>
      <c r="F625" s="4">
        <v>4780</v>
      </c>
      <c r="G625" s="4" t="s">
        <v>645</v>
      </c>
      <c r="H625" s="4" t="s">
        <v>34</v>
      </c>
      <c r="I625" s="4">
        <v>35738183</v>
      </c>
      <c r="J625" s="4" t="s">
        <v>1253</v>
      </c>
      <c r="K625" s="4" t="str">
        <f>IF(E625="KTG","KTG",(VLOOKUP(J625,'list of outsource'!B:H,2,0)))</f>
        <v>ETC</v>
      </c>
      <c r="L625" s="4" t="s">
        <v>1254</v>
      </c>
      <c r="M625" s="4">
        <v>17</v>
      </c>
      <c r="N625" s="4" t="s">
        <v>1309</v>
      </c>
      <c r="O625" s="2"/>
      <c r="P625" s="4" t="s">
        <v>1310</v>
      </c>
      <c r="Q625" s="4">
        <v>1285148525</v>
      </c>
      <c r="R625" s="12" t="s">
        <v>549</v>
      </c>
      <c r="S625" s="4">
        <v>4</v>
      </c>
      <c r="T625" s="4" t="s">
        <v>607</v>
      </c>
      <c r="U625" s="4" t="s">
        <v>39</v>
      </c>
      <c r="V625" s="10">
        <v>45296</v>
      </c>
      <c r="W625" s="12">
        <v>45299</v>
      </c>
      <c r="Z625" t="e">
        <v>#N/A</v>
      </c>
    </row>
    <row r="626" spans="1:26" customFormat="1" hidden="1">
      <c r="A626">
        <f t="shared" ca="1" si="10"/>
        <v>48</v>
      </c>
      <c r="B626" s="4" t="s">
        <v>1392</v>
      </c>
      <c r="C626" s="12">
        <v>45251</v>
      </c>
      <c r="D626" s="4" t="s">
        <v>1070</v>
      </c>
      <c r="E626" s="4" t="s">
        <v>3663</v>
      </c>
      <c r="F626" s="4">
        <v>4755</v>
      </c>
      <c r="G626" s="4" t="s">
        <v>645</v>
      </c>
      <c r="H626" s="4" t="s">
        <v>34</v>
      </c>
      <c r="I626" s="4">
        <v>15396408</v>
      </c>
      <c r="J626" s="4"/>
      <c r="K626" s="4" t="e">
        <f>IF(E626="KTG","KTG",(VLOOKUP(J626,'list of outsource'!B:H,2,0)))</f>
        <v>#N/A</v>
      </c>
      <c r="L626" s="4"/>
      <c r="M626" s="4"/>
      <c r="N626" s="4" t="s">
        <v>1393</v>
      </c>
      <c r="O626" s="2"/>
      <c r="P626" s="4" t="s">
        <v>1394</v>
      </c>
      <c r="Q626" s="4">
        <v>770301744</v>
      </c>
      <c r="R626" s="12"/>
      <c r="S626" s="4">
        <v>4</v>
      </c>
      <c r="T626" s="4"/>
      <c r="U626" s="4" t="s">
        <v>39</v>
      </c>
      <c r="V626" s="10">
        <v>45299</v>
      </c>
      <c r="W626" s="12">
        <v>45315</v>
      </c>
      <c r="Z626" t="e">
        <v>#N/A</v>
      </c>
    </row>
    <row r="627" spans="1:26" customFormat="1" hidden="1">
      <c r="A627">
        <f t="shared" ca="1" si="10"/>
        <v>51</v>
      </c>
      <c r="B627" s="4" t="s">
        <v>1429</v>
      </c>
      <c r="C627" s="12">
        <v>45265</v>
      </c>
      <c r="D627" s="4" t="s">
        <v>1070</v>
      </c>
      <c r="E627" s="4" t="s">
        <v>3662</v>
      </c>
      <c r="F627" s="4">
        <v>4799</v>
      </c>
      <c r="G627" s="4" t="s">
        <v>645</v>
      </c>
      <c r="H627" s="4" t="s">
        <v>34</v>
      </c>
      <c r="I627" s="4">
        <v>35758263</v>
      </c>
      <c r="J627" s="4" t="s">
        <v>222</v>
      </c>
      <c r="K627" s="4" t="str">
        <f>IF(E627="KTG","KTG",(VLOOKUP(J627,'list of outsource'!B:H,2,0)))</f>
        <v>ETC</v>
      </c>
      <c r="L627" s="4" t="s">
        <v>223</v>
      </c>
      <c r="M627" s="4">
        <v>19</v>
      </c>
      <c r="N627" s="4" t="s">
        <v>1375</v>
      </c>
      <c r="O627" s="2"/>
      <c r="P627" s="4" t="s">
        <v>1376</v>
      </c>
      <c r="Q627" s="4">
        <v>1294598668</v>
      </c>
      <c r="R627" s="12" t="s">
        <v>549</v>
      </c>
      <c r="S627" s="4">
        <v>4</v>
      </c>
      <c r="T627" s="4" t="s">
        <v>607</v>
      </c>
      <c r="U627" s="4" t="s">
        <v>39</v>
      </c>
      <c r="V627" s="10">
        <v>45316</v>
      </c>
      <c r="W627" s="12">
        <v>45320</v>
      </c>
      <c r="Z627" t="e">
        <v>#N/A</v>
      </c>
    </row>
    <row r="628" spans="1:26" customFormat="1" hidden="1">
      <c r="A628">
        <f t="shared" ca="1" si="10"/>
        <v>51</v>
      </c>
      <c r="B628" s="4" t="s">
        <v>1430</v>
      </c>
      <c r="C628" s="12">
        <v>45265</v>
      </c>
      <c r="D628" s="4" t="s">
        <v>1070</v>
      </c>
      <c r="E628" s="4" t="s">
        <v>3662</v>
      </c>
      <c r="F628" s="4">
        <v>4770</v>
      </c>
      <c r="G628" s="4" t="s">
        <v>645</v>
      </c>
      <c r="H628" s="4" t="s">
        <v>34</v>
      </c>
      <c r="I628" s="4">
        <v>35758269</v>
      </c>
      <c r="J628" s="4" t="s">
        <v>222</v>
      </c>
      <c r="K628" s="4" t="str">
        <f>IF(E628="KTG","KTG",(VLOOKUP(J628,'list of outsource'!B:H,2,0)))</f>
        <v>ETC</v>
      </c>
      <c r="L628" s="4" t="s">
        <v>223</v>
      </c>
      <c r="M628" s="4"/>
      <c r="N628" s="4" t="s">
        <v>427</v>
      </c>
      <c r="O628" s="2"/>
      <c r="P628" s="4" t="s">
        <v>1379</v>
      </c>
      <c r="Q628" s="4">
        <v>1293953227</v>
      </c>
      <c r="R628" s="12"/>
      <c r="S628" s="4">
        <v>4</v>
      </c>
      <c r="T628" s="4"/>
      <c r="U628" s="4" t="s">
        <v>39</v>
      </c>
      <c r="V628" s="10">
        <v>45316</v>
      </c>
      <c r="W628" s="12">
        <v>45351</v>
      </c>
      <c r="Z628">
        <v>0</v>
      </c>
    </row>
    <row r="629" spans="1:26" customFormat="1" hidden="1">
      <c r="A629">
        <f t="shared" ca="1" si="10"/>
        <v>48</v>
      </c>
      <c r="B629" s="8" t="s">
        <v>1475</v>
      </c>
      <c r="C629" s="16">
        <v>45288</v>
      </c>
      <c r="D629" s="6" t="s">
        <v>129</v>
      </c>
      <c r="E629" s="6" t="s">
        <v>3663</v>
      </c>
      <c r="F629" s="6">
        <v>4747</v>
      </c>
      <c r="G629" s="6" t="s">
        <v>645</v>
      </c>
      <c r="H629" s="6" t="s">
        <v>34</v>
      </c>
      <c r="I629" s="6">
        <v>15324257</v>
      </c>
      <c r="J629" s="6"/>
      <c r="K629" s="6" t="e">
        <f>IF(E629="KTG","KTG",(VLOOKUP(J629,'list of outsource'!B:H,2,0)))</f>
        <v>#N/A</v>
      </c>
      <c r="L629" s="6"/>
      <c r="M629" s="6" t="s">
        <v>1476</v>
      </c>
      <c r="N629" s="6" t="s">
        <v>1477</v>
      </c>
      <c r="O629" s="2"/>
      <c r="P629" s="6" t="s">
        <v>1478</v>
      </c>
      <c r="Q629" s="6">
        <v>835915899</v>
      </c>
      <c r="R629" s="16" t="s">
        <v>549</v>
      </c>
      <c r="S629" s="6">
        <v>4</v>
      </c>
      <c r="T629" s="6" t="s">
        <v>307</v>
      </c>
      <c r="U629" s="6" t="s">
        <v>39</v>
      </c>
      <c r="V629" s="17">
        <v>45336</v>
      </c>
      <c r="W629" s="16"/>
      <c r="Z629" t="e">
        <v>#N/A</v>
      </c>
    </row>
    <row r="630" spans="1:26" customFormat="1" hidden="1">
      <c r="A630">
        <f t="shared" ca="1" si="10"/>
        <v>28</v>
      </c>
      <c r="B630" s="4" t="s">
        <v>1599</v>
      </c>
      <c r="C630" s="12">
        <v>45350</v>
      </c>
      <c r="D630" s="4" t="s">
        <v>1070</v>
      </c>
      <c r="E630" s="4" t="s">
        <v>3662</v>
      </c>
      <c r="F630" s="4">
        <v>4765</v>
      </c>
      <c r="G630" s="4" t="s">
        <v>645</v>
      </c>
      <c r="H630" s="4" t="s">
        <v>34</v>
      </c>
      <c r="I630" s="4">
        <v>35758275</v>
      </c>
      <c r="J630" s="4" t="s">
        <v>222</v>
      </c>
      <c r="K630" s="4" t="str">
        <f>IF(E630="KTG","KTG",(VLOOKUP(J630,'list of outsource'!B:H,2,0)))</f>
        <v>ETC</v>
      </c>
      <c r="L630" s="4" t="s">
        <v>223</v>
      </c>
      <c r="M630" s="4">
        <v>20</v>
      </c>
      <c r="N630" s="4" t="s">
        <v>314</v>
      </c>
      <c r="O630" s="2"/>
      <c r="P630" s="4" t="s">
        <v>578</v>
      </c>
      <c r="Q630" s="4">
        <v>1313310200</v>
      </c>
      <c r="R630" s="12" t="s">
        <v>549</v>
      </c>
      <c r="S630" s="4">
        <v>4</v>
      </c>
      <c r="T630" s="4" t="s">
        <v>307</v>
      </c>
      <c r="U630" s="4" t="s">
        <v>39</v>
      </c>
      <c r="V630" s="10">
        <v>45378</v>
      </c>
      <c r="W630" s="12">
        <v>45378</v>
      </c>
      <c r="Z630" t="e">
        <v>#N/A</v>
      </c>
    </row>
    <row r="631" spans="1:26" customFormat="1" hidden="1">
      <c r="A631">
        <f t="shared" ca="1" si="10"/>
        <v>29</v>
      </c>
      <c r="B631" s="8" t="s">
        <v>1619</v>
      </c>
      <c r="C631" s="16">
        <v>45362</v>
      </c>
      <c r="D631" s="6" t="s">
        <v>129</v>
      </c>
      <c r="E631" s="6" t="s">
        <v>3663</v>
      </c>
      <c r="F631" s="6">
        <v>4742</v>
      </c>
      <c r="G631" s="6" t="s">
        <v>645</v>
      </c>
      <c r="H631" s="6" t="s">
        <v>34</v>
      </c>
      <c r="I631" s="6">
        <v>12186176</v>
      </c>
      <c r="J631" s="6"/>
      <c r="K631" s="6" t="e">
        <f>IF(E631="KTG","KTG",(VLOOKUP(J631,'list of outsource'!B:H,2,0)))</f>
        <v>#N/A</v>
      </c>
      <c r="L631" s="6"/>
      <c r="M631" s="6"/>
      <c r="N631" s="6" t="s">
        <v>1620</v>
      </c>
      <c r="O631" s="2"/>
      <c r="P631" s="6" t="s">
        <v>1621</v>
      </c>
      <c r="Q631" s="6">
        <v>1037658419</v>
      </c>
      <c r="R631" s="16">
        <v>45373</v>
      </c>
      <c r="S631" s="6">
        <v>1</v>
      </c>
      <c r="T631" s="6" t="s">
        <v>307</v>
      </c>
      <c r="U631" s="6" t="s">
        <v>183</v>
      </c>
      <c r="V631" s="17">
        <v>45391</v>
      </c>
      <c r="W631" s="16"/>
      <c r="Z631" t="e">
        <v>#N/A</v>
      </c>
    </row>
    <row r="632" spans="1:26" customFormat="1" hidden="1">
      <c r="A632">
        <f t="shared" ca="1" si="10"/>
        <v>26</v>
      </c>
      <c r="B632" s="4" t="s">
        <v>1667</v>
      </c>
      <c r="C632" s="12">
        <v>45421</v>
      </c>
      <c r="D632" s="4" t="s">
        <v>1070</v>
      </c>
      <c r="E632" s="4" t="s">
        <v>3662</v>
      </c>
      <c r="F632" s="4">
        <v>4794</v>
      </c>
      <c r="G632" s="4" t="s">
        <v>645</v>
      </c>
      <c r="H632" s="4" t="s">
        <v>34</v>
      </c>
      <c r="I632" s="4">
        <v>35758243</v>
      </c>
      <c r="J632" s="4" t="s">
        <v>1253</v>
      </c>
      <c r="K632" s="4" t="str">
        <f>IF(E632="KTG","KTG",(VLOOKUP(J632,'list of outsource'!B:H,2,0)))</f>
        <v>ETC</v>
      </c>
      <c r="L632" s="4" t="s">
        <v>1254</v>
      </c>
      <c r="M632" s="4">
        <v>19</v>
      </c>
      <c r="N632" s="4" t="s">
        <v>1668</v>
      </c>
      <c r="O632" s="2"/>
      <c r="P632" s="4" t="s">
        <v>1669</v>
      </c>
      <c r="Q632" s="4">
        <v>1329794244</v>
      </c>
      <c r="R632" s="12">
        <v>45423</v>
      </c>
      <c r="S632" s="4">
        <v>4</v>
      </c>
      <c r="T632" s="4" t="s">
        <v>1258</v>
      </c>
      <c r="U632" s="4" t="s">
        <v>39</v>
      </c>
      <c r="V632" s="10">
        <v>45447</v>
      </c>
      <c r="W632" s="12">
        <v>45453</v>
      </c>
      <c r="Z632" t="e">
        <v>#N/A</v>
      </c>
    </row>
    <row r="633" spans="1:26" customFormat="1" hidden="1">
      <c r="A633">
        <f t="shared" ca="1" si="10"/>
        <v>20</v>
      </c>
      <c r="B633" s="8" t="s">
        <v>1670</v>
      </c>
      <c r="C633" s="16">
        <v>45427</v>
      </c>
      <c r="D633" s="6" t="s">
        <v>129</v>
      </c>
      <c r="E633" s="6" t="s">
        <v>3662</v>
      </c>
      <c r="F633" s="6">
        <v>4772</v>
      </c>
      <c r="G633" s="6" t="s">
        <v>645</v>
      </c>
      <c r="H633" s="6" t="s">
        <v>34</v>
      </c>
      <c r="I633" s="6">
        <v>35758579</v>
      </c>
      <c r="J633" s="6" t="s">
        <v>302</v>
      </c>
      <c r="K633" s="6" t="str">
        <f>IF(E633="KTG","KTG",(VLOOKUP(J633,'list of outsource'!B:H,2,0)))</f>
        <v>ETC</v>
      </c>
      <c r="L633" s="6" t="s">
        <v>303</v>
      </c>
      <c r="M633" s="6">
        <v>60</v>
      </c>
      <c r="N633" s="6" t="s">
        <v>1671</v>
      </c>
      <c r="O633" s="2"/>
      <c r="P633" s="6" t="s">
        <v>1672</v>
      </c>
      <c r="Q633" s="6">
        <v>1329808894</v>
      </c>
      <c r="R633" s="16"/>
      <c r="S633" s="6">
        <v>4</v>
      </c>
      <c r="T633" s="6" t="s">
        <v>307</v>
      </c>
      <c r="U633" s="6" t="s">
        <v>39</v>
      </c>
      <c r="V633" s="17">
        <v>45447</v>
      </c>
      <c r="W633" s="16"/>
      <c r="Z633" t="e">
        <v>#N/A</v>
      </c>
    </row>
    <row r="634" spans="1:26" customFormat="1" hidden="1">
      <c r="A634">
        <f t="shared" ca="1" si="10"/>
        <v>7</v>
      </c>
      <c r="B634" s="4" t="s">
        <v>1847</v>
      </c>
      <c r="C634" s="12">
        <v>45440</v>
      </c>
      <c r="D634" s="4" t="s">
        <v>1070</v>
      </c>
      <c r="E634" s="4" t="s">
        <v>3662</v>
      </c>
      <c r="F634" s="4">
        <v>4805</v>
      </c>
      <c r="G634" s="4" t="s">
        <v>645</v>
      </c>
      <c r="H634" s="4" t="s">
        <v>34</v>
      </c>
      <c r="I634" s="4" t="s">
        <v>1848</v>
      </c>
      <c r="J634" s="4" t="s">
        <v>222</v>
      </c>
      <c r="K634" s="4" t="str">
        <f>IF(E634="KTG","KTG",(VLOOKUP(J634,'list of outsource'!B:H,2,0)))</f>
        <v>ETC</v>
      </c>
      <c r="L634" s="4" t="s">
        <v>223</v>
      </c>
      <c r="M634" s="4">
        <v>21</v>
      </c>
      <c r="N634" s="4" t="s">
        <v>1849</v>
      </c>
      <c r="O634" s="2"/>
      <c r="P634" s="4" t="s">
        <v>1850</v>
      </c>
      <c r="Q634" s="4">
        <v>1329810757</v>
      </c>
      <c r="R634" s="12">
        <v>45446</v>
      </c>
      <c r="S634" s="4">
        <v>4</v>
      </c>
      <c r="T634" s="4" t="s">
        <v>1465</v>
      </c>
      <c r="U634" s="4" t="s">
        <v>39</v>
      </c>
      <c r="V634" s="10">
        <v>45447</v>
      </c>
      <c r="W634" s="12">
        <v>45449</v>
      </c>
      <c r="Z634" t="e">
        <v>#N/A</v>
      </c>
    </row>
    <row r="635" spans="1:26" customFormat="1" hidden="1">
      <c r="A635">
        <f t="shared" ca="1" si="10"/>
        <v>24</v>
      </c>
      <c r="B635" s="4" t="s">
        <v>1851</v>
      </c>
      <c r="C635" s="12">
        <v>45440</v>
      </c>
      <c r="D635" s="4" t="s">
        <v>1070</v>
      </c>
      <c r="E635" s="4" t="s">
        <v>3663</v>
      </c>
      <c r="F635" s="4">
        <v>4751</v>
      </c>
      <c r="G635" s="4" t="s">
        <v>645</v>
      </c>
      <c r="H635" s="4" t="s">
        <v>34</v>
      </c>
      <c r="I635" s="4">
        <v>13799844</v>
      </c>
      <c r="J635" s="4"/>
      <c r="K635" s="4" t="e">
        <f>IF(E635="KTG","KTG",(VLOOKUP(J635,'list of outsource'!B:H,2,0)))</f>
        <v>#N/A</v>
      </c>
      <c r="L635" s="4"/>
      <c r="M635" s="4"/>
      <c r="N635" s="4" t="s">
        <v>1852</v>
      </c>
      <c r="O635" s="2"/>
      <c r="P635" s="4" t="s">
        <v>1853</v>
      </c>
      <c r="Q635" s="4"/>
      <c r="R635" s="12">
        <v>45461</v>
      </c>
      <c r="S635" s="4">
        <v>1</v>
      </c>
      <c r="T635" s="4" t="s">
        <v>307</v>
      </c>
      <c r="U635" s="4" t="s">
        <v>550</v>
      </c>
      <c r="V635" s="10">
        <v>45464</v>
      </c>
      <c r="W635" s="12">
        <v>45468</v>
      </c>
      <c r="Z635" t="e">
        <v>#N/A</v>
      </c>
    </row>
    <row r="636" spans="1:26" customFormat="1" hidden="1">
      <c r="A636">
        <f t="shared" ca="1" si="10"/>
        <v>43</v>
      </c>
      <c r="B636" s="4" t="s">
        <v>1919</v>
      </c>
      <c r="C636" s="12">
        <v>45455</v>
      </c>
      <c r="D636" s="4" t="s">
        <v>1070</v>
      </c>
      <c r="E636" s="4" t="s">
        <v>3663</v>
      </c>
      <c r="F636" s="4">
        <v>4748</v>
      </c>
      <c r="G636" s="4" t="s">
        <v>645</v>
      </c>
      <c r="H636" s="4" t="s">
        <v>34</v>
      </c>
      <c r="I636" s="4">
        <v>12186167</v>
      </c>
      <c r="J636" s="4"/>
      <c r="K636" s="4" t="e">
        <f>IF(E636="KTG","KTG",(VLOOKUP(J636,'list of outsource'!B:H,2,0)))</f>
        <v>#N/A</v>
      </c>
      <c r="L636" s="4"/>
      <c r="M636" s="4"/>
      <c r="N636" s="4" t="s">
        <v>1920</v>
      </c>
      <c r="O636" s="2"/>
      <c r="P636" s="4" t="s">
        <v>1921</v>
      </c>
      <c r="Q636" s="4"/>
      <c r="R636" s="12">
        <v>45482</v>
      </c>
      <c r="S636" s="4">
        <v>1</v>
      </c>
      <c r="T636" s="4" t="s">
        <v>307</v>
      </c>
      <c r="U636" s="4" t="s">
        <v>550</v>
      </c>
      <c r="V636" s="10">
        <v>45498</v>
      </c>
      <c r="W636" s="12">
        <v>45512</v>
      </c>
      <c r="Z636" t="e">
        <v>#N/A</v>
      </c>
    </row>
    <row r="637" spans="1:26" customFormat="1" hidden="1">
      <c r="A637">
        <f t="shared" ca="1" si="10"/>
        <v>40</v>
      </c>
      <c r="B637" s="8" t="s">
        <v>1252</v>
      </c>
      <c r="C637" s="16">
        <v>45477</v>
      </c>
      <c r="D637" s="6" t="s">
        <v>129</v>
      </c>
      <c r="E637" s="6" t="s">
        <v>3662</v>
      </c>
      <c r="F637" s="6">
        <v>4779</v>
      </c>
      <c r="G637" s="6" t="s">
        <v>645</v>
      </c>
      <c r="H637" s="6" t="s">
        <v>34</v>
      </c>
      <c r="I637" s="6">
        <v>35738181</v>
      </c>
      <c r="J637" s="6" t="s">
        <v>1253</v>
      </c>
      <c r="K637" s="6" t="str">
        <f>IF(E637="KTG","KTG",(VLOOKUP(J637,'list of outsource'!B:H,2,0)))</f>
        <v>ETC</v>
      </c>
      <c r="L637" s="6" t="s">
        <v>1254</v>
      </c>
      <c r="M637" s="6">
        <v>20</v>
      </c>
      <c r="N637" s="6" t="s">
        <v>1255</v>
      </c>
      <c r="O637" s="2"/>
      <c r="P637" s="6" t="s">
        <v>1256</v>
      </c>
      <c r="Q637" s="6" t="s">
        <v>1257</v>
      </c>
      <c r="R637" s="16">
        <v>45503</v>
      </c>
      <c r="S637" s="6">
        <v>4</v>
      </c>
      <c r="T637" s="6" t="s">
        <v>1258</v>
      </c>
      <c r="U637" s="6" t="s">
        <v>39</v>
      </c>
      <c r="V637" s="17">
        <v>45517</v>
      </c>
      <c r="W637" s="16"/>
      <c r="Z637" t="e">
        <v>#N/A</v>
      </c>
    </row>
    <row r="638" spans="1:26" customFormat="1" hidden="1">
      <c r="A638">
        <f t="shared" ca="1" si="10"/>
        <v>29</v>
      </c>
      <c r="B638" s="8" t="s">
        <v>2012</v>
      </c>
      <c r="C638" s="16">
        <v>45488</v>
      </c>
      <c r="D638" s="6" t="s">
        <v>129</v>
      </c>
      <c r="E638" s="6" t="s">
        <v>3663</v>
      </c>
      <c r="F638" s="6">
        <v>4759</v>
      </c>
      <c r="G638" s="6" t="s">
        <v>645</v>
      </c>
      <c r="H638" s="6" t="s">
        <v>34</v>
      </c>
      <c r="I638" s="6">
        <v>15324289</v>
      </c>
      <c r="J638" s="6"/>
      <c r="K638" s="6" t="e">
        <f>IF(E638="KTG","KTG",(VLOOKUP(J638,'list of outsource'!B:H,2,0)))</f>
        <v>#N/A</v>
      </c>
      <c r="L638" s="6"/>
      <c r="M638" s="6"/>
      <c r="N638" s="6" t="s">
        <v>2013</v>
      </c>
      <c r="O638" s="2"/>
      <c r="P638" s="6" t="s">
        <v>2014</v>
      </c>
      <c r="Q638" s="6"/>
      <c r="R638" s="16">
        <v>45512</v>
      </c>
      <c r="S638" s="6">
        <v>4</v>
      </c>
      <c r="T638" s="6" t="s">
        <v>1258</v>
      </c>
      <c r="U638" s="6" t="s">
        <v>39</v>
      </c>
      <c r="V638" s="17">
        <v>45517</v>
      </c>
      <c r="W638" s="16"/>
      <c r="Z638" t="e">
        <v>#N/A</v>
      </c>
    </row>
    <row r="639" spans="1:26" customFormat="1" hidden="1">
      <c r="A639">
        <f t="shared" ca="1" si="10"/>
        <v>22</v>
      </c>
      <c r="B639" s="8" t="s">
        <v>2063</v>
      </c>
      <c r="C639" s="16">
        <v>45524</v>
      </c>
      <c r="D639" s="6" t="s">
        <v>129</v>
      </c>
      <c r="E639" s="6" t="s">
        <v>3662</v>
      </c>
      <c r="F639" s="6">
        <v>4778</v>
      </c>
      <c r="G639" s="6" t="s">
        <v>645</v>
      </c>
      <c r="H639" s="6" t="s">
        <v>34</v>
      </c>
      <c r="I639" s="6">
        <v>35738179</v>
      </c>
      <c r="J639" s="6" t="s">
        <v>1253</v>
      </c>
      <c r="K639" s="6" t="str">
        <f>IF(E639="KTG","KTG",(VLOOKUP(J639,'list of outsource'!B:H,2,0)))</f>
        <v>ETC</v>
      </c>
      <c r="L639" s="6" t="s">
        <v>1254</v>
      </c>
      <c r="M639" s="6">
        <v>20</v>
      </c>
      <c r="N639" s="6" t="s">
        <v>1649</v>
      </c>
      <c r="O639" s="2"/>
      <c r="P639" s="6" t="s">
        <v>1650</v>
      </c>
      <c r="Q639" s="6" t="s">
        <v>2064</v>
      </c>
      <c r="R639" s="16">
        <v>45422</v>
      </c>
      <c r="S639" s="6">
        <v>4</v>
      </c>
      <c r="T639" s="6" t="s">
        <v>607</v>
      </c>
      <c r="U639" s="6" t="s">
        <v>39</v>
      </c>
      <c r="V639" s="17">
        <v>45546</v>
      </c>
      <c r="W639" s="16"/>
      <c r="Z639" t="e">
        <v>#N/A</v>
      </c>
    </row>
    <row r="640" spans="1:26" customFormat="1" hidden="1">
      <c r="A640">
        <f t="shared" ca="1" si="10"/>
        <v>27</v>
      </c>
      <c r="B640" s="4" t="s">
        <v>2181</v>
      </c>
      <c r="C640" s="12">
        <v>45596</v>
      </c>
      <c r="D640" s="4" t="s">
        <v>300</v>
      </c>
      <c r="E640" s="4" t="s">
        <v>3662</v>
      </c>
      <c r="F640" s="4">
        <v>4782</v>
      </c>
      <c r="G640" s="4" t="s">
        <v>645</v>
      </c>
      <c r="H640" s="4" t="s">
        <v>34</v>
      </c>
      <c r="I640" s="4">
        <v>35738186</v>
      </c>
      <c r="J640" s="4" t="s">
        <v>302</v>
      </c>
      <c r="K640" s="4" t="str">
        <f>IF(E640="KTG","KTG",(VLOOKUP(J640,'list of outsource'!B:H,2,0)))</f>
        <v>ETC</v>
      </c>
      <c r="L640" s="4" t="s">
        <v>303</v>
      </c>
      <c r="M640" s="4">
        <v>64</v>
      </c>
      <c r="N640" s="4" t="s">
        <v>1479</v>
      </c>
      <c r="O640" s="2"/>
      <c r="P640" s="4" t="s">
        <v>1480</v>
      </c>
      <c r="Q640" s="4" t="s">
        <v>2182</v>
      </c>
      <c r="R640" s="12"/>
      <c r="S640" s="4">
        <v>4</v>
      </c>
      <c r="T640" s="4" t="s">
        <v>1465</v>
      </c>
      <c r="U640" s="4" t="s">
        <v>39</v>
      </c>
      <c r="V640" s="10">
        <v>45623</v>
      </c>
      <c r="W640" s="12">
        <v>45814</v>
      </c>
      <c r="Z640" t="e">
        <v>#N/A</v>
      </c>
    </row>
    <row r="641" spans="1:26" customFormat="1" hidden="1">
      <c r="A641">
        <f t="shared" ca="1" si="10"/>
        <v>27</v>
      </c>
      <c r="B641" s="4" t="s">
        <v>2183</v>
      </c>
      <c r="C641" s="12">
        <v>45596</v>
      </c>
      <c r="D641" s="4" t="s">
        <v>300</v>
      </c>
      <c r="E641" s="4" t="s">
        <v>3662</v>
      </c>
      <c r="F641" s="4">
        <v>4776</v>
      </c>
      <c r="G641" s="4" t="s">
        <v>645</v>
      </c>
      <c r="H641" s="4" t="s">
        <v>34</v>
      </c>
      <c r="I641" s="4">
        <v>35738189</v>
      </c>
      <c r="J641" s="4" t="s">
        <v>302</v>
      </c>
      <c r="K641" s="4" t="str">
        <f>IF(E641="KTG","KTG",(VLOOKUP(J641,'list of outsource'!B:H,2,0)))</f>
        <v>ETC</v>
      </c>
      <c r="L641" s="4" t="s">
        <v>303</v>
      </c>
      <c r="M641" s="4">
        <v>64</v>
      </c>
      <c r="N641" s="4" t="s">
        <v>1732</v>
      </c>
      <c r="O641" s="2"/>
      <c r="P641" s="4" t="s">
        <v>1733</v>
      </c>
      <c r="Q641" s="4" t="s">
        <v>2184</v>
      </c>
      <c r="R641" s="12"/>
      <c r="S641" s="4">
        <v>4</v>
      </c>
      <c r="T641" s="4" t="s">
        <v>1465</v>
      </c>
      <c r="U641" s="4" t="s">
        <v>39</v>
      </c>
      <c r="V641" s="10">
        <v>45623</v>
      </c>
      <c r="W641" s="12">
        <v>45814</v>
      </c>
      <c r="Z641" t="e">
        <v>#N/A</v>
      </c>
    </row>
    <row r="642" spans="1:26" customFormat="1" hidden="1">
      <c r="A642">
        <f t="shared" ca="1" si="10"/>
        <v>27</v>
      </c>
      <c r="B642" s="4" t="s">
        <v>2185</v>
      </c>
      <c r="C642" s="12">
        <v>45596</v>
      </c>
      <c r="D642" s="4" t="s">
        <v>300</v>
      </c>
      <c r="E642" s="4" t="s">
        <v>3662</v>
      </c>
      <c r="F642" s="4">
        <v>4775</v>
      </c>
      <c r="G642" s="4" t="s">
        <v>645</v>
      </c>
      <c r="H642" s="4" t="s">
        <v>34</v>
      </c>
      <c r="I642" s="4">
        <v>35738187</v>
      </c>
      <c r="J642" s="4" t="s">
        <v>302</v>
      </c>
      <c r="K642" s="4" t="str">
        <f>IF(E642="KTG","KTG",(VLOOKUP(J642,'list of outsource'!B:H,2,0)))</f>
        <v>ETC</v>
      </c>
      <c r="L642" s="4" t="s">
        <v>303</v>
      </c>
      <c r="M642" s="4">
        <v>64</v>
      </c>
      <c r="N642" s="4" t="s">
        <v>1488</v>
      </c>
      <c r="O642" s="2"/>
      <c r="P642" s="4" t="s">
        <v>1489</v>
      </c>
      <c r="Q642" s="4" t="s">
        <v>2186</v>
      </c>
      <c r="R642" s="12"/>
      <c r="S642" s="4">
        <v>4</v>
      </c>
      <c r="T642" s="4" t="s">
        <v>1465</v>
      </c>
      <c r="U642" s="4" t="s">
        <v>39</v>
      </c>
      <c r="V642" s="10">
        <v>45623</v>
      </c>
      <c r="W642" s="12">
        <v>45814</v>
      </c>
      <c r="Z642" t="e">
        <v>#N/A</v>
      </c>
    </row>
    <row r="643" spans="1:26" customFormat="1" hidden="1">
      <c r="A643">
        <f t="shared" ca="1" si="10"/>
        <v>14</v>
      </c>
      <c r="B643" s="8" t="s">
        <v>2198</v>
      </c>
      <c r="C643" s="16">
        <v>45609</v>
      </c>
      <c r="D643" s="6" t="s">
        <v>129</v>
      </c>
      <c r="E643" s="6" t="s">
        <v>3662</v>
      </c>
      <c r="F643" s="6">
        <v>4796</v>
      </c>
      <c r="G643" s="6" t="s">
        <v>645</v>
      </c>
      <c r="H643" s="6" t="s">
        <v>34</v>
      </c>
      <c r="I643" s="6">
        <v>35758255</v>
      </c>
      <c r="J643" s="6" t="s">
        <v>525</v>
      </c>
      <c r="K643" s="6" t="str">
        <f>IF(E643="KTG","KTG",(VLOOKUP(J643,'list of outsource'!B:H,2,0)))</f>
        <v>ETC</v>
      </c>
      <c r="L643" s="6" t="s">
        <v>526</v>
      </c>
      <c r="M643" s="6">
        <v>20</v>
      </c>
      <c r="N643" s="6" t="s">
        <v>1485</v>
      </c>
      <c r="O643" s="2"/>
      <c r="P643" s="6" t="s">
        <v>1486</v>
      </c>
      <c r="Q643" s="6" t="s">
        <v>2199</v>
      </c>
      <c r="R643" s="16"/>
      <c r="S643" s="6">
        <v>4</v>
      </c>
      <c r="T643" s="6" t="s">
        <v>1465</v>
      </c>
      <c r="U643" s="6" t="s">
        <v>39</v>
      </c>
      <c r="V643" s="17">
        <v>45623</v>
      </c>
      <c r="W643" s="16"/>
      <c r="Z643" t="e">
        <v>#N/A</v>
      </c>
    </row>
    <row r="644" spans="1:26" customFormat="1" hidden="1">
      <c r="A644">
        <f t="shared" ca="1" si="10"/>
        <v>7</v>
      </c>
      <c r="B644" s="4" t="s">
        <v>2202</v>
      </c>
      <c r="C644" s="12">
        <v>45635</v>
      </c>
      <c r="D644" s="4" t="s">
        <v>1070</v>
      </c>
      <c r="E644" s="4" t="s">
        <v>3662</v>
      </c>
      <c r="F644" s="4">
        <v>4781</v>
      </c>
      <c r="G644" s="4" t="s">
        <v>645</v>
      </c>
      <c r="H644" s="4" t="s">
        <v>34</v>
      </c>
      <c r="I644" s="4">
        <v>35738185</v>
      </c>
      <c r="J644" s="4" t="s">
        <v>302</v>
      </c>
      <c r="K644" s="4" t="str">
        <f>IF(E644="KTG","KTG",(VLOOKUP(J644,'list of outsource'!B:H,2,0)))</f>
        <v>ETC</v>
      </c>
      <c r="L644" s="4" t="s">
        <v>303</v>
      </c>
      <c r="M644" s="4">
        <v>65</v>
      </c>
      <c r="N644" s="4" t="s">
        <v>1483</v>
      </c>
      <c r="O644" s="2"/>
      <c r="P644" s="4" t="s">
        <v>1484</v>
      </c>
      <c r="Q644" s="4" t="s">
        <v>2203</v>
      </c>
      <c r="R644" s="12"/>
      <c r="S644" s="4">
        <v>4</v>
      </c>
      <c r="T644" s="4" t="s">
        <v>1465</v>
      </c>
      <c r="U644" s="4" t="s">
        <v>39</v>
      </c>
      <c r="V644" s="10">
        <v>45642</v>
      </c>
      <c r="W644" s="12">
        <v>45642</v>
      </c>
      <c r="Z644" t="e">
        <v>#N/A</v>
      </c>
    </row>
    <row r="645" spans="1:26" customFormat="1" hidden="1">
      <c r="A645">
        <f t="shared" ca="1" si="10"/>
        <v>29</v>
      </c>
      <c r="B645" s="8" t="s">
        <v>2204</v>
      </c>
      <c r="C645" s="16">
        <v>45635</v>
      </c>
      <c r="D645" s="6" t="s">
        <v>129</v>
      </c>
      <c r="E645" s="6" t="s">
        <v>3662</v>
      </c>
      <c r="F645" s="6">
        <v>4785</v>
      </c>
      <c r="G645" s="6" t="s">
        <v>645</v>
      </c>
      <c r="H645" s="6" t="s">
        <v>34</v>
      </c>
      <c r="I645" s="6">
        <v>35738172</v>
      </c>
      <c r="J645" s="6" t="s">
        <v>525</v>
      </c>
      <c r="K645" s="6" t="str">
        <f>IF(E645="KTG","KTG",(VLOOKUP(J645,'list of outsource'!B:H,2,0)))</f>
        <v>ETC</v>
      </c>
      <c r="L645" s="6" t="s">
        <v>526</v>
      </c>
      <c r="M645" s="6">
        <v>20</v>
      </c>
      <c r="N645" s="6" t="s">
        <v>2187</v>
      </c>
      <c r="O645" s="2"/>
      <c r="P645" s="6" t="s">
        <v>2188</v>
      </c>
      <c r="Q645" s="6" t="s">
        <v>2205</v>
      </c>
      <c r="R645" s="16"/>
      <c r="S645" s="6">
        <v>4</v>
      </c>
      <c r="T645" s="6" t="s">
        <v>1465</v>
      </c>
      <c r="U645" s="6" t="s">
        <v>39</v>
      </c>
      <c r="V645" s="17">
        <v>45664</v>
      </c>
      <c r="W645" s="16"/>
      <c r="Z645" t="e">
        <v>#N/A</v>
      </c>
    </row>
    <row r="646" spans="1:26" customFormat="1" hidden="1">
      <c r="A646">
        <f t="shared" ca="1" si="10"/>
        <v>17</v>
      </c>
      <c r="B646" s="8" t="s">
        <v>2389</v>
      </c>
      <c r="C646" s="16">
        <v>45720</v>
      </c>
      <c r="D646" s="6" t="s">
        <v>2390</v>
      </c>
      <c r="E646" s="6" t="s">
        <v>3662</v>
      </c>
      <c r="F646" s="6">
        <v>4807</v>
      </c>
      <c r="G646" s="6" t="s">
        <v>645</v>
      </c>
      <c r="H646" s="6" t="s">
        <v>34</v>
      </c>
      <c r="I646" s="6"/>
      <c r="J646" s="6" t="s">
        <v>2391</v>
      </c>
      <c r="K646" s="6" t="str">
        <f>IF(E646="KTG","KTG",(VLOOKUP(J646,'list of outsource'!B:H,2,0)))</f>
        <v xml:space="preserve">KEJIAN </v>
      </c>
      <c r="L646" s="6" t="s">
        <v>2392</v>
      </c>
      <c r="M646" s="6"/>
      <c r="N646" s="6" t="s">
        <v>2393</v>
      </c>
      <c r="O646" s="2"/>
      <c r="P646" s="6"/>
      <c r="Q646" s="6"/>
      <c r="R646" s="16"/>
      <c r="S646" s="6" t="s">
        <v>307</v>
      </c>
      <c r="T646" s="6" t="s">
        <v>307</v>
      </c>
      <c r="U646" s="6" t="s">
        <v>2394</v>
      </c>
      <c r="V646" s="17">
        <v>45737</v>
      </c>
      <c r="W646" s="16"/>
      <c r="Z646" t="e">
        <v>#N/A</v>
      </c>
    </row>
    <row r="647" spans="1:26" customFormat="1" hidden="1">
      <c r="A647">
        <f t="shared" ca="1" si="10"/>
        <v>28</v>
      </c>
      <c r="B647" s="4" t="s">
        <v>2422</v>
      </c>
      <c r="C647" s="12">
        <v>45756</v>
      </c>
      <c r="D647" s="4" t="s">
        <v>300</v>
      </c>
      <c r="E647" s="4" t="s">
        <v>3663</v>
      </c>
      <c r="F647" s="4">
        <v>4754</v>
      </c>
      <c r="G647" s="4" t="s">
        <v>645</v>
      </c>
      <c r="H647" s="4" t="s">
        <v>34</v>
      </c>
      <c r="I647" s="4">
        <v>13799796</v>
      </c>
      <c r="J647" s="4"/>
      <c r="K647" s="4" t="e">
        <f>IF(E647="KTG","KTG",(VLOOKUP(J647,'list of outsource'!B:H,2,0)))</f>
        <v>#N/A</v>
      </c>
      <c r="L647" s="4"/>
      <c r="M647" s="4"/>
      <c r="N647" s="4" t="s">
        <v>2423</v>
      </c>
      <c r="O647" s="2"/>
      <c r="P647" s="4" t="s">
        <v>2424</v>
      </c>
      <c r="Q647" s="4"/>
      <c r="R647" s="12"/>
      <c r="S647" s="4">
        <v>4</v>
      </c>
      <c r="T647" s="4" t="s">
        <v>307</v>
      </c>
      <c r="U647" s="4" t="s">
        <v>39</v>
      </c>
      <c r="V647" s="10">
        <v>45784</v>
      </c>
      <c r="W647" s="12">
        <v>45817</v>
      </c>
      <c r="Z647" t="e">
        <v>#N/A</v>
      </c>
    </row>
    <row r="648" spans="1:26" customFormat="1" hidden="1">
      <c r="A648">
        <f t="shared" ca="1" si="10"/>
        <v>26</v>
      </c>
      <c r="B648" s="4" t="s">
        <v>2425</v>
      </c>
      <c r="C648" s="12">
        <v>45756</v>
      </c>
      <c r="D648" s="4" t="s">
        <v>300</v>
      </c>
      <c r="E648" s="4" t="s">
        <v>3662</v>
      </c>
      <c r="F648" s="4">
        <v>4793</v>
      </c>
      <c r="G648" s="4" t="s">
        <v>645</v>
      </c>
      <c r="H648" s="4" t="s">
        <v>34</v>
      </c>
      <c r="I648" s="4">
        <v>35758237</v>
      </c>
      <c r="J648" s="4" t="s">
        <v>1253</v>
      </c>
      <c r="K648" s="4" t="str">
        <f>IF(E648="KTG","KTG",(VLOOKUP(J648,'list of outsource'!B:H,2,0)))</f>
        <v>ETC</v>
      </c>
      <c r="L648" s="4" t="s">
        <v>1254</v>
      </c>
      <c r="M648" s="4">
        <v>20</v>
      </c>
      <c r="N648" s="4" t="s">
        <v>2426</v>
      </c>
      <c r="O648" s="2"/>
      <c r="P648" s="4" t="s">
        <v>2427</v>
      </c>
      <c r="Q648" s="4" t="s">
        <v>2428</v>
      </c>
      <c r="R648" s="12">
        <v>45765</v>
      </c>
      <c r="S648" s="4">
        <v>4</v>
      </c>
      <c r="T648" s="4" t="s">
        <v>1465</v>
      </c>
      <c r="U648" s="4" t="s">
        <v>39</v>
      </c>
      <c r="V648" s="10">
        <v>45782</v>
      </c>
      <c r="W648" s="12">
        <v>45782</v>
      </c>
      <c r="Z648">
        <v>0</v>
      </c>
    </row>
    <row r="649" spans="1:26" customFormat="1" hidden="1">
      <c r="A649">
        <f t="shared" ca="1" si="10"/>
        <v>26</v>
      </c>
      <c r="B649" s="9" t="s">
        <v>2636</v>
      </c>
      <c r="C649" s="12">
        <v>45821</v>
      </c>
      <c r="D649" s="4" t="s">
        <v>300</v>
      </c>
      <c r="E649" s="4" t="s">
        <v>3662</v>
      </c>
      <c r="F649" s="4">
        <v>4792</v>
      </c>
      <c r="G649" s="4" t="s">
        <v>645</v>
      </c>
      <c r="H649" s="4" t="s">
        <v>34</v>
      </c>
      <c r="I649" s="4">
        <v>35758230</v>
      </c>
      <c r="J649" s="4" t="s">
        <v>1253</v>
      </c>
      <c r="K649" s="4" t="str">
        <f>IF(E649="KTG","KTG",(VLOOKUP(J649,'list of outsource'!B:H,2,0)))</f>
        <v>ETC</v>
      </c>
      <c r="L649" s="4" t="s">
        <v>1254</v>
      </c>
      <c r="M649" s="47">
        <v>20</v>
      </c>
      <c r="N649" s="4" t="s">
        <v>2637</v>
      </c>
      <c r="O649" s="2"/>
      <c r="P649" s="4" t="s">
        <v>2638</v>
      </c>
      <c r="Q649" s="4" t="s">
        <v>2639</v>
      </c>
      <c r="R649" s="12">
        <v>45847</v>
      </c>
      <c r="S649" s="4">
        <v>4</v>
      </c>
      <c r="T649" s="4" t="s">
        <v>607</v>
      </c>
      <c r="U649" s="4" t="s">
        <v>39</v>
      </c>
      <c r="V649" s="10">
        <v>45847</v>
      </c>
      <c r="W649" s="12">
        <v>45848</v>
      </c>
      <c r="Z649" t="s">
        <v>2640</v>
      </c>
    </row>
    <row r="650" spans="1:26" customFormat="1" hidden="1">
      <c r="A650">
        <f t="shared" ref="A650:A711" ca="1" si="11">IF(V650="",(TODAY()-C650),(V650-C650))</f>
        <v>49</v>
      </c>
      <c r="B650" s="8" t="s">
        <v>2965</v>
      </c>
      <c r="C650" s="16">
        <v>45888</v>
      </c>
      <c r="D650" s="6" t="s">
        <v>129</v>
      </c>
      <c r="E650" s="6" t="s">
        <v>3662</v>
      </c>
      <c r="F650" s="6">
        <v>4807</v>
      </c>
      <c r="G650" s="6" t="s">
        <v>645</v>
      </c>
      <c r="H650" s="6" t="s">
        <v>34</v>
      </c>
      <c r="I650" s="6" t="s">
        <v>2966</v>
      </c>
      <c r="J650" s="6" t="s">
        <v>2391</v>
      </c>
      <c r="K650" s="6" t="str">
        <f>IF(E650="KTG","KTG",(VLOOKUP(J650,'list of outsource'!B:H,2,0)))</f>
        <v xml:space="preserve">KEJIAN </v>
      </c>
      <c r="L650" s="6" t="s">
        <v>2392</v>
      </c>
      <c r="M650" s="6">
        <v>9</v>
      </c>
      <c r="N650" s="6" t="s">
        <v>2393</v>
      </c>
      <c r="O650" s="2"/>
      <c r="P650" s="6" t="s">
        <v>2967</v>
      </c>
      <c r="Q650" s="6" t="s">
        <v>2968</v>
      </c>
      <c r="R650" s="16">
        <v>45932</v>
      </c>
      <c r="S650" s="6">
        <v>3</v>
      </c>
      <c r="T650" s="6" t="s">
        <v>1258</v>
      </c>
      <c r="U650" s="6" t="s">
        <v>39</v>
      </c>
      <c r="V650" s="17">
        <v>45937</v>
      </c>
      <c r="W650" s="16"/>
    </row>
    <row r="651" spans="1:26" customFormat="1" hidden="1">
      <c r="A651">
        <f t="shared" ca="1" si="11"/>
        <v>5</v>
      </c>
      <c r="B651" s="8" t="s">
        <v>3088</v>
      </c>
      <c r="C651" s="16">
        <v>45906</v>
      </c>
      <c r="D651" s="6" t="s">
        <v>3089</v>
      </c>
      <c r="E651" s="6" t="s">
        <v>3663</v>
      </c>
      <c r="F651" s="6">
        <v>4739</v>
      </c>
      <c r="G651" s="6" t="s">
        <v>645</v>
      </c>
      <c r="H651" s="6" t="s">
        <v>34</v>
      </c>
      <c r="I651" s="6" t="s">
        <v>3090</v>
      </c>
      <c r="J651" s="6"/>
      <c r="K651" s="6" t="e">
        <f>IF(E651="KTG","KTG",(VLOOKUP(J651,'list of outsource'!B:H,2,0)))</f>
        <v>#N/A</v>
      </c>
      <c r="L651" s="6"/>
      <c r="M651" s="6"/>
      <c r="N651" s="6" t="s">
        <v>3091</v>
      </c>
      <c r="O651" s="2"/>
      <c r="P651" s="6" t="s">
        <v>3092</v>
      </c>
      <c r="Q651" s="6"/>
      <c r="R651" s="16"/>
      <c r="S651" s="6">
        <v>4</v>
      </c>
      <c r="T651" s="6" t="s">
        <v>307</v>
      </c>
      <c r="U651" s="6" t="s">
        <v>550</v>
      </c>
      <c r="V651" s="17">
        <v>45911</v>
      </c>
      <c r="W651" s="16"/>
    </row>
    <row r="652" spans="1:26" customFormat="1" ht="13.5" hidden="1" customHeight="1">
      <c r="A652">
        <f t="shared" ca="1" si="11"/>
        <v>17</v>
      </c>
      <c r="B652" s="8" t="s">
        <v>3088</v>
      </c>
      <c r="C652" s="16">
        <v>45922</v>
      </c>
      <c r="D652" s="6" t="s">
        <v>129</v>
      </c>
      <c r="E652" s="6" t="s">
        <v>3663</v>
      </c>
      <c r="F652" s="6">
        <v>4739</v>
      </c>
      <c r="G652" s="6" t="s">
        <v>645</v>
      </c>
      <c r="H652" s="6" t="s">
        <v>34</v>
      </c>
      <c r="I652" s="6" t="s">
        <v>3090</v>
      </c>
      <c r="J652" s="6"/>
      <c r="K652" s="6" t="e">
        <f>IF(E652="KTG","KTG",(VLOOKUP(J652,'list of outsource'!B:H,2,0)))</f>
        <v>#N/A</v>
      </c>
      <c r="L652" s="6"/>
      <c r="M652" s="6"/>
      <c r="N652" s="6" t="s">
        <v>3091</v>
      </c>
      <c r="O652" s="2"/>
      <c r="P652" s="6" t="s">
        <v>3092</v>
      </c>
      <c r="Q652" s="6"/>
      <c r="R652" s="16"/>
      <c r="S652" s="6">
        <v>1</v>
      </c>
      <c r="T652" s="6" t="s">
        <v>307</v>
      </c>
      <c r="U652" s="6" t="s">
        <v>550</v>
      </c>
      <c r="V652" s="17">
        <v>45939</v>
      </c>
      <c r="W652" s="16"/>
    </row>
    <row r="653" spans="1:26" customFormat="1" hidden="1">
      <c r="A653">
        <f t="shared" ca="1" si="11"/>
        <v>85</v>
      </c>
      <c r="B653" s="4" t="s">
        <v>529</v>
      </c>
      <c r="C653" s="12">
        <v>44902</v>
      </c>
      <c r="D653" s="4" t="s">
        <v>504</v>
      </c>
      <c r="E653" s="4" t="s">
        <v>3662</v>
      </c>
      <c r="F653" s="4"/>
      <c r="G653" s="4" t="s">
        <v>145</v>
      </c>
      <c r="H653" s="4" t="s">
        <v>146</v>
      </c>
      <c r="I653" s="4" t="s">
        <v>530</v>
      </c>
      <c r="J653" s="4" t="s">
        <v>531</v>
      </c>
      <c r="K653" s="4" t="str">
        <f>IF(E653="KTG","KTG",(VLOOKUP(J653,'list of outsource'!B:H,2,0)))</f>
        <v>ETC</v>
      </c>
      <c r="L653" s="4" t="s">
        <v>532</v>
      </c>
      <c r="M653" s="4"/>
      <c r="N653" s="49" t="s">
        <v>533</v>
      </c>
      <c r="O653" s="2"/>
      <c r="P653" s="4" t="s">
        <v>534</v>
      </c>
      <c r="Q653" s="4" t="s">
        <v>535</v>
      </c>
      <c r="R653" s="12"/>
      <c r="S653" s="4">
        <v>2</v>
      </c>
      <c r="T653" s="4"/>
      <c r="U653" s="4" t="s">
        <v>39</v>
      </c>
      <c r="V653" s="10" t="s">
        <v>536</v>
      </c>
      <c r="W653" s="12">
        <v>44995</v>
      </c>
    </row>
    <row r="654" spans="1:26" customFormat="1">
      <c r="A654">
        <f t="shared" ca="1" si="11"/>
        <v>28</v>
      </c>
      <c r="B654" s="104" t="s">
        <v>3397</v>
      </c>
      <c r="C654" s="16">
        <v>45936</v>
      </c>
      <c r="D654" s="6" t="s">
        <v>1946</v>
      </c>
      <c r="E654" s="6" t="s">
        <v>3662</v>
      </c>
      <c r="F654" s="6"/>
      <c r="G654" s="106" t="s">
        <v>1364</v>
      </c>
      <c r="H654" s="106" t="s">
        <v>34</v>
      </c>
      <c r="I654" s="49" t="s">
        <v>3168</v>
      </c>
      <c r="J654" s="6" t="s">
        <v>302</v>
      </c>
      <c r="K654" s="6" t="str">
        <f>IF(E654="KTG","KTG",(VLOOKUP(J654,'list of outsource'!B:H,2,0)))</f>
        <v>ETC</v>
      </c>
      <c r="L654" s="6" t="s">
        <v>303</v>
      </c>
      <c r="M654" s="6"/>
      <c r="N654" s="6" t="s">
        <v>3168</v>
      </c>
      <c r="O654" s="2" t="s">
        <v>3686</v>
      </c>
      <c r="P654" s="6" t="s">
        <v>3169</v>
      </c>
      <c r="Q654" s="6" t="s">
        <v>3396</v>
      </c>
      <c r="R654" s="16">
        <v>45951</v>
      </c>
      <c r="S654" s="6">
        <v>3</v>
      </c>
      <c r="T654" s="6" t="s">
        <v>1465</v>
      </c>
      <c r="U654" s="6" t="s">
        <v>39</v>
      </c>
      <c r="V654" s="17">
        <v>45964</v>
      </c>
      <c r="W654" s="16"/>
      <c r="X654" t="s">
        <v>2171</v>
      </c>
    </row>
    <row r="655" spans="1:26" customFormat="1">
      <c r="A655">
        <f t="shared" ca="1" si="11"/>
        <v>28</v>
      </c>
      <c r="B655" s="104" t="s">
        <v>3400</v>
      </c>
      <c r="C655" s="16">
        <v>45936</v>
      </c>
      <c r="D655" s="6" t="s">
        <v>1946</v>
      </c>
      <c r="E655" s="6" t="s">
        <v>3662</v>
      </c>
      <c r="F655" s="6"/>
      <c r="G655" s="106" t="s">
        <v>1364</v>
      </c>
      <c r="H655" s="106" t="s">
        <v>34</v>
      </c>
      <c r="I655" s="49" t="s">
        <v>1098</v>
      </c>
      <c r="J655" s="6" t="s">
        <v>302</v>
      </c>
      <c r="K655" s="6" t="str">
        <f>IF(E655="KTG","KTG",(VLOOKUP(J655,'list of outsource'!B:H,2,0)))</f>
        <v>ETC</v>
      </c>
      <c r="L655" s="6" t="s">
        <v>303</v>
      </c>
      <c r="M655" s="6"/>
      <c r="N655" s="6" t="s">
        <v>1098</v>
      </c>
      <c r="O655" s="2" t="s">
        <v>3686</v>
      </c>
      <c r="P655" s="6" t="s">
        <v>3170</v>
      </c>
      <c r="Q655" s="6"/>
      <c r="R655" s="16">
        <v>45964</v>
      </c>
      <c r="S655" s="6">
        <v>3</v>
      </c>
      <c r="T655" s="6" t="s">
        <v>307</v>
      </c>
      <c r="U655" s="6" t="s">
        <v>39</v>
      </c>
      <c r="V655" s="17">
        <v>45964</v>
      </c>
      <c r="W655" s="16"/>
      <c r="X655" t="s">
        <v>2171</v>
      </c>
    </row>
    <row r="656" spans="1:26" customFormat="1">
      <c r="A656">
        <f t="shared" ca="1" si="11"/>
        <v>28</v>
      </c>
      <c r="B656" s="104" t="s">
        <v>3399</v>
      </c>
      <c r="C656" s="16">
        <v>45936</v>
      </c>
      <c r="D656" s="6" t="s">
        <v>1946</v>
      </c>
      <c r="E656" s="6" t="s">
        <v>3662</v>
      </c>
      <c r="F656" s="6"/>
      <c r="G656" s="106" t="s">
        <v>1364</v>
      </c>
      <c r="H656" s="106" t="s">
        <v>34</v>
      </c>
      <c r="I656" s="49" t="s">
        <v>875</v>
      </c>
      <c r="J656" s="6" t="s">
        <v>302</v>
      </c>
      <c r="K656" s="6" t="str">
        <f>IF(E656="KTG","KTG",(VLOOKUP(J656,'list of outsource'!B:H,2,0)))</f>
        <v>ETC</v>
      </c>
      <c r="L656" s="6" t="s">
        <v>303</v>
      </c>
      <c r="M656" s="6"/>
      <c r="N656" s="6" t="s">
        <v>875</v>
      </c>
      <c r="O656" s="2" t="s">
        <v>3686</v>
      </c>
      <c r="P656" s="6" t="s">
        <v>876</v>
      </c>
      <c r="Q656" s="6" t="s">
        <v>3398</v>
      </c>
      <c r="R656" s="16">
        <v>45951</v>
      </c>
      <c r="S656" s="6">
        <v>3</v>
      </c>
      <c r="T656" s="6" t="s">
        <v>1465</v>
      </c>
      <c r="U656" s="6" t="s">
        <v>39</v>
      </c>
      <c r="V656" s="17">
        <v>45964</v>
      </c>
      <c r="W656" s="16"/>
      <c r="X656" t="s">
        <v>2171</v>
      </c>
    </row>
    <row r="657" spans="1:26" customFormat="1" hidden="1">
      <c r="A657">
        <f t="shared" ca="1" si="11"/>
        <v>36</v>
      </c>
      <c r="B657" s="8" t="s">
        <v>914</v>
      </c>
      <c r="C657" s="16">
        <v>45096</v>
      </c>
      <c r="D657" s="6" t="s">
        <v>129</v>
      </c>
      <c r="E657" s="6" t="s">
        <v>3665</v>
      </c>
      <c r="F657" s="6"/>
      <c r="G657" s="6" t="s">
        <v>158</v>
      </c>
      <c r="H657" s="6" t="s">
        <v>34</v>
      </c>
      <c r="I657" s="6" t="s">
        <v>915</v>
      </c>
      <c r="J657" s="6" t="s">
        <v>151</v>
      </c>
      <c r="K657" s="6" t="str">
        <f>IF(E657="KTG","KTG",(VLOOKUP(J657,'list of outsource'!B:H,2,0)))</f>
        <v>UPM</v>
      </c>
      <c r="L657" s="6" t="s">
        <v>381</v>
      </c>
      <c r="M657" s="6"/>
      <c r="N657" s="49" t="s">
        <v>916</v>
      </c>
      <c r="O657" s="2"/>
      <c r="P657" s="6" t="s">
        <v>917</v>
      </c>
      <c r="Q657" s="6">
        <v>1242931487</v>
      </c>
      <c r="R657" s="16"/>
      <c r="S657" s="6">
        <v>2</v>
      </c>
      <c r="T657" s="6"/>
      <c r="U657" s="6" t="s">
        <v>39</v>
      </c>
      <c r="V657" s="17">
        <v>45132</v>
      </c>
      <c r="W657" s="16"/>
    </row>
    <row r="658" spans="1:26" customFormat="1">
      <c r="A658">
        <f t="shared" ca="1" si="11"/>
        <v>18</v>
      </c>
      <c r="B658" s="104" t="s">
        <v>1363</v>
      </c>
      <c r="C658" s="16">
        <v>45233</v>
      </c>
      <c r="D658" s="6" t="s">
        <v>129</v>
      </c>
      <c r="E658" s="6" t="s">
        <v>3663</v>
      </c>
      <c r="F658" s="6"/>
      <c r="G658" s="106" t="s">
        <v>1364</v>
      </c>
      <c r="H658" s="106" t="s">
        <v>34</v>
      </c>
      <c r="I658" s="49" t="s">
        <v>1365</v>
      </c>
      <c r="J658" s="6"/>
      <c r="K658" s="6" t="e">
        <f>IF(E658="KTG","KTG",(VLOOKUP(J658,'list of outsource'!B:H,2,0)))</f>
        <v>#N/A</v>
      </c>
      <c r="L658" s="6"/>
      <c r="M658" s="6"/>
      <c r="N658" s="6" t="s">
        <v>1191</v>
      </c>
      <c r="O658" s="2" t="s">
        <v>3686</v>
      </c>
      <c r="P658" s="6" t="s">
        <v>1366</v>
      </c>
      <c r="Q658" s="6"/>
      <c r="R658" s="16"/>
      <c r="S658" s="6">
        <v>4</v>
      </c>
      <c r="T658" s="6"/>
      <c r="U658" s="6" t="s">
        <v>39</v>
      </c>
      <c r="V658" s="17">
        <v>45251</v>
      </c>
      <c r="W658" s="16"/>
      <c r="Z658" t="e">
        <v>#N/A</v>
      </c>
    </row>
    <row r="659" spans="1:26" customFormat="1">
      <c r="A659">
        <f t="shared" ca="1" si="11"/>
        <v>18</v>
      </c>
      <c r="B659" s="104" t="s">
        <v>1367</v>
      </c>
      <c r="C659" s="16">
        <v>45233</v>
      </c>
      <c r="D659" s="6" t="s">
        <v>129</v>
      </c>
      <c r="E659" s="6" t="s">
        <v>3663</v>
      </c>
      <c r="F659" s="6"/>
      <c r="G659" s="106" t="s">
        <v>1364</v>
      </c>
      <c r="H659" s="106" t="s">
        <v>34</v>
      </c>
      <c r="I659" s="49" t="s">
        <v>1368</v>
      </c>
      <c r="J659" s="6"/>
      <c r="K659" s="6" t="e">
        <f>IF(E659="KTG","KTG",(VLOOKUP(J659,'list of outsource'!B:H,2,0)))</f>
        <v>#N/A</v>
      </c>
      <c r="L659" s="6"/>
      <c r="M659" s="6"/>
      <c r="N659" s="6" t="s">
        <v>1369</v>
      </c>
      <c r="O659" s="2" t="s">
        <v>3686</v>
      </c>
      <c r="P659" s="6" t="s">
        <v>1370</v>
      </c>
      <c r="Q659" s="6"/>
      <c r="R659" s="16"/>
      <c r="S659" s="6">
        <v>1</v>
      </c>
      <c r="T659" s="6"/>
      <c r="U659" s="6" t="s">
        <v>183</v>
      </c>
      <c r="V659" s="17">
        <v>45251</v>
      </c>
      <c r="W659" s="16"/>
      <c r="Z659" t="e">
        <v>#N/A</v>
      </c>
    </row>
    <row r="660" spans="1:26" customFormat="1">
      <c r="A660">
        <f t="shared" ca="1" si="11"/>
        <v>18</v>
      </c>
      <c r="B660" s="104" t="s">
        <v>1371</v>
      </c>
      <c r="C660" s="16">
        <v>45233</v>
      </c>
      <c r="D660" s="6" t="s">
        <v>129</v>
      </c>
      <c r="E660" s="6" t="s">
        <v>3663</v>
      </c>
      <c r="F660" s="6"/>
      <c r="G660" s="106" t="s">
        <v>1364</v>
      </c>
      <c r="H660" s="106" t="s">
        <v>34</v>
      </c>
      <c r="I660" s="49" t="s">
        <v>1372</v>
      </c>
      <c r="J660" s="6"/>
      <c r="K660" s="6" t="e">
        <f>IF(E660="KTG","KTG",(VLOOKUP(J660,'list of outsource'!B:H,2,0)))</f>
        <v>#N/A</v>
      </c>
      <c r="L660" s="6"/>
      <c r="M660" s="6"/>
      <c r="N660" s="6" t="s">
        <v>1373</v>
      </c>
      <c r="O660" s="2" t="s">
        <v>3686</v>
      </c>
      <c r="P660" s="6" t="s">
        <v>1374</v>
      </c>
      <c r="Q660" s="6"/>
      <c r="R660" s="16"/>
      <c r="S660" s="6">
        <v>1</v>
      </c>
      <c r="T660" s="6"/>
      <c r="U660" s="6" t="s">
        <v>183</v>
      </c>
      <c r="V660" s="17">
        <v>45251</v>
      </c>
      <c r="W660" s="16"/>
      <c r="Z660" t="e">
        <v>#N/A</v>
      </c>
    </row>
    <row r="661" spans="1:26" customFormat="1">
      <c r="A661">
        <f t="shared" ca="1" si="11"/>
        <v>42</v>
      </c>
      <c r="B661" s="104" t="s">
        <v>1448</v>
      </c>
      <c r="C661" s="16">
        <v>45268</v>
      </c>
      <c r="D661" s="6" t="s">
        <v>129</v>
      </c>
      <c r="E661" s="6" t="s">
        <v>3663</v>
      </c>
      <c r="F661" s="6"/>
      <c r="G661" s="106" t="s">
        <v>1364</v>
      </c>
      <c r="H661" s="106" t="s">
        <v>34</v>
      </c>
      <c r="I661" s="49" t="s">
        <v>1449</v>
      </c>
      <c r="J661" s="6"/>
      <c r="K661" s="6" t="e">
        <f>IF(E661="KTG","KTG",(VLOOKUP(J661,'list of outsource'!B:H,2,0)))</f>
        <v>#N/A</v>
      </c>
      <c r="L661" s="6"/>
      <c r="M661" s="6"/>
      <c r="N661" s="6" t="s">
        <v>1450</v>
      </c>
      <c r="O661" s="2" t="s">
        <v>3686</v>
      </c>
      <c r="P661" s="6" t="s">
        <v>1451</v>
      </c>
      <c r="Q661" s="6"/>
      <c r="R661" s="16"/>
      <c r="S661" s="6">
        <v>4</v>
      </c>
      <c r="T661" s="6" t="s">
        <v>307</v>
      </c>
      <c r="U661" s="6" t="s">
        <v>39</v>
      </c>
      <c r="V661" s="17">
        <v>45310</v>
      </c>
      <c r="W661" s="16"/>
      <c r="Z661" t="e">
        <v>#N/A</v>
      </c>
    </row>
    <row r="662" spans="1:26" customFormat="1">
      <c r="A662">
        <f t="shared" ca="1" si="11"/>
        <v>27</v>
      </c>
      <c r="B662" s="104" t="s">
        <v>1673</v>
      </c>
      <c r="C662" s="16">
        <v>45429</v>
      </c>
      <c r="D662" s="6" t="s">
        <v>129</v>
      </c>
      <c r="E662" s="6" t="s">
        <v>3662</v>
      </c>
      <c r="F662" s="6"/>
      <c r="G662" s="106" t="s">
        <v>1364</v>
      </c>
      <c r="H662" s="106" t="s">
        <v>34</v>
      </c>
      <c r="I662" s="49" t="s">
        <v>765</v>
      </c>
      <c r="J662" s="6" t="s">
        <v>490</v>
      </c>
      <c r="K662" s="6" t="str">
        <f>IF(E662="KTG","KTG",(VLOOKUP(J662,'list of outsource'!B:H,2,0)))</f>
        <v>ETC</v>
      </c>
      <c r="L662" s="6" t="s">
        <v>491</v>
      </c>
      <c r="M662" s="6">
        <v>24</v>
      </c>
      <c r="N662" s="6" t="s">
        <v>765</v>
      </c>
      <c r="O662" s="2" t="s">
        <v>3686</v>
      </c>
      <c r="P662" s="6" t="s">
        <v>766</v>
      </c>
      <c r="Q662" s="6">
        <v>1331804020</v>
      </c>
      <c r="R662" s="16"/>
      <c r="S662" s="6">
        <v>4</v>
      </c>
      <c r="T662" s="6" t="s">
        <v>1258</v>
      </c>
      <c r="U662" s="6" t="s">
        <v>39</v>
      </c>
      <c r="V662" s="17">
        <v>45456</v>
      </c>
      <c r="W662" s="16"/>
      <c r="Z662" t="e">
        <v>#N/A</v>
      </c>
    </row>
    <row r="663" spans="1:26" customFormat="1">
      <c r="A663">
        <f t="shared" ca="1" si="11"/>
        <v>27</v>
      </c>
      <c r="B663" s="104" t="s">
        <v>1674</v>
      </c>
      <c r="C663" s="16">
        <v>45429</v>
      </c>
      <c r="D663" s="6" t="s">
        <v>129</v>
      </c>
      <c r="E663" s="6" t="s">
        <v>3662</v>
      </c>
      <c r="F663" s="6"/>
      <c r="G663" s="106" t="s">
        <v>1364</v>
      </c>
      <c r="H663" s="106" t="s">
        <v>34</v>
      </c>
      <c r="I663" s="49" t="s">
        <v>1675</v>
      </c>
      <c r="J663" s="6" t="s">
        <v>490</v>
      </c>
      <c r="K663" s="6" t="str">
        <f>IF(E663="KTG","KTG",(VLOOKUP(J663,'list of outsource'!B:H,2,0)))</f>
        <v>ETC</v>
      </c>
      <c r="L663" s="6" t="s">
        <v>491</v>
      </c>
      <c r="M663" s="6">
        <v>24</v>
      </c>
      <c r="N663" s="6" t="s">
        <v>1675</v>
      </c>
      <c r="O663" s="2" t="s">
        <v>3686</v>
      </c>
      <c r="P663" s="6" t="s">
        <v>1676</v>
      </c>
      <c r="Q663" s="6">
        <v>1331806528</v>
      </c>
      <c r="R663" s="16">
        <v>45446</v>
      </c>
      <c r="S663" s="6">
        <v>4</v>
      </c>
      <c r="T663" s="6" t="s">
        <v>1258</v>
      </c>
      <c r="U663" s="6" t="s">
        <v>39</v>
      </c>
      <c r="V663" s="17">
        <v>45456</v>
      </c>
      <c r="W663" s="16"/>
      <c r="Z663" t="e">
        <v>#N/A</v>
      </c>
    </row>
    <row r="664" spans="1:26" customFormat="1">
      <c r="A664">
        <f t="shared" ca="1" si="11"/>
        <v>27</v>
      </c>
      <c r="B664" s="104" t="s">
        <v>1677</v>
      </c>
      <c r="C664" s="16">
        <v>45429</v>
      </c>
      <c r="D664" s="6" t="s">
        <v>129</v>
      </c>
      <c r="E664" s="6" t="s">
        <v>3662</v>
      </c>
      <c r="F664" s="6"/>
      <c r="G664" s="106" t="s">
        <v>1364</v>
      </c>
      <c r="H664" s="106" t="s">
        <v>34</v>
      </c>
      <c r="I664" s="49" t="s">
        <v>1678</v>
      </c>
      <c r="J664" s="6" t="s">
        <v>490</v>
      </c>
      <c r="K664" s="6" t="str">
        <f>IF(E664="KTG","KTG",(VLOOKUP(J664,'list of outsource'!B:H,2,0)))</f>
        <v>ETC</v>
      </c>
      <c r="L664" s="6" t="s">
        <v>491</v>
      </c>
      <c r="M664" s="6">
        <v>24</v>
      </c>
      <c r="N664" s="6" t="s">
        <v>1678</v>
      </c>
      <c r="O664" s="2" t="s">
        <v>3686</v>
      </c>
      <c r="P664" s="6" t="s">
        <v>1679</v>
      </c>
      <c r="Q664" s="6">
        <v>1331819393</v>
      </c>
      <c r="R664" s="16">
        <v>45446</v>
      </c>
      <c r="S664" s="6">
        <v>4</v>
      </c>
      <c r="T664" s="6" t="s">
        <v>1258</v>
      </c>
      <c r="U664" s="6" t="s">
        <v>39</v>
      </c>
      <c r="V664" s="17">
        <v>45456</v>
      </c>
      <c r="W664" s="16"/>
      <c r="Z664" t="e">
        <v>#N/A</v>
      </c>
    </row>
    <row r="665" spans="1:26" customFormat="1">
      <c r="A665">
        <f t="shared" ca="1" si="11"/>
        <v>27</v>
      </c>
      <c r="B665" s="104" t="s">
        <v>1680</v>
      </c>
      <c r="C665" s="16">
        <v>45429</v>
      </c>
      <c r="D665" s="6" t="s">
        <v>129</v>
      </c>
      <c r="E665" s="6" t="s">
        <v>3662</v>
      </c>
      <c r="F665" s="6"/>
      <c r="G665" s="106" t="s">
        <v>1364</v>
      </c>
      <c r="H665" s="106" t="s">
        <v>34</v>
      </c>
      <c r="I665" s="49" t="s">
        <v>1681</v>
      </c>
      <c r="J665" s="6" t="s">
        <v>490</v>
      </c>
      <c r="K665" s="6" t="str">
        <f>IF(E665="KTG","KTG",(VLOOKUP(J665,'list of outsource'!B:H,2,0)))</f>
        <v>ETC</v>
      </c>
      <c r="L665" s="6" t="s">
        <v>491</v>
      </c>
      <c r="M665" s="6">
        <v>24</v>
      </c>
      <c r="N665" s="6" t="s">
        <v>1681</v>
      </c>
      <c r="O665" s="2" t="s">
        <v>3686</v>
      </c>
      <c r="P665" s="6" t="s">
        <v>1682</v>
      </c>
      <c r="Q665" s="6">
        <v>1331819907</v>
      </c>
      <c r="R665" s="16">
        <v>45446</v>
      </c>
      <c r="S665" s="6">
        <v>4</v>
      </c>
      <c r="T665" s="6" t="s">
        <v>1258</v>
      </c>
      <c r="U665" s="6" t="s">
        <v>39</v>
      </c>
      <c r="V665" s="17">
        <v>45456</v>
      </c>
      <c r="W665" s="16"/>
      <c r="Z665" t="e">
        <v>#N/A</v>
      </c>
    </row>
    <row r="666" spans="1:26" customFormat="1">
      <c r="A666">
        <f t="shared" ca="1" si="11"/>
        <v>27</v>
      </c>
      <c r="B666" s="104" t="s">
        <v>1683</v>
      </c>
      <c r="C666" s="16">
        <v>45429</v>
      </c>
      <c r="D666" s="6" t="s">
        <v>129</v>
      </c>
      <c r="E666" s="6" t="s">
        <v>3662</v>
      </c>
      <c r="F666" s="6"/>
      <c r="G666" s="106" t="s">
        <v>1364</v>
      </c>
      <c r="H666" s="106" t="s">
        <v>34</v>
      </c>
      <c r="I666" s="49" t="s">
        <v>1684</v>
      </c>
      <c r="J666" s="6" t="s">
        <v>490</v>
      </c>
      <c r="K666" s="6" t="str">
        <f>IF(E666="KTG","KTG",(VLOOKUP(J666,'list of outsource'!B:H,2,0)))</f>
        <v>ETC</v>
      </c>
      <c r="L666" s="6" t="s">
        <v>491</v>
      </c>
      <c r="M666" s="6">
        <v>24</v>
      </c>
      <c r="N666" s="6" t="s">
        <v>1684</v>
      </c>
      <c r="O666" s="2" t="s">
        <v>3686</v>
      </c>
      <c r="P666" s="6" t="s">
        <v>1685</v>
      </c>
      <c r="Q666" s="6">
        <v>1331822362</v>
      </c>
      <c r="R666" s="16">
        <v>45446</v>
      </c>
      <c r="S666" s="6">
        <v>4</v>
      </c>
      <c r="T666" s="6" t="s">
        <v>1258</v>
      </c>
      <c r="U666" s="6" t="s">
        <v>39</v>
      </c>
      <c r="V666" s="17">
        <v>45456</v>
      </c>
      <c r="W666" s="16"/>
      <c r="Z666" t="e">
        <v>#N/A</v>
      </c>
    </row>
    <row r="667" spans="1:26" customFormat="1">
      <c r="A667">
        <f t="shared" ca="1" si="11"/>
        <v>27</v>
      </c>
      <c r="B667" s="104" t="s">
        <v>1686</v>
      </c>
      <c r="C667" s="16">
        <v>45429</v>
      </c>
      <c r="D667" s="6" t="s">
        <v>129</v>
      </c>
      <c r="E667" s="6" t="s">
        <v>3663</v>
      </c>
      <c r="F667" s="6"/>
      <c r="G667" s="106" t="s">
        <v>1364</v>
      </c>
      <c r="H667" s="106" t="s">
        <v>34</v>
      </c>
      <c r="I667" s="49" t="s">
        <v>1687</v>
      </c>
      <c r="J667" s="6"/>
      <c r="K667" s="6" t="e">
        <f>IF(E667="KTG","KTG",(VLOOKUP(J667,'list of outsource'!B:H,2,0)))</f>
        <v>#N/A</v>
      </c>
      <c r="L667" s="6"/>
      <c r="M667" s="6"/>
      <c r="N667" s="6" t="s">
        <v>1688</v>
      </c>
      <c r="O667" s="2" t="s">
        <v>3686</v>
      </c>
      <c r="P667" s="6" t="s">
        <v>1687</v>
      </c>
      <c r="Q667" s="6"/>
      <c r="R667" s="16">
        <v>45449</v>
      </c>
      <c r="S667" s="6">
        <v>4</v>
      </c>
      <c r="T667" s="6" t="s">
        <v>1258</v>
      </c>
      <c r="U667" s="6" t="s">
        <v>39</v>
      </c>
      <c r="V667" s="17">
        <v>45456</v>
      </c>
      <c r="W667" s="16"/>
      <c r="Z667" t="e">
        <v>#N/A</v>
      </c>
    </row>
    <row r="668" spans="1:26" customFormat="1">
      <c r="A668">
        <f t="shared" ca="1" si="11"/>
        <v>1</v>
      </c>
      <c r="B668" s="49" t="s">
        <v>1957</v>
      </c>
      <c r="C668" s="12">
        <v>45467</v>
      </c>
      <c r="D668" s="4" t="s">
        <v>1958</v>
      </c>
      <c r="E668" s="4" t="s">
        <v>3663</v>
      </c>
      <c r="F668" s="4"/>
      <c r="G668" s="106" t="s">
        <v>1364</v>
      </c>
      <c r="H668" s="106" t="s">
        <v>34</v>
      </c>
      <c r="I668" s="49" t="s">
        <v>1959</v>
      </c>
      <c r="J668" s="4"/>
      <c r="K668" s="4" t="e">
        <f>IF(E668="KTG","KTG",(VLOOKUP(J668,'list of outsource'!B:H,2,0)))</f>
        <v>#N/A</v>
      </c>
      <c r="L668" s="4"/>
      <c r="M668" s="4"/>
      <c r="N668" s="4" t="s">
        <v>1960</v>
      </c>
      <c r="O668" s="2" t="s">
        <v>3686</v>
      </c>
      <c r="P668" s="4" t="s">
        <v>1961</v>
      </c>
      <c r="Q668" s="4"/>
      <c r="R668" s="12"/>
      <c r="S668" s="4">
        <v>1</v>
      </c>
      <c r="T668" s="4" t="s">
        <v>307</v>
      </c>
      <c r="U668" s="4" t="s">
        <v>1598</v>
      </c>
      <c r="V668" s="10">
        <v>45468</v>
      </c>
      <c r="W668" s="12"/>
      <c r="Z668" t="e">
        <v>#N/A</v>
      </c>
    </row>
    <row r="669" spans="1:26" customFormat="1">
      <c r="A669">
        <f t="shared" ca="1" si="11"/>
        <v>19</v>
      </c>
      <c r="B669" s="104" t="s">
        <v>1957</v>
      </c>
      <c r="C669" s="16">
        <v>45758</v>
      </c>
      <c r="D669" s="6" t="s">
        <v>129</v>
      </c>
      <c r="E669" s="6" t="s">
        <v>3663</v>
      </c>
      <c r="F669" s="6"/>
      <c r="G669" s="106" t="s">
        <v>1364</v>
      </c>
      <c r="H669" s="106" t="s">
        <v>34</v>
      </c>
      <c r="I669" s="49" t="s">
        <v>1959</v>
      </c>
      <c r="J669" s="6"/>
      <c r="K669" s="6" t="e">
        <f>IF(E669="KTG","KTG",(VLOOKUP(J669,'list of outsource'!B:H,2,0)))</f>
        <v>#N/A</v>
      </c>
      <c r="L669" s="6"/>
      <c r="M669" s="6"/>
      <c r="N669" s="6" t="s">
        <v>1960</v>
      </c>
      <c r="O669" s="2" t="s">
        <v>3686</v>
      </c>
      <c r="P669" s="6" t="s">
        <v>2435</v>
      </c>
      <c r="Q669" s="6"/>
      <c r="R669" s="16"/>
      <c r="S669" s="6">
        <v>4</v>
      </c>
      <c r="T669" s="6" t="s">
        <v>307</v>
      </c>
      <c r="U669" s="6" t="s">
        <v>39</v>
      </c>
      <c r="V669" s="17">
        <v>45777</v>
      </c>
      <c r="W669" s="16"/>
      <c r="Z669" t="e">
        <v>#N/A</v>
      </c>
    </row>
    <row r="670" spans="1:26" customFormat="1">
      <c r="A670">
        <f t="shared" ca="1" si="11"/>
        <v>36</v>
      </c>
      <c r="B670" s="104" t="s">
        <v>2436</v>
      </c>
      <c r="C670" s="16">
        <v>45784</v>
      </c>
      <c r="D670" s="6" t="s">
        <v>129</v>
      </c>
      <c r="E670" s="6" t="s">
        <v>3663</v>
      </c>
      <c r="F670" s="6"/>
      <c r="G670" s="106" t="s">
        <v>1364</v>
      </c>
      <c r="H670" s="106" t="s">
        <v>34</v>
      </c>
      <c r="I670" s="49" t="s">
        <v>2437</v>
      </c>
      <c r="J670" s="6"/>
      <c r="K670" s="6" t="e">
        <f>IF(E670="KTG","KTG",(VLOOKUP(J670,'list of outsource'!B:H,2,0)))</f>
        <v>#N/A</v>
      </c>
      <c r="L670" s="6"/>
      <c r="M670" s="6"/>
      <c r="N670" s="6" t="s">
        <v>2438</v>
      </c>
      <c r="O670" s="2" t="s">
        <v>3686</v>
      </c>
      <c r="P670" s="6" t="s">
        <v>2439</v>
      </c>
      <c r="Q670" s="6" t="s">
        <v>2440</v>
      </c>
      <c r="R670" s="16"/>
      <c r="S670" s="6">
        <v>4</v>
      </c>
      <c r="T670" s="6" t="s">
        <v>1465</v>
      </c>
      <c r="U670" s="6" t="s">
        <v>39</v>
      </c>
      <c r="V670" s="17">
        <v>45820</v>
      </c>
      <c r="W670" s="16"/>
      <c r="X670" t="s">
        <v>2171</v>
      </c>
      <c r="Z670" t="e">
        <v>#N/A</v>
      </c>
    </row>
    <row r="671" spans="1:26" customFormat="1">
      <c r="A671">
        <f t="shared" ca="1" si="11"/>
        <v>19</v>
      </c>
      <c r="B671" s="104" t="s">
        <v>2441</v>
      </c>
      <c r="C671" s="16">
        <v>45758</v>
      </c>
      <c r="D671" s="6" t="s">
        <v>129</v>
      </c>
      <c r="E671" s="6" t="s">
        <v>3663</v>
      </c>
      <c r="F671" s="6"/>
      <c r="G671" s="106" t="s">
        <v>1364</v>
      </c>
      <c r="H671" s="106" t="s">
        <v>34</v>
      </c>
      <c r="I671" s="49" t="s">
        <v>2442</v>
      </c>
      <c r="J671" s="6"/>
      <c r="K671" s="6" t="e">
        <f>IF(E671="KTG","KTG",(VLOOKUP(J671,'list of outsource'!B:H,2,0)))</f>
        <v>#N/A</v>
      </c>
      <c r="L671" s="6"/>
      <c r="M671" s="6"/>
      <c r="N671" s="6" t="s">
        <v>2443</v>
      </c>
      <c r="O671" s="2" t="s">
        <v>3686</v>
      </c>
      <c r="P671" s="6" t="s">
        <v>2444</v>
      </c>
      <c r="Q671" s="6"/>
      <c r="R671" s="16"/>
      <c r="S671" s="6">
        <v>4</v>
      </c>
      <c r="T671" s="6" t="s">
        <v>307</v>
      </c>
      <c r="U671" s="6" t="s">
        <v>39</v>
      </c>
      <c r="V671" s="17">
        <v>45777</v>
      </c>
      <c r="W671" s="16"/>
      <c r="Z671" t="e">
        <v>#N/A</v>
      </c>
    </row>
    <row r="672" spans="1:26" customFormat="1">
      <c r="A672">
        <f t="shared" ca="1" si="11"/>
        <v>19</v>
      </c>
      <c r="B672" s="104" t="s">
        <v>2450</v>
      </c>
      <c r="C672" s="16">
        <v>45758</v>
      </c>
      <c r="D672" s="6" t="s">
        <v>129</v>
      </c>
      <c r="E672" s="6" t="s">
        <v>3663</v>
      </c>
      <c r="F672" s="6"/>
      <c r="G672" s="106" t="s">
        <v>1364</v>
      </c>
      <c r="H672" s="106" t="s">
        <v>34</v>
      </c>
      <c r="I672" s="49" t="s">
        <v>2451</v>
      </c>
      <c r="J672" s="6"/>
      <c r="K672" s="6" t="e">
        <f>IF(E672="KTG","KTG",(VLOOKUP(J672,'list of outsource'!B:H,2,0)))</f>
        <v>#N/A</v>
      </c>
      <c r="L672" s="6"/>
      <c r="M672" s="6"/>
      <c r="N672" s="6" t="s">
        <v>2452</v>
      </c>
      <c r="O672" s="2" t="s">
        <v>3686</v>
      </c>
      <c r="P672" s="6" t="s">
        <v>2453</v>
      </c>
      <c r="Q672" s="6"/>
      <c r="R672" s="16"/>
      <c r="S672" s="6">
        <v>4</v>
      </c>
      <c r="T672" s="6" t="s">
        <v>307</v>
      </c>
      <c r="U672" s="6" t="s">
        <v>39</v>
      </c>
      <c r="V672" s="17">
        <v>45777</v>
      </c>
      <c r="W672" s="16"/>
      <c r="Z672" t="e">
        <v>#N/A</v>
      </c>
    </row>
    <row r="673" spans="1:26" customFormat="1">
      <c r="A673">
        <f t="shared" ca="1" si="11"/>
        <v>36</v>
      </c>
      <c r="B673" s="104" t="s">
        <v>2458</v>
      </c>
      <c r="C673" s="16">
        <v>45784</v>
      </c>
      <c r="D673" s="6" t="s">
        <v>129</v>
      </c>
      <c r="E673" s="6" t="s">
        <v>3663</v>
      </c>
      <c r="F673" s="6"/>
      <c r="G673" s="106" t="s">
        <v>1364</v>
      </c>
      <c r="H673" s="106" t="s">
        <v>34</v>
      </c>
      <c r="I673" s="49" t="s">
        <v>2459</v>
      </c>
      <c r="J673" s="6"/>
      <c r="K673" s="6" t="e">
        <f>IF(E673="KTG","KTG",(VLOOKUP(J673,'list of outsource'!B:H,2,0)))</f>
        <v>#N/A</v>
      </c>
      <c r="L673" s="6"/>
      <c r="M673" s="6"/>
      <c r="N673" s="6" t="s">
        <v>2460</v>
      </c>
      <c r="O673" s="2" t="s">
        <v>3686</v>
      </c>
      <c r="P673" s="6" t="s">
        <v>2461</v>
      </c>
      <c r="Q673" s="6"/>
      <c r="R673" s="16"/>
      <c r="S673" s="6">
        <v>4</v>
      </c>
      <c r="T673" s="6" t="s">
        <v>1465</v>
      </c>
      <c r="U673" s="6" t="s">
        <v>39</v>
      </c>
      <c r="V673" s="17">
        <v>45820</v>
      </c>
      <c r="W673" s="16"/>
      <c r="X673" t="s">
        <v>2171</v>
      </c>
      <c r="Z673" t="e">
        <v>#N/A</v>
      </c>
    </row>
    <row r="674" spans="1:26" customFormat="1">
      <c r="A674">
        <f t="shared" ca="1" si="11"/>
        <v>14</v>
      </c>
      <c r="B674" s="49" t="s">
        <v>2462</v>
      </c>
      <c r="C674" s="12">
        <v>45763</v>
      </c>
      <c r="D674" s="4" t="s">
        <v>1958</v>
      </c>
      <c r="E674" s="4" t="s">
        <v>3663</v>
      </c>
      <c r="F674" s="4"/>
      <c r="G674" s="106" t="s">
        <v>1364</v>
      </c>
      <c r="H674" s="106" t="s">
        <v>34</v>
      </c>
      <c r="I674" s="49" t="s">
        <v>2463</v>
      </c>
      <c r="J674" s="4"/>
      <c r="K674" s="4" t="e">
        <f>IF(E674="KTG","KTG",(VLOOKUP(J674,'list of outsource'!B:H,2,0)))</f>
        <v>#N/A</v>
      </c>
      <c r="L674" s="4"/>
      <c r="M674" s="4"/>
      <c r="N674" s="4" t="s">
        <v>2464</v>
      </c>
      <c r="O674" s="2" t="s">
        <v>3686</v>
      </c>
      <c r="P674" s="4" t="s">
        <v>2465</v>
      </c>
      <c r="Q674" s="4"/>
      <c r="R674" s="12"/>
      <c r="S674" s="4" t="s">
        <v>307</v>
      </c>
      <c r="T674" s="4" t="s">
        <v>307</v>
      </c>
      <c r="U674" s="4" t="s">
        <v>1598</v>
      </c>
      <c r="V674" s="10">
        <v>45777</v>
      </c>
      <c r="W674" s="12">
        <v>45777</v>
      </c>
      <c r="Z674" t="e">
        <v>#N/A</v>
      </c>
    </row>
    <row r="675" spans="1:26" customFormat="1">
      <c r="A675">
        <f t="shared" ca="1" si="11"/>
        <v>8</v>
      </c>
      <c r="B675" s="49" t="s">
        <v>2466</v>
      </c>
      <c r="C675" s="12">
        <v>45775</v>
      </c>
      <c r="D675" s="4" t="s">
        <v>1958</v>
      </c>
      <c r="E675" s="4" t="s">
        <v>3663</v>
      </c>
      <c r="F675" s="4"/>
      <c r="G675" s="106" t="s">
        <v>1364</v>
      </c>
      <c r="H675" s="106" t="s">
        <v>34</v>
      </c>
      <c r="I675" s="49" t="s">
        <v>2467</v>
      </c>
      <c r="J675" s="4"/>
      <c r="K675" s="4" t="e">
        <f>IF(E675="KTG","KTG",(VLOOKUP(J675,'list of outsource'!B:H,2,0)))</f>
        <v>#N/A</v>
      </c>
      <c r="L675" s="4"/>
      <c r="M675" s="4"/>
      <c r="N675" s="4" t="s">
        <v>2468</v>
      </c>
      <c r="O675" s="2" t="s">
        <v>3686</v>
      </c>
      <c r="P675" s="4" t="s">
        <v>2469</v>
      </c>
      <c r="Q675" s="4"/>
      <c r="R675" s="12"/>
      <c r="S675" s="4" t="s">
        <v>307</v>
      </c>
      <c r="T675" s="4" t="s">
        <v>307</v>
      </c>
      <c r="U675" s="4" t="s">
        <v>1598</v>
      </c>
      <c r="V675" s="10">
        <v>45783</v>
      </c>
      <c r="W675" s="12">
        <v>45783</v>
      </c>
      <c r="Z675" t="e">
        <v>#N/A</v>
      </c>
    </row>
    <row r="676" spans="1:26" customFormat="1">
      <c r="A676">
        <f t="shared" ca="1" si="11"/>
        <v>8</v>
      </c>
      <c r="B676" s="49" t="s">
        <v>2475</v>
      </c>
      <c r="C676" s="12">
        <v>45775</v>
      </c>
      <c r="D676" s="4" t="s">
        <v>1958</v>
      </c>
      <c r="E676" s="4" t="s">
        <v>3663</v>
      </c>
      <c r="F676" s="4"/>
      <c r="G676" s="106" t="s">
        <v>1364</v>
      </c>
      <c r="H676" s="106" t="s">
        <v>34</v>
      </c>
      <c r="I676" s="49" t="s">
        <v>1368</v>
      </c>
      <c r="J676" s="4"/>
      <c r="K676" s="4" t="e">
        <f>IF(E676="KTG","KTG",(VLOOKUP(J676,'list of outsource'!B:H,2,0)))</f>
        <v>#N/A</v>
      </c>
      <c r="L676" s="4"/>
      <c r="M676" s="4"/>
      <c r="N676" s="4" t="s">
        <v>1369</v>
      </c>
      <c r="O676" s="2" t="s">
        <v>3686</v>
      </c>
      <c r="P676" s="4" t="s">
        <v>2476</v>
      </c>
      <c r="Q676" s="4"/>
      <c r="R676" s="12"/>
      <c r="S676" s="4" t="s">
        <v>307</v>
      </c>
      <c r="T676" s="4" t="s">
        <v>307</v>
      </c>
      <c r="U676" s="4" t="s">
        <v>1598</v>
      </c>
      <c r="V676" s="10">
        <v>45783</v>
      </c>
      <c r="W676" s="12">
        <v>45783</v>
      </c>
      <c r="Z676" t="e">
        <v>#N/A</v>
      </c>
    </row>
    <row r="677" spans="1:26" customFormat="1">
      <c r="A677">
        <f t="shared" ca="1" si="11"/>
        <v>8</v>
      </c>
      <c r="B677" s="49" t="s">
        <v>2477</v>
      </c>
      <c r="C677" s="12">
        <v>45775</v>
      </c>
      <c r="D677" s="4" t="s">
        <v>1958</v>
      </c>
      <c r="E677" s="4" t="s">
        <v>3663</v>
      </c>
      <c r="F677" s="4"/>
      <c r="G677" s="106" t="s">
        <v>1364</v>
      </c>
      <c r="H677" s="106" t="s">
        <v>34</v>
      </c>
      <c r="I677" s="49" t="s">
        <v>2478</v>
      </c>
      <c r="J677" s="4"/>
      <c r="K677" s="4" t="e">
        <f>IF(E677="KTG","KTG",(VLOOKUP(J677,'list of outsource'!B:H,2,0)))</f>
        <v>#N/A</v>
      </c>
      <c r="L677" s="4"/>
      <c r="M677" s="4"/>
      <c r="N677" s="4" t="s">
        <v>2479</v>
      </c>
      <c r="O677" s="2" t="s">
        <v>3686</v>
      </c>
      <c r="P677" s="4" t="s">
        <v>2480</v>
      </c>
      <c r="Q677" s="4"/>
      <c r="R677" s="12"/>
      <c r="S677" s="4" t="s">
        <v>307</v>
      </c>
      <c r="T677" s="4" t="s">
        <v>307</v>
      </c>
      <c r="U677" s="4" t="s">
        <v>1598</v>
      </c>
      <c r="V677" s="10">
        <v>45783</v>
      </c>
      <c r="W677" s="12">
        <v>45783</v>
      </c>
      <c r="Z677" t="e">
        <v>#N/A</v>
      </c>
    </row>
    <row r="678" spans="1:26" customFormat="1">
      <c r="A678">
        <f t="shared" ca="1" si="11"/>
        <v>40</v>
      </c>
      <c r="B678" s="104" t="s">
        <v>2530</v>
      </c>
      <c r="C678" s="16">
        <v>45793</v>
      </c>
      <c r="D678" s="6" t="s">
        <v>129</v>
      </c>
      <c r="E678" s="6" t="s">
        <v>3663</v>
      </c>
      <c r="F678" s="6"/>
      <c r="G678" s="106" t="s">
        <v>1364</v>
      </c>
      <c r="H678" s="106" t="s">
        <v>34</v>
      </c>
      <c r="I678" s="49" t="s">
        <v>2531</v>
      </c>
      <c r="J678" s="6"/>
      <c r="K678" s="6" t="e">
        <f>IF(E678="KTG","KTG",(VLOOKUP(J678,'list of outsource'!B:H,2,0)))</f>
        <v>#N/A</v>
      </c>
      <c r="L678" s="6"/>
      <c r="M678" s="6"/>
      <c r="N678" s="6" t="s">
        <v>2532</v>
      </c>
      <c r="O678" s="2" t="s">
        <v>3686</v>
      </c>
      <c r="P678" s="6" t="s">
        <v>2533</v>
      </c>
      <c r="Q678" s="6"/>
      <c r="R678" s="16"/>
      <c r="S678" s="6">
        <v>4</v>
      </c>
      <c r="T678" s="6" t="s">
        <v>307</v>
      </c>
      <c r="U678" s="6" t="s">
        <v>39</v>
      </c>
      <c r="V678" s="17">
        <v>45833</v>
      </c>
      <c r="W678" s="16"/>
      <c r="X678" t="s">
        <v>2171</v>
      </c>
      <c r="Y678" t="s">
        <v>2534</v>
      </c>
      <c r="Z678" t="e">
        <v>#N/A</v>
      </c>
    </row>
    <row r="679" spans="1:26" customFormat="1">
      <c r="A679">
        <f t="shared" ca="1" si="11"/>
        <v>45</v>
      </c>
      <c r="B679" s="104" t="s">
        <v>2535</v>
      </c>
      <c r="C679" s="16">
        <v>45793</v>
      </c>
      <c r="D679" s="6" t="s">
        <v>129</v>
      </c>
      <c r="E679" s="6" t="s">
        <v>3663</v>
      </c>
      <c r="F679" s="6"/>
      <c r="G679" s="106" t="s">
        <v>1364</v>
      </c>
      <c r="H679" s="106" t="s">
        <v>34</v>
      </c>
      <c r="I679" s="49" t="s">
        <v>2536</v>
      </c>
      <c r="J679" s="6"/>
      <c r="K679" s="6" t="e">
        <f>IF(E679="KTG","KTG",(VLOOKUP(J679,'list of outsource'!B:H,2,0)))</f>
        <v>#N/A</v>
      </c>
      <c r="L679" s="6"/>
      <c r="M679" s="6"/>
      <c r="N679" s="6" t="s">
        <v>2537</v>
      </c>
      <c r="O679" s="2" t="s">
        <v>3686</v>
      </c>
      <c r="P679" s="6" t="s">
        <v>2538</v>
      </c>
      <c r="Q679" s="6"/>
      <c r="R679" s="16"/>
      <c r="S679" s="6">
        <v>4</v>
      </c>
      <c r="T679" s="6" t="s">
        <v>307</v>
      </c>
      <c r="U679" s="6" t="s">
        <v>39</v>
      </c>
      <c r="V679" s="17">
        <v>45838</v>
      </c>
      <c r="W679" s="16"/>
      <c r="X679" t="s">
        <v>2171</v>
      </c>
      <c r="Y679" t="s">
        <v>2534</v>
      </c>
      <c r="Z679" t="e">
        <v>#N/A</v>
      </c>
    </row>
    <row r="680" spans="1:26" customFormat="1">
      <c r="A680">
        <f t="shared" ca="1" si="11"/>
        <v>40</v>
      </c>
      <c r="B680" s="104" t="s">
        <v>2539</v>
      </c>
      <c r="C680" s="16">
        <v>45793</v>
      </c>
      <c r="D680" s="6" t="s">
        <v>129</v>
      </c>
      <c r="E680" s="6" t="s">
        <v>3663</v>
      </c>
      <c r="F680" s="6"/>
      <c r="G680" s="106" t="s">
        <v>1364</v>
      </c>
      <c r="H680" s="106" t="s">
        <v>34</v>
      </c>
      <c r="I680" s="49" t="s">
        <v>2540</v>
      </c>
      <c r="J680" s="6"/>
      <c r="K680" s="6" t="e">
        <f>IF(E680="KTG","KTG",(VLOOKUP(J680,'list of outsource'!B:H,2,0)))</f>
        <v>#N/A</v>
      </c>
      <c r="L680" s="6"/>
      <c r="M680" s="6"/>
      <c r="N680" s="6" t="s">
        <v>2541</v>
      </c>
      <c r="O680" s="2" t="s">
        <v>3686</v>
      </c>
      <c r="P680" s="6" t="s">
        <v>2542</v>
      </c>
      <c r="Q680" s="6"/>
      <c r="R680" s="16"/>
      <c r="S680" s="6">
        <v>4</v>
      </c>
      <c r="T680" s="6" t="s">
        <v>307</v>
      </c>
      <c r="U680" s="6" t="s">
        <v>39</v>
      </c>
      <c r="V680" s="17">
        <v>45833</v>
      </c>
      <c r="W680" s="16"/>
      <c r="X680" t="s">
        <v>2171</v>
      </c>
      <c r="Y680" t="s">
        <v>2534</v>
      </c>
      <c r="Z680" t="e">
        <v>#N/A</v>
      </c>
    </row>
    <row r="681" spans="1:26" customFormat="1" hidden="1">
      <c r="A681">
        <f t="shared" ca="1" si="11"/>
        <v>70</v>
      </c>
      <c r="B681" s="4" t="s">
        <v>701</v>
      </c>
      <c r="C681" s="12">
        <v>44995</v>
      </c>
      <c r="D681" s="4" t="s">
        <v>129</v>
      </c>
      <c r="E681" s="4" t="s">
        <v>3665</v>
      </c>
      <c r="F681" s="4">
        <v>4831</v>
      </c>
      <c r="G681" s="4" t="s">
        <v>702</v>
      </c>
      <c r="H681" s="4" t="s">
        <v>34</v>
      </c>
      <c r="I681" s="4">
        <v>166938</v>
      </c>
      <c r="J681" s="4" t="s">
        <v>703</v>
      </c>
      <c r="K681" s="4" t="str">
        <f>IF(E681="KTG","KTG",(VLOOKUP(J681,'list of outsource'!B:H,2,0)))</f>
        <v>UPM</v>
      </c>
      <c r="L681" s="4" t="s">
        <v>704</v>
      </c>
      <c r="M681" s="4"/>
      <c r="N681" s="4" t="s">
        <v>705</v>
      </c>
      <c r="O681" s="2"/>
      <c r="P681" s="4" t="s">
        <v>706</v>
      </c>
      <c r="Q681" s="4">
        <v>1218993179</v>
      </c>
      <c r="R681" s="12"/>
      <c r="S681" s="4">
        <v>2</v>
      </c>
      <c r="T681" s="4"/>
      <c r="U681" s="4" t="s">
        <v>39</v>
      </c>
      <c r="V681" s="10">
        <v>45065</v>
      </c>
      <c r="W681" s="12"/>
    </row>
    <row r="682" spans="1:26" customFormat="1" hidden="1">
      <c r="A682">
        <f t="shared" ca="1" si="11"/>
        <v>70</v>
      </c>
      <c r="B682" s="4" t="s">
        <v>707</v>
      </c>
      <c r="C682" s="12">
        <v>44995</v>
      </c>
      <c r="D682" s="4" t="s">
        <v>129</v>
      </c>
      <c r="E682" s="4" t="s">
        <v>3662</v>
      </c>
      <c r="F682" s="4">
        <v>4829</v>
      </c>
      <c r="G682" s="4" t="s">
        <v>702</v>
      </c>
      <c r="H682" s="4" t="s">
        <v>34</v>
      </c>
      <c r="I682" s="4">
        <v>166939</v>
      </c>
      <c r="J682" s="4" t="s">
        <v>490</v>
      </c>
      <c r="K682" s="4" t="str">
        <f>IF(E682="KTG","KTG",(VLOOKUP(J682,'list of outsource'!B:H,2,0)))</f>
        <v>ETC</v>
      </c>
      <c r="L682" s="4" t="s">
        <v>491</v>
      </c>
      <c r="M682" s="4"/>
      <c r="N682" s="4" t="s">
        <v>708</v>
      </c>
      <c r="O682" s="2"/>
      <c r="P682" s="4" t="s">
        <v>709</v>
      </c>
      <c r="Q682" s="4">
        <v>1218993478</v>
      </c>
      <c r="R682" s="12"/>
      <c r="S682" s="4">
        <v>2</v>
      </c>
      <c r="T682" s="4"/>
      <c r="U682" s="4" t="s">
        <v>39</v>
      </c>
      <c r="V682" s="10">
        <v>45065</v>
      </c>
      <c r="W682" s="12"/>
    </row>
    <row r="683" spans="1:26" customFormat="1" hidden="1">
      <c r="A683">
        <f t="shared" ca="1" si="11"/>
        <v>70</v>
      </c>
      <c r="B683" s="4" t="s">
        <v>710</v>
      </c>
      <c r="C683" s="12">
        <v>44995</v>
      </c>
      <c r="D683" s="4" t="s">
        <v>129</v>
      </c>
      <c r="E683" s="4" t="s">
        <v>3662</v>
      </c>
      <c r="F683" s="4">
        <v>4830</v>
      </c>
      <c r="G683" s="4" t="s">
        <v>702</v>
      </c>
      <c r="H683" s="4" t="s">
        <v>34</v>
      </c>
      <c r="I683" s="4">
        <v>166940</v>
      </c>
      <c r="J683" s="4" t="s">
        <v>490</v>
      </c>
      <c r="K683" s="4" t="str">
        <f>IF(E683="KTG","KTG",(VLOOKUP(J683,'list of outsource'!B:H,2,0)))</f>
        <v>ETC</v>
      </c>
      <c r="L683" s="4" t="s">
        <v>491</v>
      </c>
      <c r="M683" s="4"/>
      <c r="N683" s="4" t="s">
        <v>620</v>
      </c>
      <c r="O683" s="2"/>
      <c r="P683" s="4" t="s">
        <v>711</v>
      </c>
      <c r="Q683" s="4">
        <v>1218993577</v>
      </c>
      <c r="R683" s="12"/>
      <c r="S683" s="4">
        <v>2</v>
      </c>
      <c r="T683" s="4"/>
      <c r="U683" s="4" t="s">
        <v>39</v>
      </c>
      <c r="V683" s="10">
        <v>45065</v>
      </c>
      <c r="W683" s="12"/>
    </row>
    <row r="684" spans="1:26" customFormat="1" hidden="1">
      <c r="A684">
        <f t="shared" ca="1" si="11"/>
        <v>14</v>
      </c>
      <c r="B684" s="9" t="s">
        <v>3447</v>
      </c>
      <c r="C684" s="12">
        <v>45855</v>
      </c>
      <c r="D684" s="4" t="s">
        <v>300</v>
      </c>
      <c r="E684" s="4" t="s">
        <v>3662</v>
      </c>
      <c r="F684" s="4">
        <v>4215</v>
      </c>
      <c r="G684" s="4" t="s">
        <v>751</v>
      </c>
      <c r="H684" s="4" t="s">
        <v>34</v>
      </c>
      <c r="I684" s="4">
        <v>713516</v>
      </c>
      <c r="J684" s="4" t="s">
        <v>302</v>
      </c>
      <c r="K684" s="4" t="str">
        <f>IF(E684="KTG","KTG",(VLOOKUP(J684,'list of outsource'!B:H,2,0)))</f>
        <v>ETC</v>
      </c>
      <c r="L684" s="4" t="s">
        <v>303</v>
      </c>
      <c r="M684" s="47">
        <v>73</v>
      </c>
      <c r="N684" s="4" t="s">
        <v>752</v>
      </c>
      <c r="O684" s="2"/>
      <c r="P684" s="4" t="s">
        <v>753</v>
      </c>
      <c r="Q684" s="4" t="s">
        <v>2899</v>
      </c>
      <c r="R684" s="12"/>
      <c r="S684" s="4">
        <v>4</v>
      </c>
      <c r="T684" s="4" t="s">
        <v>307</v>
      </c>
      <c r="U684" s="4" t="s">
        <v>550</v>
      </c>
      <c r="V684" s="10">
        <v>45869</v>
      </c>
      <c r="W684" s="12">
        <v>45881</v>
      </c>
      <c r="Z684" t="e">
        <v>#N/A</v>
      </c>
    </row>
    <row r="685" spans="1:26" customFormat="1" hidden="1">
      <c r="A685">
        <f t="shared" ca="1" si="11"/>
        <v>41</v>
      </c>
      <c r="B685" s="8" t="s">
        <v>3448</v>
      </c>
      <c r="C685" s="16">
        <v>45855</v>
      </c>
      <c r="D685" s="6" t="s">
        <v>1946</v>
      </c>
      <c r="E685" s="6" t="s">
        <v>3662</v>
      </c>
      <c r="F685" s="6">
        <v>4216</v>
      </c>
      <c r="G685" s="6" t="s">
        <v>751</v>
      </c>
      <c r="H685" s="6" t="s">
        <v>34</v>
      </c>
      <c r="I685" s="6">
        <v>713517</v>
      </c>
      <c r="J685" s="6" t="s">
        <v>302</v>
      </c>
      <c r="K685" s="6" t="str">
        <f>IF(E685="KTG","KTG",(VLOOKUP(J685,'list of outsource'!B:H,2,0)))</f>
        <v>ETC</v>
      </c>
      <c r="L685" s="6" t="s">
        <v>303</v>
      </c>
      <c r="M685" s="6"/>
      <c r="N685" s="6" t="s">
        <v>757</v>
      </c>
      <c r="O685" s="2"/>
      <c r="P685" s="6" t="s">
        <v>758</v>
      </c>
      <c r="Q685" s="6" t="s">
        <v>759</v>
      </c>
      <c r="R685" s="16"/>
      <c r="S685" s="6">
        <v>4</v>
      </c>
      <c r="T685" s="6" t="s">
        <v>307</v>
      </c>
      <c r="U685" s="6" t="s">
        <v>550</v>
      </c>
      <c r="V685" s="17">
        <v>45896</v>
      </c>
      <c r="W685" s="16"/>
      <c r="Z685" t="e">
        <v>#N/A</v>
      </c>
    </row>
    <row r="686" spans="1:26" customFormat="1" hidden="1">
      <c r="A686">
        <f t="shared" ca="1" si="11"/>
        <v>41</v>
      </c>
      <c r="B686" s="8" t="s">
        <v>3449</v>
      </c>
      <c r="C686" s="16">
        <v>45855</v>
      </c>
      <c r="D686" s="6" t="s">
        <v>1946</v>
      </c>
      <c r="E686" s="6" t="s">
        <v>3662</v>
      </c>
      <c r="F686" s="6">
        <v>4217</v>
      </c>
      <c r="G686" s="6" t="s">
        <v>751</v>
      </c>
      <c r="H686" s="6" t="s">
        <v>34</v>
      </c>
      <c r="I686" s="6">
        <v>713518</v>
      </c>
      <c r="J686" s="6" t="s">
        <v>302</v>
      </c>
      <c r="K686" s="6" t="str">
        <f>IF(E686="KTG","KTG",(VLOOKUP(J686,'list of outsource'!B:H,2,0)))</f>
        <v>ETC</v>
      </c>
      <c r="L686" s="6" t="s">
        <v>303</v>
      </c>
      <c r="M686" s="6"/>
      <c r="N686" s="6" t="s">
        <v>761</v>
      </c>
      <c r="O686" s="2"/>
      <c r="P686" s="6" t="s">
        <v>762</v>
      </c>
      <c r="Q686" s="6" t="s">
        <v>763</v>
      </c>
      <c r="R686" s="16"/>
      <c r="S686" s="6">
        <v>4</v>
      </c>
      <c r="T686" s="6" t="s">
        <v>307</v>
      </c>
      <c r="U686" s="6" t="s">
        <v>550</v>
      </c>
      <c r="V686" s="17">
        <v>45896</v>
      </c>
      <c r="W686" s="16"/>
      <c r="Z686" t="e">
        <v>#N/A</v>
      </c>
    </row>
    <row r="687" spans="1:26" customFormat="1" hidden="1">
      <c r="A687">
        <f t="shared" ca="1" si="11"/>
        <v>41</v>
      </c>
      <c r="B687" s="8" t="s">
        <v>3450</v>
      </c>
      <c r="C687" s="16">
        <v>45855</v>
      </c>
      <c r="D687" s="6" t="s">
        <v>1946</v>
      </c>
      <c r="E687" s="6" t="s">
        <v>3662</v>
      </c>
      <c r="F687" s="6">
        <v>4218</v>
      </c>
      <c r="G687" s="6" t="s">
        <v>751</v>
      </c>
      <c r="H687" s="6" t="s">
        <v>34</v>
      </c>
      <c r="I687" s="6">
        <v>713519</v>
      </c>
      <c r="J687" s="6" t="s">
        <v>490</v>
      </c>
      <c r="K687" s="6" t="str">
        <f>IF(E687="KTG","KTG",(VLOOKUP(J687,'list of outsource'!B:H,2,0)))</f>
        <v>ETC</v>
      </c>
      <c r="L687" s="6" t="s">
        <v>491</v>
      </c>
      <c r="M687" s="6"/>
      <c r="N687" s="6" t="s">
        <v>765</v>
      </c>
      <c r="O687" s="2"/>
      <c r="P687" s="6" t="s">
        <v>766</v>
      </c>
      <c r="Q687" s="6" t="s">
        <v>767</v>
      </c>
      <c r="R687" s="16"/>
      <c r="S687" s="6">
        <v>4</v>
      </c>
      <c r="T687" s="6" t="s">
        <v>307</v>
      </c>
      <c r="U687" s="6" t="s">
        <v>550</v>
      </c>
      <c r="V687" s="17">
        <v>45896</v>
      </c>
      <c r="W687" s="16"/>
      <c r="Z687" t="e">
        <v>#N/A</v>
      </c>
    </row>
    <row r="688" spans="1:26" customFormat="1" hidden="1">
      <c r="A688">
        <f t="shared" ca="1" si="11"/>
        <v>15</v>
      </c>
      <c r="B688" s="4" t="s">
        <v>750</v>
      </c>
      <c r="C688" s="12">
        <v>45020</v>
      </c>
      <c r="D688" s="4" t="s">
        <v>504</v>
      </c>
      <c r="E688" s="4" t="s">
        <v>3662</v>
      </c>
      <c r="F688" s="4">
        <v>4215</v>
      </c>
      <c r="G688" s="4" t="s">
        <v>751</v>
      </c>
      <c r="H688" s="4" t="s">
        <v>34</v>
      </c>
      <c r="I688" s="4">
        <v>713516</v>
      </c>
      <c r="J688" s="4" t="s">
        <v>302</v>
      </c>
      <c r="K688" s="4" t="str">
        <f>IF(E688="KTG","KTG",(VLOOKUP(J688,'list of outsource'!B:H,2,0)))</f>
        <v>ETC</v>
      </c>
      <c r="L688" s="4" t="s">
        <v>303</v>
      </c>
      <c r="M688" s="4"/>
      <c r="N688" s="4" t="s">
        <v>752</v>
      </c>
      <c r="O688" s="2"/>
      <c r="P688" s="4" t="s">
        <v>753</v>
      </c>
      <c r="Q688" s="4" t="s">
        <v>754</v>
      </c>
      <c r="R688" s="12"/>
      <c r="S688" s="4">
        <v>2</v>
      </c>
      <c r="T688" s="4"/>
      <c r="U688" s="4" t="s">
        <v>39</v>
      </c>
      <c r="V688" s="10" t="s">
        <v>755</v>
      </c>
      <c r="W688" s="12">
        <v>45335</v>
      </c>
    </row>
    <row r="689" spans="1:26" customFormat="1" hidden="1">
      <c r="A689">
        <f t="shared" ca="1" si="11"/>
        <v>15</v>
      </c>
      <c r="B689" s="4" t="s">
        <v>756</v>
      </c>
      <c r="C689" s="12">
        <v>45020</v>
      </c>
      <c r="D689" s="4" t="s">
        <v>504</v>
      </c>
      <c r="E689" s="4" t="s">
        <v>3662</v>
      </c>
      <c r="F689" s="4">
        <v>4216</v>
      </c>
      <c r="G689" s="4" t="s">
        <v>751</v>
      </c>
      <c r="H689" s="4" t="s">
        <v>34</v>
      </c>
      <c r="I689" s="4">
        <v>713517</v>
      </c>
      <c r="J689" s="4" t="s">
        <v>302</v>
      </c>
      <c r="K689" s="4" t="str">
        <f>IF(E689="KTG","KTG",(VLOOKUP(J689,'list of outsource'!B:H,2,0)))</f>
        <v>ETC</v>
      </c>
      <c r="L689" s="4" t="s">
        <v>303</v>
      </c>
      <c r="M689" s="4"/>
      <c r="N689" s="4" t="s">
        <v>757</v>
      </c>
      <c r="O689" s="2"/>
      <c r="P689" s="4" t="s">
        <v>758</v>
      </c>
      <c r="Q689" s="4" t="s">
        <v>759</v>
      </c>
      <c r="R689" s="12"/>
      <c r="S689" s="4">
        <v>2</v>
      </c>
      <c r="T689" s="4"/>
      <c r="U689" s="4" t="s">
        <v>39</v>
      </c>
      <c r="V689" s="10" t="s">
        <v>755</v>
      </c>
      <c r="W689" s="12">
        <v>45335</v>
      </c>
    </row>
    <row r="690" spans="1:26" customFormat="1" hidden="1">
      <c r="A690">
        <f t="shared" ca="1" si="11"/>
        <v>15</v>
      </c>
      <c r="B690" s="4" t="s">
        <v>760</v>
      </c>
      <c r="C690" s="12">
        <v>45020</v>
      </c>
      <c r="D690" s="4" t="s">
        <v>504</v>
      </c>
      <c r="E690" s="4" t="s">
        <v>3662</v>
      </c>
      <c r="F690" s="4">
        <v>4217</v>
      </c>
      <c r="G690" s="4" t="s">
        <v>751</v>
      </c>
      <c r="H690" s="4" t="s">
        <v>34</v>
      </c>
      <c r="I690" s="4">
        <v>713518</v>
      </c>
      <c r="J690" s="4" t="s">
        <v>302</v>
      </c>
      <c r="K690" s="4" t="str">
        <f>IF(E690="KTG","KTG",(VLOOKUP(J690,'list of outsource'!B:H,2,0)))</f>
        <v>ETC</v>
      </c>
      <c r="L690" s="4" t="s">
        <v>303</v>
      </c>
      <c r="M690" s="4"/>
      <c r="N690" s="4" t="s">
        <v>761</v>
      </c>
      <c r="O690" s="2"/>
      <c r="P690" s="4" t="s">
        <v>762</v>
      </c>
      <c r="Q690" s="4" t="s">
        <v>763</v>
      </c>
      <c r="R690" s="12"/>
      <c r="S690" s="4">
        <v>2</v>
      </c>
      <c r="T690" s="4"/>
      <c r="U690" s="4" t="s">
        <v>39</v>
      </c>
      <c r="V690" s="10" t="s">
        <v>755</v>
      </c>
      <c r="W690" s="12">
        <v>45335</v>
      </c>
    </row>
    <row r="691" spans="1:26" customFormat="1" hidden="1">
      <c r="A691">
        <f t="shared" ca="1" si="11"/>
        <v>15</v>
      </c>
      <c r="B691" s="4" t="s">
        <v>764</v>
      </c>
      <c r="C691" s="12">
        <v>45020</v>
      </c>
      <c r="D691" s="4" t="s">
        <v>504</v>
      </c>
      <c r="E691" s="4" t="s">
        <v>3662</v>
      </c>
      <c r="F691" s="4">
        <v>4218</v>
      </c>
      <c r="G691" s="4" t="s">
        <v>751</v>
      </c>
      <c r="H691" s="4" t="s">
        <v>34</v>
      </c>
      <c r="I691" s="4">
        <v>713519</v>
      </c>
      <c r="J691" s="4" t="s">
        <v>490</v>
      </c>
      <c r="K691" s="4" t="str">
        <f>IF(E691="KTG","KTG",(VLOOKUP(J691,'list of outsource'!B:H,2,0)))</f>
        <v>ETC</v>
      </c>
      <c r="L691" s="4" t="s">
        <v>491</v>
      </c>
      <c r="M691" s="4"/>
      <c r="N691" s="4" t="s">
        <v>765</v>
      </c>
      <c r="O691" s="2"/>
      <c r="P691" s="4" t="s">
        <v>766</v>
      </c>
      <c r="Q691" s="4" t="s">
        <v>767</v>
      </c>
      <c r="R691" s="12"/>
      <c r="S691" s="4">
        <v>2</v>
      </c>
      <c r="T691" s="4"/>
      <c r="U691" s="4" t="s">
        <v>39</v>
      </c>
      <c r="V691" s="10" t="s">
        <v>755</v>
      </c>
      <c r="W691" s="12">
        <v>45335</v>
      </c>
    </row>
    <row r="692" spans="1:26" customFormat="1" hidden="1">
      <c r="A692">
        <f t="shared" ca="1" si="11"/>
        <v>0</v>
      </c>
      <c r="B692" s="4" t="s">
        <v>772</v>
      </c>
      <c r="C692" s="12">
        <v>45021</v>
      </c>
      <c r="D692" s="4" t="s">
        <v>773</v>
      </c>
      <c r="E692" s="4" t="s">
        <v>3662</v>
      </c>
      <c r="F692" s="4"/>
      <c r="G692" s="4" t="s">
        <v>774</v>
      </c>
      <c r="H692" s="4" t="s">
        <v>775</v>
      </c>
      <c r="I692" s="4" t="s">
        <v>776</v>
      </c>
      <c r="J692" s="4" t="s">
        <v>777</v>
      </c>
      <c r="K692" s="4" t="str">
        <f>IF(E692="KTG","KTG",(VLOOKUP(J692,'list of outsource'!B:H,2,0)))</f>
        <v>Hongjing (Grandview)</v>
      </c>
      <c r="L692" s="4" t="s">
        <v>778</v>
      </c>
      <c r="M692" s="4"/>
      <c r="N692" s="49" t="s">
        <v>779</v>
      </c>
      <c r="O692" s="2"/>
      <c r="P692" s="4" t="s">
        <v>780</v>
      </c>
      <c r="Q692" s="4"/>
      <c r="R692" s="12"/>
      <c r="S692" s="4">
        <v>2</v>
      </c>
      <c r="T692" s="4"/>
      <c r="U692" s="4" t="s">
        <v>39</v>
      </c>
      <c r="V692" s="10">
        <v>45021</v>
      </c>
      <c r="W692" s="12"/>
      <c r="Z692" t="e">
        <v>#N/A</v>
      </c>
    </row>
    <row r="693" spans="1:26" customFormat="1" hidden="1">
      <c r="A693">
        <f t="shared" ca="1" si="11"/>
        <v>15</v>
      </c>
      <c r="B693" s="4" t="s">
        <v>735</v>
      </c>
      <c r="C693" s="12">
        <v>45012</v>
      </c>
      <c r="D693" s="4" t="s">
        <v>504</v>
      </c>
      <c r="E693" s="4" t="s">
        <v>3665</v>
      </c>
      <c r="F693" s="4">
        <v>4615</v>
      </c>
      <c r="G693" s="4" t="s">
        <v>102</v>
      </c>
      <c r="H693" s="4" t="s">
        <v>736</v>
      </c>
      <c r="I693" s="4" t="s">
        <v>737</v>
      </c>
      <c r="J693" s="4" t="s">
        <v>151</v>
      </c>
      <c r="K693" s="4" t="str">
        <f>IF(E693="KTG","KTG",(VLOOKUP(J693,'list of outsource'!B:H,2,0)))</f>
        <v>UPM</v>
      </c>
      <c r="L693" s="4" t="s">
        <v>381</v>
      </c>
      <c r="M693" s="4"/>
      <c r="N693" s="4" t="s">
        <v>738</v>
      </c>
      <c r="O693" s="2"/>
      <c r="P693" s="4" t="s">
        <v>739</v>
      </c>
      <c r="Q693" s="4">
        <v>1188109083</v>
      </c>
      <c r="R693" s="12"/>
      <c r="S693" s="4">
        <v>2</v>
      </c>
      <c r="T693" s="4"/>
      <c r="U693" s="4" t="s">
        <v>39</v>
      </c>
      <c r="V693" s="10" t="s">
        <v>740</v>
      </c>
      <c r="W693" s="12">
        <v>45034</v>
      </c>
    </row>
    <row r="694" spans="1:26" customFormat="1" hidden="1">
      <c r="A694">
        <f t="shared" ca="1" si="11"/>
        <v>42</v>
      </c>
      <c r="B694" s="8" t="s">
        <v>905</v>
      </c>
      <c r="C694" s="16">
        <v>45091</v>
      </c>
      <c r="D694" s="6" t="s">
        <v>129</v>
      </c>
      <c r="E694" s="6" t="s">
        <v>3662</v>
      </c>
      <c r="F694" s="6">
        <v>4325</v>
      </c>
      <c r="G694" s="6" t="s">
        <v>906</v>
      </c>
      <c r="H694" s="6" t="s">
        <v>907</v>
      </c>
      <c r="I694" s="6" t="s">
        <v>908</v>
      </c>
      <c r="J694" s="6" t="s">
        <v>222</v>
      </c>
      <c r="K694" s="6" t="str">
        <f>IF(E694="KTG","KTG",(VLOOKUP(J694,'list of outsource'!B:H,2,0)))</f>
        <v>ETC</v>
      </c>
      <c r="L694" s="6" t="s">
        <v>223</v>
      </c>
      <c r="M694" s="6"/>
      <c r="N694" s="6" t="s">
        <v>376</v>
      </c>
      <c r="O694" s="2"/>
      <c r="P694" s="6" t="s">
        <v>909</v>
      </c>
      <c r="Q694" s="6">
        <v>1242598610</v>
      </c>
      <c r="R694" s="16"/>
      <c r="S694" s="6">
        <v>2</v>
      </c>
      <c r="T694" s="6"/>
      <c r="U694" s="6" t="s">
        <v>39</v>
      </c>
      <c r="V694" s="17">
        <v>45133</v>
      </c>
      <c r="W694" s="16"/>
    </row>
    <row r="695" spans="1:26" customFormat="1" hidden="1">
      <c r="A695">
        <f t="shared" ca="1" si="11"/>
        <v>42</v>
      </c>
      <c r="B695" s="8" t="s">
        <v>910</v>
      </c>
      <c r="C695" s="16">
        <v>45091</v>
      </c>
      <c r="D695" s="6" t="s">
        <v>129</v>
      </c>
      <c r="E695" s="6" t="s">
        <v>3662</v>
      </c>
      <c r="F695" s="6">
        <v>4326</v>
      </c>
      <c r="G695" s="6" t="s">
        <v>906</v>
      </c>
      <c r="H695" s="6" t="s">
        <v>907</v>
      </c>
      <c r="I695" s="6" t="s">
        <v>911</v>
      </c>
      <c r="J695" s="6" t="s">
        <v>222</v>
      </c>
      <c r="K695" s="6" t="str">
        <f>IF(E695="KTG","KTG",(VLOOKUP(J695,'list of outsource'!B:H,2,0)))</f>
        <v>ETC</v>
      </c>
      <c r="L695" s="6" t="s">
        <v>223</v>
      </c>
      <c r="M695" s="6"/>
      <c r="N695" s="6" t="s">
        <v>912</v>
      </c>
      <c r="O695" s="2"/>
      <c r="P695" s="6" t="s">
        <v>913</v>
      </c>
      <c r="Q695" s="6">
        <v>1242600683</v>
      </c>
      <c r="R695" s="16"/>
      <c r="S695" s="6">
        <v>2</v>
      </c>
      <c r="T695" s="6"/>
      <c r="U695" s="6" t="s">
        <v>39</v>
      </c>
      <c r="V695" s="17">
        <v>45133</v>
      </c>
      <c r="W695" s="16"/>
    </row>
    <row r="696" spans="1:26" customFormat="1" hidden="1">
      <c r="A696">
        <f t="shared" ca="1" si="11"/>
        <v>52</v>
      </c>
      <c r="B696" s="8" t="s">
        <v>1357</v>
      </c>
      <c r="C696" s="16">
        <v>45229</v>
      </c>
      <c r="D696" s="6" t="s">
        <v>129</v>
      </c>
      <c r="E696" s="6" t="s">
        <v>3662</v>
      </c>
      <c r="F696" s="6">
        <v>4327</v>
      </c>
      <c r="G696" s="6" t="s">
        <v>906</v>
      </c>
      <c r="H696" s="6" t="s">
        <v>907</v>
      </c>
      <c r="I696" s="6" t="s">
        <v>1358</v>
      </c>
      <c r="J696" s="6" t="s">
        <v>222</v>
      </c>
      <c r="K696" s="6" t="str">
        <f>IF(E696="KTG","KTG",(VLOOKUP(J696,'list of outsource'!B:H,2,0)))</f>
        <v>ETC</v>
      </c>
      <c r="L696" s="6" t="s">
        <v>223</v>
      </c>
      <c r="M696" s="6">
        <v>19</v>
      </c>
      <c r="N696" s="6" t="s">
        <v>1359</v>
      </c>
      <c r="O696" s="2"/>
      <c r="P696" s="6" t="s">
        <v>1360</v>
      </c>
      <c r="Q696" s="6">
        <v>1287010958</v>
      </c>
      <c r="R696" s="16" t="s">
        <v>549</v>
      </c>
      <c r="S696" s="6">
        <v>4</v>
      </c>
      <c r="T696" s="6"/>
      <c r="U696" s="6" t="s">
        <v>39</v>
      </c>
      <c r="V696" s="17">
        <v>45281</v>
      </c>
      <c r="W696" s="16"/>
      <c r="Z696" t="e">
        <v>#N/A</v>
      </c>
    </row>
    <row r="697" spans="1:26" customFormat="1">
      <c r="A697">
        <f t="shared" ca="1" si="11"/>
        <v>0</v>
      </c>
      <c r="B697" s="104" t="s">
        <v>2543</v>
      </c>
      <c r="C697" s="12">
        <v>45793</v>
      </c>
      <c r="D697" s="4" t="s">
        <v>504</v>
      </c>
      <c r="E697" s="4" t="s">
        <v>3663</v>
      </c>
      <c r="F697" s="4"/>
      <c r="G697" s="106" t="s">
        <v>1364</v>
      </c>
      <c r="H697" s="106" t="s">
        <v>34</v>
      </c>
      <c r="I697" s="49" t="s">
        <v>2544</v>
      </c>
      <c r="J697" s="4"/>
      <c r="K697" s="4" t="e">
        <f>IF(E697="KTG","KTG",(VLOOKUP(J697,'list of outsource'!B:H,2,0)))</f>
        <v>#N/A</v>
      </c>
      <c r="L697" s="4"/>
      <c r="M697" s="47"/>
      <c r="N697" s="4" t="s">
        <v>2545</v>
      </c>
      <c r="O697" s="2" t="s">
        <v>3686</v>
      </c>
      <c r="P697" s="4" t="s">
        <v>2546</v>
      </c>
      <c r="Q697" s="4"/>
      <c r="R697" s="12"/>
      <c r="S697" s="4">
        <v>4</v>
      </c>
      <c r="T697" s="4" t="s">
        <v>307</v>
      </c>
      <c r="U697" s="4" t="s">
        <v>39</v>
      </c>
      <c r="V697" s="10">
        <v>45793</v>
      </c>
      <c r="W697" s="12">
        <v>45225</v>
      </c>
      <c r="X697" t="s">
        <v>2171</v>
      </c>
      <c r="Y697" t="s">
        <v>2547</v>
      </c>
      <c r="Z697" t="e">
        <v>#N/A</v>
      </c>
    </row>
    <row r="698" spans="1:26" customFormat="1">
      <c r="A698">
        <f t="shared" ca="1" si="11"/>
        <v>0</v>
      </c>
      <c r="B698" s="104" t="s">
        <v>2554</v>
      </c>
      <c r="C698" s="12">
        <v>45793</v>
      </c>
      <c r="D698" s="4" t="s">
        <v>504</v>
      </c>
      <c r="E698" s="4" t="s">
        <v>3663</v>
      </c>
      <c r="F698" s="4"/>
      <c r="G698" s="106" t="s">
        <v>1364</v>
      </c>
      <c r="H698" s="106" t="s">
        <v>34</v>
      </c>
      <c r="I698" s="49" t="s">
        <v>2555</v>
      </c>
      <c r="J698" s="4"/>
      <c r="K698" s="4" t="e">
        <f>IF(E698="KTG","KTG",(VLOOKUP(J698,'list of outsource'!B:H,2,0)))</f>
        <v>#N/A</v>
      </c>
      <c r="L698" s="4"/>
      <c r="M698" s="47"/>
      <c r="N698" s="4" t="s">
        <v>2556</v>
      </c>
      <c r="O698" s="2" t="s">
        <v>3686</v>
      </c>
      <c r="P698" s="4" t="s">
        <v>2557</v>
      </c>
      <c r="Q698" s="4"/>
      <c r="R698" s="12"/>
      <c r="S698" s="4">
        <v>4</v>
      </c>
      <c r="T698" s="4" t="s">
        <v>307</v>
      </c>
      <c r="U698" s="4" t="s">
        <v>39</v>
      </c>
      <c r="V698" s="10">
        <v>45793</v>
      </c>
      <c r="W698" s="12">
        <v>45225</v>
      </c>
      <c r="X698" t="s">
        <v>2171</v>
      </c>
      <c r="Y698" t="s">
        <v>2547</v>
      </c>
      <c r="Z698" t="e">
        <v>#N/A</v>
      </c>
    </row>
    <row r="699" spans="1:26" customFormat="1" hidden="1">
      <c r="A699">
        <f t="shared" ca="1" si="11"/>
        <v>60</v>
      </c>
      <c r="B699" s="4" t="s">
        <v>3475</v>
      </c>
      <c r="C699" s="12">
        <v>45127</v>
      </c>
      <c r="D699" s="4" t="s">
        <v>504</v>
      </c>
      <c r="E699" s="4" t="s">
        <v>3665</v>
      </c>
      <c r="F699" s="4">
        <v>3803</v>
      </c>
      <c r="G699" s="4" t="s">
        <v>301</v>
      </c>
      <c r="H699" s="4" t="s">
        <v>34</v>
      </c>
      <c r="I699" s="4">
        <v>35770188</v>
      </c>
      <c r="J699" s="4" t="s">
        <v>96</v>
      </c>
      <c r="K699" s="4" t="str">
        <f>IF(E699="KTG","KTG",(VLOOKUP(J699,'list of outsource'!B:H,2,0)))</f>
        <v>Woer</v>
      </c>
      <c r="L699" s="4" t="s">
        <v>97</v>
      </c>
      <c r="M699" s="4"/>
      <c r="N699" s="4" t="s">
        <v>1200</v>
      </c>
      <c r="O699" s="2"/>
      <c r="P699" s="4" t="s">
        <v>1201</v>
      </c>
      <c r="Q699" s="4">
        <v>1256732125</v>
      </c>
      <c r="R699" s="12" t="s">
        <v>549</v>
      </c>
      <c r="S699" s="4">
        <v>4</v>
      </c>
      <c r="T699" s="4"/>
      <c r="U699" s="4" t="s">
        <v>39</v>
      </c>
      <c r="V699" s="10">
        <v>45187</v>
      </c>
      <c r="W699" s="12">
        <v>45268</v>
      </c>
    </row>
    <row r="700" spans="1:26" customFormat="1" hidden="1">
      <c r="A700">
        <f t="shared" ca="1" si="11"/>
        <v>8</v>
      </c>
      <c r="B700" s="4" t="s">
        <v>3475</v>
      </c>
      <c r="C700" s="12">
        <v>45600</v>
      </c>
      <c r="D700" s="4" t="s">
        <v>1070</v>
      </c>
      <c r="E700" s="4" t="s">
        <v>3665</v>
      </c>
      <c r="F700" s="4">
        <v>3803</v>
      </c>
      <c r="G700" s="4" t="s">
        <v>301</v>
      </c>
      <c r="H700" s="4" t="s">
        <v>34</v>
      </c>
      <c r="I700" s="4">
        <v>35770188</v>
      </c>
      <c r="J700" s="4" t="s">
        <v>96</v>
      </c>
      <c r="K700" s="4" t="str">
        <f>IF(E700="KTG","KTG",(VLOOKUP(J700,'list of outsource'!B:H,2,0)))</f>
        <v>Woer</v>
      </c>
      <c r="L700" s="4" t="s">
        <v>97</v>
      </c>
      <c r="M700" s="4">
        <v>2</v>
      </c>
      <c r="N700" s="4" t="s">
        <v>1200</v>
      </c>
      <c r="O700" s="2"/>
      <c r="P700" s="4" t="s">
        <v>1201</v>
      </c>
      <c r="Q700" s="4" t="s">
        <v>1234</v>
      </c>
      <c r="R700" s="12" t="s">
        <v>549</v>
      </c>
      <c r="S700" s="4">
        <v>2</v>
      </c>
      <c r="T700" s="4" t="s">
        <v>307</v>
      </c>
      <c r="U700" s="4" t="s">
        <v>183</v>
      </c>
      <c r="V700" s="10">
        <v>45608</v>
      </c>
      <c r="W700" s="12">
        <v>45615</v>
      </c>
      <c r="Z700" t="e">
        <v>#N/A</v>
      </c>
    </row>
    <row r="701" spans="1:26" customFormat="1">
      <c r="A701">
        <f t="shared" ca="1" si="11"/>
        <v>13</v>
      </c>
      <c r="B701" s="104" t="s">
        <v>2568</v>
      </c>
      <c r="C701" s="12">
        <v>45799</v>
      </c>
      <c r="D701" s="4" t="s">
        <v>1958</v>
      </c>
      <c r="E701" s="4" t="s">
        <v>3663</v>
      </c>
      <c r="F701" s="4"/>
      <c r="G701" s="106" t="s">
        <v>1364</v>
      </c>
      <c r="H701" s="106" t="s">
        <v>34</v>
      </c>
      <c r="I701" s="49" t="s">
        <v>2569</v>
      </c>
      <c r="J701" s="4"/>
      <c r="K701" s="4" t="e">
        <f>IF(E701="KTG","KTG",(VLOOKUP(J701,'list of outsource'!B:H,2,0)))</f>
        <v>#N/A</v>
      </c>
      <c r="L701" s="4"/>
      <c r="M701" s="47"/>
      <c r="N701" s="4" t="s">
        <v>2570</v>
      </c>
      <c r="O701" s="2" t="s">
        <v>3686</v>
      </c>
      <c r="P701" s="4" t="s">
        <v>2571</v>
      </c>
      <c r="Q701" s="4"/>
      <c r="R701" s="12"/>
      <c r="S701" s="4" t="s">
        <v>307</v>
      </c>
      <c r="T701" s="4" t="s">
        <v>307</v>
      </c>
      <c r="U701" s="4" t="s">
        <v>1598</v>
      </c>
      <c r="V701" s="10">
        <v>45812</v>
      </c>
      <c r="W701" s="12"/>
      <c r="Z701" t="e">
        <v>#N/A</v>
      </c>
    </row>
    <row r="702" spans="1:26" customFormat="1" hidden="1">
      <c r="A702">
        <f t="shared" ca="1" si="11"/>
        <v>36</v>
      </c>
      <c r="B702" s="4" t="s">
        <v>3477</v>
      </c>
      <c r="C702" s="12">
        <v>45295</v>
      </c>
      <c r="D702" s="4" t="s">
        <v>1070</v>
      </c>
      <c r="E702" s="4" t="s">
        <v>3662</v>
      </c>
      <c r="F702" s="4">
        <v>3799</v>
      </c>
      <c r="G702" s="4" t="s">
        <v>301</v>
      </c>
      <c r="H702" s="4" t="s">
        <v>34</v>
      </c>
      <c r="I702" s="4">
        <v>35758263</v>
      </c>
      <c r="J702" s="4" t="s">
        <v>222</v>
      </c>
      <c r="K702" s="4" t="str">
        <f>IF(E702="KTG","KTG",(VLOOKUP(J702,'list of outsource'!B:H,2,0)))</f>
        <v>ETC</v>
      </c>
      <c r="L702" s="4" t="s">
        <v>223</v>
      </c>
      <c r="M702" s="4" t="s">
        <v>1311</v>
      </c>
      <c r="N702" s="4" t="s">
        <v>1375</v>
      </c>
      <c r="O702" s="2"/>
      <c r="P702" s="4" t="s">
        <v>1376</v>
      </c>
      <c r="Q702" s="4">
        <v>1250976542</v>
      </c>
      <c r="R702" s="12" t="s">
        <v>549</v>
      </c>
      <c r="S702" s="4">
        <v>4</v>
      </c>
      <c r="T702" s="4" t="s">
        <v>607</v>
      </c>
      <c r="U702" s="4" t="s">
        <v>39</v>
      </c>
      <c r="V702" s="10">
        <v>45331</v>
      </c>
      <c r="W702" s="12">
        <v>45441</v>
      </c>
      <c r="Z702" t="e">
        <v>#N/A</v>
      </c>
    </row>
    <row r="703" spans="1:26" customFormat="1" hidden="1">
      <c r="A703">
        <f t="shared" ca="1" si="11"/>
        <v>36</v>
      </c>
      <c r="B703" s="4" t="s">
        <v>3478</v>
      </c>
      <c r="C703" s="12">
        <v>45295</v>
      </c>
      <c r="D703" s="4" t="s">
        <v>1070</v>
      </c>
      <c r="E703" s="4" t="s">
        <v>3662</v>
      </c>
      <c r="F703" s="4">
        <v>3800</v>
      </c>
      <c r="G703" s="4" t="s">
        <v>301</v>
      </c>
      <c r="H703" s="4" t="s">
        <v>34</v>
      </c>
      <c r="I703" s="4">
        <v>35758268</v>
      </c>
      <c r="J703" s="4" t="s">
        <v>222</v>
      </c>
      <c r="K703" s="4" t="str">
        <f>IF(E703="KTG","KTG",(VLOOKUP(J703,'list of outsource'!B:H,2,0)))</f>
        <v>ETC</v>
      </c>
      <c r="L703" s="4" t="s">
        <v>223</v>
      </c>
      <c r="M703" s="4" t="s">
        <v>1311</v>
      </c>
      <c r="N703" s="4" t="s">
        <v>1359</v>
      </c>
      <c r="O703" s="2"/>
      <c r="P703" s="4" t="s">
        <v>1360</v>
      </c>
      <c r="Q703" s="4">
        <v>1250980800</v>
      </c>
      <c r="R703" s="12" t="s">
        <v>549</v>
      </c>
      <c r="S703" s="4">
        <v>4</v>
      </c>
      <c r="T703" s="4" t="s">
        <v>607</v>
      </c>
      <c r="U703" s="4" t="s">
        <v>39</v>
      </c>
      <c r="V703" s="10">
        <v>45331</v>
      </c>
      <c r="W703" s="12">
        <v>45441</v>
      </c>
      <c r="Z703" t="e">
        <v>#N/A</v>
      </c>
    </row>
    <row r="704" spans="1:26" customFormat="1" hidden="1">
      <c r="A704">
        <f t="shared" ca="1" si="11"/>
        <v>36</v>
      </c>
      <c r="B704" s="4" t="s">
        <v>3479</v>
      </c>
      <c r="C704" s="12">
        <v>45295</v>
      </c>
      <c r="D704" s="4" t="s">
        <v>1070</v>
      </c>
      <c r="E704" s="4" t="s">
        <v>3662</v>
      </c>
      <c r="F704" s="4">
        <v>3794</v>
      </c>
      <c r="G704" s="4" t="s">
        <v>301</v>
      </c>
      <c r="H704" s="4" t="s">
        <v>34</v>
      </c>
      <c r="I704" s="4">
        <v>35738186</v>
      </c>
      <c r="J704" s="4" t="s">
        <v>302</v>
      </c>
      <c r="K704" s="4" t="str">
        <f>IF(E704="KTG","KTG",(VLOOKUP(J704,'list of outsource'!B:H,2,0)))</f>
        <v>ETC</v>
      </c>
      <c r="L704" s="4" t="s">
        <v>303</v>
      </c>
      <c r="M704" s="4" t="s">
        <v>1311</v>
      </c>
      <c r="N704" s="4" t="s">
        <v>1479</v>
      </c>
      <c r="O704" s="2"/>
      <c r="P704" s="4" t="s">
        <v>1480</v>
      </c>
      <c r="Q704" s="4">
        <v>1251041689</v>
      </c>
      <c r="R704" s="12" t="s">
        <v>549</v>
      </c>
      <c r="S704" s="4">
        <v>4</v>
      </c>
      <c r="T704" s="4" t="s">
        <v>607</v>
      </c>
      <c r="U704" s="4" t="s">
        <v>39</v>
      </c>
      <c r="V704" s="10">
        <v>45331</v>
      </c>
      <c r="W704" s="12">
        <v>45400</v>
      </c>
      <c r="Z704" t="e">
        <v>#N/A</v>
      </c>
    </row>
    <row r="705" spans="1:26" customFormat="1" hidden="1">
      <c r="A705">
        <f t="shared" ca="1" si="11"/>
        <v>21</v>
      </c>
      <c r="B705" s="4" t="s">
        <v>3480</v>
      </c>
      <c r="C705" s="12">
        <v>45184</v>
      </c>
      <c r="D705" s="4" t="s">
        <v>504</v>
      </c>
      <c r="E705" s="4" t="s">
        <v>3662</v>
      </c>
      <c r="F705" s="4">
        <v>3804</v>
      </c>
      <c r="G705" s="4" t="s">
        <v>301</v>
      </c>
      <c r="H705" s="4" t="s">
        <v>34</v>
      </c>
      <c r="I705" s="4">
        <v>35774147</v>
      </c>
      <c r="J705" s="4" t="s">
        <v>222</v>
      </c>
      <c r="K705" s="4" t="str">
        <f>IF(E705="KTG","KTG",(VLOOKUP(J705,'list of outsource'!B:H,2,0)))</f>
        <v>ETC</v>
      </c>
      <c r="L705" s="4" t="s">
        <v>223</v>
      </c>
      <c r="M705" s="4"/>
      <c r="N705" s="4" t="s">
        <v>1481</v>
      </c>
      <c r="O705" s="2"/>
      <c r="P705" s="4" t="s">
        <v>1482</v>
      </c>
      <c r="Q705" s="4">
        <v>1264236755</v>
      </c>
      <c r="R705" s="12" t="s">
        <v>549</v>
      </c>
      <c r="S705" s="4">
        <v>4</v>
      </c>
      <c r="T705" s="4"/>
      <c r="U705" s="4" t="s">
        <v>39</v>
      </c>
      <c r="V705" s="10">
        <v>45205</v>
      </c>
      <c r="W705" s="12">
        <v>45215</v>
      </c>
      <c r="Z705" t="e">
        <v>#N/A</v>
      </c>
    </row>
    <row r="706" spans="1:26" customFormat="1" hidden="1">
      <c r="A706">
        <f t="shared" ca="1" si="11"/>
        <v>36</v>
      </c>
      <c r="B706" s="4" t="s">
        <v>3481</v>
      </c>
      <c r="C706" s="12">
        <v>45225</v>
      </c>
      <c r="D706" s="4" t="s">
        <v>504</v>
      </c>
      <c r="E706" s="4" t="s">
        <v>3662</v>
      </c>
      <c r="F706" s="4">
        <v>3793</v>
      </c>
      <c r="G706" s="4" t="s">
        <v>301</v>
      </c>
      <c r="H706" s="4" t="s">
        <v>34</v>
      </c>
      <c r="I706" s="4">
        <v>35738185</v>
      </c>
      <c r="J706" s="4" t="s">
        <v>302</v>
      </c>
      <c r="K706" s="4" t="str">
        <f>IF(E706="KTG","KTG",(VLOOKUP(J706,'list of outsource'!B:H,2,0)))</f>
        <v>ETC</v>
      </c>
      <c r="L706" s="4" t="s">
        <v>303</v>
      </c>
      <c r="M706" s="4"/>
      <c r="N706" s="4" t="s">
        <v>1483</v>
      </c>
      <c r="O706" s="2"/>
      <c r="P706" s="4" t="s">
        <v>1484</v>
      </c>
      <c r="Q706" s="4">
        <v>1281399800</v>
      </c>
      <c r="R706" s="12" t="s">
        <v>549</v>
      </c>
      <c r="S706" s="4">
        <v>4</v>
      </c>
      <c r="T706" s="4"/>
      <c r="U706" s="4" t="s">
        <v>39</v>
      </c>
      <c r="V706" s="10">
        <v>45261</v>
      </c>
      <c r="W706" s="12">
        <v>45268</v>
      </c>
      <c r="Z706" t="e">
        <v>#N/A</v>
      </c>
    </row>
    <row r="707" spans="1:26" customFormat="1" hidden="1">
      <c r="A707">
        <f t="shared" ca="1" si="11"/>
        <v>27</v>
      </c>
      <c r="B707" s="4" t="s">
        <v>3482</v>
      </c>
      <c r="C707" s="12">
        <v>45238</v>
      </c>
      <c r="D707" s="4" t="s">
        <v>504</v>
      </c>
      <c r="E707" s="4" t="s">
        <v>3662</v>
      </c>
      <c r="F707" s="4">
        <v>3798</v>
      </c>
      <c r="G707" s="4" t="s">
        <v>301</v>
      </c>
      <c r="H707" s="4" t="s">
        <v>34</v>
      </c>
      <c r="I707" s="4">
        <v>35758255</v>
      </c>
      <c r="J707" s="4" t="s">
        <v>525</v>
      </c>
      <c r="K707" s="4" t="str">
        <f>IF(E707="KTG","KTG",(VLOOKUP(J707,'list of outsource'!B:H,2,0)))</f>
        <v>ETC</v>
      </c>
      <c r="L707" s="4" t="s">
        <v>526</v>
      </c>
      <c r="M707" s="4">
        <v>8</v>
      </c>
      <c r="N707" s="4" t="s">
        <v>1485</v>
      </c>
      <c r="O707" s="2"/>
      <c r="P707" s="4" t="s">
        <v>1486</v>
      </c>
      <c r="Q707" s="4">
        <v>1281712059</v>
      </c>
      <c r="R707" s="12" t="s">
        <v>549</v>
      </c>
      <c r="S707" s="4">
        <v>4</v>
      </c>
      <c r="T707" s="4"/>
      <c r="U707" s="4" t="s">
        <v>39</v>
      </c>
      <c r="V707" s="10">
        <v>45265</v>
      </c>
      <c r="W707" s="12">
        <v>45268</v>
      </c>
      <c r="Z707" t="e">
        <v>#N/A</v>
      </c>
    </row>
    <row r="708" spans="1:26" customFormat="1" hidden="1">
      <c r="A708">
        <f t="shared" ca="1" si="11"/>
        <v>26</v>
      </c>
      <c r="B708" s="4" t="s">
        <v>3483</v>
      </c>
      <c r="C708" s="12">
        <v>45238</v>
      </c>
      <c r="D708" s="4" t="s">
        <v>504</v>
      </c>
      <c r="E708" s="4" t="s">
        <v>3662</v>
      </c>
      <c r="F708" s="4">
        <v>3796</v>
      </c>
      <c r="G708" s="4" t="s">
        <v>301</v>
      </c>
      <c r="H708" s="4" t="s">
        <v>34</v>
      </c>
      <c r="I708" s="4">
        <v>35738173</v>
      </c>
      <c r="J708" s="4" t="s">
        <v>525</v>
      </c>
      <c r="K708" s="4" t="str">
        <f>IF(E708="KTG","KTG",(VLOOKUP(J708,'list of outsource'!B:H,2,0)))</f>
        <v>ETC</v>
      </c>
      <c r="L708" s="4" t="s">
        <v>526</v>
      </c>
      <c r="M708" s="4">
        <v>8</v>
      </c>
      <c r="N708" s="4" t="s">
        <v>1177</v>
      </c>
      <c r="O708" s="2"/>
      <c r="P708" s="4" t="s">
        <v>1487</v>
      </c>
      <c r="Q708" s="4">
        <v>1281714855</v>
      </c>
      <c r="R708" s="12" t="s">
        <v>549</v>
      </c>
      <c r="S708" s="4">
        <v>4</v>
      </c>
      <c r="T708" s="4"/>
      <c r="U708" s="4" t="s">
        <v>39</v>
      </c>
      <c r="V708" s="10">
        <v>45264</v>
      </c>
      <c r="W708" s="12">
        <v>45268</v>
      </c>
      <c r="Z708" t="e">
        <v>#N/A</v>
      </c>
    </row>
    <row r="709" spans="1:26" customFormat="1">
      <c r="A709">
        <f t="shared" ca="1" si="11"/>
        <v>27</v>
      </c>
      <c r="B709" s="104" t="s">
        <v>2568</v>
      </c>
      <c r="C709" s="16">
        <v>45840</v>
      </c>
      <c r="D709" s="6" t="s">
        <v>2169</v>
      </c>
      <c r="E709" s="6" t="s">
        <v>3663</v>
      </c>
      <c r="F709" s="6"/>
      <c r="G709" s="106" t="s">
        <v>1364</v>
      </c>
      <c r="H709" s="106" t="s">
        <v>34</v>
      </c>
      <c r="I709" s="49" t="s">
        <v>2569</v>
      </c>
      <c r="J709" s="6"/>
      <c r="K709" s="6" t="e">
        <f>IF(E709="KTG","KTG",(VLOOKUP(J709,'list of outsource'!B:H,2,0)))</f>
        <v>#N/A</v>
      </c>
      <c r="L709" s="6"/>
      <c r="M709" s="6"/>
      <c r="N709" s="6" t="s">
        <v>2570</v>
      </c>
      <c r="O709" s="2" t="s">
        <v>3686</v>
      </c>
      <c r="P709" s="6" t="s">
        <v>2571</v>
      </c>
      <c r="Q709" s="6"/>
      <c r="R709" s="16"/>
      <c r="S709" s="6">
        <v>4</v>
      </c>
      <c r="T709" s="6" t="s">
        <v>307</v>
      </c>
      <c r="U709" s="6" t="s">
        <v>39</v>
      </c>
      <c r="V709" s="17">
        <v>45867</v>
      </c>
      <c r="W709" s="16"/>
      <c r="Z709" t="e">
        <v>#N/A</v>
      </c>
    </row>
    <row r="710" spans="1:26" customFormat="1">
      <c r="A710">
        <f t="shared" ca="1" si="11"/>
        <v>33</v>
      </c>
      <c r="B710" s="104" t="s">
        <v>2579</v>
      </c>
      <c r="C710" s="16">
        <v>45800</v>
      </c>
      <c r="D710" s="6" t="s">
        <v>129</v>
      </c>
      <c r="E710" s="6" t="s">
        <v>3663</v>
      </c>
      <c r="F710" s="6"/>
      <c r="G710" s="106" t="s">
        <v>1364</v>
      </c>
      <c r="H710" s="106" t="s">
        <v>34</v>
      </c>
      <c r="I710" s="49" t="s">
        <v>2580</v>
      </c>
      <c r="J710" s="6"/>
      <c r="K710" s="6" t="e">
        <f>IF(E710="KTG","KTG",(VLOOKUP(J710,'list of outsource'!B:H,2,0)))</f>
        <v>#N/A</v>
      </c>
      <c r="L710" s="6"/>
      <c r="M710" s="6"/>
      <c r="N710" s="6" t="s">
        <v>2581</v>
      </c>
      <c r="O710" s="2" t="s">
        <v>3686</v>
      </c>
      <c r="P710" s="6" t="s">
        <v>2582</v>
      </c>
      <c r="Q710" s="6"/>
      <c r="R710" s="16"/>
      <c r="S710" s="6">
        <v>4</v>
      </c>
      <c r="T710" s="6" t="s">
        <v>1258</v>
      </c>
      <c r="U710" s="6" t="s">
        <v>39</v>
      </c>
      <c r="V710" s="17">
        <v>45833</v>
      </c>
      <c r="W710" s="16"/>
      <c r="X710" t="s">
        <v>2171</v>
      </c>
      <c r="Y710" t="s">
        <v>2583</v>
      </c>
      <c r="Z710" t="e">
        <v>#N/A</v>
      </c>
    </row>
    <row r="711" spans="1:26" customFormat="1">
      <c r="A711">
        <f t="shared" ca="1" si="11"/>
        <v>33</v>
      </c>
      <c r="B711" s="104" t="s">
        <v>2584</v>
      </c>
      <c r="C711" s="16">
        <v>45800</v>
      </c>
      <c r="D711" s="6" t="s">
        <v>129</v>
      </c>
      <c r="E711" s="6" t="s">
        <v>3663</v>
      </c>
      <c r="F711" s="6"/>
      <c r="G711" s="106" t="s">
        <v>1364</v>
      </c>
      <c r="H711" s="106" t="s">
        <v>34</v>
      </c>
      <c r="I711" s="49" t="s">
        <v>2585</v>
      </c>
      <c r="J711" s="6"/>
      <c r="K711" s="6" t="e">
        <f>IF(E711="KTG","KTG",(VLOOKUP(J711,'list of outsource'!B:H,2,0)))</f>
        <v>#N/A</v>
      </c>
      <c r="L711" s="6"/>
      <c r="M711" s="6"/>
      <c r="N711" s="6" t="s">
        <v>2586</v>
      </c>
      <c r="O711" s="2" t="s">
        <v>3686</v>
      </c>
      <c r="P711" s="6" t="s">
        <v>2587</v>
      </c>
      <c r="Q711" s="6"/>
      <c r="R711" s="16"/>
      <c r="S711" s="6">
        <v>4</v>
      </c>
      <c r="T711" s="6" t="s">
        <v>1258</v>
      </c>
      <c r="U711" s="6" t="s">
        <v>39</v>
      </c>
      <c r="V711" s="17">
        <v>45833</v>
      </c>
      <c r="W711" s="16"/>
      <c r="X711" t="s">
        <v>2171</v>
      </c>
      <c r="Y711" t="s">
        <v>2534</v>
      </c>
      <c r="Z711" t="e">
        <v>#N/A</v>
      </c>
    </row>
    <row r="712" spans="1:26" customFormat="1">
      <c r="A712">
        <f t="shared" ref="A712:A775" ca="1" si="12">IF(V712="",(TODAY()-C712),(V712-C712))</f>
        <v>33</v>
      </c>
      <c r="B712" s="104" t="s">
        <v>2605</v>
      </c>
      <c r="C712" s="16">
        <v>45800</v>
      </c>
      <c r="D712" s="6" t="s">
        <v>129</v>
      </c>
      <c r="E712" s="6" t="s">
        <v>3663</v>
      </c>
      <c r="F712" s="6"/>
      <c r="G712" s="106" t="s">
        <v>1364</v>
      </c>
      <c r="H712" s="106" t="s">
        <v>34</v>
      </c>
      <c r="I712" s="49" t="s">
        <v>2606</v>
      </c>
      <c r="J712" s="6"/>
      <c r="K712" s="6" t="e">
        <f>IF(E712="KTG","KTG",(VLOOKUP(J712,'list of outsource'!B:H,2,0)))</f>
        <v>#N/A</v>
      </c>
      <c r="L712" s="6"/>
      <c r="M712" s="6"/>
      <c r="N712" s="6" t="s">
        <v>2607</v>
      </c>
      <c r="O712" s="2" t="s">
        <v>3686</v>
      </c>
      <c r="P712" s="6" t="s">
        <v>2608</v>
      </c>
      <c r="Q712" s="6"/>
      <c r="R712" s="16"/>
      <c r="S712" s="6">
        <v>4</v>
      </c>
      <c r="T712" s="6" t="s">
        <v>1258</v>
      </c>
      <c r="U712" s="6" t="s">
        <v>39</v>
      </c>
      <c r="V712" s="17">
        <v>45833</v>
      </c>
      <c r="W712" s="16"/>
      <c r="X712" t="s">
        <v>2171</v>
      </c>
      <c r="Y712" t="s">
        <v>2534</v>
      </c>
      <c r="Z712" t="e">
        <v>#N/A</v>
      </c>
    </row>
    <row r="713" spans="1:26" customFormat="1">
      <c r="A713">
        <f t="shared" ca="1" si="12"/>
        <v>23</v>
      </c>
      <c r="B713" s="104" t="s">
        <v>2609</v>
      </c>
      <c r="C713" s="16">
        <v>45818</v>
      </c>
      <c r="D713" s="6" t="s">
        <v>129</v>
      </c>
      <c r="E713" s="6" t="s">
        <v>3663</v>
      </c>
      <c r="F713" s="6"/>
      <c r="G713" s="106" t="s">
        <v>1364</v>
      </c>
      <c r="H713" s="106" t="s">
        <v>34</v>
      </c>
      <c r="I713" s="49" t="s">
        <v>2610</v>
      </c>
      <c r="J713" s="6"/>
      <c r="K713" s="6" t="e">
        <f>IF(E713="KTG","KTG",(VLOOKUP(J713,'list of outsource'!B:H,2,0)))</f>
        <v>#N/A</v>
      </c>
      <c r="L713" s="6"/>
      <c r="M713" s="6"/>
      <c r="N713" s="6" t="s">
        <v>2611</v>
      </c>
      <c r="O713" s="2" t="s">
        <v>3686</v>
      </c>
      <c r="P713" s="6" t="s">
        <v>2612</v>
      </c>
      <c r="Q713" s="6"/>
      <c r="R713" s="16"/>
      <c r="S713" s="6">
        <v>1</v>
      </c>
      <c r="T713" s="6" t="s">
        <v>307</v>
      </c>
      <c r="U713" s="6" t="s">
        <v>183</v>
      </c>
      <c r="V713" s="17">
        <v>45841</v>
      </c>
      <c r="W713" s="16"/>
      <c r="X713" t="s">
        <v>2171</v>
      </c>
      <c r="Y713" t="s">
        <v>2534</v>
      </c>
      <c r="Z713" t="e">
        <v>#N/A</v>
      </c>
    </row>
    <row r="714" spans="1:26" customFormat="1" hidden="1">
      <c r="A714">
        <f t="shared" ca="1" si="12"/>
        <v>36</v>
      </c>
      <c r="B714" s="4" t="s">
        <v>3487</v>
      </c>
      <c r="C714" s="12">
        <v>45295</v>
      </c>
      <c r="D714" s="4" t="s">
        <v>1070</v>
      </c>
      <c r="E714" s="4" t="s">
        <v>3662</v>
      </c>
      <c r="F714" s="4">
        <v>3791</v>
      </c>
      <c r="G714" s="4" t="s">
        <v>301</v>
      </c>
      <c r="H714" s="4" t="s">
        <v>34</v>
      </c>
      <c r="I714" s="4">
        <v>35758202</v>
      </c>
      <c r="J714" s="4" t="s">
        <v>302</v>
      </c>
      <c r="K714" s="4" t="str">
        <f>IF(E714="KTG","KTG",(VLOOKUP(J714,'list of outsource'!B:H,2,0)))</f>
        <v>ETC</v>
      </c>
      <c r="L714" s="4" t="s">
        <v>303</v>
      </c>
      <c r="M714" s="4" t="s">
        <v>1311</v>
      </c>
      <c r="N714" s="4" t="s">
        <v>1496</v>
      </c>
      <c r="O714" s="2"/>
      <c r="P714" s="4" t="s">
        <v>1497</v>
      </c>
      <c r="Q714" s="4">
        <v>1289761758</v>
      </c>
      <c r="R714" s="12" t="s">
        <v>549</v>
      </c>
      <c r="S714" s="4">
        <v>4</v>
      </c>
      <c r="T714" s="4" t="s">
        <v>607</v>
      </c>
      <c r="U714" s="4" t="s">
        <v>39</v>
      </c>
      <c r="V714" s="10">
        <v>45331</v>
      </c>
      <c r="W714" s="12">
        <v>45440</v>
      </c>
      <c r="Z714" t="e">
        <v>#N/A</v>
      </c>
    </row>
    <row r="715" spans="1:26" customFormat="1">
      <c r="A715">
        <f t="shared" ca="1" si="12"/>
        <v>15</v>
      </c>
      <c r="B715" s="104" t="s">
        <v>2629</v>
      </c>
      <c r="C715" s="16">
        <v>45818</v>
      </c>
      <c r="D715" s="6" t="s">
        <v>129</v>
      </c>
      <c r="E715" s="6" t="s">
        <v>3663</v>
      </c>
      <c r="F715" s="6"/>
      <c r="G715" s="106" t="s">
        <v>1364</v>
      </c>
      <c r="H715" s="106" t="s">
        <v>34</v>
      </c>
      <c r="I715" s="49" t="s">
        <v>2630</v>
      </c>
      <c r="J715" s="6"/>
      <c r="K715" s="6" t="e">
        <f>IF(E715="KTG","KTG",(VLOOKUP(J715,'list of outsource'!B:H,2,0)))</f>
        <v>#N/A</v>
      </c>
      <c r="L715" s="6"/>
      <c r="M715" s="6"/>
      <c r="N715" s="6" t="s">
        <v>2631</v>
      </c>
      <c r="O715" s="2" t="s">
        <v>3686</v>
      </c>
      <c r="P715" s="6" t="s">
        <v>2632</v>
      </c>
      <c r="Q715" s="6"/>
      <c r="R715" s="16"/>
      <c r="S715" s="6">
        <v>1</v>
      </c>
      <c r="T715" s="6" t="s">
        <v>307</v>
      </c>
      <c r="U715" s="6" t="s">
        <v>183</v>
      </c>
      <c r="V715" s="17">
        <v>45833</v>
      </c>
      <c r="W715" s="16"/>
      <c r="X715" t="s">
        <v>2171</v>
      </c>
      <c r="Y715" t="s">
        <v>2534</v>
      </c>
      <c r="Z715" t="e">
        <v>#N/A</v>
      </c>
    </row>
    <row r="716" spans="1:26" customFormat="1">
      <c r="A716">
        <f t="shared" ca="1" si="12"/>
        <v>15</v>
      </c>
      <c r="B716" s="104" t="s">
        <v>2641</v>
      </c>
      <c r="C716" s="16">
        <v>45818</v>
      </c>
      <c r="D716" s="6" t="s">
        <v>129</v>
      </c>
      <c r="E716" s="6" t="s">
        <v>3663</v>
      </c>
      <c r="F716" s="6"/>
      <c r="G716" s="106" t="s">
        <v>1364</v>
      </c>
      <c r="H716" s="106" t="s">
        <v>34</v>
      </c>
      <c r="I716" s="49" t="s">
        <v>2642</v>
      </c>
      <c r="J716" s="6"/>
      <c r="K716" s="6" t="e">
        <f>IF(E716="KTG","KTG",(VLOOKUP(J716,'list of outsource'!B:H,2,0)))</f>
        <v>#N/A</v>
      </c>
      <c r="L716" s="6"/>
      <c r="M716" s="6"/>
      <c r="N716" s="6" t="s">
        <v>2643</v>
      </c>
      <c r="O716" s="2" t="s">
        <v>3686</v>
      </c>
      <c r="P716" s="6" t="s">
        <v>2644</v>
      </c>
      <c r="Q716" s="6"/>
      <c r="R716" s="16"/>
      <c r="S716" s="6">
        <v>1</v>
      </c>
      <c r="T716" s="6" t="s">
        <v>307</v>
      </c>
      <c r="U716" s="6" t="s">
        <v>183</v>
      </c>
      <c r="V716" s="17">
        <v>45833</v>
      </c>
      <c r="W716" s="16"/>
      <c r="X716" t="s">
        <v>2171</v>
      </c>
      <c r="Y716" t="s">
        <v>2534</v>
      </c>
      <c r="Z716" t="e">
        <v>#N/A</v>
      </c>
    </row>
    <row r="717" spans="1:26" customFormat="1" hidden="1">
      <c r="A717">
        <f t="shared" ca="1" si="12"/>
        <v>36</v>
      </c>
      <c r="B717" s="4" t="s">
        <v>3490</v>
      </c>
      <c r="C717" s="12">
        <v>45295</v>
      </c>
      <c r="D717" s="4" t="s">
        <v>1070</v>
      </c>
      <c r="E717" s="4" t="s">
        <v>3662</v>
      </c>
      <c r="F717" s="4">
        <v>3801</v>
      </c>
      <c r="G717" s="4" t="s">
        <v>301</v>
      </c>
      <c r="H717" s="4" t="s">
        <v>34</v>
      </c>
      <c r="I717" s="4">
        <v>35758281</v>
      </c>
      <c r="J717" s="4" t="s">
        <v>222</v>
      </c>
      <c r="K717" s="4" t="str">
        <f>IF(E717="KTG","KTG",(VLOOKUP(J717,'list of outsource'!B:H,2,0)))</f>
        <v>ETC</v>
      </c>
      <c r="L717" s="4" t="s">
        <v>223</v>
      </c>
      <c r="M717" s="4" t="s">
        <v>1311</v>
      </c>
      <c r="N717" s="4" t="s">
        <v>1173</v>
      </c>
      <c r="O717" s="2"/>
      <c r="P717" s="4" t="s">
        <v>1618</v>
      </c>
      <c r="Q717" s="4">
        <v>1289763939</v>
      </c>
      <c r="R717" s="12" t="s">
        <v>549</v>
      </c>
      <c r="S717" s="4">
        <v>4</v>
      </c>
      <c r="T717" s="4" t="s">
        <v>607</v>
      </c>
      <c r="U717" s="4" t="s">
        <v>39</v>
      </c>
      <c r="V717" s="10">
        <v>45331</v>
      </c>
      <c r="W717" s="12">
        <v>45441</v>
      </c>
      <c r="Z717" t="e">
        <v>#N/A</v>
      </c>
    </row>
    <row r="718" spans="1:26" customFormat="1" hidden="1">
      <c r="A718">
        <f t="shared" ca="1" si="12"/>
        <v>30</v>
      </c>
      <c r="B718" s="8" t="s">
        <v>3491</v>
      </c>
      <c r="C718" s="16">
        <v>45356</v>
      </c>
      <c r="D718" s="6" t="s">
        <v>129</v>
      </c>
      <c r="E718" s="6" t="s">
        <v>3662</v>
      </c>
      <c r="F718" s="6">
        <v>3805</v>
      </c>
      <c r="G718" s="6" t="s">
        <v>301</v>
      </c>
      <c r="H718" s="6" t="s">
        <v>34</v>
      </c>
      <c r="I718" s="6">
        <v>35777315</v>
      </c>
      <c r="J718" s="6" t="s">
        <v>302</v>
      </c>
      <c r="K718" s="6" t="str">
        <f>IF(E718="KTG","KTG",(VLOOKUP(J718,'list of outsource'!B:H,2,0)))</f>
        <v>ETC</v>
      </c>
      <c r="L718" s="6" t="s">
        <v>303</v>
      </c>
      <c r="M718" s="6" t="s">
        <v>1311</v>
      </c>
      <c r="N718" s="6" t="s">
        <v>2015</v>
      </c>
      <c r="O718" s="2"/>
      <c r="P718" s="6" t="s">
        <v>2016</v>
      </c>
      <c r="Q718" s="6">
        <v>1290147080</v>
      </c>
      <c r="R718" s="16">
        <v>45300</v>
      </c>
      <c r="S718" s="6">
        <v>4</v>
      </c>
      <c r="T718" s="6" t="s">
        <v>607</v>
      </c>
      <c r="U718" s="6" t="s">
        <v>39</v>
      </c>
      <c r="V718" s="17">
        <v>45386</v>
      </c>
      <c r="W718" s="16"/>
      <c r="Z718" t="e">
        <v>#N/A</v>
      </c>
    </row>
    <row r="719" spans="1:26" customFormat="1" hidden="1">
      <c r="A719">
        <f t="shared" ca="1" si="12"/>
        <v>36</v>
      </c>
      <c r="B719" s="4" t="s">
        <v>3492</v>
      </c>
      <c r="C719" s="12">
        <v>45295</v>
      </c>
      <c r="D719" s="4" t="s">
        <v>1070</v>
      </c>
      <c r="E719" s="4" t="s">
        <v>3662</v>
      </c>
      <c r="F719" s="4">
        <v>3788</v>
      </c>
      <c r="G719" s="4" t="s">
        <v>301</v>
      </c>
      <c r="H719" s="4" t="s">
        <v>34</v>
      </c>
      <c r="I719" s="4">
        <v>35758579</v>
      </c>
      <c r="J719" s="4" t="s">
        <v>302</v>
      </c>
      <c r="K719" s="4" t="str">
        <f>IF(E719="KTG","KTG",(VLOOKUP(J719,'list of outsource'!B:H,2,0)))</f>
        <v>ETC</v>
      </c>
      <c r="L719" s="4" t="s">
        <v>303</v>
      </c>
      <c r="M719" s="4" t="s">
        <v>1311</v>
      </c>
      <c r="N719" s="4" t="s">
        <v>1671</v>
      </c>
      <c r="O719" s="2"/>
      <c r="P719" s="4" t="s">
        <v>1672</v>
      </c>
      <c r="Q719" s="4">
        <v>1299340101</v>
      </c>
      <c r="R719" s="12" t="s">
        <v>549</v>
      </c>
      <c r="S719" s="4">
        <v>4</v>
      </c>
      <c r="T719" s="4" t="s">
        <v>1258</v>
      </c>
      <c r="U719" s="4" t="s">
        <v>39</v>
      </c>
      <c r="V719" s="10">
        <v>45331</v>
      </c>
      <c r="W719" s="12">
        <v>45393</v>
      </c>
      <c r="Z719" t="e">
        <v>#N/A</v>
      </c>
    </row>
    <row r="720" spans="1:26" customFormat="1" hidden="1">
      <c r="A720">
        <f t="shared" ca="1" si="12"/>
        <v>42</v>
      </c>
      <c r="B720" s="4" t="s">
        <v>3493</v>
      </c>
      <c r="C720" s="12">
        <v>45324</v>
      </c>
      <c r="D720" s="4" t="s">
        <v>1070</v>
      </c>
      <c r="E720" s="4" t="s">
        <v>3662</v>
      </c>
      <c r="F720" s="4">
        <v>3789</v>
      </c>
      <c r="G720" s="4" t="s">
        <v>301</v>
      </c>
      <c r="H720" s="4" t="s">
        <v>34</v>
      </c>
      <c r="I720" s="4">
        <v>35758282</v>
      </c>
      <c r="J720" s="4" t="s">
        <v>490</v>
      </c>
      <c r="K720" s="4" t="str">
        <f>IF(E720="KTG","KTG",(VLOOKUP(J720,'list of outsource'!B:H,2,0)))</f>
        <v>ETC</v>
      </c>
      <c r="L720" s="4" t="s">
        <v>491</v>
      </c>
      <c r="M720" s="4">
        <v>12</v>
      </c>
      <c r="N720" s="4" t="s">
        <v>492</v>
      </c>
      <c r="O720" s="2"/>
      <c r="P720" s="4" t="s">
        <v>624</v>
      </c>
      <c r="Q720" s="4">
        <v>1309592244</v>
      </c>
      <c r="R720" s="12" t="s">
        <v>549</v>
      </c>
      <c r="S720" s="4">
        <v>4</v>
      </c>
      <c r="T720" s="4" t="s">
        <v>607</v>
      </c>
      <c r="U720" s="4" t="s">
        <v>39</v>
      </c>
      <c r="V720" s="10">
        <v>45366</v>
      </c>
      <c r="W720" s="12">
        <v>45394</v>
      </c>
      <c r="Z720" t="e">
        <v>#N/A</v>
      </c>
    </row>
    <row r="721" spans="1:26" customFormat="1" hidden="1">
      <c r="A721">
        <f t="shared" ca="1" si="12"/>
        <v>29</v>
      </c>
      <c r="B721" s="4" t="s">
        <v>3494</v>
      </c>
      <c r="C721" s="12">
        <v>45342</v>
      </c>
      <c r="D721" s="4" t="s">
        <v>1070</v>
      </c>
      <c r="E721" s="4" t="s">
        <v>3662</v>
      </c>
      <c r="F721" s="4">
        <v>3790</v>
      </c>
      <c r="G721" s="4" t="s">
        <v>301</v>
      </c>
      <c r="H721" s="4" t="s">
        <v>34</v>
      </c>
      <c r="I721" s="4">
        <v>35848727</v>
      </c>
      <c r="J721" s="4" t="s">
        <v>302</v>
      </c>
      <c r="K721" s="4" t="str">
        <f>IF(E721="KTG","KTG",(VLOOKUP(J721,'list of outsource'!B:H,2,0)))</f>
        <v>ETC</v>
      </c>
      <c r="L721" s="4" t="s">
        <v>303</v>
      </c>
      <c r="M721" s="4" t="s">
        <v>1311</v>
      </c>
      <c r="N721" s="4" t="s">
        <v>484</v>
      </c>
      <c r="O721" s="2"/>
      <c r="P721" s="4" t="s">
        <v>2076</v>
      </c>
      <c r="Q721" s="4">
        <v>1311500752</v>
      </c>
      <c r="R721" s="12" t="s">
        <v>549</v>
      </c>
      <c r="S721" s="4">
        <v>4</v>
      </c>
      <c r="T721" s="4" t="s">
        <v>1258</v>
      </c>
      <c r="U721" s="4" t="s">
        <v>39</v>
      </c>
      <c r="V721" s="10">
        <v>45371</v>
      </c>
      <c r="W721" s="12">
        <v>45393</v>
      </c>
      <c r="Z721" t="e">
        <v>#N/A</v>
      </c>
    </row>
    <row r="722" spans="1:26" customFormat="1" hidden="1">
      <c r="A722">
        <f t="shared" ca="1" si="12"/>
        <v>14</v>
      </c>
      <c r="B722" s="4" t="s">
        <v>3495</v>
      </c>
      <c r="C722" s="12">
        <v>45504</v>
      </c>
      <c r="D722" s="4" t="s">
        <v>1070</v>
      </c>
      <c r="E722" s="4" t="s">
        <v>3662</v>
      </c>
      <c r="F722" s="4">
        <v>3795</v>
      </c>
      <c r="G722" s="4" t="s">
        <v>301</v>
      </c>
      <c r="H722" s="4" t="s">
        <v>34</v>
      </c>
      <c r="I722" s="4">
        <v>35738172</v>
      </c>
      <c r="J722" s="4" t="s">
        <v>525</v>
      </c>
      <c r="K722" s="4" t="str">
        <f>IF(E722="KTG","KTG",(VLOOKUP(J722,'list of outsource'!B:H,2,0)))</f>
        <v>ETC</v>
      </c>
      <c r="L722" s="4" t="s">
        <v>526</v>
      </c>
      <c r="M722" s="4">
        <v>8</v>
      </c>
      <c r="N722" s="4" t="s">
        <v>2187</v>
      </c>
      <c r="O722" s="2"/>
      <c r="P722" s="4" t="s">
        <v>2188</v>
      </c>
      <c r="Q722" s="4" t="s">
        <v>2189</v>
      </c>
      <c r="R722" s="12">
        <v>45516</v>
      </c>
      <c r="S722" s="4">
        <v>4</v>
      </c>
      <c r="T722" s="4" t="s">
        <v>1258</v>
      </c>
      <c r="U722" s="4" t="s">
        <v>39</v>
      </c>
      <c r="V722" s="10">
        <v>45518</v>
      </c>
      <c r="W722" s="12">
        <v>45519</v>
      </c>
      <c r="Z722" t="e">
        <v>#N/A</v>
      </c>
    </row>
    <row r="723" spans="1:26" customFormat="1" hidden="1">
      <c r="A723">
        <f t="shared" ca="1" si="12"/>
        <v>26</v>
      </c>
      <c r="B723" s="4" t="s">
        <v>3496</v>
      </c>
      <c r="C723" s="12">
        <v>45491</v>
      </c>
      <c r="D723" s="4" t="s">
        <v>1070</v>
      </c>
      <c r="E723" s="4" t="s">
        <v>3662</v>
      </c>
      <c r="F723" s="4">
        <v>3792</v>
      </c>
      <c r="G723" s="4" t="s">
        <v>301</v>
      </c>
      <c r="H723" s="4" t="s">
        <v>34</v>
      </c>
      <c r="I723" s="4">
        <v>35738189</v>
      </c>
      <c r="J723" s="4" t="s">
        <v>302</v>
      </c>
      <c r="K723" s="4" t="str">
        <f>IF(E723="KTG","KTG",(VLOOKUP(J723,'list of outsource'!B:H,2,0)))</f>
        <v>ETC</v>
      </c>
      <c r="L723" s="4" t="s">
        <v>303</v>
      </c>
      <c r="M723" s="4">
        <v>58</v>
      </c>
      <c r="N723" s="4" t="s">
        <v>1732</v>
      </c>
      <c r="O723" s="2"/>
      <c r="P723" s="4" t="s">
        <v>1733</v>
      </c>
      <c r="Q723" s="4" t="s">
        <v>2190</v>
      </c>
      <c r="R723" s="12">
        <v>45450</v>
      </c>
      <c r="S723" s="4">
        <v>4</v>
      </c>
      <c r="T723" s="4" t="s">
        <v>1258</v>
      </c>
      <c r="U723" s="4" t="s">
        <v>39</v>
      </c>
      <c r="V723" s="10">
        <v>45517</v>
      </c>
      <c r="W723" s="12">
        <v>45523</v>
      </c>
      <c r="Z723" t="e">
        <v>#N/A</v>
      </c>
    </row>
    <row r="724" spans="1:26" customFormat="1">
      <c r="A724">
        <f t="shared" ca="1" si="12"/>
        <v>12</v>
      </c>
      <c r="B724" s="104" t="s">
        <v>2657</v>
      </c>
      <c r="C724" s="16">
        <v>45821</v>
      </c>
      <c r="D724" s="6" t="s">
        <v>129</v>
      </c>
      <c r="E724" s="6" t="s">
        <v>3663</v>
      </c>
      <c r="F724" s="6"/>
      <c r="G724" s="106" t="s">
        <v>1364</v>
      </c>
      <c r="H724" s="106" t="s">
        <v>34</v>
      </c>
      <c r="I724" s="49" t="s">
        <v>2658</v>
      </c>
      <c r="J724" s="6"/>
      <c r="K724" s="6" t="e">
        <f>IF(E724="KTG","KTG",(VLOOKUP(J724,'list of outsource'!B:H,2,0)))</f>
        <v>#N/A</v>
      </c>
      <c r="L724" s="6"/>
      <c r="M724" s="6"/>
      <c r="N724" s="6" t="s">
        <v>2659</v>
      </c>
      <c r="O724" s="2" t="s">
        <v>3686</v>
      </c>
      <c r="P724" s="6" t="s">
        <v>2660</v>
      </c>
      <c r="Q724" s="6"/>
      <c r="R724" s="16"/>
      <c r="S724" s="6">
        <v>4</v>
      </c>
      <c r="T724" s="6" t="s">
        <v>1258</v>
      </c>
      <c r="U724" s="6" t="s">
        <v>39</v>
      </c>
      <c r="V724" s="17">
        <v>45833</v>
      </c>
      <c r="W724" s="16"/>
      <c r="Z724" t="e">
        <v>#N/A</v>
      </c>
    </row>
    <row r="725" spans="1:26" customFormat="1" hidden="1">
      <c r="A725">
        <f t="shared" ca="1" si="12"/>
        <v>19</v>
      </c>
      <c r="B725" s="4" t="s">
        <v>3498</v>
      </c>
      <c r="C725" s="12">
        <v>45695</v>
      </c>
      <c r="D725" s="4" t="s">
        <v>300</v>
      </c>
      <c r="E725" s="4" t="s">
        <v>3665</v>
      </c>
      <c r="F725" s="4">
        <v>3802</v>
      </c>
      <c r="G725" s="4" t="s">
        <v>301</v>
      </c>
      <c r="H725" s="4" t="s">
        <v>34</v>
      </c>
      <c r="I725" s="4">
        <v>35946893</v>
      </c>
      <c r="J725" s="4" t="s">
        <v>96</v>
      </c>
      <c r="K725" s="4" t="str">
        <f>IF(E725="KTG","KTG",(VLOOKUP(J725,'list of outsource'!B:H,2,0)))</f>
        <v>Woer</v>
      </c>
      <c r="L725" s="4" t="s">
        <v>97</v>
      </c>
      <c r="M725" s="4">
        <v>1</v>
      </c>
      <c r="N725" s="4" t="s">
        <v>2347</v>
      </c>
      <c r="O725" s="2"/>
      <c r="P725" s="4" t="s">
        <v>2348</v>
      </c>
      <c r="Q725" s="4" t="s">
        <v>2349</v>
      </c>
      <c r="R725" s="12"/>
      <c r="S725" s="4">
        <v>3</v>
      </c>
      <c r="T725" s="4" t="s">
        <v>607</v>
      </c>
      <c r="U725" s="4" t="s">
        <v>39</v>
      </c>
      <c r="V725" s="10">
        <v>45714</v>
      </c>
      <c r="W725" s="12">
        <v>45722</v>
      </c>
      <c r="Z725" t="s">
        <v>2350</v>
      </c>
    </row>
    <row r="726" spans="1:26" customFormat="1">
      <c r="A726">
        <f t="shared" ca="1" si="12"/>
        <v>14</v>
      </c>
      <c r="B726" s="104" t="s">
        <v>2694</v>
      </c>
      <c r="C726" s="16">
        <v>45828</v>
      </c>
      <c r="D726" s="6" t="s">
        <v>129</v>
      </c>
      <c r="E726" s="6" t="s">
        <v>3663</v>
      </c>
      <c r="F726" s="6"/>
      <c r="G726" s="106" t="s">
        <v>1364</v>
      </c>
      <c r="H726" s="106" t="s">
        <v>34</v>
      </c>
      <c r="I726" s="49" t="s">
        <v>2695</v>
      </c>
      <c r="J726" s="6"/>
      <c r="K726" s="6" t="e">
        <f>IF(E726="KTG","KTG",(VLOOKUP(J726,'list of outsource'!B:H,2,0)))</f>
        <v>#N/A</v>
      </c>
      <c r="L726" s="6"/>
      <c r="M726" s="6"/>
      <c r="N726" s="6" t="s">
        <v>2696</v>
      </c>
      <c r="O726" s="2" t="s">
        <v>3686</v>
      </c>
      <c r="P726" s="6" t="s">
        <v>2697</v>
      </c>
      <c r="Q726" s="6"/>
      <c r="R726" s="16">
        <v>45839</v>
      </c>
      <c r="S726" s="6">
        <v>4</v>
      </c>
      <c r="T726" s="6" t="s">
        <v>307</v>
      </c>
      <c r="U726" s="6" t="s">
        <v>39</v>
      </c>
      <c r="V726" s="17">
        <v>45842</v>
      </c>
      <c r="W726" s="16"/>
      <c r="X726" t="s">
        <v>2171</v>
      </c>
      <c r="Z726" t="e">
        <v>#N/A</v>
      </c>
    </row>
    <row r="727" spans="1:26" customFormat="1">
      <c r="A727">
        <f t="shared" ca="1" si="12"/>
        <v>1</v>
      </c>
      <c r="B727" s="104" t="s">
        <v>2699</v>
      </c>
      <c r="C727" s="12">
        <v>45838</v>
      </c>
      <c r="D727" s="4" t="s">
        <v>1594</v>
      </c>
      <c r="E727" s="4" t="s">
        <v>3663</v>
      </c>
      <c r="F727" s="4"/>
      <c r="G727" s="106" t="s">
        <v>1364</v>
      </c>
      <c r="H727" s="106" t="s">
        <v>34</v>
      </c>
      <c r="I727" s="49" t="s">
        <v>2700</v>
      </c>
      <c r="J727" s="4"/>
      <c r="K727" s="4" t="e">
        <f>IF(E727="KTG","KTG",(VLOOKUP(J727,'list of outsource'!B:H,2,0)))</f>
        <v>#N/A</v>
      </c>
      <c r="L727" s="4"/>
      <c r="M727" s="47"/>
      <c r="N727" s="4" t="s">
        <v>2701</v>
      </c>
      <c r="O727" s="2" t="s">
        <v>3686</v>
      </c>
      <c r="P727" s="4" t="s">
        <v>2702</v>
      </c>
      <c r="Q727" s="4" t="s">
        <v>2703</v>
      </c>
      <c r="R727" s="12"/>
      <c r="S727" s="4" t="s">
        <v>307</v>
      </c>
      <c r="T727" s="4" t="s">
        <v>307</v>
      </c>
      <c r="U727" s="4" t="s">
        <v>1598</v>
      </c>
      <c r="V727" s="10">
        <v>45839</v>
      </c>
      <c r="W727" s="12">
        <v>45839</v>
      </c>
      <c r="Z727" t="e">
        <v>#N/A</v>
      </c>
    </row>
    <row r="728" spans="1:26" customFormat="1">
      <c r="A728">
        <f t="shared" ca="1" si="12"/>
        <v>23</v>
      </c>
      <c r="B728" s="104" t="s">
        <v>2699</v>
      </c>
      <c r="C728" s="16">
        <v>45853</v>
      </c>
      <c r="D728" s="6" t="s">
        <v>129</v>
      </c>
      <c r="E728" s="6" t="s">
        <v>3663</v>
      </c>
      <c r="F728" s="6"/>
      <c r="G728" s="106" t="s">
        <v>1364</v>
      </c>
      <c r="H728" s="106" t="s">
        <v>34</v>
      </c>
      <c r="I728" s="49" t="s">
        <v>1372</v>
      </c>
      <c r="J728" s="6"/>
      <c r="K728" s="6" t="e">
        <f>IF(E728="KTG","KTG",(VLOOKUP(J728,'list of outsource'!B:H,2,0)))</f>
        <v>#N/A</v>
      </c>
      <c r="L728" s="6"/>
      <c r="M728" s="6"/>
      <c r="N728" s="6" t="s">
        <v>1373</v>
      </c>
      <c r="O728" s="2" t="s">
        <v>3686</v>
      </c>
      <c r="P728" s="6" t="s">
        <v>1374</v>
      </c>
      <c r="Q728" s="6"/>
      <c r="R728" s="16"/>
      <c r="S728" s="6">
        <v>3</v>
      </c>
      <c r="T728" s="6" t="s">
        <v>307</v>
      </c>
      <c r="U728" s="6" t="s">
        <v>550</v>
      </c>
      <c r="V728" s="17">
        <v>45876</v>
      </c>
      <c r="W728" s="16"/>
      <c r="Z728" t="e">
        <v>#N/A</v>
      </c>
    </row>
    <row r="729" spans="1:26" customFormat="1">
      <c r="A729">
        <f t="shared" ca="1" si="12"/>
        <v>22</v>
      </c>
      <c r="B729" s="104" t="s">
        <v>2893</v>
      </c>
      <c r="C729" s="16">
        <v>45852</v>
      </c>
      <c r="D729" s="6" t="s">
        <v>129</v>
      </c>
      <c r="E729" s="6" t="s">
        <v>3663</v>
      </c>
      <c r="F729" s="6"/>
      <c r="G729" s="106" t="s">
        <v>1364</v>
      </c>
      <c r="H729" s="106" t="s">
        <v>34</v>
      </c>
      <c r="I729" s="49" t="s">
        <v>2894</v>
      </c>
      <c r="J729" s="6"/>
      <c r="K729" s="6" t="e">
        <f>IF(E729="KTG","KTG",(VLOOKUP(J729,'list of outsource'!B:H,2,0)))</f>
        <v>#N/A</v>
      </c>
      <c r="L729" s="6"/>
      <c r="M729" s="6"/>
      <c r="N729" s="6" t="s">
        <v>2895</v>
      </c>
      <c r="O729" s="2" t="s">
        <v>3686</v>
      </c>
      <c r="P729" s="6" t="s">
        <v>2896</v>
      </c>
      <c r="Q729" s="6"/>
      <c r="R729" s="16"/>
      <c r="S729" s="6">
        <v>4</v>
      </c>
      <c r="T729" s="6" t="s">
        <v>307</v>
      </c>
      <c r="U729" s="6" t="s">
        <v>39</v>
      </c>
      <c r="V729" s="17">
        <v>45874</v>
      </c>
      <c r="W729" s="16"/>
      <c r="X729" t="s">
        <v>2171</v>
      </c>
      <c r="Z729" t="e">
        <v>#N/A</v>
      </c>
    </row>
    <row r="730" spans="1:26" customFormat="1">
      <c r="A730">
        <f t="shared" ca="1" si="12"/>
        <v>15</v>
      </c>
      <c r="B730" s="104" t="s">
        <v>3097</v>
      </c>
      <c r="C730" s="16">
        <v>45909</v>
      </c>
      <c r="D730" s="6" t="s">
        <v>129</v>
      </c>
      <c r="E730" s="6" t="s">
        <v>3663</v>
      </c>
      <c r="F730" s="6"/>
      <c r="G730" s="106" t="s">
        <v>1364</v>
      </c>
      <c r="H730" s="106" t="s">
        <v>34</v>
      </c>
      <c r="I730" s="49" t="s">
        <v>1449</v>
      </c>
      <c r="J730" s="6"/>
      <c r="K730" s="6" t="e">
        <f>IF(E730="KTG","KTG",(VLOOKUP(J730,'list of outsource'!B:H,2,0)))</f>
        <v>#N/A</v>
      </c>
      <c r="L730" s="6"/>
      <c r="M730" s="6"/>
      <c r="N730" s="6" t="s">
        <v>1450</v>
      </c>
      <c r="O730" s="2" t="s">
        <v>3686</v>
      </c>
      <c r="P730" s="6" t="s">
        <v>3098</v>
      </c>
      <c r="Q730" s="6"/>
      <c r="R730" s="16">
        <v>45923</v>
      </c>
      <c r="S730" s="6">
        <v>3</v>
      </c>
      <c r="T730" s="6" t="s">
        <v>307</v>
      </c>
      <c r="U730" s="6" t="s">
        <v>550</v>
      </c>
      <c r="V730" s="17">
        <v>45924</v>
      </c>
      <c r="W730" s="16"/>
    </row>
    <row r="731" spans="1:26" customFormat="1">
      <c r="A731">
        <f t="shared" ca="1" si="12"/>
        <v>28</v>
      </c>
      <c r="B731" s="104" t="s">
        <v>3171</v>
      </c>
      <c r="C731" s="16">
        <v>45936</v>
      </c>
      <c r="D731" s="6" t="s">
        <v>1946</v>
      </c>
      <c r="E731" s="6" t="s">
        <v>3662</v>
      </c>
      <c r="F731" s="6"/>
      <c r="G731" s="106" t="s">
        <v>1364</v>
      </c>
      <c r="H731" s="106" t="s">
        <v>34</v>
      </c>
      <c r="I731" s="49" t="s">
        <v>487</v>
      </c>
      <c r="J731" s="6" t="s">
        <v>302</v>
      </c>
      <c r="K731" s="6" t="str">
        <f>IF(E731="KTG","KTG",(VLOOKUP(J731,'list of outsource'!B:H,2,0)))</f>
        <v>ETC</v>
      </c>
      <c r="L731" s="6" t="s">
        <v>303</v>
      </c>
      <c r="M731" s="6"/>
      <c r="N731" s="6" t="s">
        <v>487</v>
      </c>
      <c r="O731" s="2" t="s">
        <v>3686</v>
      </c>
      <c r="P731" s="6" t="s">
        <v>799</v>
      </c>
      <c r="Q731" s="6"/>
      <c r="R731" s="16">
        <v>45951</v>
      </c>
      <c r="S731" s="6">
        <v>3</v>
      </c>
      <c r="T731" s="6" t="s">
        <v>307</v>
      </c>
      <c r="U731" s="6" t="s">
        <v>39</v>
      </c>
      <c r="V731" s="17">
        <v>45964</v>
      </c>
      <c r="W731" s="16"/>
      <c r="X731" t="s">
        <v>2171</v>
      </c>
    </row>
    <row r="732" spans="1:26" customFormat="1">
      <c r="A732">
        <f t="shared" ca="1" si="12"/>
        <v>28</v>
      </c>
      <c r="B732" s="104" t="s">
        <v>3172</v>
      </c>
      <c r="C732" s="16">
        <v>45936</v>
      </c>
      <c r="D732" s="6" t="s">
        <v>1946</v>
      </c>
      <c r="E732" s="6" t="s">
        <v>3662</v>
      </c>
      <c r="F732" s="6"/>
      <c r="G732" s="106" t="s">
        <v>1364</v>
      </c>
      <c r="H732" s="106" t="s">
        <v>34</v>
      </c>
      <c r="I732" s="49" t="s">
        <v>3173</v>
      </c>
      <c r="J732" s="6" t="s">
        <v>302</v>
      </c>
      <c r="K732" s="6" t="str">
        <f>IF(E732="KTG","KTG",(VLOOKUP(J732,'list of outsource'!B:H,2,0)))</f>
        <v>ETC</v>
      </c>
      <c r="L732" s="6" t="s">
        <v>303</v>
      </c>
      <c r="M732" s="6"/>
      <c r="N732" s="6" t="s">
        <v>3173</v>
      </c>
      <c r="O732" s="2" t="s">
        <v>3686</v>
      </c>
      <c r="P732" s="6" t="s">
        <v>3174</v>
      </c>
      <c r="Q732" s="6"/>
      <c r="R732" s="16">
        <v>45951</v>
      </c>
      <c r="S732" s="6">
        <v>3</v>
      </c>
      <c r="T732" s="6" t="s">
        <v>1465</v>
      </c>
      <c r="U732" s="6" t="s">
        <v>39</v>
      </c>
      <c r="V732" s="17">
        <v>45964</v>
      </c>
      <c r="W732" s="16"/>
      <c r="X732" t="s">
        <v>2171</v>
      </c>
    </row>
    <row r="733" spans="1:26" customFormat="1">
      <c r="A733">
        <f t="shared" ca="1" si="12"/>
        <v>28</v>
      </c>
      <c r="B733" s="104" t="s">
        <v>3175</v>
      </c>
      <c r="C733" s="16">
        <v>45936</v>
      </c>
      <c r="D733" s="6" t="s">
        <v>1946</v>
      </c>
      <c r="E733" s="6" t="s">
        <v>3662</v>
      </c>
      <c r="F733" s="6"/>
      <c r="G733" s="106" t="s">
        <v>1364</v>
      </c>
      <c r="H733" s="106" t="s">
        <v>34</v>
      </c>
      <c r="I733" s="49" t="s">
        <v>3176</v>
      </c>
      <c r="J733" s="6" t="s">
        <v>302</v>
      </c>
      <c r="K733" s="6" t="str">
        <f>IF(E733="KTG","KTG",(VLOOKUP(J733,'list of outsource'!B:H,2,0)))</f>
        <v>ETC</v>
      </c>
      <c r="L733" s="6" t="s">
        <v>303</v>
      </c>
      <c r="M733" s="6"/>
      <c r="N733" s="6" t="s">
        <v>3176</v>
      </c>
      <c r="O733" s="2" t="s">
        <v>3686</v>
      </c>
      <c r="P733" s="6" t="s">
        <v>3177</v>
      </c>
      <c r="Q733" s="6"/>
      <c r="R733" s="16">
        <v>45951</v>
      </c>
      <c r="S733" s="6">
        <v>3</v>
      </c>
      <c r="T733" s="6" t="s">
        <v>1465</v>
      </c>
      <c r="U733" s="6" t="s">
        <v>39</v>
      </c>
      <c r="V733" s="17">
        <v>45964</v>
      </c>
      <c r="W733" s="16"/>
      <c r="X733" t="s">
        <v>2171</v>
      </c>
    </row>
    <row r="734" spans="1:26" customFormat="1">
      <c r="A734">
        <f t="shared" ca="1" si="12"/>
        <v>28</v>
      </c>
      <c r="B734" s="104" t="s">
        <v>3178</v>
      </c>
      <c r="C734" s="16">
        <v>45936</v>
      </c>
      <c r="D734" s="6" t="s">
        <v>1946</v>
      </c>
      <c r="E734" s="6" t="s">
        <v>3662</v>
      </c>
      <c r="F734" s="6"/>
      <c r="G734" s="106" t="s">
        <v>1364</v>
      </c>
      <c r="H734" s="106" t="s">
        <v>34</v>
      </c>
      <c r="I734" s="49" t="s">
        <v>3179</v>
      </c>
      <c r="J734" s="6" t="s">
        <v>302</v>
      </c>
      <c r="K734" s="6" t="str">
        <f>IF(E734="KTG","KTG",(VLOOKUP(J734,'list of outsource'!B:H,2,0)))</f>
        <v>ETC</v>
      </c>
      <c r="L734" s="6" t="s">
        <v>303</v>
      </c>
      <c r="M734" s="6"/>
      <c r="N734" s="6" t="s">
        <v>3179</v>
      </c>
      <c r="O734" s="2" t="s">
        <v>3686</v>
      </c>
      <c r="P734" s="6" t="s">
        <v>3180</v>
      </c>
      <c r="Q734" s="6"/>
      <c r="R734" s="16">
        <v>45951</v>
      </c>
      <c r="S734" s="6">
        <v>3</v>
      </c>
      <c r="T734" s="6" t="s">
        <v>1465</v>
      </c>
      <c r="U734" s="6" t="s">
        <v>39</v>
      </c>
      <c r="V734" s="17">
        <v>45964</v>
      </c>
      <c r="W734" s="16"/>
      <c r="X734" t="s">
        <v>2171</v>
      </c>
    </row>
    <row r="735" spans="1:26" customFormat="1">
      <c r="A735">
        <f t="shared" ca="1" si="12"/>
        <v>42343</v>
      </c>
      <c r="B735" s="49" t="s">
        <v>100</v>
      </c>
      <c r="C735" s="12">
        <v>2021</v>
      </c>
      <c r="D735" s="4" t="s">
        <v>101</v>
      </c>
      <c r="E735" s="4" t="s">
        <v>3665</v>
      </c>
      <c r="F735" s="4"/>
      <c r="G735" s="4" t="s">
        <v>102</v>
      </c>
      <c r="H735" s="49" t="s">
        <v>103</v>
      </c>
      <c r="I735" s="49" t="s">
        <v>104</v>
      </c>
      <c r="J735" s="4" t="s">
        <v>96</v>
      </c>
      <c r="K735" s="4" t="str">
        <f>IF(E735="KTG","KTG",(VLOOKUP(J735,'list of outsource'!B:H,2,0)))</f>
        <v>Woer</v>
      </c>
      <c r="L735" s="4" t="s">
        <v>97</v>
      </c>
      <c r="M735" s="4"/>
      <c r="N735" s="4" t="s">
        <v>105</v>
      </c>
      <c r="O735" s="2" t="s">
        <v>3687</v>
      </c>
      <c r="P735" s="4" t="s">
        <v>106</v>
      </c>
      <c r="Q735" s="4"/>
      <c r="R735" s="12"/>
      <c r="S735" s="4">
        <v>2</v>
      </c>
      <c r="T735" s="4"/>
      <c r="U735" s="4" t="s">
        <v>39</v>
      </c>
      <c r="V735" s="10">
        <v>44364</v>
      </c>
      <c r="W735" s="12">
        <v>44368</v>
      </c>
    </row>
    <row r="736" spans="1:26" customFormat="1">
      <c r="A736">
        <f t="shared" ca="1" si="12"/>
        <v>42342</v>
      </c>
      <c r="B736" s="49" t="s">
        <v>100</v>
      </c>
      <c r="C736" s="12">
        <v>2022</v>
      </c>
      <c r="D736" s="4" t="s">
        <v>101</v>
      </c>
      <c r="E736" s="4" t="s">
        <v>3665</v>
      </c>
      <c r="F736" s="4"/>
      <c r="G736" s="4" t="s">
        <v>102</v>
      </c>
      <c r="H736" s="49" t="s">
        <v>103</v>
      </c>
      <c r="I736" s="49" t="s">
        <v>104</v>
      </c>
      <c r="J736" s="4" t="s">
        <v>96</v>
      </c>
      <c r="K736" s="4" t="str">
        <f>IF(E736="KTG","KTG",(VLOOKUP(J736,'list of outsource'!B:H,2,0)))</f>
        <v>Woer</v>
      </c>
      <c r="L736" s="4" t="s">
        <v>97</v>
      </c>
      <c r="M736" s="4"/>
      <c r="N736" s="4" t="s">
        <v>105</v>
      </c>
      <c r="O736" s="2" t="s">
        <v>3687</v>
      </c>
      <c r="P736" s="4" t="s">
        <v>106</v>
      </c>
      <c r="Q736" s="4"/>
      <c r="R736" s="12"/>
      <c r="S736" s="4">
        <v>2</v>
      </c>
      <c r="T736" s="4"/>
      <c r="U736" s="4" t="s">
        <v>39</v>
      </c>
      <c r="V736" s="10">
        <v>44364</v>
      </c>
      <c r="W736" s="12">
        <v>44368</v>
      </c>
    </row>
    <row r="737" spans="1:23" customFormat="1">
      <c r="A737">
        <f t="shared" ca="1" si="12"/>
        <v>5928</v>
      </c>
      <c r="B737" s="49" t="s">
        <v>107</v>
      </c>
      <c r="C737" s="12">
        <v>38546</v>
      </c>
      <c r="D737" s="4" t="s">
        <v>101</v>
      </c>
      <c r="E737" s="4" t="s">
        <v>3665</v>
      </c>
      <c r="F737" s="4"/>
      <c r="G737" s="106" t="s">
        <v>102</v>
      </c>
      <c r="H737" s="106" t="s">
        <v>34</v>
      </c>
      <c r="I737" s="106">
        <v>2851121</v>
      </c>
      <c r="J737" s="4" t="s">
        <v>108</v>
      </c>
      <c r="K737" s="4" t="str">
        <f>IF(E737="KTG","KTG",(VLOOKUP(J737,'list of outsource'!B:H,2,0)))</f>
        <v>UPM</v>
      </c>
      <c r="L737" s="4" t="s">
        <v>109</v>
      </c>
      <c r="M737" s="4"/>
      <c r="N737" s="4" t="s">
        <v>110</v>
      </c>
      <c r="O737" s="2" t="s">
        <v>3687</v>
      </c>
      <c r="P737" s="4" t="s">
        <v>111</v>
      </c>
      <c r="Q737" s="4"/>
      <c r="R737" s="12"/>
      <c r="S737" s="4">
        <v>2</v>
      </c>
      <c r="T737" s="4"/>
      <c r="U737" s="4" t="s">
        <v>39</v>
      </c>
      <c r="V737" s="10">
        <v>44474</v>
      </c>
      <c r="W737" s="12">
        <v>44475</v>
      </c>
    </row>
    <row r="738" spans="1:23" customFormat="1">
      <c r="A738">
        <f t="shared" ca="1" si="12"/>
        <v>5928</v>
      </c>
      <c r="B738" s="49" t="s">
        <v>107</v>
      </c>
      <c r="C738" s="12">
        <v>38546</v>
      </c>
      <c r="D738" s="4" t="s">
        <v>101</v>
      </c>
      <c r="E738" s="4" t="s">
        <v>3665</v>
      </c>
      <c r="F738" s="4"/>
      <c r="G738" s="106" t="s">
        <v>102</v>
      </c>
      <c r="H738" s="106" t="s">
        <v>34</v>
      </c>
      <c r="I738" s="106">
        <v>2851121</v>
      </c>
      <c r="J738" s="4" t="s">
        <v>108</v>
      </c>
      <c r="K738" s="4" t="str">
        <f>IF(E738="KTG","KTG",(VLOOKUP(J738,'list of outsource'!B:H,2,0)))</f>
        <v>UPM</v>
      </c>
      <c r="L738" s="4" t="s">
        <v>109</v>
      </c>
      <c r="M738" s="4"/>
      <c r="N738" s="4" t="s">
        <v>110</v>
      </c>
      <c r="O738" s="2" t="s">
        <v>3687</v>
      </c>
      <c r="P738" s="4" t="s">
        <v>111</v>
      </c>
      <c r="Q738" s="4"/>
      <c r="R738" s="12"/>
      <c r="S738" s="4">
        <v>2</v>
      </c>
      <c r="T738" s="4"/>
      <c r="U738" s="4" t="s">
        <v>39</v>
      </c>
      <c r="V738" s="10">
        <v>44474</v>
      </c>
      <c r="W738" s="12">
        <v>44475</v>
      </c>
    </row>
    <row r="739" spans="1:23" customFormat="1">
      <c r="A739">
        <f t="shared" ca="1" si="12"/>
        <v>5928</v>
      </c>
      <c r="B739" s="49" t="s">
        <v>125</v>
      </c>
      <c r="C739" s="12">
        <v>38546</v>
      </c>
      <c r="D739" s="4" t="s">
        <v>101</v>
      </c>
      <c r="E739" s="4" t="s">
        <v>3665</v>
      </c>
      <c r="F739" s="4"/>
      <c r="G739" s="106" t="s">
        <v>102</v>
      </c>
      <c r="H739" s="106" t="s">
        <v>34</v>
      </c>
      <c r="I739" s="106">
        <v>2851122</v>
      </c>
      <c r="J739" s="4" t="s">
        <v>108</v>
      </c>
      <c r="K739" s="4" t="str">
        <f>IF(E739="KTG","KTG",(VLOOKUP(J739,'list of outsource'!B:H,2,0)))</f>
        <v>UPM</v>
      </c>
      <c r="L739" s="4" t="s">
        <v>109</v>
      </c>
      <c r="M739" s="4"/>
      <c r="N739" s="4" t="s">
        <v>126</v>
      </c>
      <c r="O739" s="2" t="s">
        <v>3687</v>
      </c>
      <c r="P739" s="4" t="s">
        <v>127</v>
      </c>
      <c r="Q739" s="4"/>
      <c r="R739" s="12"/>
      <c r="S739" s="4">
        <v>2</v>
      </c>
      <c r="T739" s="4"/>
      <c r="U739" s="4" t="s">
        <v>39</v>
      </c>
      <c r="V739" s="10">
        <v>44474</v>
      </c>
      <c r="W739" s="12">
        <v>44475</v>
      </c>
    </row>
    <row r="740" spans="1:23" customFormat="1">
      <c r="A740">
        <f t="shared" ca="1" si="12"/>
        <v>5928</v>
      </c>
      <c r="B740" s="49" t="s">
        <v>125</v>
      </c>
      <c r="C740" s="12">
        <v>38546</v>
      </c>
      <c r="D740" s="4" t="s">
        <v>101</v>
      </c>
      <c r="E740" s="4" t="s">
        <v>3665</v>
      </c>
      <c r="F740" s="4"/>
      <c r="G740" s="106" t="s">
        <v>102</v>
      </c>
      <c r="H740" s="106" t="s">
        <v>34</v>
      </c>
      <c r="I740" s="106">
        <v>2851122</v>
      </c>
      <c r="J740" s="4" t="s">
        <v>108</v>
      </c>
      <c r="K740" s="4" t="str">
        <f>IF(E740="KTG","KTG",(VLOOKUP(J740,'list of outsource'!B:H,2,0)))</f>
        <v>UPM</v>
      </c>
      <c r="L740" s="4" t="s">
        <v>109</v>
      </c>
      <c r="M740" s="4"/>
      <c r="N740" s="4" t="s">
        <v>126</v>
      </c>
      <c r="O740" s="2" t="s">
        <v>3687</v>
      </c>
      <c r="P740" s="4" t="s">
        <v>127</v>
      </c>
      <c r="Q740" s="4"/>
      <c r="R740" s="12"/>
      <c r="S740" s="4">
        <v>2</v>
      </c>
      <c r="T740" s="4"/>
      <c r="U740" s="4" t="s">
        <v>39</v>
      </c>
      <c r="V740" s="10">
        <v>44474</v>
      </c>
      <c r="W740" s="12">
        <v>44475</v>
      </c>
    </row>
    <row r="741" spans="1:23" customFormat="1" hidden="1">
      <c r="A741">
        <f t="shared" ca="1" si="12"/>
        <v>134</v>
      </c>
      <c r="B741" s="8" t="s">
        <v>925</v>
      </c>
      <c r="C741" s="16">
        <v>45110</v>
      </c>
      <c r="D741" s="6" t="s">
        <v>129</v>
      </c>
      <c r="E741" s="6" t="s">
        <v>3662</v>
      </c>
      <c r="F741" s="6"/>
      <c r="G741" s="6" t="s">
        <v>86</v>
      </c>
      <c r="H741" s="6" t="s">
        <v>926</v>
      </c>
      <c r="I741" s="6" t="s">
        <v>927</v>
      </c>
      <c r="J741" s="6" t="s">
        <v>928</v>
      </c>
      <c r="K741" s="6" t="str">
        <f>IF(E741="KTG","KTG",(VLOOKUP(J741,'list of outsource'!B:H,2,0)))</f>
        <v>ETC</v>
      </c>
      <c r="L741" s="6" t="s">
        <v>929</v>
      </c>
      <c r="M741" s="6">
        <v>12</v>
      </c>
      <c r="N741" s="49" t="s">
        <v>930</v>
      </c>
      <c r="O741" s="2"/>
      <c r="P741" s="6" t="s">
        <v>931</v>
      </c>
      <c r="Q741" s="6">
        <v>1247850311</v>
      </c>
      <c r="R741" s="16"/>
      <c r="S741" s="6">
        <v>2</v>
      </c>
      <c r="T741" s="6"/>
      <c r="U741" s="6" t="s">
        <v>39</v>
      </c>
      <c r="V741" s="17">
        <v>45244</v>
      </c>
      <c r="W741" s="16"/>
    </row>
    <row r="742" spans="1:23" customFormat="1">
      <c r="A742">
        <f t="shared" ca="1" si="12"/>
        <v>42424</v>
      </c>
      <c r="B742" s="104" t="s">
        <v>148</v>
      </c>
      <c r="C742" s="16">
        <v>2021</v>
      </c>
      <c r="D742" s="6" t="s">
        <v>129</v>
      </c>
      <c r="E742" s="6" t="s">
        <v>3665</v>
      </c>
      <c r="F742" s="6"/>
      <c r="G742" s="6" t="s">
        <v>102</v>
      </c>
      <c r="H742" s="49" t="s">
        <v>149</v>
      </c>
      <c r="I742" s="49" t="s">
        <v>150</v>
      </c>
      <c r="J742" s="6" t="s">
        <v>151</v>
      </c>
      <c r="K742" s="6" t="str">
        <f>IF(E742="KTG","KTG",(VLOOKUP(J742,'list of outsource'!B:H,2,0)))</f>
        <v>UPM</v>
      </c>
      <c r="L742" s="6" t="s">
        <v>152</v>
      </c>
      <c r="M742" s="6"/>
      <c r="N742" s="6" t="s">
        <v>153</v>
      </c>
      <c r="O742" s="2" t="s">
        <v>3687</v>
      </c>
      <c r="P742" s="6" t="s">
        <v>154</v>
      </c>
      <c r="Q742" s="6"/>
      <c r="R742" s="16"/>
      <c r="S742" s="6">
        <v>2</v>
      </c>
      <c r="T742" s="6"/>
      <c r="U742" s="6" t="s">
        <v>39</v>
      </c>
      <c r="V742" s="17">
        <v>44445</v>
      </c>
      <c r="W742" s="16"/>
    </row>
    <row r="743" spans="1:23" customFormat="1" hidden="1">
      <c r="A743">
        <f t="shared" ca="1" si="12"/>
        <v>134</v>
      </c>
      <c r="B743" s="8" t="s">
        <v>945</v>
      </c>
      <c r="C743" s="16">
        <v>45110</v>
      </c>
      <c r="D743" s="6" t="s">
        <v>129</v>
      </c>
      <c r="E743" s="6" t="s">
        <v>3662</v>
      </c>
      <c r="F743" s="6"/>
      <c r="G743" s="6" t="s">
        <v>86</v>
      </c>
      <c r="H743" s="6" t="s">
        <v>926</v>
      </c>
      <c r="I743" s="6" t="s">
        <v>946</v>
      </c>
      <c r="J743" s="6" t="s">
        <v>928</v>
      </c>
      <c r="K743" s="6" t="str">
        <f>IF(E743="KTG","KTG",(VLOOKUP(J743,'list of outsource'!B:H,2,0)))</f>
        <v>ETC</v>
      </c>
      <c r="L743" s="6" t="s">
        <v>929</v>
      </c>
      <c r="M743" s="6">
        <v>12</v>
      </c>
      <c r="N743" s="49" t="s">
        <v>947</v>
      </c>
      <c r="O743" s="2"/>
      <c r="P743" s="6" t="s">
        <v>948</v>
      </c>
      <c r="Q743" s="6">
        <v>1247861798</v>
      </c>
      <c r="R743" s="16"/>
      <c r="S743" s="6">
        <v>2</v>
      </c>
      <c r="T743" s="6"/>
      <c r="U743" s="6" t="s">
        <v>39</v>
      </c>
      <c r="V743" s="17">
        <v>45244</v>
      </c>
      <c r="W743" s="16"/>
    </row>
    <row r="744" spans="1:23" customFormat="1" hidden="1">
      <c r="A744">
        <f t="shared" ca="1" si="12"/>
        <v>134</v>
      </c>
      <c r="B744" s="8" t="s">
        <v>949</v>
      </c>
      <c r="C744" s="16">
        <v>45110</v>
      </c>
      <c r="D744" s="6" t="s">
        <v>129</v>
      </c>
      <c r="E744" s="6" t="s">
        <v>3662</v>
      </c>
      <c r="F744" s="6"/>
      <c r="G744" s="6" t="s">
        <v>86</v>
      </c>
      <c r="H744" s="6" t="s">
        <v>926</v>
      </c>
      <c r="I744" s="6" t="s">
        <v>950</v>
      </c>
      <c r="J744" s="6" t="s">
        <v>928</v>
      </c>
      <c r="K744" s="6" t="str">
        <f>IF(E744="KTG","KTG",(VLOOKUP(J744,'list of outsource'!B:H,2,0)))</f>
        <v>ETC</v>
      </c>
      <c r="L744" s="6" t="s">
        <v>929</v>
      </c>
      <c r="M744" s="6">
        <v>12</v>
      </c>
      <c r="N744" s="49" t="s">
        <v>951</v>
      </c>
      <c r="O744" s="2"/>
      <c r="P744" s="6" t="s">
        <v>952</v>
      </c>
      <c r="Q744" s="6">
        <v>1247861628</v>
      </c>
      <c r="R744" s="16"/>
      <c r="S744" s="6">
        <v>2</v>
      </c>
      <c r="T744" s="6"/>
      <c r="U744" s="6" t="s">
        <v>39</v>
      </c>
      <c r="V744" s="17">
        <v>45244</v>
      </c>
      <c r="W744" s="16"/>
    </row>
    <row r="745" spans="1:23" customFormat="1" hidden="1">
      <c r="A745">
        <f t="shared" ca="1" si="12"/>
        <v>134</v>
      </c>
      <c r="B745" s="8" t="s">
        <v>953</v>
      </c>
      <c r="C745" s="16">
        <v>45110</v>
      </c>
      <c r="D745" s="6" t="s">
        <v>129</v>
      </c>
      <c r="E745" s="6" t="s">
        <v>3662</v>
      </c>
      <c r="F745" s="6"/>
      <c r="G745" s="6" t="s">
        <v>86</v>
      </c>
      <c r="H745" s="6" t="s">
        <v>926</v>
      </c>
      <c r="I745" s="6" t="s">
        <v>954</v>
      </c>
      <c r="J745" s="6" t="s">
        <v>955</v>
      </c>
      <c r="K745" s="6" t="str">
        <f>IF(E745="KTG","KTG",(VLOOKUP(J745,'list of outsource'!B:H,2,0)))</f>
        <v>ETC</v>
      </c>
      <c r="L745" s="6" t="s">
        <v>956</v>
      </c>
      <c r="M745" s="6">
        <v>5</v>
      </c>
      <c r="N745" s="49" t="s">
        <v>957</v>
      </c>
      <c r="O745" s="2"/>
      <c r="P745" s="6" t="s">
        <v>958</v>
      </c>
      <c r="Q745" s="6">
        <v>1247865330</v>
      </c>
      <c r="R745" s="16"/>
      <c r="S745" s="6">
        <v>2</v>
      </c>
      <c r="T745" s="6"/>
      <c r="U745" s="6" t="s">
        <v>39</v>
      </c>
      <c r="V745" s="17">
        <v>45244</v>
      </c>
      <c r="W745" s="16"/>
    </row>
    <row r="746" spans="1:23" customFormat="1" hidden="1">
      <c r="A746">
        <f t="shared" ca="1" si="12"/>
        <v>134</v>
      </c>
      <c r="B746" s="8" t="s">
        <v>959</v>
      </c>
      <c r="C746" s="16">
        <v>45110</v>
      </c>
      <c r="D746" s="6" t="s">
        <v>129</v>
      </c>
      <c r="E746" s="6" t="s">
        <v>3662</v>
      </c>
      <c r="F746" s="6"/>
      <c r="G746" s="6" t="s">
        <v>86</v>
      </c>
      <c r="H746" s="6" t="s">
        <v>926</v>
      </c>
      <c r="I746" s="6" t="s">
        <v>960</v>
      </c>
      <c r="J746" s="6" t="s">
        <v>928</v>
      </c>
      <c r="K746" s="6" t="str">
        <f>IF(E746="KTG","KTG",(VLOOKUP(J746,'list of outsource'!B:H,2,0)))</f>
        <v>ETC</v>
      </c>
      <c r="L746" s="6" t="s">
        <v>929</v>
      </c>
      <c r="M746" s="6">
        <v>12</v>
      </c>
      <c r="N746" s="49" t="s">
        <v>961</v>
      </c>
      <c r="O746" s="2"/>
      <c r="P746" s="6" t="s">
        <v>962</v>
      </c>
      <c r="Q746" s="6">
        <v>1247861053</v>
      </c>
      <c r="R746" s="16"/>
      <c r="S746" s="6">
        <v>2</v>
      </c>
      <c r="T746" s="6"/>
      <c r="U746" s="6" t="s">
        <v>39</v>
      </c>
      <c r="V746" s="17">
        <v>45244</v>
      </c>
      <c r="W746" s="16"/>
    </row>
    <row r="747" spans="1:23" customFormat="1" hidden="1">
      <c r="A747">
        <f t="shared" ca="1" si="12"/>
        <v>134</v>
      </c>
      <c r="B747" s="8" t="s">
        <v>967</v>
      </c>
      <c r="C747" s="16">
        <v>45110</v>
      </c>
      <c r="D747" s="6" t="s">
        <v>129</v>
      </c>
      <c r="E747" s="6" t="s">
        <v>3662</v>
      </c>
      <c r="F747" s="6"/>
      <c r="G747" s="6" t="s">
        <v>86</v>
      </c>
      <c r="H747" s="6" t="s">
        <v>926</v>
      </c>
      <c r="I747" s="6" t="s">
        <v>968</v>
      </c>
      <c r="J747" s="6" t="s">
        <v>955</v>
      </c>
      <c r="K747" s="6" t="str">
        <f>IF(E747="KTG","KTG",(VLOOKUP(J747,'list of outsource'!B:H,2,0)))</f>
        <v>ETC</v>
      </c>
      <c r="L747" s="6" t="s">
        <v>956</v>
      </c>
      <c r="M747" s="6">
        <v>5</v>
      </c>
      <c r="N747" s="49" t="s">
        <v>969</v>
      </c>
      <c r="O747" s="2"/>
      <c r="P747" s="6" t="s">
        <v>970</v>
      </c>
      <c r="Q747" s="6">
        <v>1263516098</v>
      </c>
      <c r="R747" s="16"/>
      <c r="S747" s="6">
        <v>2</v>
      </c>
      <c r="T747" s="6"/>
      <c r="U747" s="6" t="s">
        <v>39</v>
      </c>
      <c r="V747" s="17">
        <v>45244</v>
      </c>
      <c r="W747" s="16"/>
    </row>
    <row r="748" spans="1:23" customFormat="1" hidden="1">
      <c r="A748">
        <f t="shared" ca="1" si="12"/>
        <v>134</v>
      </c>
      <c r="B748" s="8" t="s">
        <v>971</v>
      </c>
      <c r="C748" s="16">
        <v>45110</v>
      </c>
      <c r="D748" s="6" t="s">
        <v>129</v>
      </c>
      <c r="E748" s="6" t="s">
        <v>3662</v>
      </c>
      <c r="F748" s="6"/>
      <c r="G748" s="6" t="s">
        <v>86</v>
      </c>
      <c r="H748" s="6" t="s">
        <v>926</v>
      </c>
      <c r="I748" s="6" t="s">
        <v>972</v>
      </c>
      <c r="J748" s="6" t="s">
        <v>955</v>
      </c>
      <c r="K748" s="6" t="str">
        <f>IF(E748="KTG","KTG",(VLOOKUP(J748,'list of outsource'!B:H,2,0)))</f>
        <v>ETC</v>
      </c>
      <c r="L748" s="6" t="s">
        <v>956</v>
      </c>
      <c r="M748" s="6">
        <v>5</v>
      </c>
      <c r="N748" s="49" t="s">
        <v>973</v>
      </c>
      <c r="O748" s="2"/>
      <c r="P748" s="6" t="s">
        <v>974</v>
      </c>
      <c r="Q748" s="6">
        <v>1263504869</v>
      </c>
      <c r="R748" s="16"/>
      <c r="S748" s="6">
        <v>2</v>
      </c>
      <c r="T748" s="6"/>
      <c r="U748" s="6" t="s">
        <v>39</v>
      </c>
      <c r="V748" s="17">
        <v>45244</v>
      </c>
      <c r="W748" s="16"/>
    </row>
    <row r="749" spans="1:23" customFormat="1" hidden="1">
      <c r="A749">
        <f t="shared" ca="1" si="12"/>
        <v>134</v>
      </c>
      <c r="B749" s="8" t="s">
        <v>975</v>
      </c>
      <c r="C749" s="16">
        <v>45110</v>
      </c>
      <c r="D749" s="6" t="s">
        <v>129</v>
      </c>
      <c r="E749" s="6" t="s">
        <v>3662</v>
      </c>
      <c r="F749" s="6"/>
      <c r="G749" s="6" t="s">
        <v>86</v>
      </c>
      <c r="H749" s="6" t="s">
        <v>926</v>
      </c>
      <c r="I749" s="6" t="s">
        <v>976</v>
      </c>
      <c r="J749" s="6" t="s">
        <v>955</v>
      </c>
      <c r="K749" s="6" t="str">
        <f>IF(E749="KTG","KTG",(VLOOKUP(J749,'list of outsource'!B:H,2,0)))</f>
        <v>ETC</v>
      </c>
      <c r="L749" s="6" t="s">
        <v>956</v>
      </c>
      <c r="M749" s="6">
        <v>5</v>
      </c>
      <c r="N749" s="49" t="s">
        <v>977</v>
      </c>
      <c r="O749" s="2"/>
      <c r="P749" s="6" t="s">
        <v>978</v>
      </c>
      <c r="Q749" s="6">
        <v>1247865865</v>
      </c>
      <c r="R749" s="16"/>
      <c r="S749" s="6">
        <v>2</v>
      </c>
      <c r="T749" s="6"/>
      <c r="U749" s="6" t="s">
        <v>39</v>
      </c>
      <c r="V749" s="17">
        <v>45244</v>
      </c>
      <c r="W749" s="16"/>
    </row>
    <row r="750" spans="1:23" customFormat="1" hidden="1">
      <c r="A750">
        <f t="shared" ca="1" si="12"/>
        <v>134</v>
      </c>
      <c r="B750" s="8" t="s">
        <v>979</v>
      </c>
      <c r="C750" s="16">
        <v>45110</v>
      </c>
      <c r="D750" s="6" t="s">
        <v>129</v>
      </c>
      <c r="E750" s="6" t="s">
        <v>3662</v>
      </c>
      <c r="F750" s="6"/>
      <c r="G750" s="6" t="s">
        <v>86</v>
      </c>
      <c r="H750" s="6" t="s">
        <v>926</v>
      </c>
      <c r="I750" s="6" t="s">
        <v>980</v>
      </c>
      <c r="J750" s="6" t="s">
        <v>955</v>
      </c>
      <c r="K750" s="6" t="str">
        <f>IF(E750="KTG","KTG",(VLOOKUP(J750,'list of outsource'!B:H,2,0)))</f>
        <v>ETC</v>
      </c>
      <c r="L750" s="6" t="s">
        <v>956</v>
      </c>
      <c r="M750" s="6">
        <v>5</v>
      </c>
      <c r="N750" s="49" t="s">
        <v>981</v>
      </c>
      <c r="O750" s="2"/>
      <c r="P750" s="6" t="s">
        <v>982</v>
      </c>
      <c r="Q750" s="6">
        <v>1248122075</v>
      </c>
      <c r="R750" s="16"/>
      <c r="S750" s="6">
        <v>2</v>
      </c>
      <c r="T750" s="6"/>
      <c r="U750" s="6" t="s">
        <v>39</v>
      </c>
      <c r="V750" s="17">
        <v>45244</v>
      </c>
      <c r="W750" s="16"/>
    </row>
    <row r="751" spans="1:23" customFormat="1" hidden="1">
      <c r="A751">
        <f t="shared" ca="1" si="12"/>
        <v>134</v>
      </c>
      <c r="B751" s="8" t="s">
        <v>983</v>
      </c>
      <c r="C751" s="16">
        <v>45110</v>
      </c>
      <c r="D751" s="6" t="s">
        <v>129</v>
      </c>
      <c r="E751" s="6" t="s">
        <v>3662</v>
      </c>
      <c r="F751" s="6"/>
      <c r="G751" s="6" t="s">
        <v>86</v>
      </c>
      <c r="H751" s="6" t="s">
        <v>926</v>
      </c>
      <c r="I751" s="6" t="s">
        <v>984</v>
      </c>
      <c r="J751" s="6" t="s">
        <v>840</v>
      </c>
      <c r="K751" s="6" t="str">
        <f>IF(E751="KTG","KTG",(VLOOKUP(J751,'list of outsource'!B:H,2,0)))</f>
        <v>ETC</v>
      </c>
      <c r="L751" s="6" t="s">
        <v>841</v>
      </c>
      <c r="M751" s="6">
        <v>16</v>
      </c>
      <c r="N751" s="49" t="s">
        <v>985</v>
      </c>
      <c r="O751" s="2"/>
      <c r="P751" s="6" t="s">
        <v>986</v>
      </c>
      <c r="Q751" s="6" t="s">
        <v>987</v>
      </c>
      <c r="R751" s="16"/>
      <c r="S751" s="6">
        <v>2</v>
      </c>
      <c r="T751" s="6"/>
      <c r="U751" s="6" t="s">
        <v>39</v>
      </c>
      <c r="V751" s="17">
        <v>45244</v>
      </c>
      <c r="W751" s="16"/>
    </row>
    <row r="752" spans="1:23" customFormat="1" hidden="1">
      <c r="A752">
        <f t="shared" ca="1" si="12"/>
        <v>134</v>
      </c>
      <c r="B752" s="8" t="s">
        <v>988</v>
      </c>
      <c r="C752" s="16">
        <v>45110</v>
      </c>
      <c r="D752" s="6" t="s">
        <v>129</v>
      </c>
      <c r="E752" s="6" t="s">
        <v>3662</v>
      </c>
      <c r="F752" s="6"/>
      <c r="G752" s="6" t="s">
        <v>86</v>
      </c>
      <c r="H752" s="6" t="s">
        <v>926</v>
      </c>
      <c r="I752" s="6" t="s">
        <v>989</v>
      </c>
      <c r="J752" s="6" t="s">
        <v>928</v>
      </c>
      <c r="K752" s="6" t="str">
        <f>IF(E752="KTG","KTG",(VLOOKUP(J752,'list of outsource'!B:H,2,0)))</f>
        <v>ETC</v>
      </c>
      <c r="L752" s="6" t="s">
        <v>929</v>
      </c>
      <c r="M752" s="6">
        <v>12</v>
      </c>
      <c r="N752" s="49" t="s">
        <v>990</v>
      </c>
      <c r="O752" s="2"/>
      <c r="P752" s="6" t="s">
        <v>991</v>
      </c>
      <c r="Q752" s="6">
        <v>1247861362</v>
      </c>
      <c r="R752" s="16"/>
      <c r="S752" s="6">
        <v>2</v>
      </c>
      <c r="T752" s="6"/>
      <c r="U752" s="6" t="s">
        <v>39</v>
      </c>
      <c r="V752" s="17">
        <v>45244</v>
      </c>
      <c r="W752" s="16"/>
    </row>
    <row r="753" spans="1:23" customFormat="1" hidden="1">
      <c r="A753">
        <f t="shared" ca="1" si="12"/>
        <v>134</v>
      </c>
      <c r="B753" s="8" t="s">
        <v>992</v>
      </c>
      <c r="C753" s="16">
        <v>45110</v>
      </c>
      <c r="D753" s="6" t="s">
        <v>129</v>
      </c>
      <c r="E753" s="6" t="s">
        <v>3662</v>
      </c>
      <c r="F753" s="6"/>
      <c r="G753" s="6" t="s">
        <v>86</v>
      </c>
      <c r="H753" s="6" t="s">
        <v>926</v>
      </c>
      <c r="I753" s="6" t="s">
        <v>993</v>
      </c>
      <c r="J753" s="6" t="s">
        <v>955</v>
      </c>
      <c r="K753" s="6" t="str">
        <f>IF(E753="KTG","KTG",(VLOOKUP(J753,'list of outsource'!B:H,2,0)))</f>
        <v>ETC</v>
      </c>
      <c r="L753" s="6" t="s">
        <v>956</v>
      </c>
      <c r="M753" s="6">
        <v>5</v>
      </c>
      <c r="N753" s="49" t="s">
        <v>994</v>
      </c>
      <c r="O753" s="2"/>
      <c r="P753" s="6" t="s">
        <v>995</v>
      </c>
      <c r="Q753" s="6">
        <v>1261838313</v>
      </c>
      <c r="R753" s="16"/>
      <c r="S753" s="6">
        <v>2</v>
      </c>
      <c r="T753" s="6"/>
      <c r="U753" s="6" t="s">
        <v>39</v>
      </c>
      <c r="V753" s="17">
        <v>45244</v>
      </c>
      <c r="W753" s="16"/>
    </row>
    <row r="754" spans="1:23" customFormat="1" hidden="1">
      <c r="A754">
        <f t="shared" ca="1" si="12"/>
        <v>134</v>
      </c>
      <c r="B754" s="8" t="s">
        <v>996</v>
      </c>
      <c r="C754" s="16">
        <v>45110</v>
      </c>
      <c r="D754" s="6" t="s">
        <v>129</v>
      </c>
      <c r="E754" s="6" t="s">
        <v>3662</v>
      </c>
      <c r="F754" s="6"/>
      <c r="G754" s="6" t="s">
        <v>86</v>
      </c>
      <c r="H754" s="6" t="s">
        <v>926</v>
      </c>
      <c r="I754" s="6" t="s">
        <v>997</v>
      </c>
      <c r="J754" s="6" t="s">
        <v>928</v>
      </c>
      <c r="K754" s="6" t="str">
        <f>IF(E754="KTG","KTG",(VLOOKUP(J754,'list of outsource'!B:H,2,0)))</f>
        <v>ETC</v>
      </c>
      <c r="L754" s="6" t="s">
        <v>929</v>
      </c>
      <c r="M754" s="6">
        <v>12</v>
      </c>
      <c r="N754" s="49" t="s">
        <v>998</v>
      </c>
      <c r="O754" s="2"/>
      <c r="P754" s="6" t="s">
        <v>999</v>
      </c>
      <c r="Q754" s="6">
        <v>1247860927</v>
      </c>
      <c r="R754" s="16"/>
      <c r="S754" s="6">
        <v>2</v>
      </c>
      <c r="T754" s="6"/>
      <c r="U754" s="6" t="s">
        <v>39</v>
      </c>
      <c r="V754" s="17">
        <v>45244</v>
      </c>
      <c r="W754" s="16"/>
    </row>
    <row r="755" spans="1:23" customFormat="1">
      <c r="A755">
        <f t="shared" ca="1" si="12"/>
        <v>42423</v>
      </c>
      <c r="B755" s="104" t="s">
        <v>148</v>
      </c>
      <c r="C755" s="16">
        <v>2022</v>
      </c>
      <c r="D755" s="6" t="s">
        <v>129</v>
      </c>
      <c r="E755" s="6" t="s">
        <v>3665</v>
      </c>
      <c r="F755" s="6"/>
      <c r="G755" s="6" t="s">
        <v>102</v>
      </c>
      <c r="H755" s="49" t="s">
        <v>149</v>
      </c>
      <c r="I755" s="49" t="s">
        <v>150</v>
      </c>
      <c r="J755" s="6" t="s">
        <v>151</v>
      </c>
      <c r="K755" s="6" t="str">
        <f>IF(E755="KTG","KTG",(VLOOKUP(J755,'list of outsource'!B:H,2,0)))</f>
        <v>UPM</v>
      </c>
      <c r="L755" s="6" t="s">
        <v>152</v>
      </c>
      <c r="M755" s="6"/>
      <c r="N755" s="6" t="s">
        <v>153</v>
      </c>
      <c r="O755" s="2" t="s">
        <v>3687</v>
      </c>
      <c r="P755" s="6" t="s">
        <v>154</v>
      </c>
      <c r="Q755" s="6"/>
      <c r="R755" s="16"/>
      <c r="S755" s="6">
        <v>2</v>
      </c>
      <c r="T755" s="6"/>
      <c r="U755" s="6" t="s">
        <v>39</v>
      </c>
      <c r="V755" s="17">
        <v>44445</v>
      </c>
      <c r="W755" s="16"/>
    </row>
    <row r="756" spans="1:23" customFormat="1" hidden="1">
      <c r="A756">
        <f t="shared" ca="1" si="12"/>
        <v>134</v>
      </c>
      <c r="B756" s="8" t="s">
        <v>1005</v>
      </c>
      <c r="C756" s="16">
        <v>45110</v>
      </c>
      <c r="D756" s="6" t="s">
        <v>129</v>
      </c>
      <c r="E756" s="6" t="s">
        <v>3662</v>
      </c>
      <c r="F756" s="6"/>
      <c r="G756" s="6" t="s">
        <v>86</v>
      </c>
      <c r="H756" s="6" t="s">
        <v>926</v>
      </c>
      <c r="I756" s="6" t="s">
        <v>1006</v>
      </c>
      <c r="J756" s="6" t="s">
        <v>928</v>
      </c>
      <c r="K756" s="6" t="str">
        <f>IF(E756="KTG","KTG",(VLOOKUP(J756,'list of outsource'!B:H,2,0)))</f>
        <v>ETC</v>
      </c>
      <c r="L756" s="6" t="s">
        <v>929</v>
      </c>
      <c r="M756" s="6">
        <v>12</v>
      </c>
      <c r="N756" s="49" t="s">
        <v>1007</v>
      </c>
      <c r="O756" s="2"/>
      <c r="P756" s="6" t="s">
        <v>1008</v>
      </c>
      <c r="Q756" s="6">
        <v>1247862323</v>
      </c>
      <c r="R756" s="16"/>
      <c r="S756" s="6">
        <v>2</v>
      </c>
      <c r="T756" s="6"/>
      <c r="U756" s="6" t="s">
        <v>39</v>
      </c>
      <c r="V756" s="17">
        <v>45244</v>
      </c>
      <c r="W756" s="16"/>
    </row>
    <row r="757" spans="1:23" customFormat="1">
      <c r="A757">
        <f t="shared" ca="1" si="12"/>
        <v>42774</v>
      </c>
      <c r="B757" s="49" t="s">
        <v>378</v>
      </c>
      <c r="C757" s="12">
        <v>2022</v>
      </c>
      <c r="D757" s="4" t="s">
        <v>156</v>
      </c>
      <c r="E757" s="4" t="s">
        <v>3665</v>
      </c>
      <c r="F757" s="4"/>
      <c r="G757" s="106" t="s">
        <v>102</v>
      </c>
      <c r="H757" s="106" t="s">
        <v>379</v>
      </c>
      <c r="I757" s="49" t="s">
        <v>380</v>
      </c>
      <c r="J757" s="4" t="s">
        <v>151</v>
      </c>
      <c r="K757" s="4" t="str">
        <f>IF(E757="KTG","KTG",(VLOOKUP(J757,'list of outsource'!B:H,2,0)))</f>
        <v>UPM</v>
      </c>
      <c r="L757" s="4" t="s">
        <v>381</v>
      </c>
      <c r="M757" s="4"/>
      <c r="N757" s="4" t="s">
        <v>382</v>
      </c>
      <c r="O757" s="2" t="s">
        <v>3687</v>
      </c>
      <c r="P757" s="4" t="s">
        <v>383</v>
      </c>
      <c r="Q757" s="4"/>
      <c r="R757" s="12"/>
      <c r="S757" s="4">
        <v>2</v>
      </c>
      <c r="T757" s="4"/>
      <c r="U757" s="4" t="s">
        <v>39</v>
      </c>
      <c r="V757" s="10">
        <v>44796</v>
      </c>
      <c r="W757" s="12">
        <v>44804</v>
      </c>
    </row>
    <row r="758" spans="1:23" customFormat="1" hidden="1">
      <c r="A758">
        <f t="shared" ca="1" si="12"/>
        <v>898</v>
      </c>
      <c r="B758" s="4" t="s">
        <v>937</v>
      </c>
      <c r="C758" s="12">
        <v>45110</v>
      </c>
      <c r="D758" s="4"/>
      <c r="E758" s="4"/>
      <c r="F758" s="4"/>
      <c r="G758" s="4" t="s">
        <v>86</v>
      </c>
      <c r="H758" s="4" t="s">
        <v>926</v>
      </c>
      <c r="I758" s="4" t="s">
        <v>938</v>
      </c>
      <c r="J758" s="4" t="s">
        <v>490</v>
      </c>
      <c r="K758" s="4" t="str">
        <f>IF(E758="KTG","KTG",(VLOOKUP(J758,'list of outsource'!B:H,2,0)))</f>
        <v>ETC</v>
      </c>
      <c r="L758" s="4" t="s">
        <v>491</v>
      </c>
      <c r="M758" s="4"/>
      <c r="N758" s="49" t="s">
        <v>939</v>
      </c>
      <c r="O758" s="2"/>
      <c r="P758" s="4" t="s">
        <v>940</v>
      </c>
      <c r="Q758" s="4"/>
      <c r="R758" s="12"/>
      <c r="S758" s="4"/>
      <c r="T758" s="4"/>
      <c r="U758" s="4"/>
      <c r="V758" s="10"/>
      <c r="W758" s="12"/>
    </row>
    <row r="759" spans="1:23" customFormat="1" hidden="1">
      <c r="A759">
        <f t="shared" ca="1" si="12"/>
        <v>898</v>
      </c>
      <c r="B759" s="4" t="s">
        <v>941</v>
      </c>
      <c r="C759" s="12">
        <v>45110</v>
      </c>
      <c r="D759" s="4"/>
      <c r="E759" s="4"/>
      <c r="F759" s="4"/>
      <c r="G759" s="4" t="s">
        <v>86</v>
      </c>
      <c r="H759" s="4" t="s">
        <v>926</v>
      </c>
      <c r="I759" s="4" t="s">
        <v>942</v>
      </c>
      <c r="J759" s="4" t="s">
        <v>840</v>
      </c>
      <c r="K759" s="4" t="str">
        <f>IF(E759="KTG","KTG",(VLOOKUP(J759,'list of outsource'!B:H,2,0)))</f>
        <v>ETC</v>
      </c>
      <c r="L759" s="4" t="s">
        <v>841</v>
      </c>
      <c r="M759" s="4"/>
      <c r="N759" s="49" t="s">
        <v>943</v>
      </c>
      <c r="O759" s="2"/>
      <c r="P759" s="4" t="s">
        <v>944</v>
      </c>
      <c r="Q759" s="4"/>
      <c r="R759" s="12"/>
      <c r="S759" s="4"/>
      <c r="T759" s="4"/>
      <c r="U759" s="4"/>
      <c r="V759" s="10"/>
      <c r="W759" s="12"/>
    </row>
    <row r="760" spans="1:23" customFormat="1" hidden="1">
      <c r="A760">
        <f t="shared" ca="1" si="12"/>
        <v>134</v>
      </c>
      <c r="B760" s="8" t="s">
        <v>1014</v>
      </c>
      <c r="C760" s="16">
        <v>45110</v>
      </c>
      <c r="D760" s="6" t="s">
        <v>129</v>
      </c>
      <c r="E760" s="6" t="s">
        <v>3662</v>
      </c>
      <c r="F760" s="6"/>
      <c r="G760" s="6" t="s">
        <v>86</v>
      </c>
      <c r="H760" s="6" t="s">
        <v>926</v>
      </c>
      <c r="I760" s="6" t="s">
        <v>1015</v>
      </c>
      <c r="J760" s="6" t="s">
        <v>955</v>
      </c>
      <c r="K760" s="6" t="str">
        <f>IF(E760="KTG","KTG",(VLOOKUP(J760,'list of outsource'!B:H,2,0)))</f>
        <v>ETC</v>
      </c>
      <c r="L760" s="6" t="s">
        <v>956</v>
      </c>
      <c r="M760" s="6">
        <v>5</v>
      </c>
      <c r="N760" s="49" t="s">
        <v>1016</v>
      </c>
      <c r="O760" s="2"/>
      <c r="P760" s="6" t="s">
        <v>1017</v>
      </c>
      <c r="Q760" s="6">
        <v>1248122574</v>
      </c>
      <c r="R760" s="16"/>
      <c r="S760" s="6">
        <v>2</v>
      </c>
      <c r="T760" s="6"/>
      <c r="U760" s="6" t="s">
        <v>39</v>
      </c>
      <c r="V760" s="17">
        <v>45244</v>
      </c>
      <c r="W760" s="16"/>
    </row>
    <row r="761" spans="1:23" customFormat="1" hidden="1">
      <c r="A761">
        <f t="shared" ca="1" si="12"/>
        <v>134</v>
      </c>
      <c r="B761" s="8" t="s">
        <v>1018</v>
      </c>
      <c r="C761" s="16">
        <v>45110</v>
      </c>
      <c r="D761" s="6" t="s">
        <v>129</v>
      </c>
      <c r="E761" s="6" t="s">
        <v>3662</v>
      </c>
      <c r="F761" s="6"/>
      <c r="G761" s="6" t="s">
        <v>86</v>
      </c>
      <c r="H761" s="6" t="s">
        <v>926</v>
      </c>
      <c r="I761" s="6" t="s">
        <v>1019</v>
      </c>
      <c r="J761" s="6" t="s">
        <v>1020</v>
      </c>
      <c r="K761" s="6" t="str">
        <f>IF(E761="KTG","KTG",(VLOOKUP(J761,'list of outsource'!B:H,2,0)))</f>
        <v>ETC</v>
      </c>
      <c r="L761" s="6" t="s">
        <v>1021</v>
      </c>
      <c r="M761" s="6">
        <v>4</v>
      </c>
      <c r="N761" s="49" t="s">
        <v>1022</v>
      </c>
      <c r="O761" s="2"/>
      <c r="P761" s="6" t="s">
        <v>1023</v>
      </c>
      <c r="Q761" s="6" t="s">
        <v>1024</v>
      </c>
      <c r="R761" s="16"/>
      <c r="S761" s="6">
        <v>2</v>
      </c>
      <c r="T761" s="6"/>
      <c r="U761" s="6" t="s">
        <v>39</v>
      </c>
      <c r="V761" s="17">
        <v>45244</v>
      </c>
      <c r="W761" s="16"/>
    </row>
    <row r="762" spans="1:23" customFormat="1" hidden="1">
      <c r="A762">
        <f t="shared" ca="1" si="12"/>
        <v>134</v>
      </c>
      <c r="B762" s="8" t="s">
        <v>1025</v>
      </c>
      <c r="C762" s="16">
        <v>45110</v>
      </c>
      <c r="D762" s="6" t="s">
        <v>129</v>
      </c>
      <c r="E762" s="6" t="s">
        <v>3662</v>
      </c>
      <c r="F762" s="6"/>
      <c r="G762" s="6" t="s">
        <v>86</v>
      </c>
      <c r="H762" s="6" t="s">
        <v>926</v>
      </c>
      <c r="I762" s="6" t="s">
        <v>1026</v>
      </c>
      <c r="J762" s="6" t="s">
        <v>490</v>
      </c>
      <c r="K762" s="6" t="str">
        <f>IF(E762="KTG","KTG",(VLOOKUP(J762,'list of outsource'!B:H,2,0)))</f>
        <v>ETC</v>
      </c>
      <c r="L762" s="6" t="s">
        <v>491</v>
      </c>
      <c r="M762" s="6">
        <v>19</v>
      </c>
      <c r="N762" s="49" t="s">
        <v>1027</v>
      </c>
      <c r="O762" s="2"/>
      <c r="P762" s="6" t="s">
        <v>1028</v>
      </c>
      <c r="Q762" s="6">
        <v>1262270553</v>
      </c>
      <c r="R762" s="16"/>
      <c r="S762" s="6">
        <v>2</v>
      </c>
      <c r="T762" s="6"/>
      <c r="U762" s="6" t="s">
        <v>39</v>
      </c>
      <c r="V762" s="17">
        <v>45244</v>
      </c>
      <c r="W762" s="16"/>
    </row>
    <row r="763" spans="1:23" customFormat="1">
      <c r="A763">
        <f t="shared" ca="1" si="12"/>
        <v>42754</v>
      </c>
      <c r="B763" s="49" t="s">
        <v>384</v>
      </c>
      <c r="C763" s="12">
        <v>2022</v>
      </c>
      <c r="D763" s="4" t="s">
        <v>156</v>
      </c>
      <c r="E763" s="4" t="s">
        <v>3665</v>
      </c>
      <c r="F763" s="4"/>
      <c r="G763" s="106" t="s">
        <v>102</v>
      </c>
      <c r="H763" s="106" t="s">
        <v>379</v>
      </c>
      <c r="I763" s="49" t="s">
        <v>385</v>
      </c>
      <c r="J763" s="4" t="s">
        <v>232</v>
      </c>
      <c r="K763" s="4" t="str">
        <f>IF(E763="KTG","KTG",(VLOOKUP(J763,'list of outsource'!B:H,2,0)))</f>
        <v>UPM</v>
      </c>
      <c r="L763" s="4" t="s">
        <v>233</v>
      </c>
      <c r="M763" s="4"/>
      <c r="N763" s="4" t="s">
        <v>386</v>
      </c>
      <c r="O763" s="2" t="s">
        <v>3687</v>
      </c>
      <c r="P763" s="4" t="s">
        <v>387</v>
      </c>
      <c r="Q763" s="4"/>
      <c r="R763" s="12"/>
      <c r="S763" s="4">
        <v>2</v>
      </c>
      <c r="T763" s="4"/>
      <c r="U763" s="4" t="s">
        <v>39</v>
      </c>
      <c r="V763" s="10">
        <v>44776</v>
      </c>
      <c r="W763" s="12">
        <v>44781</v>
      </c>
    </row>
    <row r="764" spans="1:23" customFormat="1" hidden="1">
      <c r="A764">
        <f t="shared" ca="1" si="12"/>
        <v>898</v>
      </c>
      <c r="B764" s="4" t="s">
        <v>963</v>
      </c>
      <c r="C764" s="12">
        <v>45110</v>
      </c>
      <c r="D764" s="4"/>
      <c r="E764" s="4"/>
      <c r="F764" s="4"/>
      <c r="G764" s="4" t="s">
        <v>86</v>
      </c>
      <c r="H764" s="4" t="s">
        <v>926</v>
      </c>
      <c r="I764" s="4" t="s">
        <v>964</v>
      </c>
      <c r="J764" s="4" t="s">
        <v>490</v>
      </c>
      <c r="K764" s="4" t="str">
        <f>IF(E764="KTG","KTG",(VLOOKUP(J764,'list of outsource'!B:H,2,0)))</f>
        <v>ETC</v>
      </c>
      <c r="L764" s="4" t="s">
        <v>491</v>
      </c>
      <c r="M764" s="4"/>
      <c r="N764" s="49" t="s">
        <v>965</v>
      </c>
      <c r="O764" s="2"/>
      <c r="P764" s="4" t="s">
        <v>966</v>
      </c>
      <c r="Q764" s="4"/>
      <c r="R764" s="12"/>
      <c r="S764" s="4"/>
      <c r="T764" s="4"/>
      <c r="U764" s="4"/>
      <c r="V764" s="10"/>
      <c r="W764" s="12"/>
    </row>
    <row r="765" spans="1:23" customFormat="1" hidden="1">
      <c r="A765">
        <f t="shared" ca="1" si="12"/>
        <v>134</v>
      </c>
      <c r="B765" s="8" t="s">
        <v>1033</v>
      </c>
      <c r="C765" s="16">
        <v>45110</v>
      </c>
      <c r="D765" s="6" t="s">
        <v>129</v>
      </c>
      <c r="E765" s="6" t="s">
        <v>3662</v>
      </c>
      <c r="F765" s="6"/>
      <c r="G765" s="6" t="s">
        <v>86</v>
      </c>
      <c r="H765" s="6" t="s">
        <v>926</v>
      </c>
      <c r="I765" s="6" t="s">
        <v>1034</v>
      </c>
      <c r="J765" s="6" t="s">
        <v>928</v>
      </c>
      <c r="K765" s="6" t="str">
        <f>IF(E765="KTG","KTG",(VLOOKUP(J765,'list of outsource'!B:H,2,0)))</f>
        <v>ETC</v>
      </c>
      <c r="L765" s="6" t="s">
        <v>929</v>
      </c>
      <c r="M765" s="6">
        <v>12</v>
      </c>
      <c r="N765" s="49" t="s">
        <v>1035</v>
      </c>
      <c r="O765" s="2"/>
      <c r="P765" s="6" t="s">
        <v>1036</v>
      </c>
      <c r="Q765" s="6">
        <v>1247853281</v>
      </c>
      <c r="R765" s="16"/>
      <c r="S765" s="6">
        <v>2</v>
      </c>
      <c r="T765" s="6"/>
      <c r="U765" s="6" t="s">
        <v>39</v>
      </c>
      <c r="V765" s="17">
        <v>45244</v>
      </c>
      <c r="W765" s="16"/>
    </row>
    <row r="766" spans="1:23" customFormat="1">
      <c r="A766">
        <f t="shared" ca="1" si="12"/>
        <v>42754</v>
      </c>
      <c r="B766" s="49" t="s">
        <v>388</v>
      </c>
      <c r="C766" s="12">
        <v>2022</v>
      </c>
      <c r="D766" s="4" t="s">
        <v>156</v>
      </c>
      <c r="E766" s="4" t="s">
        <v>3665</v>
      </c>
      <c r="F766" s="4"/>
      <c r="G766" s="106" t="s">
        <v>102</v>
      </c>
      <c r="H766" s="106" t="s">
        <v>379</v>
      </c>
      <c r="I766" s="49" t="s">
        <v>389</v>
      </c>
      <c r="J766" s="4" t="s">
        <v>232</v>
      </c>
      <c r="K766" s="4" t="str">
        <f>IF(E766="KTG","KTG",(VLOOKUP(J766,'list of outsource'!B:H,2,0)))</f>
        <v>UPM</v>
      </c>
      <c r="L766" s="4" t="s">
        <v>233</v>
      </c>
      <c r="M766" s="4"/>
      <c r="N766" s="4" t="s">
        <v>390</v>
      </c>
      <c r="O766" s="2" t="s">
        <v>3687</v>
      </c>
      <c r="P766" s="4" t="s">
        <v>391</v>
      </c>
      <c r="Q766" s="4"/>
      <c r="R766" s="12"/>
      <c r="S766" s="4">
        <v>2</v>
      </c>
      <c r="T766" s="4"/>
      <c r="U766" s="4" t="s">
        <v>39</v>
      </c>
      <c r="V766" s="10">
        <v>44776</v>
      </c>
      <c r="W766" s="12">
        <v>44781</v>
      </c>
    </row>
    <row r="767" spans="1:23" customFormat="1">
      <c r="A767">
        <f t="shared" ca="1" si="12"/>
        <v>42774</v>
      </c>
      <c r="B767" s="49" t="s">
        <v>392</v>
      </c>
      <c r="C767" s="12">
        <v>2022</v>
      </c>
      <c r="D767" s="4" t="s">
        <v>156</v>
      </c>
      <c r="E767" s="4" t="s">
        <v>3665</v>
      </c>
      <c r="F767" s="4"/>
      <c r="G767" s="106" t="s">
        <v>102</v>
      </c>
      <c r="H767" s="106" t="s">
        <v>379</v>
      </c>
      <c r="I767" s="49" t="s">
        <v>393</v>
      </c>
      <c r="J767" s="4" t="s">
        <v>394</v>
      </c>
      <c r="K767" s="4" t="str">
        <f>IF(E767="KTG","KTG",(VLOOKUP(J767,'list of outsource'!B:H,2,0)))</f>
        <v>UPM</v>
      </c>
      <c r="L767" s="4" t="s">
        <v>395</v>
      </c>
      <c r="M767" s="4"/>
      <c r="N767" s="4" t="s">
        <v>396</v>
      </c>
      <c r="O767" s="2" t="s">
        <v>3687</v>
      </c>
      <c r="P767" s="4" t="s">
        <v>397</v>
      </c>
      <c r="Q767" s="4"/>
      <c r="R767" s="12"/>
      <c r="S767" s="4">
        <v>2</v>
      </c>
      <c r="T767" s="4"/>
      <c r="U767" s="4" t="s">
        <v>39</v>
      </c>
      <c r="V767" s="10">
        <v>44796</v>
      </c>
      <c r="W767" s="12">
        <v>44804</v>
      </c>
    </row>
    <row r="768" spans="1:23" customFormat="1" hidden="1">
      <c r="A768">
        <f t="shared" ca="1" si="12"/>
        <v>134</v>
      </c>
      <c r="B768" s="8" t="s">
        <v>1037</v>
      </c>
      <c r="C768" s="16">
        <v>45110</v>
      </c>
      <c r="D768" s="6" t="s">
        <v>129</v>
      </c>
      <c r="E768" s="6" t="s">
        <v>3662</v>
      </c>
      <c r="F768" s="6"/>
      <c r="G768" s="6" t="s">
        <v>86</v>
      </c>
      <c r="H768" s="6" t="s">
        <v>926</v>
      </c>
      <c r="I768" s="6" t="s">
        <v>1038</v>
      </c>
      <c r="J768" s="6" t="s">
        <v>955</v>
      </c>
      <c r="K768" s="6" t="str">
        <f>IF(E768="KTG","KTG",(VLOOKUP(J768,'list of outsource'!B:H,2,0)))</f>
        <v>ETC</v>
      </c>
      <c r="L768" s="6" t="s">
        <v>956</v>
      </c>
      <c r="M768" s="6">
        <v>5</v>
      </c>
      <c r="N768" s="49" t="s">
        <v>1039</v>
      </c>
      <c r="O768" s="2"/>
      <c r="P768" s="6" t="s">
        <v>1040</v>
      </c>
      <c r="Q768" s="6">
        <v>1263021294</v>
      </c>
      <c r="R768" s="16"/>
      <c r="S768" s="6">
        <v>2</v>
      </c>
      <c r="T768" s="6"/>
      <c r="U768" s="6" t="s">
        <v>39</v>
      </c>
      <c r="V768" s="17">
        <v>45244</v>
      </c>
      <c r="W768" s="16"/>
    </row>
    <row r="769" spans="1:26" customFormat="1" hidden="1">
      <c r="A769">
        <f t="shared" ca="1" si="12"/>
        <v>134</v>
      </c>
      <c r="B769" s="8" t="s">
        <v>1041</v>
      </c>
      <c r="C769" s="16">
        <v>45110</v>
      </c>
      <c r="D769" s="6" t="s">
        <v>129</v>
      </c>
      <c r="E769" s="6" t="s">
        <v>3662</v>
      </c>
      <c r="F769" s="6"/>
      <c r="G769" s="6" t="s">
        <v>86</v>
      </c>
      <c r="H769" s="6" t="s">
        <v>926</v>
      </c>
      <c r="I769" s="6" t="s">
        <v>1042</v>
      </c>
      <c r="J769" s="6" t="s">
        <v>840</v>
      </c>
      <c r="K769" s="6" t="str">
        <f>IF(E769="KTG","KTG",(VLOOKUP(J769,'list of outsource'!B:H,2,0)))</f>
        <v>ETC</v>
      </c>
      <c r="L769" s="6" t="s">
        <v>841</v>
      </c>
      <c r="M769" s="6">
        <v>16</v>
      </c>
      <c r="N769" s="49" t="s">
        <v>1043</v>
      </c>
      <c r="O769" s="2"/>
      <c r="P769" s="6" t="s">
        <v>1044</v>
      </c>
      <c r="Q769" s="6">
        <v>1263497316</v>
      </c>
      <c r="R769" s="16"/>
      <c r="S769" s="6">
        <v>2</v>
      </c>
      <c r="T769" s="6"/>
      <c r="U769" s="6" t="s">
        <v>39</v>
      </c>
      <c r="V769" s="17">
        <v>45244</v>
      </c>
      <c r="W769" s="16"/>
    </row>
    <row r="770" spans="1:26" customFormat="1">
      <c r="A770">
        <f t="shared" ca="1" si="12"/>
        <v>42774</v>
      </c>
      <c r="B770" s="49" t="s">
        <v>398</v>
      </c>
      <c r="C770" s="12">
        <v>2022</v>
      </c>
      <c r="D770" s="4" t="s">
        <v>156</v>
      </c>
      <c r="E770" s="4" t="s">
        <v>3665</v>
      </c>
      <c r="F770" s="4"/>
      <c r="G770" s="106" t="s">
        <v>102</v>
      </c>
      <c r="H770" s="106" t="s">
        <v>379</v>
      </c>
      <c r="I770" s="49" t="s">
        <v>399</v>
      </c>
      <c r="J770" s="4" t="s">
        <v>394</v>
      </c>
      <c r="K770" s="4" t="str">
        <f>IF(E770="KTG","KTG",(VLOOKUP(J770,'list of outsource'!B:H,2,0)))</f>
        <v>UPM</v>
      </c>
      <c r="L770" s="4" t="s">
        <v>395</v>
      </c>
      <c r="M770" s="4"/>
      <c r="N770" s="4" t="s">
        <v>400</v>
      </c>
      <c r="O770" s="2" t="s">
        <v>3687</v>
      </c>
      <c r="P770" s="4" t="s">
        <v>401</v>
      </c>
      <c r="Q770" s="4"/>
      <c r="R770" s="12"/>
      <c r="S770" s="4">
        <v>2</v>
      </c>
      <c r="T770" s="4"/>
      <c r="U770" s="4" t="s">
        <v>39</v>
      </c>
      <c r="V770" s="10">
        <v>44796</v>
      </c>
      <c r="W770" s="12">
        <v>44804</v>
      </c>
    </row>
    <row r="771" spans="1:26" customFormat="1" hidden="1">
      <c r="A771">
        <f t="shared" ca="1" si="12"/>
        <v>0</v>
      </c>
      <c r="B771" s="8" t="s">
        <v>1062</v>
      </c>
      <c r="C771" s="16">
        <v>45121</v>
      </c>
      <c r="D771" s="6" t="s">
        <v>129</v>
      </c>
      <c r="E771" s="6" t="s">
        <v>3664</v>
      </c>
      <c r="F771" s="6">
        <v>4348</v>
      </c>
      <c r="G771" s="6" t="s">
        <v>1063</v>
      </c>
      <c r="H771" s="6" t="s">
        <v>146</v>
      </c>
      <c r="I771" s="6">
        <v>300010</v>
      </c>
      <c r="J771" s="6" t="s">
        <v>455</v>
      </c>
      <c r="K771" s="6" t="e">
        <f>IF(E771="KTG","KTG",(VLOOKUP(J771,'list of outsource'!B:H,2,0)))</f>
        <v>#N/A</v>
      </c>
      <c r="L771" s="6" t="s">
        <v>638</v>
      </c>
      <c r="M771" s="6"/>
      <c r="N771" s="6" t="s">
        <v>455</v>
      </c>
      <c r="O771" s="2"/>
      <c r="P771" s="6" t="s">
        <v>456</v>
      </c>
      <c r="Q771" s="6">
        <v>1239431468</v>
      </c>
      <c r="R771" s="16"/>
      <c r="S771" s="6">
        <v>2</v>
      </c>
      <c r="T771" s="6"/>
      <c r="U771" s="6" t="s">
        <v>39</v>
      </c>
      <c r="V771" s="17">
        <v>45121</v>
      </c>
      <c r="W771" s="16"/>
      <c r="Z771" t="e">
        <v>#N/A</v>
      </c>
    </row>
    <row r="772" spans="1:26" customFormat="1" hidden="1">
      <c r="A772">
        <f t="shared" ca="1" si="12"/>
        <v>28</v>
      </c>
      <c r="B772" s="4" t="s">
        <v>3366</v>
      </c>
      <c r="C772" s="12">
        <v>45902</v>
      </c>
      <c r="D772" s="4" t="s">
        <v>300</v>
      </c>
      <c r="E772" s="4" t="s">
        <v>3662</v>
      </c>
      <c r="F772" s="4">
        <v>4729</v>
      </c>
      <c r="G772" s="4" t="s">
        <v>1101</v>
      </c>
      <c r="H772" s="4" t="s">
        <v>34</v>
      </c>
      <c r="I772" s="4">
        <v>61219</v>
      </c>
      <c r="J772" s="4" t="s">
        <v>3084</v>
      </c>
      <c r="K772" s="4" t="str">
        <f>IF(E772="KTG","KTG",(VLOOKUP(J772,'list of outsource'!B:H,2,0)))</f>
        <v>ETC</v>
      </c>
      <c r="L772" s="4" t="s">
        <v>3085</v>
      </c>
      <c r="M772" s="4">
        <v>7</v>
      </c>
      <c r="N772" s="4" t="s">
        <v>3086</v>
      </c>
      <c r="O772" s="2"/>
      <c r="P772" s="4" t="s">
        <v>3087</v>
      </c>
      <c r="Q772" s="4" t="s">
        <v>3346</v>
      </c>
      <c r="R772" s="12">
        <v>45912</v>
      </c>
      <c r="S772" s="4">
        <v>3</v>
      </c>
      <c r="T772" s="4" t="s">
        <v>1258</v>
      </c>
      <c r="U772" s="4" t="s">
        <v>39</v>
      </c>
      <c r="V772" s="10">
        <v>45930</v>
      </c>
      <c r="W772" s="12">
        <v>45957</v>
      </c>
    </row>
    <row r="773" spans="1:26" customFormat="1">
      <c r="A773">
        <f t="shared" ca="1" si="12"/>
        <v>42774</v>
      </c>
      <c r="B773" s="49" t="s">
        <v>402</v>
      </c>
      <c r="C773" s="12">
        <v>2022</v>
      </c>
      <c r="D773" s="4" t="s">
        <v>156</v>
      </c>
      <c r="E773" s="4" t="s">
        <v>3665</v>
      </c>
      <c r="F773" s="4"/>
      <c r="G773" s="106" t="s">
        <v>102</v>
      </c>
      <c r="H773" s="106" t="s">
        <v>379</v>
      </c>
      <c r="I773" s="49" t="s">
        <v>403</v>
      </c>
      <c r="J773" s="4" t="s">
        <v>394</v>
      </c>
      <c r="K773" s="4" t="str">
        <f>IF(E773="KTG","KTG",(VLOOKUP(J773,'list of outsource'!B:H,2,0)))</f>
        <v>UPM</v>
      </c>
      <c r="L773" s="4" t="s">
        <v>395</v>
      </c>
      <c r="M773" s="4"/>
      <c r="N773" s="4" t="s">
        <v>404</v>
      </c>
      <c r="O773" s="2" t="s">
        <v>3687</v>
      </c>
      <c r="P773" s="4" t="s">
        <v>405</v>
      </c>
      <c r="Q773" s="4"/>
      <c r="R773" s="12"/>
      <c r="S773" s="4">
        <v>2</v>
      </c>
      <c r="T773" s="4"/>
      <c r="U773" s="4" t="s">
        <v>39</v>
      </c>
      <c r="V773" s="10">
        <v>44796</v>
      </c>
      <c r="W773" s="12">
        <v>44804</v>
      </c>
    </row>
    <row r="774" spans="1:26" customFormat="1">
      <c r="A774">
        <f t="shared" ca="1" si="12"/>
        <v>6250</v>
      </c>
      <c r="B774" s="49" t="s">
        <v>406</v>
      </c>
      <c r="C774" s="12">
        <v>38546</v>
      </c>
      <c r="D774" s="4" t="s">
        <v>156</v>
      </c>
      <c r="E774" s="4" t="s">
        <v>3665</v>
      </c>
      <c r="F774" s="4"/>
      <c r="G774" s="106" t="s">
        <v>102</v>
      </c>
      <c r="H774" s="106" t="s">
        <v>379</v>
      </c>
      <c r="I774" s="49" t="s">
        <v>407</v>
      </c>
      <c r="J774" s="4" t="s">
        <v>408</v>
      </c>
      <c r="K774" s="4" t="str">
        <f>IF(E774="KTG","KTG",(VLOOKUP(J774,'list of outsource'!B:H,2,0)))</f>
        <v>UPM</v>
      </c>
      <c r="L774" s="4" t="s">
        <v>409</v>
      </c>
      <c r="M774" s="4"/>
      <c r="N774" s="4" t="s">
        <v>410</v>
      </c>
      <c r="O774" s="2" t="s">
        <v>3687</v>
      </c>
      <c r="P774" s="4" t="s">
        <v>411</v>
      </c>
      <c r="Q774" s="4"/>
      <c r="R774" s="12"/>
      <c r="S774" s="4">
        <v>2</v>
      </c>
      <c r="T774" s="4"/>
      <c r="U774" s="4" t="s">
        <v>39</v>
      </c>
      <c r="V774" s="10">
        <v>44796</v>
      </c>
      <c r="W774" s="12">
        <v>44804</v>
      </c>
    </row>
    <row r="775" spans="1:26" customFormat="1" hidden="1">
      <c r="A775">
        <f t="shared" ca="1" si="12"/>
        <v>28</v>
      </c>
      <c r="B775" s="4" t="s">
        <v>1605</v>
      </c>
      <c r="C775" s="12">
        <v>45351</v>
      </c>
      <c r="D775" s="4" t="s">
        <v>300</v>
      </c>
      <c r="E775" s="4" t="s">
        <v>3662</v>
      </c>
      <c r="F775" s="4">
        <v>4726</v>
      </c>
      <c r="G775" s="4" t="s">
        <v>1101</v>
      </c>
      <c r="H775" s="4" t="s">
        <v>34</v>
      </c>
      <c r="I775" s="4">
        <v>57225</v>
      </c>
      <c r="J775" s="4" t="s">
        <v>490</v>
      </c>
      <c r="K775" s="4" t="str">
        <f>IF(E775="KTG","KTG",(VLOOKUP(J775,'list of outsource'!B:H,2,0)))</f>
        <v>ETC</v>
      </c>
      <c r="L775" s="4" t="s">
        <v>491</v>
      </c>
      <c r="M775" s="4">
        <v>22</v>
      </c>
      <c r="N775" s="4" t="s">
        <v>1606</v>
      </c>
      <c r="O775" s="2"/>
      <c r="P775" s="4" t="s">
        <v>1607</v>
      </c>
      <c r="Q775" s="4">
        <v>1313989235</v>
      </c>
      <c r="R775" s="12">
        <v>45373</v>
      </c>
      <c r="S775" s="4">
        <v>4</v>
      </c>
      <c r="T775" s="4" t="s">
        <v>1258</v>
      </c>
      <c r="U775" s="4" t="s">
        <v>39</v>
      </c>
      <c r="V775" s="10">
        <v>45379</v>
      </c>
      <c r="W775" s="12">
        <v>45869</v>
      </c>
      <c r="Z775" t="e">
        <v>#N/A</v>
      </c>
    </row>
    <row r="776" spans="1:26" customFormat="1" hidden="1">
      <c r="A776">
        <f t="shared" ref="A776:A839" ca="1" si="13">IF(V776="",(TODAY()-C776),(V776-C776))</f>
        <v>28</v>
      </c>
      <c r="B776" s="8" t="s">
        <v>1605</v>
      </c>
      <c r="C776" s="16">
        <v>45854</v>
      </c>
      <c r="D776" s="6" t="s">
        <v>129</v>
      </c>
      <c r="E776" s="6" t="s">
        <v>3662</v>
      </c>
      <c r="F776" s="6">
        <v>4726</v>
      </c>
      <c r="G776" s="6" t="s">
        <v>1101</v>
      </c>
      <c r="H776" s="6" t="s">
        <v>34</v>
      </c>
      <c r="I776" s="6">
        <v>57225</v>
      </c>
      <c r="J776" s="6" t="s">
        <v>490</v>
      </c>
      <c r="K776" s="6" t="str">
        <f>IF(E776="KTG","KTG",(VLOOKUP(J776,'list of outsource'!B:H,2,0)))</f>
        <v>ETC</v>
      </c>
      <c r="L776" s="6" t="s">
        <v>491</v>
      </c>
      <c r="M776" s="6">
        <v>34</v>
      </c>
      <c r="N776" s="6" t="s">
        <v>1606</v>
      </c>
      <c r="O776" s="2"/>
      <c r="P776" s="6" t="s">
        <v>1607</v>
      </c>
      <c r="Q776" s="6" t="s">
        <v>2897</v>
      </c>
      <c r="R776" s="16">
        <v>45373</v>
      </c>
      <c r="S776" s="6">
        <v>4</v>
      </c>
      <c r="T776" s="6" t="s">
        <v>1258</v>
      </c>
      <c r="U776" s="6" t="s">
        <v>39</v>
      </c>
      <c r="V776" s="17">
        <v>45882</v>
      </c>
      <c r="W776" s="16"/>
    </row>
    <row r="777" spans="1:26" customFormat="1" hidden="1">
      <c r="A777">
        <f t="shared" ca="1" si="13"/>
        <v>28</v>
      </c>
      <c r="B777" s="4" t="s">
        <v>1608</v>
      </c>
      <c r="C777" s="12">
        <v>45351</v>
      </c>
      <c r="D777" s="4" t="s">
        <v>300</v>
      </c>
      <c r="E777" s="4" t="s">
        <v>3662</v>
      </c>
      <c r="F777" s="4">
        <v>4728</v>
      </c>
      <c r="G777" s="4" t="s">
        <v>1101</v>
      </c>
      <c r="H777" s="4" t="s">
        <v>34</v>
      </c>
      <c r="I777" s="4">
        <v>57226</v>
      </c>
      <c r="J777" s="4" t="s">
        <v>490</v>
      </c>
      <c r="K777" s="4" t="str">
        <f>IF(E777="KTG","KTG",(VLOOKUP(J777,'list of outsource'!B:H,2,0)))</f>
        <v>ETC</v>
      </c>
      <c r="L777" s="4" t="s">
        <v>491</v>
      </c>
      <c r="M777" s="4">
        <v>22</v>
      </c>
      <c r="N777" s="4" t="s">
        <v>1609</v>
      </c>
      <c r="O777" s="2"/>
      <c r="P777" s="4" t="s">
        <v>1610</v>
      </c>
      <c r="Q777" s="4">
        <v>1313992454</v>
      </c>
      <c r="R777" s="12">
        <v>45373</v>
      </c>
      <c r="S777" s="4">
        <v>4</v>
      </c>
      <c r="T777" s="4" t="s">
        <v>1258</v>
      </c>
      <c r="U777" s="4" t="s">
        <v>39</v>
      </c>
      <c r="V777" s="10">
        <v>45379</v>
      </c>
      <c r="W777" s="12">
        <v>45869</v>
      </c>
      <c r="Z777" t="s">
        <v>1611</v>
      </c>
    </row>
    <row r="778" spans="1:26" customFormat="1" hidden="1">
      <c r="A778">
        <f t="shared" ca="1" si="13"/>
        <v>28</v>
      </c>
      <c r="B778" s="8" t="s">
        <v>1608</v>
      </c>
      <c r="C778" s="16">
        <v>45854</v>
      </c>
      <c r="D778" s="6" t="s">
        <v>129</v>
      </c>
      <c r="E778" s="6" t="s">
        <v>3662</v>
      </c>
      <c r="F778" s="6">
        <v>4728</v>
      </c>
      <c r="G778" s="6" t="s">
        <v>1101</v>
      </c>
      <c r="H778" s="6" t="s">
        <v>34</v>
      </c>
      <c r="I778" s="6">
        <v>57226</v>
      </c>
      <c r="J778" s="6" t="s">
        <v>490</v>
      </c>
      <c r="K778" s="6" t="str">
        <f>IF(E778="KTG","KTG",(VLOOKUP(J778,'list of outsource'!B:H,2,0)))</f>
        <v>ETC</v>
      </c>
      <c r="L778" s="6" t="s">
        <v>491</v>
      </c>
      <c r="M778" s="6">
        <v>34</v>
      </c>
      <c r="N778" s="6" t="s">
        <v>1609</v>
      </c>
      <c r="O778" s="2"/>
      <c r="P778" s="6" t="s">
        <v>1610</v>
      </c>
      <c r="Q778" s="6" t="s">
        <v>2898</v>
      </c>
      <c r="R778" s="16">
        <v>45373</v>
      </c>
      <c r="S778" s="6">
        <v>4</v>
      </c>
      <c r="T778" s="6" t="s">
        <v>1258</v>
      </c>
      <c r="U778" s="6" t="s">
        <v>39</v>
      </c>
      <c r="V778" s="17">
        <v>45882</v>
      </c>
      <c r="W778" s="16"/>
    </row>
    <row r="779" spans="1:26" customFormat="1" hidden="1">
      <c r="A779">
        <f t="shared" ca="1" si="13"/>
        <v>0</v>
      </c>
      <c r="B779" s="4" t="s">
        <v>2481</v>
      </c>
      <c r="C779" s="12">
        <v>45790</v>
      </c>
      <c r="D779" s="4" t="s">
        <v>156</v>
      </c>
      <c r="E779" s="4" t="s">
        <v>3663</v>
      </c>
      <c r="F779" s="4">
        <v>4722</v>
      </c>
      <c r="G779" s="4" t="s">
        <v>1101</v>
      </c>
      <c r="H779" s="4" t="s">
        <v>34</v>
      </c>
      <c r="I779" s="4">
        <v>51203</v>
      </c>
      <c r="J779" s="4"/>
      <c r="K779" s="4" t="e">
        <f>IF(E779="KTG","KTG",(VLOOKUP(J779,'list of outsource'!B:H,2,0)))</f>
        <v>#N/A</v>
      </c>
      <c r="L779" s="4"/>
      <c r="M779" s="4"/>
      <c r="N779" s="4" t="s">
        <v>2482</v>
      </c>
      <c r="O779" s="2"/>
      <c r="P779" s="4" t="s">
        <v>2483</v>
      </c>
      <c r="Q779" s="4"/>
      <c r="R779" s="12"/>
      <c r="S779" s="4">
        <v>4</v>
      </c>
      <c r="T779" s="4" t="s">
        <v>307</v>
      </c>
      <c r="U779" s="4" t="s">
        <v>39</v>
      </c>
      <c r="V779" s="10">
        <v>45790</v>
      </c>
      <c r="W779" s="12">
        <v>44616</v>
      </c>
      <c r="X779" t="s">
        <v>2171</v>
      </c>
      <c r="Z779" t="e">
        <v>#N/A</v>
      </c>
    </row>
    <row r="780" spans="1:26" customFormat="1" hidden="1">
      <c r="A780">
        <f t="shared" ca="1" si="13"/>
        <v>75</v>
      </c>
      <c r="B780" s="8" t="s">
        <v>1110</v>
      </c>
      <c r="C780" s="16">
        <v>45149</v>
      </c>
      <c r="D780" s="6" t="s">
        <v>129</v>
      </c>
      <c r="E780" s="6" t="s">
        <v>3663</v>
      </c>
      <c r="F780" s="6">
        <v>4664</v>
      </c>
      <c r="G780" s="6" t="s">
        <v>1111</v>
      </c>
      <c r="H780" s="6"/>
      <c r="I780" s="6" t="s">
        <v>1112</v>
      </c>
      <c r="J780" s="6"/>
      <c r="K780" s="6" t="e">
        <f>IF(E780="KTG","KTG",(VLOOKUP(J780,'list of outsource'!B:H,2,0)))</f>
        <v>#N/A</v>
      </c>
      <c r="L780" s="6"/>
      <c r="M780" s="6"/>
      <c r="N780" s="6" t="s">
        <v>2231</v>
      </c>
      <c r="O780" s="2"/>
      <c r="P780" s="6" t="s">
        <v>1113</v>
      </c>
      <c r="Q780" s="6"/>
      <c r="R780" s="16"/>
      <c r="S780" s="6">
        <v>4</v>
      </c>
      <c r="T780" s="6"/>
      <c r="U780" s="6" t="s">
        <v>39</v>
      </c>
      <c r="V780" s="17">
        <v>45224</v>
      </c>
      <c r="W780" s="16"/>
    </row>
    <row r="781" spans="1:26" customFormat="1" hidden="1">
      <c r="A781">
        <f t="shared" ca="1" si="13"/>
        <v>36</v>
      </c>
      <c r="B781" s="8" t="s">
        <v>1110</v>
      </c>
      <c r="C781" s="16">
        <v>45666</v>
      </c>
      <c r="D781" s="6" t="s">
        <v>129</v>
      </c>
      <c r="E781" s="6" t="s">
        <v>3663</v>
      </c>
      <c r="F781" s="6">
        <v>4664</v>
      </c>
      <c r="G781" s="6" t="s">
        <v>1111</v>
      </c>
      <c r="H781" s="6" t="s">
        <v>34</v>
      </c>
      <c r="I781" s="6" t="s">
        <v>1112</v>
      </c>
      <c r="J781" s="6"/>
      <c r="K781" s="6" t="e">
        <f>IF(E781="KTG","KTG",(VLOOKUP(J781,'list of outsource'!B:H,2,0)))</f>
        <v>#N/A</v>
      </c>
      <c r="L781" s="6"/>
      <c r="M781" s="6"/>
      <c r="N781" s="6" t="s">
        <v>2231</v>
      </c>
      <c r="O781" s="2"/>
      <c r="P781" s="6" t="s">
        <v>1113</v>
      </c>
      <c r="Q781" s="6"/>
      <c r="R781" s="16"/>
      <c r="S781" s="6">
        <v>1</v>
      </c>
      <c r="T781" s="6" t="s">
        <v>307</v>
      </c>
      <c r="U781" s="6" t="s">
        <v>550</v>
      </c>
      <c r="V781" s="17">
        <v>45702</v>
      </c>
      <c r="W781" s="16"/>
      <c r="Z781" t="e">
        <v>#N/A</v>
      </c>
    </row>
    <row r="782" spans="1:26" customFormat="1" hidden="1">
      <c r="A782">
        <f t="shared" ca="1" si="13"/>
        <v>75</v>
      </c>
      <c r="B782" s="8" t="s">
        <v>1114</v>
      </c>
      <c r="C782" s="16">
        <v>45149</v>
      </c>
      <c r="D782" s="6" t="s">
        <v>129</v>
      </c>
      <c r="E782" s="6" t="s">
        <v>3663</v>
      </c>
      <c r="F782" s="6">
        <v>4665</v>
      </c>
      <c r="G782" s="6" t="s">
        <v>1111</v>
      </c>
      <c r="H782" s="6"/>
      <c r="I782" s="6" t="s">
        <v>1115</v>
      </c>
      <c r="J782" s="6"/>
      <c r="K782" s="6" t="e">
        <f>IF(E782="KTG","KTG",(VLOOKUP(J782,'list of outsource'!B:H,2,0)))</f>
        <v>#N/A</v>
      </c>
      <c r="L782" s="6"/>
      <c r="M782" s="6"/>
      <c r="N782" s="6" t="s">
        <v>2232</v>
      </c>
      <c r="O782" s="2"/>
      <c r="P782" s="6" t="s">
        <v>1116</v>
      </c>
      <c r="Q782" s="6"/>
      <c r="R782" s="16"/>
      <c r="S782" s="6">
        <v>4</v>
      </c>
      <c r="T782" s="6"/>
      <c r="U782" s="6" t="s">
        <v>39</v>
      </c>
      <c r="V782" s="17">
        <v>45224</v>
      </c>
      <c r="W782" s="16"/>
    </row>
    <row r="783" spans="1:26" customFormat="1" hidden="1">
      <c r="A783">
        <f t="shared" ca="1" si="13"/>
        <v>36</v>
      </c>
      <c r="B783" s="8" t="s">
        <v>1114</v>
      </c>
      <c r="C783" s="16">
        <v>45666</v>
      </c>
      <c r="D783" s="6" t="s">
        <v>129</v>
      </c>
      <c r="E783" s="6" t="s">
        <v>3663</v>
      </c>
      <c r="F783" s="6">
        <v>4665</v>
      </c>
      <c r="G783" s="6" t="s">
        <v>1111</v>
      </c>
      <c r="H783" s="6" t="s">
        <v>34</v>
      </c>
      <c r="I783" s="6" t="s">
        <v>1115</v>
      </c>
      <c r="J783" s="6"/>
      <c r="K783" s="6" t="e">
        <f>IF(E783="KTG","KTG",(VLOOKUP(J783,'list of outsource'!B:H,2,0)))</f>
        <v>#N/A</v>
      </c>
      <c r="L783" s="6"/>
      <c r="M783" s="6"/>
      <c r="N783" s="6" t="s">
        <v>2232</v>
      </c>
      <c r="O783" s="2"/>
      <c r="P783" s="6" t="s">
        <v>2233</v>
      </c>
      <c r="Q783" s="6"/>
      <c r="R783" s="16"/>
      <c r="S783" s="6">
        <v>1</v>
      </c>
      <c r="T783" s="6" t="s">
        <v>307</v>
      </c>
      <c r="U783" s="6" t="s">
        <v>550</v>
      </c>
      <c r="V783" s="17">
        <v>45702</v>
      </c>
      <c r="W783" s="16"/>
      <c r="Z783" t="e">
        <v>#N/A</v>
      </c>
    </row>
    <row r="784" spans="1:26" customFormat="1" hidden="1">
      <c r="A784">
        <f t="shared" ca="1" si="13"/>
        <v>39</v>
      </c>
      <c r="B784" s="8" t="s">
        <v>2234</v>
      </c>
      <c r="C784" s="16">
        <v>45666</v>
      </c>
      <c r="D784" s="6" t="s">
        <v>129</v>
      </c>
      <c r="E784" s="6" t="s">
        <v>3663</v>
      </c>
      <c r="F784" s="6"/>
      <c r="G784" s="6" t="s">
        <v>1111</v>
      </c>
      <c r="H784" s="6" t="s">
        <v>34</v>
      </c>
      <c r="I784" s="6" t="s">
        <v>2235</v>
      </c>
      <c r="J784" s="6"/>
      <c r="K784" s="6" t="e">
        <f>IF(E784="KTG","KTG",(VLOOKUP(J784,'list of outsource'!B:H,2,0)))</f>
        <v>#N/A</v>
      </c>
      <c r="L784" s="6"/>
      <c r="M784" s="6"/>
      <c r="N784" s="49" t="s">
        <v>2236</v>
      </c>
      <c r="O784" s="2"/>
      <c r="P784" s="6" t="s">
        <v>2237</v>
      </c>
      <c r="Q784" s="6"/>
      <c r="R784" s="16"/>
      <c r="S784" s="6">
        <v>1</v>
      </c>
      <c r="T784" s="6" t="s">
        <v>307</v>
      </c>
      <c r="U784" s="6" t="s">
        <v>550</v>
      </c>
      <c r="V784" s="17">
        <v>45705</v>
      </c>
      <c r="W784" s="16"/>
      <c r="Z784" t="e">
        <v>#N/A</v>
      </c>
    </row>
    <row r="785" spans="1:26" customFormat="1">
      <c r="A785">
        <f t="shared" ca="1" si="13"/>
        <v>6250</v>
      </c>
      <c r="B785" s="49" t="s">
        <v>412</v>
      </c>
      <c r="C785" s="12">
        <v>38546</v>
      </c>
      <c r="D785" s="4" t="s">
        <v>156</v>
      </c>
      <c r="E785" s="4" t="s">
        <v>3665</v>
      </c>
      <c r="F785" s="4"/>
      <c r="G785" s="106" t="s">
        <v>102</v>
      </c>
      <c r="H785" s="106" t="s">
        <v>379</v>
      </c>
      <c r="I785" s="49" t="s">
        <v>413</v>
      </c>
      <c r="J785" s="4" t="s">
        <v>108</v>
      </c>
      <c r="K785" s="4" t="str">
        <f>IF(E785="KTG","KTG",(VLOOKUP(J785,'list of outsource'!B:H,2,0)))</f>
        <v>UPM</v>
      </c>
      <c r="L785" s="4" t="s">
        <v>109</v>
      </c>
      <c r="M785" s="4"/>
      <c r="N785" s="4" t="s">
        <v>171</v>
      </c>
      <c r="O785" s="2" t="s">
        <v>3687</v>
      </c>
      <c r="P785" s="4" t="s">
        <v>414</v>
      </c>
      <c r="Q785" s="4"/>
      <c r="R785" s="12"/>
      <c r="S785" s="4">
        <v>2</v>
      </c>
      <c r="T785" s="4"/>
      <c r="U785" s="4" t="s">
        <v>39</v>
      </c>
      <c r="V785" s="10">
        <v>44796</v>
      </c>
      <c r="W785" s="12">
        <v>44804</v>
      </c>
    </row>
    <row r="786" spans="1:26" customFormat="1">
      <c r="A786">
        <f t="shared" ca="1" si="13"/>
        <v>29</v>
      </c>
      <c r="B786" s="104" t="s">
        <v>3386</v>
      </c>
      <c r="C786" s="12">
        <v>45959</v>
      </c>
      <c r="D786" s="4" t="s">
        <v>300</v>
      </c>
      <c r="E786" s="4" t="s">
        <v>3665</v>
      </c>
      <c r="F786" s="4"/>
      <c r="G786" s="106" t="s">
        <v>102</v>
      </c>
      <c r="H786" s="106" t="s">
        <v>379</v>
      </c>
      <c r="I786" s="105" t="s">
        <v>538</v>
      </c>
      <c r="J786" s="4" t="s">
        <v>151</v>
      </c>
      <c r="K786" s="4" t="str">
        <f>IF(E786="KTG","KTG",(VLOOKUP(J786,'list of outsource'!B:H,2,0)))</f>
        <v>UPM</v>
      </c>
      <c r="L786" s="4" t="s">
        <v>381</v>
      </c>
      <c r="M786" s="47">
        <v>28</v>
      </c>
      <c r="N786" s="105" t="s">
        <v>3381</v>
      </c>
      <c r="O786" s="2" t="s">
        <v>3687</v>
      </c>
      <c r="P786" s="4" t="s">
        <v>3382</v>
      </c>
      <c r="Q786" s="4" t="s">
        <v>3525</v>
      </c>
      <c r="R786" s="12">
        <v>45974</v>
      </c>
      <c r="S786" s="4">
        <v>3</v>
      </c>
      <c r="T786" s="4" t="s">
        <v>1465</v>
      </c>
      <c r="U786" s="4" t="s">
        <v>39</v>
      </c>
      <c r="V786" s="10">
        <v>45988</v>
      </c>
      <c r="W786" s="12">
        <v>45994</v>
      </c>
    </row>
    <row r="787" spans="1:26" customFormat="1">
      <c r="A787">
        <f t="shared" ca="1" si="13"/>
        <v>29</v>
      </c>
      <c r="B787" s="104" t="s">
        <v>3392</v>
      </c>
      <c r="C787" s="12">
        <v>45959</v>
      </c>
      <c r="D787" s="4" t="s">
        <v>300</v>
      </c>
      <c r="E787" s="4" t="s">
        <v>3665</v>
      </c>
      <c r="F787" s="4"/>
      <c r="G787" s="106" t="s">
        <v>102</v>
      </c>
      <c r="H787" s="106" t="s">
        <v>379</v>
      </c>
      <c r="I787" s="105" t="s">
        <v>727</v>
      </c>
      <c r="J787" s="4" t="s">
        <v>151</v>
      </c>
      <c r="K787" s="4" t="str">
        <f>IF(E787="KTG","KTG",(VLOOKUP(J787,'list of outsource'!B:H,2,0)))</f>
        <v>UPM</v>
      </c>
      <c r="L787" s="4" t="s">
        <v>381</v>
      </c>
      <c r="M787" s="47">
        <v>28</v>
      </c>
      <c r="N787" s="105" t="s">
        <v>3393</v>
      </c>
      <c r="O787" s="2" t="s">
        <v>3687</v>
      </c>
      <c r="P787" s="4" t="s">
        <v>3394</v>
      </c>
      <c r="Q787" s="4" t="s">
        <v>3528</v>
      </c>
      <c r="R787" s="12">
        <v>45974</v>
      </c>
      <c r="S787" s="4">
        <v>3</v>
      </c>
      <c r="T787" s="4" t="s">
        <v>1465</v>
      </c>
      <c r="U787" s="4" t="s">
        <v>39</v>
      </c>
      <c r="V787" s="10">
        <v>45988</v>
      </c>
      <c r="W787" s="12">
        <v>45994</v>
      </c>
    </row>
    <row r="788" spans="1:26" customFormat="1">
      <c r="A788">
        <f t="shared" ca="1" si="13"/>
        <v>29</v>
      </c>
      <c r="B788" s="104" t="s">
        <v>3380</v>
      </c>
      <c r="C788" s="12">
        <v>45959</v>
      </c>
      <c r="D788" s="4" t="s">
        <v>300</v>
      </c>
      <c r="E788" s="4" t="s">
        <v>3665</v>
      </c>
      <c r="F788" s="4"/>
      <c r="G788" s="106" t="s">
        <v>102</v>
      </c>
      <c r="H788" s="106" t="s">
        <v>379</v>
      </c>
      <c r="I788" s="105" t="s">
        <v>801</v>
      </c>
      <c r="J788" s="4" t="s">
        <v>108</v>
      </c>
      <c r="K788" s="4" t="str">
        <f>IF(E788="KTG","KTG",(VLOOKUP(J788,'list of outsource'!B:H,2,0)))</f>
        <v>UPM</v>
      </c>
      <c r="L788" s="4" t="s">
        <v>109</v>
      </c>
      <c r="M788" s="47">
        <v>47</v>
      </c>
      <c r="N788" s="105" t="s">
        <v>3378</v>
      </c>
      <c r="O788" s="2" t="s">
        <v>3687</v>
      </c>
      <c r="P788" s="4" t="s">
        <v>3379</v>
      </c>
      <c r="Q788" s="4" t="s">
        <v>3524</v>
      </c>
      <c r="R788" s="12">
        <v>45974</v>
      </c>
      <c r="S788" s="4">
        <v>3</v>
      </c>
      <c r="T788" s="4" t="s">
        <v>1465</v>
      </c>
      <c r="U788" s="4" t="s">
        <v>39</v>
      </c>
      <c r="V788" s="10">
        <v>45988</v>
      </c>
      <c r="W788" s="12">
        <v>45994</v>
      </c>
    </row>
    <row r="789" spans="1:26" customFormat="1">
      <c r="A789">
        <f t="shared" ca="1" si="13"/>
        <v>29</v>
      </c>
      <c r="B789" s="104" t="s">
        <v>3387</v>
      </c>
      <c r="C789" s="12">
        <v>45959</v>
      </c>
      <c r="D789" s="4" t="s">
        <v>300</v>
      </c>
      <c r="E789" s="4" t="s">
        <v>3665</v>
      </c>
      <c r="F789" s="4"/>
      <c r="G789" s="106" t="s">
        <v>102</v>
      </c>
      <c r="H789" s="106" t="s">
        <v>379</v>
      </c>
      <c r="I789" s="105" t="s">
        <v>546</v>
      </c>
      <c r="J789" s="4" t="s">
        <v>151</v>
      </c>
      <c r="K789" s="4" t="str">
        <f>IF(E789="KTG","KTG",(VLOOKUP(J789,'list of outsource'!B:H,2,0)))</f>
        <v>UPM</v>
      </c>
      <c r="L789" s="4" t="s">
        <v>381</v>
      </c>
      <c r="M789" s="47">
        <v>28</v>
      </c>
      <c r="N789" s="105" t="s">
        <v>3385</v>
      </c>
      <c r="O789" s="2" t="s">
        <v>3687</v>
      </c>
      <c r="P789" s="4" t="s">
        <v>3388</v>
      </c>
      <c r="Q789" s="4" t="s">
        <v>3526</v>
      </c>
      <c r="R789" s="12">
        <v>45974</v>
      </c>
      <c r="S789" s="4">
        <v>3</v>
      </c>
      <c r="T789" s="4" t="s">
        <v>1465</v>
      </c>
      <c r="U789" s="4" t="s">
        <v>39</v>
      </c>
      <c r="V789" s="10">
        <v>45988</v>
      </c>
      <c r="W789" s="12">
        <v>45994</v>
      </c>
    </row>
    <row r="790" spans="1:26" customFormat="1">
      <c r="A790">
        <f t="shared" ca="1" si="13"/>
        <v>29</v>
      </c>
      <c r="B790" s="104" t="s">
        <v>3377</v>
      </c>
      <c r="C790" s="12">
        <v>45959</v>
      </c>
      <c r="D790" s="4" t="s">
        <v>300</v>
      </c>
      <c r="E790" s="4" t="s">
        <v>3665</v>
      </c>
      <c r="F790" s="4"/>
      <c r="G790" s="106" t="s">
        <v>102</v>
      </c>
      <c r="H790" s="106" t="s">
        <v>379</v>
      </c>
      <c r="I790" s="105" t="s">
        <v>656</v>
      </c>
      <c r="J790" s="4" t="s">
        <v>108</v>
      </c>
      <c r="K790" s="4" t="str">
        <f>IF(E790="KTG","KTG",(VLOOKUP(J790,'list of outsource'!B:H,2,0)))</f>
        <v>UPM</v>
      </c>
      <c r="L790" s="4" t="s">
        <v>109</v>
      </c>
      <c r="M790" s="47">
        <v>47</v>
      </c>
      <c r="N790" s="105" t="s">
        <v>3376</v>
      </c>
      <c r="O790" s="2" t="s">
        <v>3687</v>
      </c>
      <c r="P790" s="4" t="s">
        <v>3375</v>
      </c>
      <c r="Q790" s="4" t="s">
        <v>3523</v>
      </c>
      <c r="R790" s="12">
        <v>45974</v>
      </c>
      <c r="S790" s="4">
        <v>3</v>
      </c>
      <c r="T790" s="4" t="s">
        <v>1465</v>
      </c>
      <c r="U790" s="4" t="s">
        <v>39</v>
      </c>
      <c r="V790" s="10">
        <v>45988</v>
      </c>
      <c r="W790" s="12">
        <v>45994</v>
      </c>
    </row>
    <row r="791" spans="1:26" customFormat="1">
      <c r="A791">
        <f t="shared" ca="1" si="13"/>
        <v>29</v>
      </c>
      <c r="B791" s="104" t="s">
        <v>3389</v>
      </c>
      <c r="C791" s="12">
        <v>45959</v>
      </c>
      <c r="D791" s="4" t="s">
        <v>300</v>
      </c>
      <c r="E791" s="4" t="s">
        <v>3665</v>
      </c>
      <c r="F791" s="4"/>
      <c r="G791" s="106" t="s">
        <v>102</v>
      </c>
      <c r="H791" s="106" t="s">
        <v>379</v>
      </c>
      <c r="I791" s="105" t="s">
        <v>867</v>
      </c>
      <c r="J791" s="4" t="s">
        <v>108</v>
      </c>
      <c r="K791" s="4" t="str">
        <f>IF(E791="KTG","KTG",(VLOOKUP(J791,'list of outsource'!B:H,2,0)))</f>
        <v>UPM</v>
      </c>
      <c r="L791" s="4" t="s">
        <v>109</v>
      </c>
      <c r="M791" s="47">
        <v>47</v>
      </c>
      <c r="N791" s="105" t="s">
        <v>3390</v>
      </c>
      <c r="O791" s="2" t="s">
        <v>3687</v>
      </c>
      <c r="P791" s="4" t="s">
        <v>3391</v>
      </c>
      <c r="Q791" s="4" t="s">
        <v>3527</v>
      </c>
      <c r="R791" s="12">
        <v>45974</v>
      </c>
      <c r="S791" s="4">
        <v>3</v>
      </c>
      <c r="T791" s="4" t="s">
        <v>1465</v>
      </c>
      <c r="U791" s="4" t="s">
        <v>39</v>
      </c>
      <c r="V791" s="10">
        <v>45988</v>
      </c>
      <c r="W791" s="12">
        <v>45994</v>
      </c>
    </row>
    <row r="792" spans="1:26" customFormat="1">
      <c r="A792">
        <f t="shared" ca="1" si="13"/>
        <v>48</v>
      </c>
      <c r="B792" s="104" t="s">
        <v>3118</v>
      </c>
      <c r="C792" s="16">
        <v>45932</v>
      </c>
      <c r="D792" s="6" t="s">
        <v>129</v>
      </c>
      <c r="E792" s="6" t="s">
        <v>3662</v>
      </c>
      <c r="F792" s="6"/>
      <c r="G792" s="106" t="s">
        <v>102</v>
      </c>
      <c r="H792" s="106" t="s">
        <v>379</v>
      </c>
      <c r="I792" s="49" t="s">
        <v>3119</v>
      </c>
      <c r="J792" s="6" t="s">
        <v>2885</v>
      </c>
      <c r="K792" s="6" t="str">
        <f>IF(E792="KTG","KTG",(VLOOKUP(J792,'list of outsource'!B:H,2,0)))</f>
        <v>ETC</v>
      </c>
      <c r="L792" s="6" t="s">
        <v>2886</v>
      </c>
      <c r="M792" s="6">
        <v>6</v>
      </c>
      <c r="N792" s="6" t="s">
        <v>3120</v>
      </c>
      <c r="O792" s="2" t="s">
        <v>3687</v>
      </c>
      <c r="P792" s="6" t="s">
        <v>3121</v>
      </c>
      <c r="Q792" s="6" t="s">
        <v>3454</v>
      </c>
      <c r="R792" s="16">
        <v>45971</v>
      </c>
      <c r="S792" s="6">
        <v>3</v>
      </c>
      <c r="T792" s="6" t="s">
        <v>1465</v>
      </c>
      <c r="U792" s="6" t="s">
        <v>39</v>
      </c>
      <c r="V792" s="17">
        <v>45980</v>
      </c>
      <c r="W792" s="16"/>
    </row>
    <row r="793" spans="1:26" customFormat="1">
      <c r="A793">
        <f t="shared" ca="1" si="13"/>
        <v>35</v>
      </c>
      <c r="B793" s="104" t="s">
        <v>3347</v>
      </c>
      <c r="C793" s="12">
        <v>45953</v>
      </c>
      <c r="D793" s="4" t="s">
        <v>300</v>
      </c>
      <c r="E793" s="4" t="s">
        <v>3665</v>
      </c>
      <c r="F793" s="4"/>
      <c r="G793" s="106" t="s">
        <v>102</v>
      </c>
      <c r="H793" s="106" t="s">
        <v>379</v>
      </c>
      <c r="I793" s="105" t="s">
        <v>413</v>
      </c>
      <c r="J793" s="4" t="s">
        <v>108</v>
      </c>
      <c r="K793" s="4" t="str">
        <f>IF(E793="KTG","KTG",(VLOOKUP(J793,'list of outsource'!B:H,2,0)))</f>
        <v>UPM</v>
      </c>
      <c r="L793" s="4" t="s">
        <v>109</v>
      </c>
      <c r="M793" s="47">
        <v>47</v>
      </c>
      <c r="N793" s="105" t="s">
        <v>3383</v>
      </c>
      <c r="O793" s="2" t="s">
        <v>3687</v>
      </c>
      <c r="P793" s="4" t="s">
        <v>3384</v>
      </c>
      <c r="Q793" s="4" t="s">
        <v>3521</v>
      </c>
      <c r="R793" s="12">
        <v>45974</v>
      </c>
      <c r="S793" s="4">
        <v>3</v>
      </c>
      <c r="T793" s="4" t="s">
        <v>1465</v>
      </c>
      <c r="U793" s="4" t="s">
        <v>39</v>
      </c>
      <c r="V793" s="10">
        <v>45988</v>
      </c>
      <c r="W793" s="12">
        <v>45994</v>
      </c>
    </row>
    <row r="794" spans="1:26" customFormat="1">
      <c r="A794">
        <f t="shared" ca="1" si="13"/>
        <v>29</v>
      </c>
      <c r="B794" s="104" t="s">
        <v>3372</v>
      </c>
      <c r="C794" s="12">
        <v>45959</v>
      </c>
      <c r="D794" s="4" t="s">
        <v>300</v>
      </c>
      <c r="E794" s="4" t="s">
        <v>3665</v>
      </c>
      <c r="F794" s="4"/>
      <c r="G794" s="106" t="s">
        <v>102</v>
      </c>
      <c r="H794" s="106" t="s">
        <v>379</v>
      </c>
      <c r="I794" s="105" t="s">
        <v>407</v>
      </c>
      <c r="J794" s="4" t="s">
        <v>408</v>
      </c>
      <c r="K794" s="4" t="str">
        <f>IF(E794="KTG","KTG",(VLOOKUP(J794,'list of outsource'!B:H,2,0)))</f>
        <v>UPM</v>
      </c>
      <c r="L794" s="4" t="s">
        <v>409</v>
      </c>
      <c r="M794" s="47">
        <v>25</v>
      </c>
      <c r="N794" s="105" t="s">
        <v>3374</v>
      </c>
      <c r="O794" s="2" t="s">
        <v>3687</v>
      </c>
      <c r="P794" s="4" t="s">
        <v>3373</v>
      </c>
      <c r="Q794" s="4" t="s">
        <v>3522</v>
      </c>
      <c r="R794" s="12">
        <v>45974</v>
      </c>
      <c r="S794" s="4">
        <v>3</v>
      </c>
      <c r="T794" s="4" t="s">
        <v>1465</v>
      </c>
      <c r="U794" s="4" t="s">
        <v>39</v>
      </c>
      <c r="V794" s="10">
        <v>45988</v>
      </c>
      <c r="W794" s="12">
        <v>45994</v>
      </c>
    </row>
    <row r="795" spans="1:26" customFormat="1">
      <c r="A795">
        <f t="shared" ca="1" si="13"/>
        <v>0</v>
      </c>
      <c r="B795" s="104" t="s">
        <v>555</v>
      </c>
      <c r="C795" s="10">
        <v>44944</v>
      </c>
      <c r="D795" s="4" t="s">
        <v>449</v>
      </c>
      <c r="E795" s="4" t="s">
        <v>3665</v>
      </c>
      <c r="F795" s="4"/>
      <c r="G795" s="106" t="s">
        <v>102</v>
      </c>
      <c r="H795" s="107" t="s">
        <v>379</v>
      </c>
      <c r="I795" s="49" t="s">
        <v>556</v>
      </c>
      <c r="J795" s="4" t="s">
        <v>96</v>
      </c>
      <c r="K795" s="4" t="str">
        <f>IF(E795="KTG","KTG",(VLOOKUP(J795,'list of outsource'!B:H,2,0)))</f>
        <v>Woer</v>
      </c>
      <c r="L795" s="4" t="s">
        <v>97</v>
      </c>
      <c r="M795" s="4"/>
      <c r="N795" s="4" t="s">
        <v>147</v>
      </c>
      <c r="O795" s="2" t="s">
        <v>3687</v>
      </c>
      <c r="P795" s="4" t="s">
        <v>557</v>
      </c>
      <c r="Q795" s="4">
        <v>1189552960</v>
      </c>
      <c r="R795" s="12"/>
      <c r="S795" s="4"/>
      <c r="T795" s="4"/>
      <c r="U795" s="9" t="s">
        <v>451</v>
      </c>
      <c r="V795" s="10">
        <v>44944</v>
      </c>
      <c r="W795" s="12"/>
      <c r="Z795" t="e">
        <v>#N/A</v>
      </c>
    </row>
    <row r="796" spans="1:26" customFormat="1">
      <c r="A796">
        <f t="shared" ca="1" si="13"/>
        <v>34</v>
      </c>
      <c r="B796" s="49" t="s">
        <v>866</v>
      </c>
      <c r="C796" s="12">
        <v>45058</v>
      </c>
      <c r="D796" s="4" t="s">
        <v>504</v>
      </c>
      <c r="E796" s="4" t="s">
        <v>3665</v>
      </c>
      <c r="F796" s="4"/>
      <c r="G796" s="106" t="s">
        <v>102</v>
      </c>
      <c r="H796" s="106" t="s">
        <v>379</v>
      </c>
      <c r="I796" s="49" t="s">
        <v>867</v>
      </c>
      <c r="J796" s="4" t="s">
        <v>108</v>
      </c>
      <c r="K796" s="4" t="str">
        <f>IF(E796="KTG","KTG",(VLOOKUP(J796,'list of outsource'!B:H,2,0)))</f>
        <v>UPM</v>
      </c>
      <c r="L796" s="4" t="s">
        <v>109</v>
      </c>
      <c r="M796" s="4"/>
      <c r="N796" s="4" t="s">
        <v>868</v>
      </c>
      <c r="O796" s="2" t="s">
        <v>3687</v>
      </c>
      <c r="P796" s="4" t="s">
        <v>869</v>
      </c>
      <c r="Q796" s="4">
        <v>1231574852</v>
      </c>
      <c r="R796" s="12"/>
      <c r="S796" s="4">
        <v>2</v>
      </c>
      <c r="T796" s="4"/>
      <c r="U796" s="4" t="s">
        <v>39</v>
      </c>
      <c r="V796" s="10">
        <v>45092</v>
      </c>
      <c r="W796" s="12">
        <v>45172</v>
      </c>
      <c r="Z796" t="e">
        <v>#N/A</v>
      </c>
    </row>
    <row r="797" spans="1:26" customFormat="1">
      <c r="A797">
        <f t="shared" ca="1" si="13"/>
        <v>50</v>
      </c>
      <c r="B797" s="8" t="s">
        <v>898</v>
      </c>
      <c r="C797" s="16">
        <v>45082</v>
      </c>
      <c r="D797" s="6" t="s">
        <v>129</v>
      </c>
      <c r="E797" s="6" t="s">
        <v>3665</v>
      </c>
      <c r="F797" s="6"/>
      <c r="G797" s="106" t="s">
        <v>102</v>
      </c>
      <c r="H797" s="106" t="s">
        <v>379</v>
      </c>
      <c r="I797" s="49" t="s">
        <v>899</v>
      </c>
      <c r="J797" s="6" t="s">
        <v>96</v>
      </c>
      <c r="K797" s="6" t="str">
        <f>IF(E797="KTG","KTG",(VLOOKUP(J797,'list of outsource'!B:H,2,0)))</f>
        <v>Woer</v>
      </c>
      <c r="L797" s="6" t="s">
        <v>97</v>
      </c>
      <c r="M797" s="6"/>
      <c r="N797" s="6" t="s">
        <v>900</v>
      </c>
      <c r="O797" s="2" t="s">
        <v>3687</v>
      </c>
      <c r="P797" s="6" t="s">
        <v>901</v>
      </c>
      <c r="Q797" s="6">
        <v>1242596483</v>
      </c>
      <c r="R797" s="16"/>
      <c r="S797" s="6">
        <v>2</v>
      </c>
      <c r="T797" s="6"/>
      <c r="U797" s="6" t="s">
        <v>39</v>
      </c>
      <c r="V797" s="17">
        <v>45132</v>
      </c>
      <c r="W797" s="16"/>
      <c r="Z797" t="e">
        <v>#N/A</v>
      </c>
    </row>
    <row r="798" spans="1:26" customFormat="1">
      <c r="A798">
        <f t="shared" ca="1" si="13"/>
        <v>52</v>
      </c>
      <c r="B798" s="4" t="s">
        <v>1384</v>
      </c>
      <c r="C798" s="12">
        <v>45244</v>
      </c>
      <c r="D798" s="4" t="s">
        <v>1070</v>
      </c>
      <c r="E798" s="4" t="s">
        <v>3665</v>
      </c>
      <c r="F798" s="4"/>
      <c r="G798" s="106" t="s">
        <v>102</v>
      </c>
      <c r="H798" s="106" t="s">
        <v>379</v>
      </c>
      <c r="I798" s="49" t="s">
        <v>1385</v>
      </c>
      <c r="J798" s="4" t="s">
        <v>408</v>
      </c>
      <c r="K798" s="4" t="str">
        <f>IF(E798="KTG","KTG",(VLOOKUP(J798,'list of outsource'!B:H,2,0)))</f>
        <v>UPM</v>
      </c>
      <c r="L798" s="4" t="s">
        <v>409</v>
      </c>
      <c r="M798" s="4">
        <v>17</v>
      </c>
      <c r="N798" s="4" t="s">
        <v>1386</v>
      </c>
      <c r="O798" s="2" t="s">
        <v>3687</v>
      </c>
      <c r="P798" s="4" t="s">
        <v>1387</v>
      </c>
      <c r="Q798" s="4">
        <v>1287011679</v>
      </c>
      <c r="R798" s="12" t="s">
        <v>549</v>
      </c>
      <c r="S798" s="4">
        <v>4</v>
      </c>
      <c r="T798" s="4"/>
      <c r="U798" s="4" t="s">
        <v>39</v>
      </c>
      <c r="V798" s="10">
        <v>45296</v>
      </c>
      <c r="W798" s="12">
        <v>45299</v>
      </c>
      <c r="Z798" t="e">
        <v>#N/A</v>
      </c>
    </row>
    <row r="799" spans="1:26" customFormat="1">
      <c r="A799">
        <f t="shared" ca="1" si="13"/>
        <v>35</v>
      </c>
      <c r="B799" s="49" t="s">
        <v>1659</v>
      </c>
      <c r="C799" s="12">
        <v>45408</v>
      </c>
      <c r="D799" s="4" t="s">
        <v>1070</v>
      </c>
      <c r="E799" s="4" t="s">
        <v>3665</v>
      </c>
      <c r="F799" s="4"/>
      <c r="G799" s="106" t="s">
        <v>102</v>
      </c>
      <c r="H799" s="106" t="s">
        <v>379</v>
      </c>
      <c r="I799" s="49" t="s">
        <v>1660</v>
      </c>
      <c r="J799" s="4" t="s">
        <v>151</v>
      </c>
      <c r="K799" s="4" t="str">
        <f>IF(E799="KTG","KTG",(VLOOKUP(J799,'list of outsource'!B:H,2,0)))</f>
        <v>UPM</v>
      </c>
      <c r="L799" s="4" t="s">
        <v>381</v>
      </c>
      <c r="M799" s="4">
        <v>25</v>
      </c>
      <c r="N799" s="4" t="s">
        <v>1661</v>
      </c>
      <c r="O799" s="2" t="s">
        <v>3687</v>
      </c>
      <c r="P799" s="4" t="s">
        <v>1662</v>
      </c>
      <c r="Q799" s="4" t="s">
        <v>1663</v>
      </c>
      <c r="R799" s="12">
        <v>45413</v>
      </c>
      <c r="S799" s="4">
        <v>4</v>
      </c>
      <c r="T799" s="4" t="s">
        <v>1258</v>
      </c>
      <c r="U799" s="4" t="s">
        <v>39</v>
      </c>
      <c r="V799" s="10">
        <v>45443</v>
      </c>
      <c r="W799" s="12">
        <v>45531</v>
      </c>
      <c r="Z799" t="e">
        <v>#N/A</v>
      </c>
    </row>
    <row r="800" spans="1:26" customFormat="1">
      <c r="A800">
        <f t="shared" ca="1" si="13"/>
        <v>36</v>
      </c>
      <c r="B800" s="104" t="s">
        <v>3413</v>
      </c>
      <c r="C800" s="16">
        <v>45964</v>
      </c>
      <c r="D800" s="6" t="s">
        <v>129</v>
      </c>
      <c r="E800" s="6" t="s">
        <v>3662</v>
      </c>
      <c r="F800" s="6"/>
      <c r="G800" s="106" t="s">
        <v>1857</v>
      </c>
      <c r="H800" s="106" t="s">
        <v>34</v>
      </c>
      <c r="I800" s="49">
        <v>92063</v>
      </c>
      <c r="J800" s="6" t="s">
        <v>1858</v>
      </c>
      <c r="K800" s="6" t="str">
        <f>IF(E800="KTG","KTG",(VLOOKUP(J800,'list of outsource'!B:H,2,0)))</f>
        <v xml:space="preserve">Huapeng </v>
      </c>
      <c r="L800" s="6" t="s">
        <v>1859</v>
      </c>
      <c r="M800" s="6">
        <v>5</v>
      </c>
      <c r="N800" s="6" t="s">
        <v>3403</v>
      </c>
      <c r="O800" s="2" t="s">
        <v>3688</v>
      </c>
      <c r="P800" s="6" t="s">
        <v>3423</v>
      </c>
      <c r="Q800" s="6" t="s">
        <v>3564</v>
      </c>
      <c r="R800" s="16"/>
      <c r="S800" s="6">
        <v>3</v>
      </c>
      <c r="T800" s="6" t="s">
        <v>1258</v>
      </c>
      <c r="U800" s="6" t="s">
        <v>39</v>
      </c>
      <c r="V800" s="17">
        <v>46000</v>
      </c>
      <c r="W800" s="16"/>
    </row>
    <row r="801" spans="1:26" customFormat="1">
      <c r="A801">
        <f t="shared" ca="1" si="13"/>
        <v>36</v>
      </c>
      <c r="B801" s="104" t="s">
        <v>3414</v>
      </c>
      <c r="C801" s="16">
        <v>45964</v>
      </c>
      <c r="D801" s="6" t="s">
        <v>129</v>
      </c>
      <c r="E801" s="6" t="s">
        <v>3662</v>
      </c>
      <c r="F801" s="6"/>
      <c r="G801" s="106" t="s">
        <v>1857</v>
      </c>
      <c r="H801" s="106" t="s">
        <v>34</v>
      </c>
      <c r="I801" s="49">
        <v>92065</v>
      </c>
      <c r="J801" s="6" t="s">
        <v>1858</v>
      </c>
      <c r="K801" s="6" t="str">
        <f>IF(E801="KTG","KTG",(VLOOKUP(J801,'list of outsource'!B:H,2,0)))</f>
        <v xml:space="preserve">Huapeng </v>
      </c>
      <c r="L801" s="6" t="s">
        <v>1859</v>
      </c>
      <c r="M801" s="6">
        <v>5</v>
      </c>
      <c r="N801" s="6" t="s">
        <v>3405</v>
      </c>
      <c r="O801" s="2" t="s">
        <v>3688</v>
      </c>
      <c r="P801" s="6" t="s">
        <v>3424</v>
      </c>
      <c r="Q801" s="6" t="s">
        <v>3565</v>
      </c>
      <c r="R801" s="16"/>
      <c r="S801" s="6">
        <v>3</v>
      </c>
      <c r="T801" s="6" t="s">
        <v>1258</v>
      </c>
      <c r="U801" s="6" t="s">
        <v>39</v>
      </c>
      <c r="V801" s="17">
        <v>46000</v>
      </c>
      <c r="W801" s="16"/>
    </row>
    <row r="802" spans="1:26" customFormat="1">
      <c r="A802">
        <f t="shared" ca="1" si="13"/>
        <v>36</v>
      </c>
      <c r="B802" s="104" t="s">
        <v>3415</v>
      </c>
      <c r="C802" s="16">
        <v>45964</v>
      </c>
      <c r="D802" s="6" t="s">
        <v>129</v>
      </c>
      <c r="E802" s="6" t="s">
        <v>3662</v>
      </c>
      <c r="F802" s="6"/>
      <c r="G802" s="106" t="s">
        <v>1857</v>
      </c>
      <c r="H802" s="106" t="s">
        <v>34</v>
      </c>
      <c r="I802" s="49">
        <v>92067</v>
      </c>
      <c r="J802" s="6" t="s">
        <v>1858</v>
      </c>
      <c r="K802" s="6" t="str">
        <f>IF(E802="KTG","KTG",(VLOOKUP(J802,'list of outsource'!B:H,2,0)))</f>
        <v xml:space="preserve">Huapeng </v>
      </c>
      <c r="L802" s="6" t="s">
        <v>1859</v>
      </c>
      <c r="M802" s="6">
        <v>5</v>
      </c>
      <c r="N802" s="6" t="s">
        <v>3406</v>
      </c>
      <c r="O802" s="2" t="s">
        <v>3688</v>
      </c>
      <c r="P802" s="6" t="s">
        <v>3425</v>
      </c>
      <c r="Q802" s="6" t="s">
        <v>3566</v>
      </c>
      <c r="R802" s="16"/>
      <c r="S802" s="6">
        <v>3</v>
      </c>
      <c r="T802" s="6" t="s">
        <v>1258</v>
      </c>
      <c r="U802" s="6" t="s">
        <v>39</v>
      </c>
      <c r="V802" s="17">
        <v>46000</v>
      </c>
      <c r="W802" s="16"/>
    </row>
    <row r="803" spans="1:26" customFormat="1">
      <c r="A803">
        <f t="shared" ca="1" si="13"/>
        <v>36</v>
      </c>
      <c r="B803" s="104" t="s">
        <v>3416</v>
      </c>
      <c r="C803" s="16">
        <v>45964</v>
      </c>
      <c r="D803" s="6" t="s">
        <v>129</v>
      </c>
      <c r="E803" s="6" t="s">
        <v>3662</v>
      </c>
      <c r="F803" s="6"/>
      <c r="G803" s="106" t="s">
        <v>1857</v>
      </c>
      <c r="H803" s="106" t="s">
        <v>34</v>
      </c>
      <c r="I803" s="49">
        <v>92068</v>
      </c>
      <c r="J803" s="6" t="s">
        <v>1858</v>
      </c>
      <c r="K803" s="6" t="str">
        <f>IF(E803="KTG","KTG",(VLOOKUP(J803,'list of outsource'!B:H,2,0)))</f>
        <v xml:space="preserve">Huapeng </v>
      </c>
      <c r="L803" s="6" t="s">
        <v>1859</v>
      </c>
      <c r="M803" s="6">
        <v>5</v>
      </c>
      <c r="N803" s="6" t="s">
        <v>3407</v>
      </c>
      <c r="O803" s="2" t="s">
        <v>3688</v>
      </c>
      <c r="P803" s="6" t="s">
        <v>3426</v>
      </c>
      <c r="Q803" s="6" t="s">
        <v>3567</v>
      </c>
      <c r="R803" s="16"/>
      <c r="S803" s="6">
        <v>3</v>
      </c>
      <c r="T803" s="6" t="s">
        <v>1258</v>
      </c>
      <c r="U803" s="6" t="s">
        <v>39</v>
      </c>
      <c r="V803" s="17">
        <v>46000</v>
      </c>
      <c r="W803" s="16"/>
    </row>
    <row r="804" spans="1:26" customFormat="1">
      <c r="A804">
        <f t="shared" ca="1" si="13"/>
        <v>36</v>
      </c>
      <c r="B804" s="104" t="s">
        <v>3417</v>
      </c>
      <c r="C804" s="16">
        <v>45964</v>
      </c>
      <c r="D804" s="6" t="s">
        <v>129</v>
      </c>
      <c r="E804" s="6" t="s">
        <v>3662</v>
      </c>
      <c r="F804" s="6"/>
      <c r="G804" s="106" t="s">
        <v>1857</v>
      </c>
      <c r="H804" s="106" t="s">
        <v>34</v>
      </c>
      <c r="I804" s="49">
        <v>92069</v>
      </c>
      <c r="J804" s="6" t="s">
        <v>1858</v>
      </c>
      <c r="K804" s="6" t="str">
        <f>IF(E804="KTG","KTG",(VLOOKUP(J804,'list of outsource'!B:H,2,0)))</f>
        <v xml:space="preserve">Huapeng </v>
      </c>
      <c r="L804" s="6" t="s">
        <v>1859</v>
      </c>
      <c r="M804" s="6">
        <v>5</v>
      </c>
      <c r="N804" s="6" t="s">
        <v>3408</v>
      </c>
      <c r="O804" s="2" t="s">
        <v>3688</v>
      </c>
      <c r="P804" s="6" t="s">
        <v>3427</v>
      </c>
      <c r="Q804" s="6" t="s">
        <v>3647</v>
      </c>
      <c r="R804" s="16"/>
      <c r="S804" s="6">
        <v>3</v>
      </c>
      <c r="T804" s="6" t="s">
        <v>1258</v>
      </c>
      <c r="U804" s="6" t="s">
        <v>39</v>
      </c>
      <c r="V804" s="17">
        <v>46000</v>
      </c>
      <c r="W804" s="16"/>
    </row>
    <row r="805" spans="1:26" customFormat="1">
      <c r="A805">
        <f t="shared" ca="1" si="13"/>
        <v>36</v>
      </c>
      <c r="B805" s="104" t="s">
        <v>3418</v>
      </c>
      <c r="C805" s="16">
        <v>45964</v>
      </c>
      <c r="D805" s="6" t="s">
        <v>129</v>
      </c>
      <c r="E805" s="6" t="s">
        <v>3662</v>
      </c>
      <c r="F805" s="6"/>
      <c r="G805" s="106" t="s">
        <v>1857</v>
      </c>
      <c r="H805" s="106" t="s">
        <v>34</v>
      </c>
      <c r="I805" s="49">
        <v>92072</v>
      </c>
      <c r="J805" s="6" t="s">
        <v>1858</v>
      </c>
      <c r="K805" s="6" t="str">
        <f>IF(E805="KTG","KTG",(VLOOKUP(J805,'list of outsource'!B:H,2,0)))</f>
        <v xml:space="preserve">Huapeng </v>
      </c>
      <c r="L805" s="6" t="s">
        <v>1859</v>
      </c>
      <c r="M805" s="6">
        <v>5</v>
      </c>
      <c r="N805" s="6" t="s">
        <v>3409</v>
      </c>
      <c r="O805" s="2" t="s">
        <v>3688</v>
      </c>
      <c r="P805" s="6" t="s">
        <v>3428</v>
      </c>
      <c r="Q805" s="6" t="s">
        <v>3648</v>
      </c>
      <c r="R805" s="16"/>
      <c r="S805" s="6">
        <v>3</v>
      </c>
      <c r="T805" s="6" t="s">
        <v>1258</v>
      </c>
      <c r="U805" s="6" t="s">
        <v>39</v>
      </c>
      <c r="V805" s="17">
        <v>46000</v>
      </c>
      <c r="W805" s="16"/>
    </row>
    <row r="806" spans="1:26" customFormat="1">
      <c r="A806">
        <f t="shared" ca="1" si="13"/>
        <v>36</v>
      </c>
      <c r="B806" s="104" t="s">
        <v>3419</v>
      </c>
      <c r="C806" s="16">
        <v>45964</v>
      </c>
      <c r="D806" s="6" t="s">
        <v>129</v>
      </c>
      <c r="E806" s="6" t="s">
        <v>3662</v>
      </c>
      <c r="F806" s="6"/>
      <c r="G806" s="106" t="s">
        <v>1857</v>
      </c>
      <c r="H806" s="106" t="s">
        <v>34</v>
      </c>
      <c r="I806" s="49">
        <v>92073</v>
      </c>
      <c r="J806" s="6" t="s">
        <v>1858</v>
      </c>
      <c r="K806" s="6" t="str">
        <f>IF(E806="KTG","KTG",(VLOOKUP(J806,'list of outsource'!B:H,2,0)))</f>
        <v xml:space="preserve">Huapeng </v>
      </c>
      <c r="L806" s="6" t="s">
        <v>1859</v>
      </c>
      <c r="M806" s="6">
        <v>5</v>
      </c>
      <c r="N806" s="6" t="s">
        <v>3410</v>
      </c>
      <c r="O806" s="2" t="s">
        <v>3688</v>
      </c>
      <c r="P806" s="6" t="s">
        <v>3429</v>
      </c>
      <c r="Q806" s="6" t="s">
        <v>3649</v>
      </c>
      <c r="R806" s="16"/>
      <c r="S806" s="6">
        <v>3</v>
      </c>
      <c r="T806" s="6" t="s">
        <v>1258</v>
      </c>
      <c r="U806" s="6" t="s">
        <v>39</v>
      </c>
      <c r="V806" s="17">
        <v>46000</v>
      </c>
      <c r="W806" s="16"/>
    </row>
    <row r="807" spans="1:26" customFormat="1">
      <c r="A807">
        <f t="shared" ca="1" si="13"/>
        <v>36</v>
      </c>
      <c r="B807" s="104" t="s">
        <v>3420</v>
      </c>
      <c r="C807" s="16">
        <v>45964</v>
      </c>
      <c r="D807" s="6" t="s">
        <v>129</v>
      </c>
      <c r="E807" s="6" t="s">
        <v>3662</v>
      </c>
      <c r="F807" s="6"/>
      <c r="G807" s="106" t="s">
        <v>1857</v>
      </c>
      <c r="H807" s="106" t="s">
        <v>34</v>
      </c>
      <c r="I807" s="49">
        <v>92075</v>
      </c>
      <c r="J807" s="6" t="s">
        <v>1858</v>
      </c>
      <c r="K807" s="6" t="str">
        <f>IF(E807="KTG","KTG",(VLOOKUP(J807,'list of outsource'!B:H,2,0)))</f>
        <v xml:space="preserve">Huapeng </v>
      </c>
      <c r="L807" s="6" t="s">
        <v>1859</v>
      </c>
      <c r="M807" s="6">
        <v>5</v>
      </c>
      <c r="N807" s="6" t="s">
        <v>3411</v>
      </c>
      <c r="O807" s="2" t="s">
        <v>3688</v>
      </c>
      <c r="P807" s="6" t="s">
        <v>3430</v>
      </c>
      <c r="Q807" s="6" t="s">
        <v>3650</v>
      </c>
      <c r="R807" s="16"/>
      <c r="S807" s="6">
        <v>3</v>
      </c>
      <c r="T807" s="6" t="s">
        <v>1258</v>
      </c>
      <c r="U807" s="6" t="s">
        <v>39</v>
      </c>
      <c r="V807" s="17">
        <v>46000</v>
      </c>
      <c r="W807" s="16"/>
    </row>
    <row r="808" spans="1:26" customFormat="1">
      <c r="A808">
        <f t="shared" ca="1" si="13"/>
        <v>36</v>
      </c>
      <c r="B808" s="104" t="s">
        <v>3421</v>
      </c>
      <c r="C808" s="16">
        <v>45964</v>
      </c>
      <c r="D808" s="6" t="s">
        <v>129</v>
      </c>
      <c r="E808" s="6" t="s">
        <v>3662</v>
      </c>
      <c r="F808" s="6"/>
      <c r="G808" s="106" t="s">
        <v>1857</v>
      </c>
      <c r="H808" s="106" t="s">
        <v>34</v>
      </c>
      <c r="I808" s="49">
        <v>92076</v>
      </c>
      <c r="J808" s="6" t="s">
        <v>1858</v>
      </c>
      <c r="K808" s="6" t="str">
        <f>IF(E808="KTG","KTG",(VLOOKUP(J808,'list of outsource'!B:H,2,0)))</f>
        <v xml:space="preserve">Huapeng </v>
      </c>
      <c r="L808" s="6" t="s">
        <v>1859</v>
      </c>
      <c r="M808" s="6">
        <v>5</v>
      </c>
      <c r="N808" s="6" t="s">
        <v>3412</v>
      </c>
      <c r="O808" s="2" t="s">
        <v>3688</v>
      </c>
      <c r="P808" s="6" t="s">
        <v>3431</v>
      </c>
      <c r="Q808" s="6" t="s">
        <v>3651</v>
      </c>
      <c r="R808" s="16"/>
      <c r="S808" s="6">
        <v>3</v>
      </c>
      <c r="T808" s="6" t="s">
        <v>1258</v>
      </c>
      <c r="U808" s="6" t="s">
        <v>39</v>
      </c>
      <c r="V808" s="17">
        <v>46000</v>
      </c>
      <c r="W808" s="16"/>
    </row>
    <row r="809" spans="1:26" customFormat="1">
      <c r="A809">
        <f t="shared" ca="1" si="13"/>
        <v>44</v>
      </c>
      <c r="B809" s="49" t="s">
        <v>1867</v>
      </c>
      <c r="C809" s="12">
        <v>45448</v>
      </c>
      <c r="D809" s="4" t="s">
        <v>300</v>
      </c>
      <c r="E809" s="4" t="s">
        <v>3662</v>
      </c>
      <c r="F809" s="4"/>
      <c r="G809" s="106" t="s">
        <v>1857</v>
      </c>
      <c r="H809" s="106" t="s">
        <v>34</v>
      </c>
      <c r="I809" s="49">
        <v>142337</v>
      </c>
      <c r="J809" s="4" t="s">
        <v>1858</v>
      </c>
      <c r="K809" s="4" t="str">
        <f>IF(E809="KTG","KTG",(VLOOKUP(J809,'list of outsource'!B:H,2,0)))</f>
        <v xml:space="preserve">Huapeng </v>
      </c>
      <c r="L809" s="4" t="s">
        <v>1859</v>
      </c>
      <c r="M809" s="4">
        <v>3</v>
      </c>
      <c r="N809" s="4" t="s">
        <v>1868</v>
      </c>
      <c r="O809" s="2" t="s">
        <v>3688</v>
      </c>
      <c r="P809" s="4" t="s">
        <v>1869</v>
      </c>
      <c r="Q809" s="4" t="s">
        <v>1870</v>
      </c>
      <c r="R809" s="12">
        <v>45485</v>
      </c>
      <c r="S809" s="4">
        <v>4</v>
      </c>
      <c r="T809" s="4" t="s">
        <v>1465</v>
      </c>
      <c r="U809" s="4" t="s">
        <v>39</v>
      </c>
      <c r="V809" s="10">
        <v>45492</v>
      </c>
      <c r="W809" s="12">
        <v>45777</v>
      </c>
      <c r="Z809" t="e">
        <v>#N/A</v>
      </c>
    </row>
    <row r="810" spans="1:26" customFormat="1">
      <c r="A810">
        <f t="shared" ca="1" si="13"/>
        <v>44</v>
      </c>
      <c r="B810" s="104" t="s">
        <v>1879</v>
      </c>
      <c r="C810" s="16">
        <v>45448</v>
      </c>
      <c r="D810" s="6" t="s">
        <v>129</v>
      </c>
      <c r="E810" s="6" t="s">
        <v>3662</v>
      </c>
      <c r="F810" s="6"/>
      <c r="G810" s="106" t="s">
        <v>1857</v>
      </c>
      <c r="H810" s="106" t="s">
        <v>34</v>
      </c>
      <c r="I810" s="49">
        <v>125657</v>
      </c>
      <c r="J810" s="6" t="s">
        <v>1858</v>
      </c>
      <c r="K810" s="6" t="str">
        <f>IF(E810="KTG","KTG",(VLOOKUP(J810,'list of outsource'!B:H,2,0)))</f>
        <v xml:space="preserve">Huapeng </v>
      </c>
      <c r="L810" s="6" t="s">
        <v>1859</v>
      </c>
      <c r="M810" s="6">
        <v>3</v>
      </c>
      <c r="N810" s="6" t="s">
        <v>1880</v>
      </c>
      <c r="O810" s="2" t="s">
        <v>3688</v>
      </c>
      <c r="P810" s="6" t="s">
        <v>1881</v>
      </c>
      <c r="Q810" s="6" t="s">
        <v>1882</v>
      </c>
      <c r="R810" s="16">
        <v>45485</v>
      </c>
      <c r="S810" s="6">
        <v>4</v>
      </c>
      <c r="T810" s="6" t="s">
        <v>1465</v>
      </c>
      <c r="U810" s="6" t="s">
        <v>39</v>
      </c>
      <c r="V810" s="17">
        <v>45492</v>
      </c>
      <c r="W810" s="16"/>
      <c r="Z810" t="e">
        <v>#N/A</v>
      </c>
    </row>
    <row r="811" spans="1:26" customFormat="1">
      <c r="A811">
        <f t="shared" ca="1" si="13"/>
        <v>57</v>
      </c>
      <c r="B811" s="49" t="s">
        <v>503</v>
      </c>
      <c r="C811" s="12">
        <v>44886</v>
      </c>
      <c r="D811" s="4" t="s">
        <v>504</v>
      </c>
      <c r="E811" s="4" t="s">
        <v>3662</v>
      </c>
      <c r="F811" s="4"/>
      <c r="G811" s="106" t="s">
        <v>505</v>
      </c>
      <c r="H811" s="106" t="s">
        <v>34</v>
      </c>
      <c r="I811" s="49">
        <v>69321134</v>
      </c>
      <c r="J811" s="4" t="s">
        <v>302</v>
      </c>
      <c r="K811" s="4" t="str">
        <f>IF(E811="KTG","KTG",(VLOOKUP(J811,'list of outsource'!B:H,2,0)))</f>
        <v>ETC</v>
      </c>
      <c r="L811" s="4" t="s">
        <v>303</v>
      </c>
      <c r="M811" s="4"/>
      <c r="N811" s="4" t="s">
        <v>24</v>
      </c>
      <c r="O811" s="2" t="s">
        <v>3689</v>
      </c>
      <c r="P811" s="4" t="s">
        <v>506</v>
      </c>
      <c r="Q811" s="4" t="s">
        <v>507</v>
      </c>
      <c r="R811" s="12"/>
      <c r="S811" s="4">
        <v>2</v>
      </c>
      <c r="T811" s="4"/>
      <c r="U811" s="4" t="s">
        <v>39</v>
      </c>
      <c r="V811" s="10">
        <v>44943</v>
      </c>
      <c r="W811" s="12">
        <v>44984</v>
      </c>
    </row>
    <row r="812" spans="1:26" customFormat="1">
      <c r="A812">
        <f t="shared" ca="1" si="13"/>
        <v>55</v>
      </c>
      <c r="B812" s="49" t="s">
        <v>503</v>
      </c>
      <c r="C812" s="12">
        <v>45461</v>
      </c>
      <c r="D812" s="4" t="s">
        <v>1070</v>
      </c>
      <c r="E812" s="4" t="s">
        <v>3662</v>
      </c>
      <c r="F812" s="4"/>
      <c r="G812" s="106" t="s">
        <v>505</v>
      </c>
      <c r="H812" s="106" t="s">
        <v>34</v>
      </c>
      <c r="I812" s="49">
        <v>69321134</v>
      </c>
      <c r="J812" s="4" t="s">
        <v>302</v>
      </c>
      <c r="K812" s="4" t="str">
        <f>IF(E812="KTG","KTG",(VLOOKUP(J812,'list of outsource'!B:H,2,0)))</f>
        <v>ETC</v>
      </c>
      <c r="L812" s="4" t="s">
        <v>303</v>
      </c>
      <c r="M812" s="4">
        <v>62</v>
      </c>
      <c r="N812" s="4" t="s">
        <v>24</v>
      </c>
      <c r="O812" s="2" t="s">
        <v>3689</v>
      </c>
      <c r="P812" s="4" t="s">
        <v>506</v>
      </c>
      <c r="Q812" s="4" t="s">
        <v>1929</v>
      </c>
      <c r="R812" s="12">
        <v>45481</v>
      </c>
      <c r="S812" s="4">
        <v>1</v>
      </c>
      <c r="T812" s="4" t="s">
        <v>307</v>
      </c>
      <c r="U812" s="4" t="s">
        <v>550</v>
      </c>
      <c r="V812" s="10">
        <v>45516</v>
      </c>
      <c r="W812" s="12">
        <v>45527</v>
      </c>
    </row>
    <row r="813" spans="1:26" customFormat="1">
      <c r="A813">
        <f t="shared" ca="1" si="13"/>
        <v>28</v>
      </c>
      <c r="B813" s="104" t="s">
        <v>503</v>
      </c>
      <c r="C813" s="12">
        <v>45852</v>
      </c>
      <c r="D813" s="4" t="s">
        <v>300</v>
      </c>
      <c r="E813" s="4" t="s">
        <v>3662</v>
      </c>
      <c r="F813" s="4"/>
      <c r="G813" s="106" t="s">
        <v>505</v>
      </c>
      <c r="H813" s="106" t="s">
        <v>34</v>
      </c>
      <c r="I813" s="49">
        <v>69321134</v>
      </c>
      <c r="J813" s="4" t="s">
        <v>302</v>
      </c>
      <c r="K813" s="4" t="str">
        <f>IF(E813="KTG","KTG",(VLOOKUP(J813,'list of outsource'!B:H,2,0)))</f>
        <v>ETC</v>
      </c>
      <c r="L813" s="4" t="s">
        <v>303</v>
      </c>
      <c r="M813" s="47">
        <v>73</v>
      </c>
      <c r="N813" s="4" t="s">
        <v>24</v>
      </c>
      <c r="O813" s="2" t="s">
        <v>3689</v>
      </c>
      <c r="P813" s="4" t="s">
        <v>506</v>
      </c>
      <c r="Q813" s="4" t="s">
        <v>2889</v>
      </c>
      <c r="R813" s="12">
        <v>45481</v>
      </c>
      <c r="S813" s="4">
        <v>1</v>
      </c>
      <c r="T813" s="4" t="s">
        <v>307</v>
      </c>
      <c r="U813" s="4" t="s">
        <v>550</v>
      </c>
      <c r="V813" s="10">
        <v>45880</v>
      </c>
      <c r="W813" s="12">
        <v>45881</v>
      </c>
      <c r="Z813" t="e">
        <v>#N/A</v>
      </c>
    </row>
    <row r="814" spans="1:26" customFormat="1">
      <c r="A814">
        <f t="shared" ca="1" si="13"/>
        <v>57</v>
      </c>
      <c r="B814" s="49" t="s">
        <v>508</v>
      </c>
      <c r="C814" s="12">
        <v>44886</v>
      </c>
      <c r="D814" s="4" t="s">
        <v>504</v>
      </c>
      <c r="E814" s="4" t="s">
        <v>3662</v>
      </c>
      <c r="F814" s="4"/>
      <c r="G814" s="106" t="s">
        <v>505</v>
      </c>
      <c r="H814" s="106" t="s">
        <v>34</v>
      </c>
      <c r="I814" s="49">
        <v>69321135</v>
      </c>
      <c r="J814" s="4" t="s">
        <v>302</v>
      </c>
      <c r="K814" s="4" t="str">
        <f>IF(E814="KTG","KTG",(VLOOKUP(J814,'list of outsource'!B:H,2,0)))</f>
        <v>ETC</v>
      </c>
      <c r="L814" s="4" t="s">
        <v>303</v>
      </c>
      <c r="M814" s="4"/>
      <c r="N814" s="4" t="s">
        <v>509</v>
      </c>
      <c r="O814" s="2" t="s">
        <v>3689</v>
      </c>
      <c r="P814" s="4" t="s">
        <v>510</v>
      </c>
      <c r="Q814" s="4">
        <v>1188884584</v>
      </c>
      <c r="R814" s="12"/>
      <c r="S814" s="4">
        <v>2</v>
      </c>
      <c r="T814" s="4"/>
      <c r="U814" s="4" t="s">
        <v>39</v>
      </c>
      <c r="V814" s="10">
        <v>44943</v>
      </c>
      <c r="W814" s="12">
        <v>44984</v>
      </c>
    </row>
    <row r="815" spans="1:26" customFormat="1">
      <c r="A815">
        <f t="shared" ca="1" si="13"/>
        <v>55</v>
      </c>
      <c r="B815" s="49" t="s">
        <v>508</v>
      </c>
      <c r="C815" s="12">
        <v>45461</v>
      </c>
      <c r="D815" s="4" t="s">
        <v>1070</v>
      </c>
      <c r="E815" s="4" t="s">
        <v>3662</v>
      </c>
      <c r="F815" s="4"/>
      <c r="G815" s="106" t="s">
        <v>505</v>
      </c>
      <c r="H815" s="106" t="s">
        <v>34</v>
      </c>
      <c r="I815" s="49">
        <v>69321135</v>
      </c>
      <c r="J815" s="4" t="s">
        <v>302</v>
      </c>
      <c r="K815" s="4" t="str">
        <f>IF(E815="KTG","KTG",(VLOOKUP(J815,'list of outsource'!B:H,2,0)))</f>
        <v>ETC</v>
      </c>
      <c r="L815" s="4" t="s">
        <v>303</v>
      </c>
      <c r="M815" s="4">
        <v>62</v>
      </c>
      <c r="N815" s="4" t="s">
        <v>509</v>
      </c>
      <c r="O815" s="2" t="s">
        <v>3689</v>
      </c>
      <c r="P815" s="4" t="s">
        <v>510</v>
      </c>
      <c r="Q815" s="4" t="s">
        <v>1930</v>
      </c>
      <c r="R815" s="12">
        <v>45481</v>
      </c>
      <c r="S815" s="4">
        <v>1</v>
      </c>
      <c r="T815" s="4" t="s">
        <v>307</v>
      </c>
      <c r="U815" s="4" t="s">
        <v>550</v>
      </c>
      <c r="V815" s="10">
        <v>45516</v>
      </c>
      <c r="W815" s="12">
        <v>45527</v>
      </c>
    </row>
    <row r="816" spans="1:26" customFormat="1">
      <c r="A816">
        <f t="shared" ca="1" si="13"/>
        <v>28</v>
      </c>
      <c r="B816" s="104" t="s">
        <v>508</v>
      </c>
      <c r="C816" s="12">
        <v>45852</v>
      </c>
      <c r="D816" s="4" t="s">
        <v>300</v>
      </c>
      <c r="E816" s="4" t="s">
        <v>3662</v>
      </c>
      <c r="F816" s="4"/>
      <c r="G816" s="106" t="s">
        <v>505</v>
      </c>
      <c r="H816" s="106" t="s">
        <v>34</v>
      </c>
      <c r="I816" s="49">
        <v>69321135</v>
      </c>
      <c r="J816" s="4" t="s">
        <v>302</v>
      </c>
      <c r="K816" s="4" t="str">
        <f>IF(E816="KTG","KTG",(VLOOKUP(J816,'list of outsource'!B:H,2,0)))</f>
        <v>ETC</v>
      </c>
      <c r="L816" s="4" t="s">
        <v>303</v>
      </c>
      <c r="M816" s="47">
        <v>73</v>
      </c>
      <c r="N816" s="4" t="s">
        <v>509</v>
      </c>
      <c r="O816" s="2" t="s">
        <v>3689</v>
      </c>
      <c r="P816" s="4" t="s">
        <v>510</v>
      </c>
      <c r="Q816" s="4" t="s">
        <v>2890</v>
      </c>
      <c r="R816" s="12">
        <v>45481</v>
      </c>
      <c r="S816" s="4">
        <v>1</v>
      </c>
      <c r="T816" s="4" t="s">
        <v>307</v>
      </c>
      <c r="U816" s="4" t="s">
        <v>550</v>
      </c>
      <c r="V816" s="10">
        <v>45880</v>
      </c>
      <c r="W816" s="12">
        <v>45881</v>
      </c>
      <c r="Z816" t="e">
        <v>#N/A</v>
      </c>
    </row>
    <row r="817" spans="1:26" customFormat="1">
      <c r="A817">
        <f t="shared" ca="1" si="13"/>
        <v>57</v>
      </c>
      <c r="B817" s="49" t="s">
        <v>511</v>
      </c>
      <c r="C817" s="12">
        <v>44886</v>
      </c>
      <c r="D817" s="4" t="s">
        <v>504</v>
      </c>
      <c r="E817" s="4" t="s">
        <v>3662</v>
      </c>
      <c r="F817" s="4"/>
      <c r="G817" s="106" t="s">
        <v>505</v>
      </c>
      <c r="H817" s="106" t="s">
        <v>34</v>
      </c>
      <c r="I817" s="49">
        <v>69321136</v>
      </c>
      <c r="J817" s="4" t="s">
        <v>302</v>
      </c>
      <c r="K817" s="4" t="str">
        <f>IF(E817="KTG","KTG",(VLOOKUP(J817,'list of outsource'!B:H,2,0)))</f>
        <v>ETC</v>
      </c>
      <c r="L817" s="4" t="s">
        <v>303</v>
      </c>
      <c r="M817" s="4"/>
      <c r="N817" s="4" t="s">
        <v>512</v>
      </c>
      <c r="O817" s="2" t="s">
        <v>3689</v>
      </c>
      <c r="P817" s="4" t="s">
        <v>513</v>
      </c>
      <c r="Q817" s="4" t="s">
        <v>514</v>
      </c>
      <c r="R817" s="12"/>
      <c r="S817" s="4">
        <v>2</v>
      </c>
      <c r="T817" s="4"/>
      <c r="U817" s="4" t="s">
        <v>39</v>
      </c>
      <c r="V817" s="10">
        <v>44943</v>
      </c>
      <c r="W817" s="12">
        <v>44984</v>
      </c>
    </row>
    <row r="818" spans="1:26" customFormat="1">
      <c r="A818">
        <f t="shared" ca="1" si="13"/>
        <v>55</v>
      </c>
      <c r="B818" s="49" t="s">
        <v>511</v>
      </c>
      <c r="C818" s="12">
        <v>45461</v>
      </c>
      <c r="D818" s="4" t="s">
        <v>1070</v>
      </c>
      <c r="E818" s="4" t="s">
        <v>3662</v>
      </c>
      <c r="F818" s="4"/>
      <c r="G818" s="106" t="s">
        <v>505</v>
      </c>
      <c r="H818" s="106" t="s">
        <v>34</v>
      </c>
      <c r="I818" s="49">
        <v>69321136</v>
      </c>
      <c r="J818" s="4" t="s">
        <v>302</v>
      </c>
      <c r="K818" s="4" t="str">
        <f>IF(E818="KTG","KTG",(VLOOKUP(J818,'list of outsource'!B:H,2,0)))</f>
        <v>ETC</v>
      </c>
      <c r="L818" s="4" t="s">
        <v>303</v>
      </c>
      <c r="M818" s="4">
        <v>62</v>
      </c>
      <c r="N818" s="4" t="s">
        <v>512</v>
      </c>
      <c r="O818" s="2" t="s">
        <v>3689</v>
      </c>
      <c r="P818" s="4" t="s">
        <v>513</v>
      </c>
      <c r="Q818" s="4" t="s">
        <v>514</v>
      </c>
      <c r="R818" s="12">
        <v>45481</v>
      </c>
      <c r="S818" s="4">
        <v>1</v>
      </c>
      <c r="T818" s="4" t="s">
        <v>307</v>
      </c>
      <c r="U818" s="4" t="s">
        <v>550</v>
      </c>
      <c r="V818" s="10">
        <v>45516</v>
      </c>
      <c r="W818" s="12">
        <v>45527</v>
      </c>
    </row>
    <row r="819" spans="1:26" customFormat="1">
      <c r="A819">
        <f t="shared" ca="1" si="13"/>
        <v>28</v>
      </c>
      <c r="B819" s="104" t="s">
        <v>511</v>
      </c>
      <c r="C819" s="12">
        <v>45852</v>
      </c>
      <c r="D819" s="4" t="s">
        <v>300</v>
      </c>
      <c r="E819" s="4" t="s">
        <v>3662</v>
      </c>
      <c r="F819" s="4"/>
      <c r="G819" s="106" t="s">
        <v>505</v>
      </c>
      <c r="H819" s="106" t="s">
        <v>34</v>
      </c>
      <c r="I819" s="49">
        <v>69321136</v>
      </c>
      <c r="J819" s="4" t="s">
        <v>302</v>
      </c>
      <c r="K819" s="4" t="str">
        <f>IF(E819="KTG","KTG",(VLOOKUP(J819,'list of outsource'!B:H,2,0)))</f>
        <v>ETC</v>
      </c>
      <c r="L819" s="4" t="s">
        <v>303</v>
      </c>
      <c r="M819" s="47">
        <v>73</v>
      </c>
      <c r="N819" s="4" t="s">
        <v>512</v>
      </c>
      <c r="O819" s="2" t="s">
        <v>3689</v>
      </c>
      <c r="P819" s="4" t="s">
        <v>513</v>
      </c>
      <c r="Q819" s="4" t="s">
        <v>2891</v>
      </c>
      <c r="R819" s="12">
        <v>45481</v>
      </c>
      <c r="S819" s="4">
        <v>1</v>
      </c>
      <c r="T819" s="4" t="s">
        <v>307</v>
      </c>
      <c r="U819" s="4" t="s">
        <v>550</v>
      </c>
      <c r="V819" s="10">
        <v>45880</v>
      </c>
      <c r="W819" s="12">
        <v>45881</v>
      </c>
      <c r="Z819" t="e">
        <v>#N/A</v>
      </c>
    </row>
    <row r="820" spans="1:26" customFormat="1">
      <c r="A820">
        <f t="shared" ca="1" si="13"/>
        <v>57</v>
      </c>
      <c r="B820" s="49" t="s">
        <v>515</v>
      </c>
      <c r="C820" s="12">
        <v>44886</v>
      </c>
      <c r="D820" s="4" t="s">
        <v>504</v>
      </c>
      <c r="E820" s="4" t="s">
        <v>3662</v>
      </c>
      <c r="F820" s="4"/>
      <c r="G820" s="106" t="s">
        <v>505</v>
      </c>
      <c r="H820" s="106" t="s">
        <v>34</v>
      </c>
      <c r="I820" s="49">
        <v>69321137</v>
      </c>
      <c r="J820" s="4" t="s">
        <v>302</v>
      </c>
      <c r="K820" s="4" t="str">
        <f>IF(E820="KTG","KTG",(VLOOKUP(J820,'list of outsource'!B:H,2,0)))</f>
        <v>ETC</v>
      </c>
      <c r="L820" s="4" t="s">
        <v>303</v>
      </c>
      <c r="M820" s="4"/>
      <c r="N820" s="4" t="s">
        <v>516</v>
      </c>
      <c r="O820" s="2" t="s">
        <v>3689</v>
      </c>
      <c r="P820" s="4" t="s">
        <v>517</v>
      </c>
      <c r="Q820" s="4">
        <v>1189263052</v>
      </c>
      <c r="R820" s="12"/>
      <c r="S820" s="4">
        <v>2</v>
      </c>
      <c r="T820" s="4"/>
      <c r="U820" s="4" t="s">
        <v>39</v>
      </c>
      <c r="V820" s="10">
        <v>44943</v>
      </c>
      <c r="W820" s="12">
        <v>44984</v>
      </c>
    </row>
    <row r="821" spans="1:26" customFormat="1">
      <c r="A821">
        <f t="shared" ca="1" si="13"/>
        <v>55</v>
      </c>
      <c r="B821" s="49" t="s">
        <v>515</v>
      </c>
      <c r="C821" s="12">
        <v>45461</v>
      </c>
      <c r="D821" s="4" t="s">
        <v>1070</v>
      </c>
      <c r="E821" s="4" t="s">
        <v>3662</v>
      </c>
      <c r="F821" s="4"/>
      <c r="G821" s="106" t="s">
        <v>505</v>
      </c>
      <c r="H821" s="106" t="s">
        <v>34</v>
      </c>
      <c r="I821" s="49">
        <v>69321137</v>
      </c>
      <c r="J821" s="4" t="s">
        <v>302</v>
      </c>
      <c r="K821" s="4" t="str">
        <f>IF(E821="KTG","KTG",(VLOOKUP(J821,'list of outsource'!B:H,2,0)))</f>
        <v>ETC</v>
      </c>
      <c r="L821" s="4" t="s">
        <v>303</v>
      </c>
      <c r="M821" s="4">
        <v>62</v>
      </c>
      <c r="N821" s="4" t="s">
        <v>516</v>
      </c>
      <c r="O821" s="2" t="s">
        <v>3689</v>
      </c>
      <c r="P821" s="4" t="s">
        <v>517</v>
      </c>
      <c r="Q821" s="4" t="s">
        <v>1931</v>
      </c>
      <c r="R821" s="12">
        <v>45481</v>
      </c>
      <c r="S821" s="4">
        <v>1</v>
      </c>
      <c r="T821" s="4" t="s">
        <v>307</v>
      </c>
      <c r="U821" s="4" t="s">
        <v>550</v>
      </c>
      <c r="V821" s="10">
        <v>45516</v>
      </c>
      <c r="W821" s="12">
        <v>45527</v>
      </c>
    </row>
    <row r="822" spans="1:26" customFormat="1">
      <c r="A822">
        <f t="shared" ca="1" si="13"/>
        <v>28</v>
      </c>
      <c r="B822" s="104" t="s">
        <v>515</v>
      </c>
      <c r="C822" s="12">
        <v>45852</v>
      </c>
      <c r="D822" s="4" t="s">
        <v>300</v>
      </c>
      <c r="E822" s="4" t="s">
        <v>3662</v>
      </c>
      <c r="F822" s="4"/>
      <c r="G822" s="106" t="s">
        <v>505</v>
      </c>
      <c r="H822" s="106" t="s">
        <v>34</v>
      </c>
      <c r="I822" s="49">
        <v>69321137</v>
      </c>
      <c r="J822" s="4" t="s">
        <v>302</v>
      </c>
      <c r="K822" s="4" t="str">
        <f>IF(E822="KTG","KTG",(VLOOKUP(J822,'list of outsource'!B:H,2,0)))</f>
        <v>ETC</v>
      </c>
      <c r="L822" s="4" t="s">
        <v>303</v>
      </c>
      <c r="M822" s="47">
        <v>73</v>
      </c>
      <c r="N822" s="4" t="s">
        <v>516</v>
      </c>
      <c r="O822" s="2" t="s">
        <v>3689</v>
      </c>
      <c r="P822" s="4" t="s">
        <v>517</v>
      </c>
      <c r="Q822" s="4" t="s">
        <v>2892</v>
      </c>
      <c r="R822" s="12">
        <v>45481</v>
      </c>
      <c r="S822" s="4">
        <v>1</v>
      </c>
      <c r="T822" s="4" t="s">
        <v>307</v>
      </c>
      <c r="U822" s="4" t="s">
        <v>550</v>
      </c>
      <c r="V822" s="10">
        <v>45880</v>
      </c>
      <c r="W822" s="12">
        <v>45881</v>
      </c>
      <c r="Z822" t="e">
        <v>#N/A</v>
      </c>
    </row>
    <row r="823" spans="1:26" customFormat="1">
      <c r="A823">
        <f t="shared" ca="1" si="13"/>
        <v>57</v>
      </c>
      <c r="B823" s="49" t="s">
        <v>518</v>
      </c>
      <c r="C823" s="12">
        <v>44886</v>
      </c>
      <c r="D823" s="4" t="s">
        <v>504</v>
      </c>
      <c r="E823" s="4" t="s">
        <v>3662</v>
      </c>
      <c r="F823" s="4"/>
      <c r="G823" s="106" t="s">
        <v>505</v>
      </c>
      <c r="H823" s="106" t="s">
        <v>34</v>
      </c>
      <c r="I823" s="49">
        <v>69321288</v>
      </c>
      <c r="J823" s="4" t="s">
        <v>302</v>
      </c>
      <c r="K823" s="4" t="str">
        <f>IF(E823="KTG","KTG",(VLOOKUP(J823,'list of outsource'!B:H,2,0)))</f>
        <v>ETC</v>
      </c>
      <c r="L823" s="4" t="s">
        <v>303</v>
      </c>
      <c r="M823" s="4"/>
      <c r="N823" s="4" t="s">
        <v>519</v>
      </c>
      <c r="O823" s="2" t="s">
        <v>3689</v>
      </c>
      <c r="P823" s="4" t="s">
        <v>520</v>
      </c>
      <c r="Q823" s="4">
        <v>1189263411</v>
      </c>
      <c r="R823" s="12"/>
      <c r="S823" s="4">
        <v>2</v>
      </c>
      <c r="T823" s="4"/>
      <c r="U823" s="4" t="s">
        <v>39</v>
      </c>
      <c r="V823" s="10">
        <v>44943</v>
      </c>
      <c r="W823" s="12">
        <v>44984</v>
      </c>
    </row>
    <row r="824" spans="1:26" customFormat="1">
      <c r="A824">
        <f t="shared" ca="1" si="13"/>
        <v>55</v>
      </c>
      <c r="B824" s="49" t="s">
        <v>518</v>
      </c>
      <c r="C824" s="12">
        <v>45461</v>
      </c>
      <c r="D824" s="4" t="s">
        <v>1070</v>
      </c>
      <c r="E824" s="4" t="s">
        <v>3662</v>
      </c>
      <c r="F824" s="4"/>
      <c r="G824" s="106" t="s">
        <v>505</v>
      </c>
      <c r="H824" s="106" t="s">
        <v>34</v>
      </c>
      <c r="I824" s="49">
        <v>69321288</v>
      </c>
      <c r="J824" s="4" t="s">
        <v>302</v>
      </c>
      <c r="K824" s="4" t="str">
        <f>IF(E824="KTG","KTG",(VLOOKUP(J824,'list of outsource'!B:H,2,0)))</f>
        <v>ETC</v>
      </c>
      <c r="L824" s="4" t="s">
        <v>303</v>
      </c>
      <c r="M824" s="4">
        <v>62</v>
      </c>
      <c r="N824" s="4" t="s">
        <v>519</v>
      </c>
      <c r="O824" s="2" t="s">
        <v>3689</v>
      </c>
      <c r="P824" s="4" t="s">
        <v>520</v>
      </c>
      <c r="Q824" s="4" t="s">
        <v>1932</v>
      </c>
      <c r="R824" s="12">
        <v>45481</v>
      </c>
      <c r="S824" s="4">
        <v>1</v>
      </c>
      <c r="T824" s="4" t="s">
        <v>307</v>
      </c>
      <c r="U824" s="4" t="s">
        <v>550</v>
      </c>
      <c r="V824" s="10">
        <v>45516</v>
      </c>
      <c r="W824" s="12">
        <v>45527</v>
      </c>
    </row>
    <row r="825" spans="1:26" customFormat="1">
      <c r="A825">
        <f t="shared" ca="1" si="13"/>
        <v>60</v>
      </c>
      <c r="B825" s="49" t="s">
        <v>521</v>
      </c>
      <c r="C825" s="12">
        <v>44886</v>
      </c>
      <c r="D825" s="4" t="s">
        <v>504</v>
      </c>
      <c r="E825" s="4" t="s">
        <v>3662</v>
      </c>
      <c r="F825" s="4"/>
      <c r="G825" s="106" t="s">
        <v>505</v>
      </c>
      <c r="H825" s="106" t="s">
        <v>34</v>
      </c>
      <c r="I825" s="49">
        <v>69321289</v>
      </c>
      <c r="J825" s="4" t="s">
        <v>302</v>
      </c>
      <c r="K825" s="4" t="str">
        <f>IF(E825="KTG","KTG",(VLOOKUP(J825,'list of outsource'!B:H,2,0)))</f>
        <v>ETC</v>
      </c>
      <c r="L825" s="4" t="s">
        <v>303</v>
      </c>
      <c r="M825" s="4"/>
      <c r="N825" s="4" t="s">
        <v>522</v>
      </c>
      <c r="O825" s="2" t="s">
        <v>3689</v>
      </c>
      <c r="P825" s="4" t="s">
        <v>523</v>
      </c>
      <c r="Q825" s="4">
        <v>1189992264</v>
      </c>
      <c r="R825" s="12"/>
      <c r="S825" s="4">
        <v>2</v>
      </c>
      <c r="T825" s="4"/>
      <c r="U825" s="4" t="s">
        <v>39</v>
      </c>
      <c r="V825" s="10">
        <v>44946</v>
      </c>
      <c r="W825" s="12">
        <v>44984</v>
      </c>
    </row>
    <row r="826" spans="1:26" customFormat="1">
      <c r="A826">
        <f t="shared" ca="1" si="13"/>
        <v>55</v>
      </c>
      <c r="B826" s="49" t="s">
        <v>521</v>
      </c>
      <c r="C826" s="12">
        <v>45461</v>
      </c>
      <c r="D826" s="4" t="s">
        <v>1070</v>
      </c>
      <c r="E826" s="4" t="s">
        <v>3662</v>
      </c>
      <c r="F826" s="4"/>
      <c r="G826" s="106" t="s">
        <v>505</v>
      </c>
      <c r="H826" s="106" t="s">
        <v>34</v>
      </c>
      <c r="I826" s="49">
        <v>69321289</v>
      </c>
      <c r="J826" s="4" t="s">
        <v>302</v>
      </c>
      <c r="K826" s="4" t="str">
        <f>IF(E826="KTG","KTG",(VLOOKUP(J826,'list of outsource'!B:H,2,0)))</f>
        <v>ETC</v>
      </c>
      <c r="L826" s="4" t="s">
        <v>303</v>
      </c>
      <c r="M826" s="4">
        <v>62</v>
      </c>
      <c r="N826" s="4" t="s">
        <v>522</v>
      </c>
      <c r="O826" s="2" t="s">
        <v>3689</v>
      </c>
      <c r="P826" s="4" t="s">
        <v>523</v>
      </c>
      <c r="Q826" s="4" t="s">
        <v>1933</v>
      </c>
      <c r="R826" s="12">
        <v>45481</v>
      </c>
      <c r="S826" s="4">
        <v>1</v>
      </c>
      <c r="T826" s="4" t="s">
        <v>307</v>
      </c>
      <c r="U826" s="4" t="s">
        <v>550</v>
      </c>
      <c r="V826" s="10">
        <v>45516</v>
      </c>
      <c r="W826" s="12">
        <v>45527</v>
      </c>
    </row>
    <row r="827" spans="1:26" customFormat="1">
      <c r="A827">
        <f t="shared" ca="1" si="13"/>
        <v>87</v>
      </c>
      <c r="B827" s="49" t="s">
        <v>524</v>
      </c>
      <c r="C827" s="12">
        <v>44886</v>
      </c>
      <c r="D827" s="4" t="s">
        <v>504</v>
      </c>
      <c r="E827" s="4" t="s">
        <v>3662</v>
      </c>
      <c r="F827" s="4"/>
      <c r="G827" s="106" t="s">
        <v>505</v>
      </c>
      <c r="H827" s="106" t="s">
        <v>34</v>
      </c>
      <c r="I827" s="49">
        <v>69321130</v>
      </c>
      <c r="J827" s="4" t="s">
        <v>525</v>
      </c>
      <c r="K827" s="4" t="str">
        <f>IF(E827="KTG","KTG",(VLOOKUP(J827,'list of outsource'!B:H,2,0)))</f>
        <v>ETC</v>
      </c>
      <c r="L827" s="4" t="s">
        <v>526</v>
      </c>
      <c r="M827" s="4"/>
      <c r="N827" s="4" t="s">
        <v>527</v>
      </c>
      <c r="O827" s="2" t="s">
        <v>3689</v>
      </c>
      <c r="P827" s="4" t="s">
        <v>528</v>
      </c>
      <c r="Q827" s="4">
        <v>1197575741</v>
      </c>
      <c r="R827" s="12"/>
      <c r="S827" s="4">
        <v>2</v>
      </c>
      <c r="T827" s="4"/>
      <c r="U827" s="4" t="s">
        <v>39</v>
      </c>
      <c r="V827" s="10">
        <v>44973</v>
      </c>
      <c r="W827" s="12">
        <v>44984</v>
      </c>
    </row>
    <row r="828" spans="1:26" customFormat="1">
      <c r="A828">
        <f t="shared" ca="1" si="13"/>
        <v>55</v>
      </c>
      <c r="B828" s="49" t="s">
        <v>524</v>
      </c>
      <c r="C828" s="12">
        <v>45461</v>
      </c>
      <c r="D828" s="4" t="s">
        <v>1070</v>
      </c>
      <c r="E828" s="4" t="s">
        <v>3662</v>
      </c>
      <c r="F828" s="4"/>
      <c r="G828" s="106" t="s">
        <v>505</v>
      </c>
      <c r="H828" s="106" t="s">
        <v>34</v>
      </c>
      <c r="I828" s="49">
        <v>69321130</v>
      </c>
      <c r="J828" s="4" t="s">
        <v>525</v>
      </c>
      <c r="K828" s="4" t="str">
        <f>IF(E828="KTG","KTG",(VLOOKUP(J828,'list of outsource'!B:H,2,0)))</f>
        <v>ETC</v>
      </c>
      <c r="L828" s="4" t="s">
        <v>526</v>
      </c>
      <c r="M828" s="4">
        <v>20</v>
      </c>
      <c r="N828" s="4" t="s">
        <v>527</v>
      </c>
      <c r="O828" s="2" t="s">
        <v>3689</v>
      </c>
      <c r="P828" s="4" t="s">
        <v>528</v>
      </c>
      <c r="Q828" s="4" t="s">
        <v>1934</v>
      </c>
      <c r="R828" s="12">
        <v>45481</v>
      </c>
      <c r="S828" s="4">
        <v>1</v>
      </c>
      <c r="T828" s="4" t="s">
        <v>307</v>
      </c>
      <c r="U828" s="4" t="s">
        <v>550</v>
      </c>
      <c r="V828" s="10">
        <v>45516</v>
      </c>
      <c r="W828" s="12">
        <v>45527</v>
      </c>
    </row>
    <row r="829" spans="1:26" customFormat="1">
      <c r="A829">
        <f t="shared" ca="1" si="13"/>
        <v>23</v>
      </c>
      <c r="B829" s="49" t="s">
        <v>640</v>
      </c>
      <c r="C829" s="12">
        <v>44964</v>
      </c>
      <c r="D829" s="4" t="s">
        <v>504</v>
      </c>
      <c r="E829" s="4" t="s">
        <v>3662</v>
      </c>
      <c r="F829" s="4"/>
      <c r="G829" s="106" t="s">
        <v>505</v>
      </c>
      <c r="H829" s="106" t="s">
        <v>34</v>
      </c>
      <c r="I829" s="49">
        <v>69321129</v>
      </c>
      <c r="J829" s="4" t="s">
        <v>525</v>
      </c>
      <c r="K829" s="4" t="str">
        <f>IF(E829="KTG","KTG",(VLOOKUP(J829,'list of outsource'!B:H,2,0)))</f>
        <v>ETC</v>
      </c>
      <c r="L829" s="4" t="s">
        <v>526</v>
      </c>
      <c r="M829" s="4"/>
      <c r="N829" s="4" t="s">
        <v>641</v>
      </c>
      <c r="O829" s="2" t="s">
        <v>3689</v>
      </c>
      <c r="P829" s="4" t="s">
        <v>642</v>
      </c>
      <c r="Q829" s="4">
        <v>1201094179</v>
      </c>
      <c r="R829" s="12"/>
      <c r="S829" s="4">
        <v>2</v>
      </c>
      <c r="T829" s="4"/>
      <c r="U829" s="4" t="s">
        <v>39</v>
      </c>
      <c r="V829" s="10">
        <v>44987</v>
      </c>
      <c r="W829" s="12" t="s">
        <v>643</v>
      </c>
    </row>
    <row r="830" spans="1:26" customFormat="1">
      <c r="A830">
        <f t="shared" ca="1" si="13"/>
        <v>29</v>
      </c>
      <c r="B830" s="49" t="s">
        <v>640</v>
      </c>
      <c r="C830" s="12">
        <v>45666</v>
      </c>
      <c r="D830" s="4" t="s">
        <v>300</v>
      </c>
      <c r="E830" s="4" t="s">
        <v>3662</v>
      </c>
      <c r="F830" s="4"/>
      <c r="G830" s="106" t="s">
        <v>505</v>
      </c>
      <c r="H830" s="106" t="s">
        <v>34</v>
      </c>
      <c r="I830" s="49">
        <v>69321129</v>
      </c>
      <c r="J830" s="4" t="s">
        <v>525</v>
      </c>
      <c r="K830" s="4" t="str">
        <f>IF(E830="KTG","KTG",(VLOOKUP(J830,'list of outsource'!B:H,2,0)))</f>
        <v>ETC</v>
      </c>
      <c r="L830" s="4" t="s">
        <v>526</v>
      </c>
      <c r="M830" s="4">
        <v>20</v>
      </c>
      <c r="N830" s="4" t="s">
        <v>641</v>
      </c>
      <c r="O830" s="2" t="s">
        <v>3689</v>
      </c>
      <c r="P830" s="4" t="s">
        <v>642</v>
      </c>
      <c r="Q830" s="4" t="s">
        <v>2228</v>
      </c>
      <c r="R830" s="12"/>
      <c r="S830" s="4">
        <v>4</v>
      </c>
      <c r="T830" s="4" t="s">
        <v>1465</v>
      </c>
      <c r="U830" s="4" t="s">
        <v>39</v>
      </c>
      <c r="V830" s="10">
        <v>45695</v>
      </c>
      <c r="W830" s="12">
        <v>45750</v>
      </c>
    </row>
    <row r="831" spans="1:26" customFormat="1" hidden="1">
      <c r="A831">
        <f t="shared" ca="1" si="13"/>
        <v>86</v>
      </c>
      <c r="B831" s="49" t="s">
        <v>1259</v>
      </c>
      <c r="C831" s="12">
        <v>45210</v>
      </c>
      <c r="D831" s="4" t="s">
        <v>1070</v>
      </c>
      <c r="E831" s="4" t="s">
        <v>3662</v>
      </c>
      <c r="F831" s="4"/>
      <c r="G831" s="4" t="s">
        <v>1260</v>
      </c>
      <c r="H831" s="4" t="s">
        <v>146</v>
      </c>
      <c r="I831" s="4">
        <v>12191733</v>
      </c>
      <c r="J831" s="4" t="s">
        <v>1261</v>
      </c>
      <c r="K831" s="4" t="str">
        <f>IF(E831="KTG","KTG",(VLOOKUP(J831,'list of outsource'!B:H,2,0)))</f>
        <v>Pass</v>
      </c>
      <c r="L831" s="4" t="s">
        <v>1262</v>
      </c>
      <c r="M831" s="4">
        <v>6</v>
      </c>
      <c r="N831" s="49" t="s">
        <v>1263</v>
      </c>
      <c r="O831" s="2"/>
      <c r="P831" s="4" t="s">
        <v>1264</v>
      </c>
      <c r="Q831" s="4" t="s">
        <v>1265</v>
      </c>
      <c r="R831" s="12" t="s">
        <v>549</v>
      </c>
      <c r="S831" s="4">
        <v>4</v>
      </c>
      <c r="T831" s="4"/>
      <c r="U831" s="4" t="s">
        <v>39</v>
      </c>
      <c r="V831" s="10">
        <v>45296</v>
      </c>
      <c r="W831" s="12">
        <v>45554</v>
      </c>
      <c r="Z831" t="e">
        <v>#N/A</v>
      </c>
    </row>
    <row r="832" spans="1:26" customFormat="1" hidden="1">
      <c r="A832">
        <f t="shared" ca="1" si="13"/>
        <v>86</v>
      </c>
      <c r="B832" s="49" t="s">
        <v>1266</v>
      </c>
      <c r="C832" s="12">
        <v>45210</v>
      </c>
      <c r="D832" s="4" t="s">
        <v>1070</v>
      </c>
      <c r="E832" s="4" t="s">
        <v>3662</v>
      </c>
      <c r="F832" s="4"/>
      <c r="G832" s="4" t="s">
        <v>1260</v>
      </c>
      <c r="H832" s="4" t="s">
        <v>146</v>
      </c>
      <c r="I832" s="4">
        <v>12191732</v>
      </c>
      <c r="J832" s="4" t="s">
        <v>1261</v>
      </c>
      <c r="K832" s="4" t="str">
        <f>IF(E832="KTG","KTG",(VLOOKUP(J832,'list of outsource'!B:H,2,0)))</f>
        <v>Pass</v>
      </c>
      <c r="L832" s="4" t="s">
        <v>1262</v>
      </c>
      <c r="M832" s="4">
        <v>6</v>
      </c>
      <c r="N832" s="49" t="s">
        <v>1267</v>
      </c>
      <c r="O832" s="2"/>
      <c r="P832" s="4" t="s">
        <v>1268</v>
      </c>
      <c r="Q832" s="4" t="s">
        <v>1269</v>
      </c>
      <c r="R832" s="12" t="s">
        <v>549</v>
      </c>
      <c r="S832" s="4">
        <v>4</v>
      </c>
      <c r="T832" s="4"/>
      <c r="U832" s="4" t="s">
        <v>39</v>
      </c>
      <c r="V832" s="10">
        <v>45296</v>
      </c>
      <c r="W832" s="12">
        <v>45554</v>
      </c>
      <c r="Z832" t="e">
        <v>#N/A</v>
      </c>
    </row>
    <row r="833" spans="1:26" customFormat="1" hidden="1">
      <c r="A833">
        <f t="shared" ca="1" si="13"/>
        <v>86</v>
      </c>
      <c r="B833" s="49" t="s">
        <v>1270</v>
      </c>
      <c r="C833" s="12">
        <v>45210</v>
      </c>
      <c r="D833" s="4" t="s">
        <v>1070</v>
      </c>
      <c r="E833" s="4" t="s">
        <v>3662</v>
      </c>
      <c r="F833" s="4"/>
      <c r="G833" s="4" t="s">
        <v>1260</v>
      </c>
      <c r="H833" s="4" t="s">
        <v>146</v>
      </c>
      <c r="I833" s="4">
        <v>12192792</v>
      </c>
      <c r="J833" s="4" t="s">
        <v>1261</v>
      </c>
      <c r="K833" s="4" t="str">
        <f>IF(E833="KTG","KTG",(VLOOKUP(J833,'list of outsource'!B:H,2,0)))</f>
        <v>Pass</v>
      </c>
      <c r="L833" s="4" t="s">
        <v>1262</v>
      </c>
      <c r="M833" s="4">
        <v>6</v>
      </c>
      <c r="N833" s="49" t="s">
        <v>1271</v>
      </c>
      <c r="O833" s="2"/>
      <c r="P833" s="4" t="s">
        <v>1272</v>
      </c>
      <c r="Q833" s="4" t="s">
        <v>1273</v>
      </c>
      <c r="R833" s="12" t="s">
        <v>549</v>
      </c>
      <c r="S833" s="4">
        <v>4</v>
      </c>
      <c r="T833" s="4"/>
      <c r="U833" s="4" t="s">
        <v>39</v>
      </c>
      <c r="V833" s="10">
        <v>45296</v>
      </c>
      <c r="W833" s="12">
        <v>45554</v>
      </c>
      <c r="Z833" t="e">
        <v>#N/A</v>
      </c>
    </row>
    <row r="834" spans="1:26" customFormat="1">
      <c r="A834">
        <f t="shared" ca="1" si="13"/>
        <v>31</v>
      </c>
      <c r="B834" s="49" t="s">
        <v>1055</v>
      </c>
      <c r="C834" s="12">
        <v>45118</v>
      </c>
      <c r="D834" s="4" t="s">
        <v>504</v>
      </c>
      <c r="E834" s="4" t="s">
        <v>3662</v>
      </c>
      <c r="F834" s="4"/>
      <c r="G834" s="106" t="s">
        <v>505</v>
      </c>
      <c r="H834" s="106" t="s">
        <v>34</v>
      </c>
      <c r="I834" s="49">
        <v>69321138</v>
      </c>
      <c r="J834" s="4" t="s">
        <v>302</v>
      </c>
      <c r="K834" s="4" t="str">
        <f>IF(E834="KTG","KTG",(VLOOKUP(J834,'list of outsource'!B:H,2,0)))</f>
        <v>ETC</v>
      </c>
      <c r="L834" s="4" t="s">
        <v>303</v>
      </c>
      <c r="M834" s="4"/>
      <c r="N834" s="4" t="s">
        <v>815</v>
      </c>
      <c r="O834" s="2" t="s">
        <v>3689</v>
      </c>
      <c r="P834" s="4" t="s">
        <v>771</v>
      </c>
      <c r="Q834" s="4">
        <v>1245240801</v>
      </c>
      <c r="R834" s="12"/>
      <c r="S834" s="4">
        <v>4</v>
      </c>
      <c r="T834" s="4"/>
      <c r="U834" s="4" t="s">
        <v>39</v>
      </c>
      <c r="V834" s="10" t="s">
        <v>1056</v>
      </c>
      <c r="W834" s="12" t="s">
        <v>1057</v>
      </c>
      <c r="Z834" t="s">
        <v>1058</v>
      </c>
    </row>
    <row r="835" spans="1:26" customFormat="1" hidden="1">
      <c r="A835">
        <f t="shared" ca="1" si="13"/>
        <v>63</v>
      </c>
      <c r="B835" s="8" t="s">
        <v>2959</v>
      </c>
      <c r="C835" s="16">
        <v>45873</v>
      </c>
      <c r="D835" s="6" t="s">
        <v>129</v>
      </c>
      <c r="E835" s="6" t="s">
        <v>3662</v>
      </c>
      <c r="F835" s="6">
        <v>4487</v>
      </c>
      <c r="G835" s="6" t="s">
        <v>1297</v>
      </c>
      <c r="H835" s="6" t="s">
        <v>379</v>
      </c>
      <c r="I835" s="6" t="s">
        <v>1298</v>
      </c>
      <c r="J835" s="6" t="s">
        <v>1299</v>
      </c>
      <c r="K835" s="6" t="str">
        <f>IF(E835="KTG","KTG",(VLOOKUP(J835,'list of outsource'!B:H,2,0)))</f>
        <v>ETC</v>
      </c>
      <c r="L835" s="6" t="s">
        <v>1300</v>
      </c>
      <c r="M835" s="6">
        <v>5</v>
      </c>
      <c r="N835" s="6" t="s">
        <v>2960</v>
      </c>
      <c r="O835" s="2"/>
      <c r="P835" s="6" t="s">
        <v>2961</v>
      </c>
      <c r="Q835" s="6" t="s">
        <v>2962</v>
      </c>
      <c r="R835" s="16"/>
      <c r="S835" s="6">
        <v>4</v>
      </c>
      <c r="T835" s="6" t="s">
        <v>1465</v>
      </c>
      <c r="U835" s="6" t="s">
        <v>39</v>
      </c>
      <c r="V835" s="17">
        <v>45936</v>
      </c>
      <c r="W835" s="16"/>
      <c r="X835" t="s">
        <v>2171</v>
      </c>
    </row>
    <row r="836" spans="1:26" customFormat="1" hidden="1">
      <c r="A836">
        <f t="shared" ca="1" si="13"/>
        <v>16</v>
      </c>
      <c r="B836" s="8" t="s">
        <v>1408</v>
      </c>
      <c r="C836" s="16">
        <v>45265</v>
      </c>
      <c r="D836" s="6" t="s">
        <v>129</v>
      </c>
      <c r="E836" s="6" t="s">
        <v>3662</v>
      </c>
      <c r="F836" s="6">
        <v>4491</v>
      </c>
      <c r="G836" s="6" t="s">
        <v>1409</v>
      </c>
      <c r="H836" s="6" t="s">
        <v>379</v>
      </c>
      <c r="I836" s="6" t="s">
        <v>1410</v>
      </c>
      <c r="J836" s="6" t="s">
        <v>531</v>
      </c>
      <c r="K836" s="6" t="str">
        <f>IF(E836="KTG","KTG",(VLOOKUP(J836,'list of outsource'!B:H,2,0)))</f>
        <v>ETC</v>
      </c>
      <c r="L836" s="6" t="s">
        <v>532</v>
      </c>
      <c r="M836" s="6">
        <v>7</v>
      </c>
      <c r="N836" s="6" t="s">
        <v>1411</v>
      </c>
      <c r="O836" s="2"/>
      <c r="P836" s="6" t="s">
        <v>1412</v>
      </c>
      <c r="Q836" s="6" t="s">
        <v>1413</v>
      </c>
      <c r="R836" s="16" t="s">
        <v>549</v>
      </c>
      <c r="S836" s="6">
        <v>4</v>
      </c>
      <c r="T836" s="6"/>
      <c r="U836" s="6" t="s">
        <v>39</v>
      </c>
      <c r="V836" s="17">
        <v>45281</v>
      </c>
      <c r="W836" s="16"/>
      <c r="Z836" t="e">
        <v>#N/A</v>
      </c>
    </row>
    <row r="837" spans="1:26" customFormat="1" hidden="1">
      <c r="A837">
        <f t="shared" ca="1" si="13"/>
        <v>57</v>
      </c>
      <c r="B837" s="8" t="s">
        <v>1408</v>
      </c>
      <c r="C837" s="16">
        <v>45873</v>
      </c>
      <c r="D837" s="6" t="s">
        <v>129</v>
      </c>
      <c r="E837" s="6" t="s">
        <v>3662</v>
      </c>
      <c r="F837" s="6">
        <v>4491</v>
      </c>
      <c r="G837" s="6" t="s">
        <v>1409</v>
      </c>
      <c r="H837" s="6" t="s">
        <v>379</v>
      </c>
      <c r="I837" s="6" t="s">
        <v>1410</v>
      </c>
      <c r="J837" s="6" t="s">
        <v>531</v>
      </c>
      <c r="K837" s="6" t="str">
        <f>IF(E837="KTG","KTG",(VLOOKUP(J837,'list of outsource'!B:H,2,0)))</f>
        <v>ETC</v>
      </c>
      <c r="L837" s="6" t="s">
        <v>532</v>
      </c>
      <c r="M837" s="6">
        <v>10</v>
      </c>
      <c r="N837" s="6" t="s">
        <v>1411</v>
      </c>
      <c r="O837" s="2"/>
      <c r="P837" s="6" t="s">
        <v>1412</v>
      </c>
      <c r="Q837" s="6" t="s">
        <v>1413</v>
      </c>
      <c r="R837" s="16">
        <v>45904</v>
      </c>
      <c r="S837" s="6">
        <v>4</v>
      </c>
      <c r="T837" s="6" t="s">
        <v>307</v>
      </c>
      <c r="U837" s="6" t="s">
        <v>183</v>
      </c>
      <c r="V837" s="17">
        <v>45930</v>
      </c>
      <c r="W837" s="16"/>
    </row>
    <row r="838" spans="1:26" customFormat="1" hidden="1">
      <c r="A838">
        <f t="shared" ca="1" si="13"/>
        <v>16</v>
      </c>
      <c r="B838" s="8" t="s">
        <v>1414</v>
      </c>
      <c r="C838" s="16">
        <v>45265</v>
      </c>
      <c r="D838" s="6" t="s">
        <v>129</v>
      </c>
      <c r="E838" s="6" t="s">
        <v>3662</v>
      </c>
      <c r="F838" s="6">
        <v>4489</v>
      </c>
      <c r="G838" s="6" t="s">
        <v>1409</v>
      </c>
      <c r="H838" s="6" t="s">
        <v>379</v>
      </c>
      <c r="I838" s="6" t="s">
        <v>1415</v>
      </c>
      <c r="J838" s="6" t="s">
        <v>531</v>
      </c>
      <c r="K838" s="6" t="str">
        <f>IF(E838="KTG","KTG",(VLOOKUP(J838,'list of outsource'!B:H,2,0)))</f>
        <v>ETC</v>
      </c>
      <c r="L838" s="6" t="s">
        <v>532</v>
      </c>
      <c r="M838" s="6">
        <v>7</v>
      </c>
      <c r="N838" s="6" t="s">
        <v>1416</v>
      </c>
      <c r="O838" s="2"/>
      <c r="P838" s="6" t="s">
        <v>1417</v>
      </c>
      <c r="Q838" s="6" t="s">
        <v>1418</v>
      </c>
      <c r="R838" s="16" t="s">
        <v>549</v>
      </c>
      <c r="S838" s="6">
        <v>4</v>
      </c>
      <c r="T838" s="6"/>
      <c r="U838" s="6" t="s">
        <v>39</v>
      </c>
      <c r="V838" s="17">
        <v>45281</v>
      </c>
      <c r="W838" s="16"/>
      <c r="Z838" t="e">
        <v>#N/A</v>
      </c>
    </row>
    <row r="839" spans="1:26" customFormat="1" hidden="1">
      <c r="A839">
        <f t="shared" ca="1" si="13"/>
        <v>57</v>
      </c>
      <c r="B839" s="8" t="s">
        <v>1414</v>
      </c>
      <c r="C839" s="16">
        <v>45873</v>
      </c>
      <c r="D839" s="6" t="s">
        <v>129</v>
      </c>
      <c r="E839" s="6" t="s">
        <v>3662</v>
      </c>
      <c r="F839" s="6">
        <v>4489</v>
      </c>
      <c r="G839" s="6" t="s">
        <v>1409</v>
      </c>
      <c r="H839" s="6" t="s">
        <v>379</v>
      </c>
      <c r="I839" s="6" t="s">
        <v>1415</v>
      </c>
      <c r="J839" s="6" t="s">
        <v>531</v>
      </c>
      <c r="K839" s="6" t="str">
        <f>IF(E839="KTG","KTG",(VLOOKUP(J839,'list of outsource'!B:H,2,0)))</f>
        <v>ETC</v>
      </c>
      <c r="L839" s="6" t="s">
        <v>532</v>
      </c>
      <c r="M839" s="6">
        <v>10</v>
      </c>
      <c r="N839" s="6" t="s">
        <v>1416</v>
      </c>
      <c r="O839" s="2"/>
      <c r="P839" s="6" t="s">
        <v>1417</v>
      </c>
      <c r="Q839" s="6" t="s">
        <v>1418</v>
      </c>
      <c r="R839" s="16">
        <v>45904</v>
      </c>
      <c r="S839" s="6">
        <v>4</v>
      </c>
      <c r="T839" s="6" t="s">
        <v>307</v>
      </c>
      <c r="U839" s="6" t="s">
        <v>183</v>
      </c>
      <c r="V839" s="17">
        <v>45930</v>
      </c>
      <c r="W839" s="16"/>
    </row>
    <row r="840" spans="1:26" customFormat="1" hidden="1">
      <c r="A840">
        <f t="shared" ref="A840:A903" ca="1" si="14">IF(V840="",(TODAY()-C840),(V840-C840))</f>
        <v>16</v>
      </c>
      <c r="B840" s="4" t="s">
        <v>1419</v>
      </c>
      <c r="C840" s="12">
        <v>45265</v>
      </c>
      <c r="D840" s="4" t="s">
        <v>1070</v>
      </c>
      <c r="E840" s="4" t="s">
        <v>3662</v>
      </c>
      <c r="F840" s="4">
        <v>4490</v>
      </c>
      <c r="G840" s="4" t="s">
        <v>1409</v>
      </c>
      <c r="H840" s="4" t="s">
        <v>379</v>
      </c>
      <c r="I840" s="4" t="s">
        <v>1420</v>
      </c>
      <c r="J840" s="4" t="s">
        <v>531</v>
      </c>
      <c r="K840" s="4" t="str">
        <f>IF(E840="KTG","KTG",(VLOOKUP(J840,'list of outsource'!B:H,2,0)))</f>
        <v>ETC</v>
      </c>
      <c r="L840" s="4" t="s">
        <v>532</v>
      </c>
      <c r="M840" s="4">
        <v>7</v>
      </c>
      <c r="N840" s="4" t="s">
        <v>1421</v>
      </c>
      <c r="O840" s="2"/>
      <c r="P840" s="4" t="s">
        <v>1422</v>
      </c>
      <c r="Q840" s="4" t="s">
        <v>1423</v>
      </c>
      <c r="R840" s="12" t="s">
        <v>549</v>
      </c>
      <c r="S840" s="4">
        <v>4</v>
      </c>
      <c r="T840" s="4"/>
      <c r="U840" s="4" t="s">
        <v>39</v>
      </c>
      <c r="V840" s="10">
        <v>45281</v>
      </c>
      <c r="W840" s="12">
        <v>45308</v>
      </c>
      <c r="Z840" t="e">
        <v>#N/A</v>
      </c>
    </row>
    <row r="841" spans="1:26" customFormat="1" hidden="1">
      <c r="A841">
        <f t="shared" ca="1" si="14"/>
        <v>57</v>
      </c>
      <c r="B841" s="8" t="s">
        <v>1419</v>
      </c>
      <c r="C841" s="16">
        <v>45873</v>
      </c>
      <c r="D841" s="6" t="s">
        <v>129</v>
      </c>
      <c r="E841" s="6" t="s">
        <v>3662</v>
      </c>
      <c r="F841" s="6">
        <v>4490</v>
      </c>
      <c r="G841" s="6" t="s">
        <v>1409</v>
      </c>
      <c r="H841" s="6" t="s">
        <v>379</v>
      </c>
      <c r="I841" s="6" t="s">
        <v>1420</v>
      </c>
      <c r="J841" s="6" t="s">
        <v>531</v>
      </c>
      <c r="K841" s="6" t="str">
        <f>IF(E841="KTG","KTG",(VLOOKUP(J841,'list of outsource'!B:H,2,0)))</f>
        <v>ETC</v>
      </c>
      <c r="L841" s="6" t="s">
        <v>532</v>
      </c>
      <c r="M841" s="6">
        <v>10</v>
      </c>
      <c r="N841" s="6" t="s">
        <v>1421</v>
      </c>
      <c r="O841" s="2"/>
      <c r="P841" s="6" t="s">
        <v>1422</v>
      </c>
      <c r="Q841" s="6" t="s">
        <v>1423</v>
      </c>
      <c r="R841" s="16">
        <v>45904</v>
      </c>
      <c r="S841" s="6">
        <v>4</v>
      </c>
      <c r="T841" s="6" t="s">
        <v>307</v>
      </c>
      <c r="U841" s="6" t="s">
        <v>183</v>
      </c>
      <c r="V841" s="17">
        <v>45930</v>
      </c>
      <c r="W841" s="16"/>
    </row>
    <row r="842" spans="1:26" customFormat="1" hidden="1">
      <c r="A842">
        <f t="shared" ca="1" si="14"/>
        <v>16</v>
      </c>
      <c r="B842" s="4" t="s">
        <v>1424</v>
      </c>
      <c r="C842" s="12">
        <v>45265</v>
      </c>
      <c r="D842" s="4" t="s">
        <v>1070</v>
      </c>
      <c r="E842" s="4" t="s">
        <v>3662</v>
      </c>
      <c r="F842" s="4">
        <v>4492</v>
      </c>
      <c r="G842" s="4" t="s">
        <v>1409</v>
      </c>
      <c r="H842" s="4" t="s">
        <v>379</v>
      </c>
      <c r="I842" s="4" t="s">
        <v>1425</v>
      </c>
      <c r="J842" s="4" t="s">
        <v>531</v>
      </c>
      <c r="K842" s="4" t="str">
        <f>IF(E842="KTG","KTG",(VLOOKUP(J842,'list of outsource'!B:H,2,0)))</f>
        <v>ETC</v>
      </c>
      <c r="L842" s="4" t="s">
        <v>532</v>
      </c>
      <c r="M842" s="4">
        <v>7</v>
      </c>
      <c r="N842" s="4" t="s">
        <v>1426</v>
      </c>
      <c r="O842" s="2"/>
      <c r="P842" s="4" t="s">
        <v>1427</v>
      </c>
      <c r="Q842" s="4" t="s">
        <v>1428</v>
      </c>
      <c r="R842" s="12" t="s">
        <v>549</v>
      </c>
      <c r="S842" s="4">
        <v>4</v>
      </c>
      <c r="T842" s="4"/>
      <c r="U842" s="4" t="s">
        <v>39</v>
      </c>
      <c r="V842" s="10">
        <v>45281</v>
      </c>
      <c r="W842" s="12">
        <v>45308</v>
      </c>
      <c r="Z842" t="e">
        <v>#N/A</v>
      </c>
    </row>
    <row r="843" spans="1:26" customFormat="1" hidden="1">
      <c r="A843">
        <f t="shared" ca="1" si="14"/>
        <v>57</v>
      </c>
      <c r="B843" s="8" t="s">
        <v>1424</v>
      </c>
      <c r="C843" s="16">
        <v>45873</v>
      </c>
      <c r="D843" s="6" t="s">
        <v>129</v>
      </c>
      <c r="E843" s="6" t="s">
        <v>3662</v>
      </c>
      <c r="F843" s="6">
        <v>4492</v>
      </c>
      <c r="G843" s="6" t="s">
        <v>1409</v>
      </c>
      <c r="H843" s="6" t="s">
        <v>379</v>
      </c>
      <c r="I843" s="6" t="s">
        <v>1425</v>
      </c>
      <c r="J843" s="6" t="s">
        <v>531</v>
      </c>
      <c r="K843" s="6" t="str">
        <f>IF(E843="KTG","KTG",(VLOOKUP(J843,'list of outsource'!B:H,2,0)))</f>
        <v>ETC</v>
      </c>
      <c r="L843" s="6" t="s">
        <v>532</v>
      </c>
      <c r="M843" s="6">
        <v>10</v>
      </c>
      <c r="N843" s="6" t="s">
        <v>1426</v>
      </c>
      <c r="O843" s="2"/>
      <c r="P843" s="6" t="s">
        <v>1427</v>
      </c>
      <c r="Q843" s="6" t="s">
        <v>1428</v>
      </c>
      <c r="R843" s="16">
        <v>45904</v>
      </c>
      <c r="S843" s="6">
        <v>4</v>
      </c>
      <c r="T843" s="6" t="s">
        <v>307</v>
      </c>
      <c r="U843" s="6" t="s">
        <v>183</v>
      </c>
      <c r="V843" s="17">
        <v>45930</v>
      </c>
      <c r="W843" s="16"/>
    </row>
    <row r="844" spans="1:26" customFormat="1" hidden="1">
      <c r="A844">
        <f t="shared" ca="1" si="14"/>
        <v>26</v>
      </c>
      <c r="B844" s="4" t="s">
        <v>1573</v>
      </c>
      <c r="C844" s="12">
        <v>45329</v>
      </c>
      <c r="D844" s="4" t="s">
        <v>1070</v>
      </c>
      <c r="E844" s="4" t="s">
        <v>3665</v>
      </c>
      <c r="F844" s="4">
        <v>3961</v>
      </c>
      <c r="G844" s="4" t="s">
        <v>102</v>
      </c>
      <c r="H844" s="4" t="s">
        <v>34</v>
      </c>
      <c r="I844" s="4">
        <v>3149737</v>
      </c>
      <c r="J844" s="4" t="s">
        <v>108</v>
      </c>
      <c r="K844" s="4" t="str">
        <f>IF(E844="KTG","KTG",(VLOOKUP(J844,'list of outsource'!B:H,2,0)))</f>
        <v>UPM</v>
      </c>
      <c r="L844" s="4" t="s">
        <v>109</v>
      </c>
      <c r="M844" s="4"/>
      <c r="N844" s="4" t="s">
        <v>1574</v>
      </c>
      <c r="O844" s="2"/>
      <c r="P844" s="4" t="s">
        <v>1575</v>
      </c>
      <c r="Q844" s="4">
        <v>1306225177</v>
      </c>
      <c r="R844" s="12" t="s">
        <v>549</v>
      </c>
      <c r="S844" s="4">
        <v>4</v>
      </c>
      <c r="T844" s="4" t="s">
        <v>1258</v>
      </c>
      <c r="U844" s="4" t="s">
        <v>39</v>
      </c>
      <c r="V844" s="10">
        <v>45355</v>
      </c>
      <c r="W844" s="12">
        <v>45359</v>
      </c>
      <c r="Z844" t="e">
        <v>#N/A</v>
      </c>
    </row>
    <row r="845" spans="1:26" customFormat="1" hidden="1">
      <c r="A845">
        <f t="shared" ca="1" si="14"/>
        <v>33</v>
      </c>
      <c r="B845" s="4" t="s">
        <v>1557</v>
      </c>
      <c r="C845" s="12">
        <v>45329</v>
      </c>
      <c r="D845" s="4" t="s">
        <v>1070</v>
      </c>
      <c r="E845" s="4" t="s">
        <v>3665</v>
      </c>
      <c r="F845" s="4">
        <v>3958</v>
      </c>
      <c r="G845" s="4" t="s">
        <v>102</v>
      </c>
      <c r="H845" s="4" t="s">
        <v>34</v>
      </c>
      <c r="I845" s="4">
        <v>3149739</v>
      </c>
      <c r="J845" s="4" t="s">
        <v>108</v>
      </c>
      <c r="K845" s="4" t="str">
        <f>IF(E845="KTG","KTG",(VLOOKUP(J845,'list of outsource'!B:H,2,0)))</f>
        <v>UPM</v>
      </c>
      <c r="L845" s="4" t="s">
        <v>109</v>
      </c>
      <c r="M845" s="4"/>
      <c r="N845" s="4" t="s">
        <v>1558</v>
      </c>
      <c r="O845" s="2"/>
      <c r="P845" s="4" t="s">
        <v>1559</v>
      </c>
      <c r="Q845" s="4">
        <v>1308726296</v>
      </c>
      <c r="R845" s="12" t="s">
        <v>549</v>
      </c>
      <c r="S845" s="4">
        <v>4</v>
      </c>
      <c r="T845" s="4" t="s">
        <v>1258</v>
      </c>
      <c r="U845" s="4" t="s">
        <v>39</v>
      </c>
      <c r="V845" s="10">
        <v>45362</v>
      </c>
      <c r="W845" s="12">
        <v>45366</v>
      </c>
      <c r="Z845" t="e">
        <v>#N/A</v>
      </c>
    </row>
    <row r="846" spans="1:26" customFormat="1" hidden="1">
      <c r="A846">
        <f t="shared" ca="1" si="14"/>
        <v>43</v>
      </c>
      <c r="B846" s="4" t="s">
        <v>1560</v>
      </c>
      <c r="C846" s="12">
        <v>45329</v>
      </c>
      <c r="D846" s="4" t="s">
        <v>1070</v>
      </c>
      <c r="E846" s="4" t="s">
        <v>3665</v>
      </c>
      <c r="F846" s="4">
        <v>3960</v>
      </c>
      <c r="G846" s="4" t="s">
        <v>102</v>
      </c>
      <c r="H846" s="4" t="s">
        <v>34</v>
      </c>
      <c r="I846" s="4">
        <v>3149738</v>
      </c>
      <c r="J846" s="4" t="s">
        <v>108</v>
      </c>
      <c r="K846" s="4" t="str">
        <f>IF(E846="KTG","KTG",(VLOOKUP(J846,'list of outsource'!B:H,2,0)))</f>
        <v>UPM</v>
      </c>
      <c r="L846" s="4" t="s">
        <v>109</v>
      </c>
      <c r="M846" s="4">
        <v>38</v>
      </c>
      <c r="N846" s="4" t="s">
        <v>1561</v>
      </c>
      <c r="O846" s="2"/>
      <c r="P846" s="4" t="s">
        <v>1562</v>
      </c>
      <c r="Q846" s="4">
        <v>1309592682</v>
      </c>
      <c r="R846" s="12" t="s">
        <v>549</v>
      </c>
      <c r="S846" s="4">
        <v>4</v>
      </c>
      <c r="T846" s="4" t="s">
        <v>1258</v>
      </c>
      <c r="U846" s="4" t="s">
        <v>39</v>
      </c>
      <c r="V846" s="10">
        <v>45372</v>
      </c>
      <c r="W846" s="12">
        <v>45373</v>
      </c>
      <c r="Z846" t="e">
        <v>#N/A</v>
      </c>
    </row>
    <row r="847" spans="1:26" customFormat="1" hidden="1">
      <c r="A847">
        <f t="shared" ca="1" si="14"/>
        <v>1</v>
      </c>
      <c r="B847" s="4" t="s">
        <v>1560</v>
      </c>
      <c r="C847" s="12">
        <v>45519</v>
      </c>
      <c r="D847" s="4" t="s">
        <v>1594</v>
      </c>
      <c r="E847" s="4" t="s">
        <v>3665</v>
      </c>
      <c r="F847" s="4">
        <v>3960</v>
      </c>
      <c r="G847" s="4" t="s">
        <v>102</v>
      </c>
      <c r="H847" s="4" t="s">
        <v>34</v>
      </c>
      <c r="I847" s="4">
        <v>3149738</v>
      </c>
      <c r="J847" s="4" t="s">
        <v>108</v>
      </c>
      <c r="K847" s="4" t="str">
        <f>IF(E847="KTG","KTG",(VLOOKUP(J847,'list of outsource'!B:H,2,0)))</f>
        <v>UPM</v>
      </c>
      <c r="L847" s="4" t="s">
        <v>109</v>
      </c>
      <c r="M847" s="4">
        <v>38</v>
      </c>
      <c r="N847" s="4" t="s">
        <v>1561</v>
      </c>
      <c r="O847" s="2"/>
      <c r="P847" s="4" t="s">
        <v>1562</v>
      </c>
      <c r="Q847" s="4" t="s">
        <v>2062</v>
      </c>
      <c r="R847" s="12" t="s">
        <v>549</v>
      </c>
      <c r="S847" s="4">
        <v>4</v>
      </c>
      <c r="T847" s="4" t="s">
        <v>1258</v>
      </c>
      <c r="U847" s="4" t="s">
        <v>39</v>
      </c>
      <c r="V847" s="10">
        <v>45520</v>
      </c>
      <c r="W847" s="12"/>
      <c r="Z847" t="e">
        <v>#N/A</v>
      </c>
    </row>
    <row r="848" spans="1:26" customFormat="1" hidden="1">
      <c r="A848">
        <f t="shared" ca="1" si="14"/>
        <v>43</v>
      </c>
      <c r="B848" s="4" t="s">
        <v>1563</v>
      </c>
      <c r="C848" s="12">
        <v>45329</v>
      </c>
      <c r="D848" s="4" t="s">
        <v>1070</v>
      </c>
      <c r="E848" s="4" t="s">
        <v>3665</v>
      </c>
      <c r="F848" s="4">
        <v>3962</v>
      </c>
      <c r="G848" s="4" t="s">
        <v>102</v>
      </c>
      <c r="H848" s="4" t="s">
        <v>34</v>
      </c>
      <c r="I848" s="4">
        <v>3149736</v>
      </c>
      <c r="J848" s="4" t="s">
        <v>108</v>
      </c>
      <c r="K848" s="4" t="str">
        <f>IF(E848="KTG","KTG",(VLOOKUP(J848,'list of outsource'!B:H,2,0)))</f>
        <v>UPM</v>
      </c>
      <c r="L848" s="4" t="s">
        <v>109</v>
      </c>
      <c r="M848" s="4">
        <v>38</v>
      </c>
      <c r="N848" s="4" t="s">
        <v>1564</v>
      </c>
      <c r="O848" s="2"/>
      <c r="P848" s="4" t="s">
        <v>1565</v>
      </c>
      <c r="Q848" s="4">
        <v>1310257208</v>
      </c>
      <c r="R848" s="12" t="s">
        <v>549</v>
      </c>
      <c r="S848" s="4">
        <v>4</v>
      </c>
      <c r="T848" s="4" t="s">
        <v>1258</v>
      </c>
      <c r="U848" s="4" t="s">
        <v>39</v>
      </c>
      <c r="V848" s="10">
        <v>45372</v>
      </c>
      <c r="W848" s="12">
        <v>45373</v>
      </c>
      <c r="Z848" t="e">
        <v>#N/A</v>
      </c>
    </row>
    <row r="849" spans="1:26" customFormat="1" hidden="1">
      <c r="A849">
        <f t="shared" ca="1" si="14"/>
        <v>33</v>
      </c>
      <c r="B849" s="4" t="s">
        <v>1566</v>
      </c>
      <c r="C849" s="12">
        <v>45329</v>
      </c>
      <c r="D849" s="4" t="s">
        <v>1070</v>
      </c>
      <c r="E849" s="4" t="s">
        <v>3665</v>
      </c>
      <c r="F849" s="4">
        <v>3963</v>
      </c>
      <c r="G849" s="4" t="s">
        <v>102</v>
      </c>
      <c r="H849" s="4" t="s">
        <v>34</v>
      </c>
      <c r="I849" s="4">
        <v>3149732</v>
      </c>
      <c r="J849" s="4" t="s">
        <v>108</v>
      </c>
      <c r="K849" s="4" t="str">
        <f>IF(E849="KTG","KTG",(VLOOKUP(J849,'list of outsource'!B:H,2,0)))</f>
        <v>UPM</v>
      </c>
      <c r="L849" s="4" t="s">
        <v>109</v>
      </c>
      <c r="M849" s="4"/>
      <c r="N849" s="4" t="s">
        <v>1567</v>
      </c>
      <c r="O849" s="2"/>
      <c r="P849" s="4" t="s">
        <v>1568</v>
      </c>
      <c r="Q849" s="4">
        <v>1308726701</v>
      </c>
      <c r="R849" s="12" t="s">
        <v>549</v>
      </c>
      <c r="S849" s="4">
        <v>4</v>
      </c>
      <c r="T849" s="4" t="s">
        <v>1258</v>
      </c>
      <c r="U849" s="4" t="s">
        <v>39</v>
      </c>
      <c r="V849" s="10">
        <v>45362</v>
      </c>
      <c r="W849" s="12">
        <v>45366</v>
      </c>
      <c r="Z849" t="e">
        <v>#N/A</v>
      </c>
    </row>
    <row r="850" spans="1:26" customFormat="1" hidden="1">
      <c r="A850">
        <f t="shared" ca="1" si="14"/>
        <v>43</v>
      </c>
      <c r="B850" s="4" t="s">
        <v>1569</v>
      </c>
      <c r="C850" s="12">
        <v>45329</v>
      </c>
      <c r="D850" s="4" t="s">
        <v>1070</v>
      </c>
      <c r="E850" s="4" t="s">
        <v>3665</v>
      </c>
      <c r="F850" s="4">
        <v>3965</v>
      </c>
      <c r="G850" s="4" t="s">
        <v>102</v>
      </c>
      <c r="H850" s="4" t="s">
        <v>34</v>
      </c>
      <c r="I850" s="4">
        <v>3149735</v>
      </c>
      <c r="J850" s="4" t="s">
        <v>108</v>
      </c>
      <c r="K850" s="4" t="str">
        <f>IF(E850="KTG","KTG",(VLOOKUP(J850,'list of outsource'!B:H,2,0)))</f>
        <v>UPM</v>
      </c>
      <c r="L850" s="4" t="s">
        <v>109</v>
      </c>
      <c r="M850" s="4">
        <v>38</v>
      </c>
      <c r="N850" s="4" t="s">
        <v>1570</v>
      </c>
      <c r="O850" s="2"/>
      <c r="P850" s="4" t="s">
        <v>1571</v>
      </c>
      <c r="Q850" s="4">
        <v>1310258846</v>
      </c>
      <c r="R850" s="12" t="s">
        <v>549</v>
      </c>
      <c r="S850" s="4">
        <v>4</v>
      </c>
      <c r="T850" s="4" t="s">
        <v>1258</v>
      </c>
      <c r="U850" s="4" t="s">
        <v>39</v>
      </c>
      <c r="V850" s="10">
        <v>45372</v>
      </c>
      <c r="W850" s="12">
        <v>45373</v>
      </c>
      <c r="Z850" t="e">
        <v>#N/A</v>
      </c>
    </row>
    <row r="851" spans="1:26" customFormat="1" hidden="1">
      <c r="A851">
        <f t="shared" ca="1" si="14"/>
        <v>33</v>
      </c>
      <c r="B851" s="4" t="s">
        <v>1572</v>
      </c>
      <c r="C851" s="12">
        <v>45329</v>
      </c>
      <c r="D851" s="4" t="s">
        <v>1070</v>
      </c>
      <c r="E851" s="4" t="s">
        <v>3665</v>
      </c>
      <c r="F851" s="4">
        <v>3966</v>
      </c>
      <c r="G851" s="4" t="s">
        <v>102</v>
      </c>
      <c r="H851" s="4" t="s">
        <v>34</v>
      </c>
      <c r="I851" s="4">
        <v>3149734</v>
      </c>
      <c r="J851" s="4" t="s">
        <v>108</v>
      </c>
      <c r="K851" s="4" t="str">
        <f>IF(E851="KTG","KTG",(VLOOKUP(J851,'list of outsource'!B:H,2,0)))</f>
        <v>UPM</v>
      </c>
      <c r="L851" s="4" t="s">
        <v>109</v>
      </c>
      <c r="M851" s="4"/>
      <c r="N851" s="4" t="s">
        <v>743</v>
      </c>
      <c r="O851" s="2"/>
      <c r="P851" s="4" t="s">
        <v>744</v>
      </c>
      <c r="Q851" s="4">
        <v>1308727395</v>
      </c>
      <c r="R851" s="12" t="s">
        <v>549</v>
      </c>
      <c r="S851" s="4">
        <v>4</v>
      </c>
      <c r="T851" s="4" t="s">
        <v>1258</v>
      </c>
      <c r="U851" s="4" t="s">
        <v>39</v>
      </c>
      <c r="V851" s="10">
        <v>45362</v>
      </c>
      <c r="W851" s="12">
        <v>45366</v>
      </c>
      <c r="Z851" t="e">
        <v>#N/A</v>
      </c>
    </row>
    <row r="852" spans="1:26" customFormat="1" hidden="1">
      <c r="A852">
        <f t="shared" ca="1" si="14"/>
        <v>93</v>
      </c>
      <c r="B852" s="4" t="s">
        <v>1628</v>
      </c>
      <c r="C852" s="12">
        <v>45391</v>
      </c>
      <c r="D852" s="4" t="s">
        <v>1070</v>
      </c>
      <c r="E852" s="4" t="s">
        <v>3662</v>
      </c>
      <c r="F852" s="4">
        <v>3967</v>
      </c>
      <c r="G852" s="4" t="s">
        <v>102</v>
      </c>
      <c r="H852" s="4" t="s">
        <v>34</v>
      </c>
      <c r="I852" s="4">
        <v>3254101</v>
      </c>
      <c r="J852" s="4" t="s">
        <v>525</v>
      </c>
      <c r="K852" s="4" t="str">
        <f>IF(E852="KTG","KTG",(VLOOKUP(J852,'list of outsource'!B:H,2,0)))</f>
        <v>ETC</v>
      </c>
      <c r="L852" s="4" t="s">
        <v>526</v>
      </c>
      <c r="M852" s="4">
        <v>19</v>
      </c>
      <c r="N852" s="4" t="s">
        <v>1629</v>
      </c>
      <c r="O852" s="2"/>
      <c r="P852" s="4" t="s">
        <v>1630</v>
      </c>
      <c r="Q852" s="4" t="s">
        <v>1631</v>
      </c>
      <c r="R852" s="12">
        <v>45397</v>
      </c>
      <c r="S852" s="4">
        <v>4</v>
      </c>
      <c r="T852" s="4" t="s">
        <v>1258</v>
      </c>
      <c r="U852" s="4" t="s">
        <v>39</v>
      </c>
      <c r="V852" s="10">
        <v>45484</v>
      </c>
      <c r="W852" s="12">
        <v>45496</v>
      </c>
      <c r="Z852" t="e">
        <v>#N/A</v>
      </c>
    </row>
    <row r="853" spans="1:26" customFormat="1" hidden="1">
      <c r="A853">
        <f t="shared" ca="1" si="14"/>
        <v>93</v>
      </c>
      <c r="B853" s="4" t="s">
        <v>1632</v>
      </c>
      <c r="C853" s="12">
        <v>45391</v>
      </c>
      <c r="D853" s="4" t="s">
        <v>1070</v>
      </c>
      <c r="E853" s="4" t="s">
        <v>3665</v>
      </c>
      <c r="F853" s="4">
        <v>3972</v>
      </c>
      <c r="G853" s="4" t="s">
        <v>102</v>
      </c>
      <c r="H853" s="4" t="s">
        <v>34</v>
      </c>
      <c r="I853" s="4">
        <v>3463258</v>
      </c>
      <c r="J853" s="4" t="s">
        <v>96</v>
      </c>
      <c r="K853" s="4" t="str">
        <f>IF(E853="KTG","KTG",(VLOOKUP(J853,'list of outsource'!B:H,2,0)))</f>
        <v>Woer</v>
      </c>
      <c r="L853" s="4" t="s">
        <v>97</v>
      </c>
      <c r="M853" s="4">
        <v>48</v>
      </c>
      <c r="N853" s="4" t="s">
        <v>1633</v>
      </c>
      <c r="O853" s="2"/>
      <c r="P853" s="4" t="s">
        <v>1634</v>
      </c>
      <c r="Q853" s="4" t="s">
        <v>1635</v>
      </c>
      <c r="R853" s="12">
        <v>45481</v>
      </c>
      <c r="S853" s="4">
        <v>4</v>
      </c>
      <c r="T853" s="4" t="s">
        <v>607</v>
      </c>
      <c r="U853" s="4" t="s">
        <v>39</v>
      </c>
      <c r="V853" s="10">
        <v>45484</v>
      </c>
      <c r="W853" s="12">
        <v>45496</v>
      </c>
      <c r="Z853" t="e">
        <v>#N/A</v>
      </c>
    </row>
    <row r="854" spans="1:26" customFormat="1" hidden="1">
      <c r="A854">
        <f t="shared" ca="1" si="14"/>
        <v>30</v>
      </c>
      <c r="B854" s="4" t="s">
        <v>2035</v>
      </c>
      <c r="C854" s="12">
        <v>45495</v>
      </c>
      <c r="D854" s="4" t="s">
        <v>1070</v>
      </c>
      <c r="E854" s="4" t="s">
        <v>3665</v>
      </c>
      <c r="F854" s="4">
        <v>3969</v>
      </c>
      <c r="G854" s="4" t="s">
        <v>102</v>
      </c>
      <c r="H854" s="4" t="s">
        <v>34</v>
      </c>
      <c r="I854" s="4">
        <v>3191789</v>
      </c>
      <c r="J854" s="4" t="s">
        <v>108</v>
      </c>
      <c r="K854" s="4" t="str">
        <f>IF(E854="KTG","KTG",(VLOOKUP(J854,'list of outsource'!B:H,2,0)))</f>
        <v>UPM</v>
      </c>
      <c r="L854" s="4" t="s">
        <v>109</v>
      </c>
      <c r="M854" s="4">
        <v>42</v>
      </c>
      <c r="N854" s="4" t="s">
        <v>2036</v>
      </c>
      <c r="O854" s="2"/>
      <c r="P854" s="4" t="s">
        <v>2037</v>
      </c>
      <c r="Q854" s="4" t="s">
        <v>2038</v>
      </c>
      <c r="R854" s="12">
        <v>45519</v>
      </c>
      <c r="S854" s="4">
        <v>4</v>
      </c>
      <c r="T854" s="4" t="s">
        <v>1258</v>
      </c>
      <c r="U854" s="4" t="s">
        <v>39</v>
      </c>
      <c r="V854" s="10">
        <v>45525</v>
      </c>
      <c r="W854" s="12">
        <v>45527</v>
      </c>
      <c r="Z854" t="e">
        <v>#N/A</v>
      </c>
    </row>
    <row r="855" spans="1:26" customFormat="1" hidden="1">
      <c r="A855">
        <f t="shared" ca="1" si="14"/>
        <v>31</v>
      </c>
      <c r="B855" s="4" t="s">
        <v>2445</v>
      </c>
      <c r="C855" s="12">
        <v>45758</v>
      </c>
      <c r="D855" s="4" t="s">
        <v>300</v>
      </c>
      <c r="E855" s="4" t="s">
        <v>3665</v>
      </c>
      <c r="F855" s="4">
        <v>3971</v>
      </c>
      <c r="G855" s="4" t="s">
        <v>102</v>
      </c>
      <c r="H855" s="4" t="s">
        <v>34</v>
      </c>
      <c r="I855" s="4">
        <v>3491990</v>
      </c>
      <c r="J855" s="4" t="s">
        <v>408</v>
      </c>
      <c r="K855" s="4" t="str">
        <f>IF(E855="KTG","KTG",(VLOOKUP(J855,'list of outsource'!B:H,2,0)))</f>
        <v>UPM</v>
      </c>
      <c r="L855" s="4" t="s">
        <v>409</v>
      </c>
      <c r="M855" s="4">
        <v>24</v>
      </c>
      <c r="N855" s="4" t="s">
        <v>2446</v>
      </c>
      <c r="O855" s="2"/>
      <c r="P855" s="4" t="s">
        <v>2447</v>
      </c>
      <c r="Q855" s="4" t="s">
        <v>2448</v>
      </c>
      <c r="R855" s="12">
        <v>45772</v>
      </c>
      <c r="S855" s="4">
        <v>4</v>
      </c>
      <c r="T855" s="4" t="s">
        <v>1465</v>
      </c>
      <c r="U855" s="4" t="s">
        <v>39</v>
      </c>
      <c r="V855" s="10">
        <v>45789</v>
      </c>
      <c r="W855" s="12">
        <v>45792</v>
      </c>
      <c r="Z855" t="s">
        <v>2449</v>
      </c>
    </row>
    <row r="856" spans="1:26" customFormat="1" hidden="1">
      <c r="A856">
        <f t="shared" ca="1" si="14"/>
        <v>29</v>
      </c>
      <c r="B856" s="9" t="s">
        <v>2563</v>
      </c>
      <c r="C856" s="12">
        <v>45798</v>
      </c>
      <c r="D856" s="4" t="s">
        <v>300</v>
      </c>
      <c r="E856" s="4" t="s">
        <v>3665</v>
      </c>
      <c r="F856" s="4">
        <v>3968</v>
      </c>
      <c r="G856" s="4" t="s">
        <v>102</v>
      </c>
      <c r="H856" s="4" t="s">
        <v>34</v>
      </c>
      <c r="I856" s="4">
        <v>3191782</v>
      </c>
      <c r="J856" s="4" t="s">
        <v>96</v>
      </c>
      <c r="K856" s="4" t="str">
        <f>IF(E856="KTG","KTG",(VLOOKUP(J856,'list of outsource'!B:H,2,0)))</f>
        <v>Woer</v>
      </c>
      <c r="L856" s="4" t="s">
        <v>97</v>
      </c>
      <c r="M856" s="47">
        <v>56</v>
      </c>
      <c r="N856" s="4" t="s">
        <v>2564</v>
      </c>
      <c r="O856" s="2"/>
      <c r="P856" s="4" t="s">
        <v>2565</v>
      </c>
      <c r="Q856" s="4" t="s">
        <v>2566</v>
      </c>
      <c r="R856" s="12"/>
      <c r="S856" s="4">
        <v>4</v>
      </c>
      <c r="T856" s="4" t="s">
        <v>607</v>
      </c>
      <c r="U856" s="4" t="s">
        <v>39</v>
      </c>
      <c r="V856" s="10">
        <v>45827</v>
      </c>
      <c r="W856" s="12">
        <v>45828</v>
      </c>
      <c r="Z856" t="s">
        <v>2567</v>
      </c>
    </row>
    <row r="857" spans="1:26" customFormat="1" hidden="1">
      <c r="A857">
        <f t="shared" ca="1" si="14"/>
        <v>22</v>
      </c>
      <c r="B857" s="8" t="s">
        <v>3470</v>
      </c>
      <c r="C857" s="16">
        <v>45974</v>
      </c>
      <c r="D857" s="6" t="s">
        <v>129</v>
      </c>
      <c r="E857" s="6" t="s">
        <v>3662</v>
      </c>
      <c r="F857" s="6">
        <v>81</v>
      </c>
      <c r="G857" s="6" t="s">
        <v>1601</v>
      </c>
      <c r="H857" s="6" t="s">
        <v>34</v>
      </c>
      <c r="I857" s="6">
        <v>252367</v>
      </c>
      <c r="J857" s="6" t="s">
        <v>302</v>
      </c>
      <c r="K857" s="6" t="str">
        <f>IF(E857="KTG","KTG",(VLOOKUP(J857,'list of outsource'!B:H,2,0)))</f>
        <v>ETC</v>
      </c>
      <c r="L857" s="6" t="s">
        <v>303</v>
      </c>
      <c r="M857" s="6">
        <v>76</v>
      </c>
      <c r="N857" s="6" t="s">
        <v>304</v>
      </c>
      <c r="O857" s="2"/>
      <c r="P857" s="6" t="s">
        <v>1702</v>
      </c>
      <c r="Q857" s="6" t="s">
        <v>3469</v>
      </c>
      <c r="R857" s="16">
        <v>45519</v>
      </c>
      <c r="S857" s="6">
        <v>4</v>
      </c>
      <c r="T857" s="6" t="s">
        <v>307</v>
      </c>
      <c r="U857" s="6" t="s">
        <v>550</v>
      </c>
      <c r="V857" s="17">
        <v>45996</v>
      </c>
      <c r="W857" s="16"/>
    </row>
    <row r="858" spans="1:26" customFormat="1" hidden="1">
      <c r="A858">
        <f t="shared" ca="1" si="14"/>
        <v>26</v>
      </c>
      <c r="B858" s="8" t="s">
        <v>1600</v>
      </c>
      <c r="C858" s="16">
        <v>45351</v>
      </c>
      <c r="D858" s="6" t="s">
        <v>1070</v>
      </c>
      <c r="E858" s="6" t="s">
        <v>3662</v>
      </c>
      <c r="F858" s="6">
        <v>82</v>
      </c>
      <c r="G858" s="6" t="s">
        <v>1601</v>
      </c>
      <c r="H858" s="6" t="s">
        <v>34</v>
      </c>
      <c r="I858" s="6">
        <v>249390</v>
      </c>
      <c r="J858" s="6" t="s">
        <v>302</v>
      </c>
      <c r="K858" s="6" t="str">
        <f>IF(E858="KTG","KTG",(VLOOKUP(J858,'list of outsource'!B:H,2,0)))</f>
        <v>ETC</v>
      </c>
      <c r="L858" s="6" t="s">
        <v>303</v>
      </c>
      <c r="M858" s="6">
        <v>58</v>
      </c>
      <c r="N858" s="6" t="s">
        <v>1602</v>
      </c>
      <c r="O858" s="2"/>
      <c r="P858" s="6" t="s">
        <v>1603</v>
      </c>
      <c r="Q858" s="6" t="s">
        <v>1604</v>
      </c>
      <c r="R858" s="16">
        <v>45373</v>
      </c>
      <c r="S858" s="6">
        <v>4</v>
      </c>
      <c r="T858" s="6" t="s">
        <v>1258</v>
      </c>
      <c r="U858" s="6" t="s">
        <v>39</v>
      </c>
      <c r="V858" s="17">
        <v>45377</v>
      </c>
      <c r="W858" s="16">
        <v>45384</v>
      </c>
      <c r="Z858" t="e">
        <v>#N/A</v>
      </c>
    </row>
    <row r="859" spans="1:26" customFormat="1" hidden="1">
      <c r="A859">
        <f t="shared" ca="1" si="14"/>
        <v>28</v>
      </c>
      <c r="B859" s="4" t="s">
        <v>2047</v>
      </c>
      <c r="C859" s="12">
        <v>45510</v>
      </c>
      <c r="D859" s="4" t="s">
        <v>1070</v>
      </c>
      <c r="E859" s="4" t="s">
        <v>3662</v>
      </c>
      <c r="F859" s="4">
        <v>80</v>
      </c>
      <c r="G859" s="4" t="s">
        <v>1601</v>
      </c>
      <c r="H859" s="4" t="s">
        <v>34</v>
      </c>
      <c r="I859" s="4">
        <v>252366</v>
      </c>
      <c r="J859" s="4" t="s">
        <v>302</v>
      </c>
      <c r="K859" s="4" t="str">
        <f>IF(E859="KTG","KTG",(VLOOKUP(J859,'list of outsource'!B:H,2,0)))</f>
        <v>ETC</v>
      </c>
      <c r="L859" s="4" t="s">
        <v>303</v>
      </c>
      <c r="M859" s="4">
        <v>62</v>
      </c>
      <c r="N859" s="4" t="s">
        <v>1989</v>
      </c>
      <c r="O859" s="2"/>
      <c r="P859" s="4" t="s">
        <v>1990</v>
      </c>
      <c r="Q859" s="4" t="s">
        <v>2048</v>
      </c>
      <c r="R859" s="12">
        <v>45519</v>
      </c>
      <c r="S859" s="4">
        <v>4</v>
      </c>
      <c r="T859" s="4" t="s">
        <v>1465</v>
      </c>
      <c r="U859" s="4" t="s">
        <v>39</v>
      </c>
      <c r="V859" s="10">
        <v>45538</v>
      </c>
      <c r="W859" s="12">
        <v>45607</v>
      </c>
      <c r="Z859" t="e">
        <v>#N/A</v>
      </c>
    </row>
    <row r="860" spans="1:26" customFormat="1" hidden="1">
      <c r="A860">
        <f t="shared" ca="1" si="14"/>
        <v>28</v>
      </c>
      <c r="B860" s="4" t="s">
        <v>2049</v>
      </c>
      <c r="C860" s="12">
        <v>45510</v>
      </c>
      <c r="D860" s="4" t="s">
        <v>1070</v>
      </c>
      <c r="E860" s="4" t="s">
        <v>3662</v>
      </c>
      <c r="F860" s="4">
        <v>81</v>
      </c>
      <c r="G860" s="4" t="s">
        <v>1601</v>
      </c>
      <c r="H860" s="4" t="s">
        <v>34</v>
      </c>
      <c r="I860" s="4">
        <v>252367</v>
      </c>
      <c r="J860" s="4" t="s">
        <v>302</v>
      </c>
      <c r="K860" s="4" t="str">
        <f>IF(E860="KTG","KTG",(VLOOKUP(J860,'list of outsource'!B:H,2,0)))</f>
        <v>ETC</v>
      </c>
      <c r="L860" s="4" t="s">
        <v>303</v>
      </c>
      <c r="M860" s="4">
        <v>62</v>
      </c>
      <c r="N860" s="4" t="s">
        <v>304</v>
      </c>
      <c r="O860" s="2"/>
      <c r="P860" s="4" t="s">
        <v>1702</v>
      </c>
      <c r="Q860" s="4" t="s">
        <v>2050</v>
      </c>
      <c r="R860" s="12">
        <v>45519</v>
      </c>
      <c r="S860" s="4">
        <v>4</v>
      </c>
      <c r="T860" s="4" t="s">
        <v>1465</v>
      </c>
      <c r="U860" s="4" t="s">
        <v>39</v>
      </c>
      <c r="V860" s="10">
        <v>45538</v>
      </c>
      <c r="W860" s="12">
        <v>45607</v>
      </c>
      <c r="Z860" t="s">
        <v>1704</v>
      </c>
    </row>
    <row r="861" spans="1:26" customFormat="1">
      <c r="A861">
        <f t="shared" ca="1" si="14"/>
        <v>29</v>
      </c>
      <c r="B861" s="49" t="s">
        <v>1055</v>
      </c>
      <c r="C861" s="12">
        <v>45666</v>
      </c>
      <c r="D861" s="4" t="s">
        <v>300</v>
      </c>
      <c r="E861" s="4" t="s">
        <v>3662</v>
      </c>
      <c r="F861" s="4"/>
      <c r="G861" s="106" t="s">
        <v>505</v>
      </c>
      <c r="H861" s="106" t="s">
        <v>34</v>
      </c>
      <c r="I861" s="49">
        <v>69321138</v>
      </c>
      <c r="J861" s="4" t="s">
        <v>302</v>
      </c>
      <c r="K861" s="4" t="str">
        <f>IF(E861="KTG","KTG",(VLOOKUP(J861,'list of outsource'!B:H,2,0)))</f>
        <v>ETC</v>
      </c>
      <c r="L861" s="4" t="s">
        <v>303</v>
      </c>
      <c r="M861" s="4">
        <v>65</v>
      </c>
      <c r="N861" s="4" t="s">
        <v>815</v>
      </c>
      <c r="O861" s="2" t="s">
        <v>3689</v>
      </c>
      <c r="P861" s="4" t="s">
        <v>771</v>
      </c>
      <c r="Q861" s="4" t="s">
        <v>2229</v>
      </c>
      <c r="R861" s="12"/>
      <c r="S861" s="4">
        <v>4</v>
      </c>
      <c r="T861" s="4" t="s">
        <v>1465</v>
      </c>
      <c r="U861" s="4" t="s">
        <v>550</v>
      </c>
      <c r="V861" s="10">
        <v>45695</v>
      </c>
      <c r="W861" s="12">
        <v>45750</v>
      </c>
      <c r="Z861" t="s">
        <v>1058</v>
      </c>
    </row>
    <row r="862" spans="1:26" customFormat="1">
      <c r="A862">
        <f t="shared" ca="1" si="14"/>
        <v>31</v>
      </c>
      <c r="B862" s="49" t="s">
        <v>1059</v>
      </c>
      <c r="C862" s="12">
        <v>45118</v>
      </c>
      <c r="D862" s="4" t="s">
        <v>504</v>
      </c>
      <c r="E862" s="4" t="s">
        <v>3662</v>
      </c>
      <c r="F862" s="4"/>
      <c r="G862" s="106" t="s">
        <v>505</v>
      </c>
      <c r="H862" s="106" t="s">
        <v>34</v>
      </c>
      <c r="I862" s="49">
        <v>69321141</v>
      </c>
      <c r="J862" s="4" t="s">
        <v>302</v>
      </c>
      <c r="K862" s="4" t="str">
        <f>IF(E862="KTG","KTG",(VLOOKUP(J862,'list of outsource'!B:H,2,0)))</f>
        <v>ETC</v>
      </c>
      <c r="L862" s="4" t="s">
        <v>303</v>
      </c>
      <c r="M862" s="4"/>
      <c r="N862" s="4" t="s">
        <v>1060</v>
      </c>
      <c r="O862" s="2" t="s">
        <v>3689</v>
      </c>
      <c r="P862" s="4" t="s">
        <v>1061</v>
      </c>
      <c r="Q862" s="4">
        <v>1245243969</v>
      </c>
      <c r="R862" s="12"/>
      <c r="S862" s="4">
        <v>4</v>
      </c>
      <c r="T862" s="4"/>
      <c r="U862" s="4" t="s">
        <v>39</v>
      </c>
      <c r="V862" s="10" t="s">
        <v>1056</v>
      </c>
      <c r="W862" s="12" t="s">
        <v>1057</v>
      </c>
      <c r="Z862" t="s">
        <v>1058</v>
      </c>
    </row>
    <row r="863" spans="1:26" customFormat="1">
      <c r="A863">
        <f t="shared" ca="1" si="14"/>
        <v>29</v>
      </c>
      <c r="B863" s="49" t="s">
        <v>1059</v>
      </c>
      <c r="C863" s="12">
        <v>45666</v>
      </c>
      <c r="D863" s="4" t="s">
        <v>300</v>
      </c>
      <c r="E863" s="4" t="s">
        <v>3662</v>
      </c>
      <c r="F863" s="4"/>
      <c r="G863" s="106" t="s">
        <v>505</v>
      </c>
      <c r="H863" s="106" t="s">
        <v>34</v>
      </c>
      <c r="I863" s="49">
        <v>69321141</v>
      </c>
      <c r="J863" s="4" t="s">
        <v>302</v>
      </c>
      <c r="K863" s="4" t="str">
        <f>IF(E863="KTG","KTG",(VLOOKUP(J863,'list of outsource'!B:H,2,0)))</f>
        <v>ETC</v>
      </c>
      <c r="L863" s="4" t="s">
        <v>303</v>
      </c>
      <c r="M863" s="4">
        <v>65</v>
      </c>
      <c r="N863" s="4" t="s">
        <v>1060</v>
      </c>
      <c r="O863" s="2" t="s">
        <v>3689</v>
      </c>
      <c r="P863" s="4" t="s">
        <v>1061</v>
      </c>
      <c r="Q863" s="4" t="s">
        <v>2230</v>
      </c>
      <c r="R863" s="12"/>
      <c r="S863" s="4">
        <v>4</v>
      </c>
      <c r="T863" s="4" t="s">
        <v>1465</v>
      </c>
      <c r="U863" s="4" t="s">
        <v>550</v>
      </c>
      <c r="V863" s="10">
        <v>45695</v>
      </c>
      <c r="W863" s="12">
        <v>45750</v>
      </c>
      <c r="Z863" t="s">
        <v>1058</v>
      </c>
    </row>
    <row r="864" spans="1:26" customFormat="1">
      <c r="A864">
        <f t="shared" ca="1" si="14"/>
        <v>58</v>
      </c>
      <c r="B864" s="104" t="s">
        <v>1093</v>
      </c>
      <c r="C864" s="16">
        <v>45145</v>
      </c>
      <c r="D864" s="6" t="s">
        <v>129</v>
      </c>
      <c r="E864" s="6" t="s">
        <v>3662</v>
      </c>
      <c r="F864" s="6"/>
      <c r="G864" s="106" t="s">
        <v>505</v>
      </c>
      <c r="H864" s="106" t="s">
        <v>34</v>
      </c>
      <c r="I864" s="49">
        <v>69321142</v>
      </c>
      <c r="J864" s="6" t="s">
        <v>302</v>
      </c>
      <c r="K864" s="6" t="str">
        <f>IF(E864="KTG","KTG",(VLOOKUP(J864,'list of outsource'!B:H,2,0)))</f>
        <v>ETC</v>
      </c>
      <c r="L864" s="6" t="s">
        <v>303</v>
      </c>
      <c r="M864" s="6">
        <v>55</v>
      </c>
      <c r="N864" s="6" t="s">
        <v>1094</v>
      </c>
      <c r="O864" s="2" t="s">
        <v>3689</v>
      </c>
      <c r="P864" s="6" t="s">
        <v>1095</v>
      </c>
      <c r="Q864" s="6">
        <v>1247316215</v>
      </c>
      <c r="R864" s="16"/>
      <c r="S864" s="6">
        <v>4</v>
      </c>
      <c r="T864" s="6"/>
      <c r="U864" s="6" t="s">
        <v>39</v>
      </c>
      <c r="V864" s="17">
        <v>45203</v>
      </c>
      <c r="W864" s="16"/>
    </row>
    <row r="865" spans="1:26" customFormat="1">
      <c r="A865">
        <f t="shared" ca="1" si="14"/>
        <v>49</v>
      </c>
      <c r="B865" s="49" t="s">
        <v>1082</v>
      </c>
      <c r="C865" s="12">
        <v>45132</v>
      </c>
      <c r="D865" s="4" t="s">
        <v>504</v>
      </c>
      <c r="E865" s="4" t="s">
        <v>3662</v>
      </c>
      <c r="F865" s="4"/>
      <c r="G865" s="106" t="s">
        <v>505</v>
      </c>
      <c r="H865" s="106" t="s">
        <v>34</v>
      </c>
      <c r="I865" s="49">
        <v>69321144</v>
      </c>
      <c r="J865" s="4" t="s">
        <v>302</v>
      </c>
      <c r="K865" s="4" t="str">
        <f>IF(E865="KTG","KTG",(VLOOKUP(J865,'list of outsource'!B:H,2,0)))</f>
        <v>ETC</v>
      </c>
      <c r="L865" s="4" t="s">
        <v>303</v>
      </c>
      <c r="M865" s="4"/>
      <c r="N865" s="4" t="s">
        <v>587</v>
      </c>
      <c r="O865" s="2" t="s">
        <v>3689</v>
      </c>
      <c r="P865" s="4" t="s">
        <v>588</v>
      </c>
      <c r="Q865" s="4">
        <v>1256746275</v>
      </c>
      <c r="R865" s="12"/>
      <c r="S865" s="4">
        <v>2</v>
      </c>
      <c r="T865" s="4"/>
      <c r="U865" s="4" t="s">
        <v>39</v>
      </c>
      <c r="V865" s="10">
        <v>45181</v>
      </c>
      <c r="W865" s="12"/>
      <c r="Z865" t="e">
        <v>#N/A</v>
      </c>
    </row>
    <row r="866" spans="1:26" customFormat="1">
      <c r="A866">
        <f t="shared" ca="1" si="14"/>
        <v>85</v>
      </c>
      <c r="B866" s="104" t="s">
        <v>1121</v>
      </c>
      <c r="C866" s="16">
        <v>45152</v>
      </c>
      <c r="D866" s="6" t="s">
        <v>129</v>
      </c>
      <c r="E866" s="6" t="s">
        <v>3663</v>
      </c>
      <c r="F866" s="6"/>
      <c r="G866" s="106" t="s">
        <v>505</v>
      </c>
      <c r="H866" s="106"/>
      <c r="I866" s="49">
        <v>69227220</v>
      </c>
      <c r="J866" s="6"/>
      <c r="K866" s="6" t="e">
        <f>IF(E866="KTG","KTG",(VLOOKUP(J866,'list of outsource'!B:H,2,0)))</f>
        <v>#N/A</v>
      </c>
      <c r="L866" s="6"/>
      <c r="M866" s="6"/>
      <c r="N866" s="6" t="s">
        <v>1122</v>
      </c>
      <c r="O866" s="2" t="s">
        <v>3689</v>
      </c>
      <c r="P866" s="6" t="s">
        <v>1123</v>
      </c>
      <c r="Q866" s="6"/>
      <c r="R866" s="16"/>
      <c r="S866" s="6">
        <v>4</v>
      </c>
      <c r="T866" s="6"/>
      <c r="U866" s="6" t="s">
        <v>183</v>
      </c>
      <c r="V866" s="17">
        <v>45237</v>
      </c>
      <c r="W866" s="16"/>
      <c r="Z866" t="e">
        <v>#N/A</v>
      </c>
    </row>
    <row r="867" spans="1:26" customFormat="1">
      <c r="A867">
        <f t="shared" ca="1" si="14"/>
        <v>85</v>
      </c>
      <c r="B867" s="104" t="s">
        <v>1124</v>
      </c>
      <c r="C867" s="16">
        <v>45152</v>
      </c>
      <c r="D867" s="6" t="s">
        <v>129</v>
      </c>
      <c r="E867" s="6" t="s">
        <v>3663</v>
      </c>
      <c r="F867" s="6"/>
      <c r="G867" s="106" t="s">
        <v>505</v>
      </c>
      <c r="H867" s="106"/>
      <c r="I867" s="49">
        <v>69229870</v>
      </c>
      <c r="J867" s="6"/>
      <c r="K867" s="6" t="e">
        <f>IF(E867="KTG","KTG",(VLOOKUP(J867,'list of outsource'!B:H,2,0)))</f>
        <v>#N/A</v>
      </c>
      <c r="L867" s="6"/>
      <c r="M867" s="6"/>
      <c r="N867" s="6" t="s">
        <v>1125</v>
      </c>
      <c r="O867" s="2" t="s">
        <v>3689</v>
      </c>
      <c r="P867" s="6" t="s">
        <v>1126</v>
      </c>
      <c r="Q867" s="6"/>
      <c r="R867" s="16"/>
      <c r="S867" s="6">
        <v>4</v>
      </c>
      <c r="T867" s="6"/>
      <c r="U867" s="6" t="s">
        <v>183</v>
      </c>
      <c r="V867" s="17">
        <v>45237</v>
      </c>
      <c r="W867" s="16"/>
      <c r="Z867" t="e">
        <v>#N/A</v>
      </c>
    </row>
    <row r="868" spans="1:26" customFormat="1">
      <c r="A868">
        <f t="shared" ca="1" si="14"/>
        <v>29</v>
      </c>
      <c r="B868" s="49" t="s">
        <v>1124</v>
      </c>
      <c r="C868" s="12">
        <v>45666</v>
      </c>
      <c r="D868" s="4" t="s">
        <v>300</v>
      </c>
      <c r="E868" s="4" t="s">
        <v>3663</v>
      </c>
      <c r="F868" s="4"/>
      <c r="G868" s="106" t="s">
        <v>505</v>
      </c>
      <c r="H868" s="106" t="s">
        <v>34</v>
      </c>
      <c r="I868" s="49">
        <v>69229870</v>
      </c>
      <c r="J868" s="4"/>
      <c r="K868" s="4" t="e">
        <f>IF(E868="KTG","KTG",(VLOOKUP(J868,'list of outsource'!B:H,2,0)))</f>
        <v>#N/A</v>
      </c>
      <c r="L868" s="4"/>
      <c r="M868" s="4"/>
      <c r="N868" s="4" t="s">
        <v>1125</v>
      </c>
      <c r="O868" s="2" t="s">
        <v>3689</v>
      </c>
      <c r="P868" s="4" t="s">
        <v>1126</v>
      </c>
      <c r="Q868" s="4"/>
      <c r="R868" s="12">
        <v>45679</v>
      </c>
      <c r="S868" s="4">
        <v>1</v>
      </c>
      <c r="T868" s="4" t="s">
        <v>307</v>
      </c>
      <c r="U868" s="4" t="s">
        <v>550</v>
      </c>
      <c r="V868" s="10">
        <v>45695</v>
      </c>
      <c r="W868" s="12">
        <v>45750</v>
      </c>
      <c r="Z868" t="e">
        <v>#N/A</v>
      </c>
    </row>
    <row r="869" spans="1:26" customFormat="1">
      <c r="A869">
        <f t="shared" ca="1" si="14"/>
        <v>85</v>
      </c>
      <c r="B869" s="104" t="s">
        <v>1127</v>
      </c>
      <c r="C869" s="16">
        <v>45152</v>
      </c>
      <c r="D869" s="6" t="s">
        <v>129</v>
      </c>
      <c r="E869" s="6" t="s">
        <v>3663</v>
      </c>
      <c r="F869" s="6"/>
      <c r="G869" s="106" t="s">
        <v>505</v>
      </c>
      <c r="H869" s="106"/>
      <c r="I869" s="49">
        <v>69229872</v>
      </c>
      <c r="J869" s="6"/>
      <c r="K869" s="6" t="e">
        <f>IF(E869="KTG","KTG",(VLOOKUP(J869,'list of outsource'!B:H,2,0)))</f>
        <v>#N/A</v>
      </c>
      <c r="L869" s="6"/>
      <c r="M869" s="6"/>
      <c r="N869" s="6" t="s">
        <v>1128</v>
      </c>
      <c r="O869" s="2" t="s">
        <v>3689</v>
      </c>
      <c r="P869" s="6" t="s">
        <v>1129</v>
      </c>
      <c r="Q869" s="6"/>
      <c r="R869" s="16"/>
      <c r="S869" s="6">
        <v>4</v>
      </c>
      <c r="T869" s="6"/>
      <c r="U869" s="6" t="s">
        <v>183</v>
      </c>
      <c r="V869" s="17">
        <v>45237</v>
      </c>
      <c r="W869" s="16"/>
      <c r="Z869" t="e">
        <v>#N/A</v>
      </c>
    </row>
    <row r="870" spans="1:26" customFormat="1">
      <c r="A870">
        <f t="shared" ca="1" si="14"/>
        <v>85</v>
      </c>
      <c r="B870" s="104" t="s">
        <v>1130</v>
      </c>
      <c r="C870" s="16">
        <v>45152</v>
      </c>
      <c r="D870" s="6" t="s">
        <v>129</v>
      </c>
      <c r="E870" s="6" t="s">
        <v>3663</v>
      </c>
      <c r="F870" s="6"/>
      <c r="G870" s="106" t="s">
        <v>505</v>
      </c>
      <c r="H870" s="106"/>
      <c r="I870" s="49">
        <v>69320365</v>
      </c>
      <c r="J870" s="6"/>
      <c r="K870" s="6" t="e">
        <f>IF(E870="KTG","KTG",(VLOOKUP(J870,'list of outsource'!B:H,2,0)))</f>
        <v>#N/A</v>
      </c>
      <c r="L870" s="6"/>
      <c r="M870" s="6"/>
      <c r="N870" s="6" t="s">
        <v>1131</v>
      </c>
      <c r="O870" s="2" t="s">
        <v>3689</v>
      </c>
      <c r="P870" s="6" t="s">
        <v>1132</v>
      </c>
      <c r="Q870" s="6"/>
      <c r="R870" s="16"/>
      <c r="S870" s="6">
        <v>4</v>
      </c>
      <c r="T870" s="6"/>
      <c r="U870" s="6" t="s">
        <v>183</v>
      </c>
      <c r="V870" s="17">
        <v>45237</v>
      </c>
      <c r="W870" s="16"/>
      <c r="Z870" t="e">
        <v>#N/A</v>
      </c>
    </row>
    <row r="871" spans="1:26" customFormat="1">
      <c r="A871">
        <f t="shared" ca="1" si="14"/>
        <v>85</v>
      </c>
      <c r="B871" s="104" t="s">
        <v>1133</v>
      </c>
      <c r="C871" s="16">
        <v>45152</v>
      </c>
      <c r="D871" s="6" t="s">
        <v>129</v>
      </c>
      <c r="E871" s="6" t="s">
        <v>3663</v>
      </c>
      <c r="F871" s="6"/>
      <c r="G871" s="106" t="s">
        <v>505</v>
      </c>
      <c r="H871" s="106"/>
      <c r="I871" s="49">
        <v>69229871</v>
      </c>
      <c r="J871" s="6"/>
      <c r="K871" s="6" t="e">
        <f>IF(E871="KTG","KTG",(VLOOKUP(J871,'list of outsource'!B:H,2,0)))</f>
        <v>#N/A</v>
      </c>
      <c r="L871" s="6"/>
      <c r="M871" s="6"/>
      <c r="N871" s="6" t="s">
        <v>1134</v>
      </c>
      <c r="O871" s="2" t="s">
        <v>3689</v>
      </c>
      <c r="P871" s="6" t="s">
        <v>1135</v>
      </c>
      <c r="Q871" s="6"/>
      <c r="R871" s="16"/>
      <c r="S871" s="6">
        <v>4</v>
      </c>
      <c r="T871" s="6"/>
      <c r="U871" s="6" t="s">
        <v>183</v>
      </c>
      <c r="V871" s="17">
        <v>45237</v>
      </c>
      <c r="W871" s="16"/>
      <c r="Z871" t="e">
        <v>#N/A</v>
      </c>
    </row>
    <row r="872" spans="1:26" customFormat="1">
      <c r="A872">
        <f t="shared" ca="1" si="14"/>
        <v>85</v>
      </c>
      <c r="B872" s="104" t="s">
        <v>1136</v>
      </c>
      <c r="C872" s="16">
        <v>45152</v>
      </c>
      <c r="D872" s="6" t="s">
        <v>129</v>
      </c>
      <c r="E872" s="6" t="s">
        <v>3663</v>
      </c>
      <c r="F872" s="6"/>
      <c r="G872" s="106" t="s">
        <v>505</v>
      </c>
      <c r="H872" s="106"/>
      <c r="I872" s="49">
        <v>69320538</v>
      </c>
      <c r="J872" s="6"/>
      <c r="K872" s="6" t="e">
        <f>IF(E872="KTG","KTG",(VLOOKUP(J872,'list of outsource'!B:H,2,0)))</f>
        <v>#N/A</v>
      </c>
      <c r="L872" s="6"/>
      <c r="M872" s="6"/>
      <c r="N872" s="6" t="s">
        <v>1137</v>
      </c>
      <c r="O872" s="2" t="s">
        <v>3689</v>
      </c>
      <c r="P872" s="6" t="s">
        <v>1138</v>
      </c>
      <c r="Q872" s="6"/>
      <c r="R872" s="16"/>
      <c r="S872" s="6">
        <v>4</v>
      </c>
      <c r="T872" s="6"/>
      <c r="U872" s="6" t="s">
        <v>183</v>
      </c>
      <c r="V872" s="17">
        <v>45237</v>
      </c>
      <c r="W872" s="16"/>
      <c r="Z872" t="e">
        <v>#N/A</v>
      </c>
    </row>
    <row r="873" spans="1:26" customFormat="1">
      <c r="A873">
        <f t="shared" ca="1" si="14"/>
        <v>85</v>
      </c>
      <c r="B873" s="104" t="s">
        <v>1139</v>
      </c>
      <c r="C873" s="16">
        <v>45152</v>
      </c>
      <c r="D873" s="6" t="s">
        <v>129</v>
      </c>
      <c r="E873" s="6" t="s">
        <v>3663</v>
      </c>
      <c r="F873" s="6"/>
      <c r="G873" s="106" t="s">
        <v>505</v>
      </c>
      <c r="H873" s="106"/>
      <c r="I873" s="49">
        <v>69320539</v>
      </c>
      <c r="J873" s="6"/>
      <c r="K873" s="6" t="e">
        <f>IF(E873="KTG","KTG",(VLOOKUP(J873,'list of outsource'!B:H,2,0)))</f>
        <v>#N/A</v>
      </c>
      <c r="L873" s="6"/>
      <c r="M873" s="6"/>
      <c r="N873" s="6" t="s">
        <v>1140</v>
      </c>
      <c r="O873" s="2" t="s">
        <v>3689</v>
      </c>
      <c r="P873" s="6" t="s">
        <v>1141</v>
      </c>
      <c r="Q873" s="6"/>
      <c r="R873" s="16"/>
      <c r="S873" s="6">
        <v>4</v>
      </c>
      <c r="T873" s="6"/>
      <c r="U873" s="6" t="s">
        <v>183</v>
      </c>
      <c r="V873" s="17">
        <v>45237</v>
      </c>
      <c r="W873" s="16"/>
      <c r="Z873" t="e">
        <v>#N/A</v>
      </c>
    </row>
    <row r="874" spans="1:26" customFormat="1">
      <c r="A874">
        <f t="shared" ca="1" si="14"/>
        <v>85</v>
      </c>
      <c r="B874" s="104" t="s">
        <v>1142</v>
      </c>
      <c r="C874" s="16">
        <v>45152</v>
      </c>
      <c r="D874" s="6" t="s">
        <v>129</v>
      </c>
      <c r="E874" s="6" t="s">
        <v>3663</v>
      </c>
      <c r="F874" s="6"/>
      <c r="G874" s="106" t="s">
        <v>505</v>
      </c>
      <c r="H874" s="106"/>
      <c r="I874" s="49">
        <v>69320540</v>
      </c>
      <c r="J874" s="6"/>
      <c r="K874" s="6" t="e">
        <f>IF(E874="KTG","KTG",(VLOOKUP(J874,'list of outsource'!B:H,2,0)))</f>
        <v>#N/A</v>
      </c>
      <c r="L874" s="6"/>
      <c r="M874" s="6"/>
      <c r="N874" s="6" t="s">
        <v>1143</v>
      </c>
      <c r="O874" s="2" t="s">
        <v>3689</v>
      </c>
      <c r="P874" s="6" t="s">
        <v>1144</v>
      </c>
      <c r="Q874" s="6"/>
      <c r="R874" s="16"/>
      <c r="S874" s="6">
        <v>4</v>
      </c>
      <c r="T874" s="6"/>
      <c r="U874" s="6" t="s">
        <v>183</v>
      </c>
      <c r="V874" s="17">
        <v>45237</v>
      </c>
      <c r="W874" s="16"/>
      <c r="Z874" t="e">
        <v>#N/A</v>
      </c>
    </row>
    <row r="875" spans="1:26" customFormat="1">
      <c r="A875">
        <f t="shared" ca="1" si="14"/>
        <v>85</v>
      </c>
      <c r="B875" s="104" t="s">
        <v>1145</v>
      </c>
      <c r="C875" s="16">
        <v>45152</v>
      </c>
      <c r="D875" s="6" t="s">
        <v>129</v>
      </c>
      <c r="E875" s="6" t="s">
        <v>3663</v>
      </c>
      <c r="F875" s="6"/>
      <c r="G875" s="106" t="s">
        <v>505</v>
      </c>
      <c r="H875" s="106"/>
      <c r="I875" s="49">
        <v>69320541</v>
      </c>
      <c r="J875" s="6"/>
      <c r="K875" s="6" t="e">
        <f>IF(E875="KTG","KTG",(VLOOKUP(J875,'list of outsource'!B:H,2,0)))</f>
        <v>#N/A</v>
      </c>
      <c r="L875" s="6"/>
      <c r="M875" s="6"/>
      <c r="N875" s="6" t="s">
        <v>1146</v>
      </c>
      <c r="O875" s="2" t="s">
        <v>3689</v>
      </c>
      <c r="P875" s="6" t="s">
        <v>1147</v>
      </c>
      <c r="Q875" s="6"/>
      <c r="R875" s="16"/>
      <c r="S875" s="6">
        <v>4</v>
      </c>
      <c r="T875" s="6"/>
      <c r="U875" s="6" t="s">
        <v>183</v>
      </c>
      <c r="V875" s="17">
        <v>45237</v>
      </c>
      <c r="W875" s="16"/>
      <c r="Z875" t="e">
        <v>#N/A</v>
      </c>
    </row>
    <row r="876" spans="1:26" customFormat="1">
      <c r="A876">
        <f t="shared" ca="1" si="14"/>
        <v>85</v>
      </c>
      <c r="B876" s="104" t="s">
        <v>1148</v>
      </c>
      <c r="C876" s="16">
        <v>45152</v>
      </c>
      <c r="D876" s="6" t="s">
        <v>129</v>
      </c>
      <c r="E876" s="6" t="s">
        <v>3663</v>
      </c>
      <c r="F876" s="6"/>
      <c r="G876" s="106" t="s">
        <v>505</v>
      </c>
      <c r="H876" s="106"/>
      <c r="I876" s="49">
        <v>69320542</v>
      </c>
      <c r="J876" s="6"/>
      <c r="K876" s="6" t="e">
        <f>IF(E876="KTG","KTG",(VLOOKUP(J876,'list of outsource'!B:H,2,0)))</f>
        <v>#N/A</v>
      </c>
      <c r="L876" s="6"/>
      <c r="M876" s="6"/>
      <c r="N876" s="6" t="s">
        <v>1149</v>
      </c>
      <c r="O876" s="2" t="s">
        <v>3689</v>
      </c>
      <c r="P876" s="6" t="s">
        <v>1150</v>
      </c>
      <c r="Q876" s="6"/>
      <c r="R876" s="16"/>
      <c r="S876" s="6">
        <v>4</v>
      </c>
      <c r="T876" s="6"/>
      <c r="U876" s="6" t="s">
        <v>183</v>
      </c>
      <c r="V876" s="17">
        <v>45237</v>
      </c>
      <c r="W876" s="16"/>
      <c r="Z876" t="e">
        <v>#N/A</v>
      </c>
    </row>
    <row r="877" spans="1:26" customFormat="1">
      <c r="A877">
        <f t="shared" ca="1" si="14"/>
        <v>85</v>
      </c>
      <c r="B877" s="104" t="s">
        <v>1151</v>
      </c>
      <c r="C877" s="16">
        <v>45152</v>
      </c>
      <c r="D877" s="6" t="s">
        <v>129</v>
      </c>
      <c r="E877" s="6" t="s">
        <v>3663</v>
      </c>
      <c r="F877" s="6"/>
      <c r="G877" s="106" t="s">
        <v>505</v>
      </c>
      <c r="H877" s="106"/>
      <c r="I877" s="49">
        <v>69320543</v>
      </c>
      <c r="J877" s="6"/>
      <c r="K877" s="6" t="e">
        <f>IF(E877="KTG","KTG",(VLOOKUP(J877,'list of outsource'!B:H,2,0)))</f>
        <v>#N/A</v>
      </c>
      <c r="L877" s="6"/>
      <c r="M877" s="6"/>
      <c r="N877" s="6" t="s">
        <v>1152</v>
      </c>
      <c r="O877" s="2" t="s">
        <v>3689</v>
      </c>
      <c r="P877" s="6" t="s">
        <v>1153</v>
      </c>
      <c r="Q877" s="6"/>
      <c r="R877" s="16"/>
      <c r="S877" s="6">
        <v>4</v>
      </c>
      <c r="T877" s="6"/>
      <c r="U877" s="6" t="s">
        <v>183</v>
      </c>
      <c r="V877" s="17">
        <v>45237</v>
      </c>
      <c r="W877" s="16"/>
      <c r="Z877" t="e">
        <v>#N/A</v>
      </c>
    </row>
    <row r="878" spans="1:26" customFormat="1">
      <c r="A878">
        <f t="shared" ca="1" si="14"/>
        <v>85</v>
      </c>
      <c r="B878" s="104" t="s">
        <v>1154</v>
      </c>
      <c r="C878" s="16">
        <v>45152</v>
      </c>
      <c r="D878" s="6" t="s">
        <v>129</v>
      </c>
      <c r="E878" s="6" t="s">
        <v>3663</v>
      </c>
      <c r="F878" s="6"/>
      <c r="G878" s="106" t="s">
        <v>505</v>
      </c>
      <c r="H878" s="106"/>
      <c r="I878" s="49">
        <v>69320544</v>
      </c>
      <c r="J878" s="6"/>
      <c r="K878" s="6" t="e">
        <f>IF(E878="KTG","KTG",(VLOOKUP(J878,'list of outsource'!B:H,2,0)))</f>
        <v>#N/A</v>
      </c>
      <c r="L878" s="6"/>
      <c r="M878" s="6"/>
      <c r="N878" s="6" t="s">
        <v>1155</v>
      </c>
      <c r="O878" s="2" t="s">
        <v>3689</v>
      </c>
      <c r="P878" s="6" t="s">
        <v>1156</v>
      </c>
      <c r="Q878" s="6"/>
      <c r="R878" s="16"/>
      <c r="S878" s="6">
        <v>4</v>
      </c>
      <c r="T878" s="6"/>
      <c r="U878" s="6" t="s">
        <v>183</v>
      </c>
      <c r="V878" s="17">
        <v>45237</v>
      </c>
      <c r="W878" s="16"/>
      <c r="Z878" t="e">
        <v>#N/A</v>
      </c>
    </row>
    <row r="879" spans="1:26" customFormat="1">
      <c r="A879">
        <f t="shared" ca="1" si="14"/>
        <v>85</v>
      </c>
      <c r="B879" s="104" t="s">
        <v>1157</v>
      </c>
      <c r="C879" s="16">
        <v>45152</v>
      </c>
      <c r="D879" s="6" t="s">
        <v>129</v>
      </c>
      <c r="E879" s="6" t="s">
        <v>3663</v>
      </c>
      <c r="F879" s="6"/>
      <c r="G879" s="106" t="s">
        <v>505</v>
      </c>
      <c r="H879" s="106"/>
      <c r="I879" s="49">
        <v>69320545</v>
      </c>
      <c r="J879" s="6"/>
      <c r="K879" s="6" t="e">
        <f>IF(E879="KTG","KTG",(VLOOKUP(J879,'list of outsource'!B:H,2,0)))</f>
        <v>#N/A</v>
      </c>
      <c r="L879" s="6"/>
      <c r="M879" s="6"/>
      <c r="N879" s="6" t="s">
        <v>1158</v>
      </c>
      <c r="O879" s="2" t="s">
        <v>3689</v>
      </c>
      <c r="P879" s="6" t="s">
        <v>1159</v>
      </c>
      <c r="Q879" s="6"/>
      <c r="R879" s="16"/>
      <c r="S879" s="6">
        <v>4</v>
      </c>
      <c r="T879" s="6"/>
      <c r="U879" s="6" t="s">
        <v>183</v>
      </c>
      <c r="V879" s="17">
        <v>45237</v>
      </c>
      <c r="W879" s="16"/>
      <c r="Z879" t="e">
        <v>#N/A</v>
      </c>
    </row>
    <row r="880" spans="1:26" customFormat="1">
      <c r="A880">
        <f t="shared" ca="1" si="14"/>
        <v>85</v>
      </c>
      <c r="B880" s="104" t="s">
        <v>1160</v>
      </c>
      <c r="C880" s="16">
        <v>45152</v>
      </c>
      <c r="D880" s="6" t="s">
        <v>129</v>
      </c>
      <c r="E880" s="6" t="s">
        <v>3663</v>
      </c>
      <c r="F880" s="6"/>
      <c r="G880" s="106" t="s">
        <v>505</v>
      </c>
      <c r="H880" s="106"/>
      <c r="I880" s="49">
        <v>69320546</v>
      </c>
      <c r="J880" s="6"/>
      <c r="K880" s="6" t="e">
        <f>IF(E880="KTG","KTG",(VLOOKUP(J880,'list of outsource'!B:H,2,0)))</f>
        <v>#N/A</v>
      </c>
      <c r="L880" s="6"/>
      <c r="M880" s="6"/>
      <c r="N880" s="6" t="s">
        <v>1161</v>
      </c>
      <c r="O880" s="2" t="s">
        <v>3689</v>
      </c>
      <c r="P880" s="6" t="s">
        <v>1162</v>
      </c>
      <c r="Q880" s="6"/>
      <c r="R880" s="16"/>
      <c r="S880" s="6">
        <v>4</v>
      </c>
      <c r="T880" s="6"/>
      <c r="U880" s="6" t="s">
        <v>183</v>
      </c>
      <c r="V880" s="17">
        <v>45237</v>
      </c>
      <c r="W880" s="16"/>
      <c r="Z880" t="e">
        <v>#N/A</v>
      </c>
    </row>
    <row r="881" spans="1:26" customFormat="1" hidden="1">
      <c r="A881">
        <f t="shared" ca="1" si="14"/>
        <v>133</v>
      </c>
      <c r="B881" s="49" t="s">
        <v>1781</v>
      </c>
      <c r="C881" s="12">
        <v>45432</v>
      </c>
      <c r="D881" s="4" t="s">
        <v>300</v>
      </c>
      <c r="E881" s="4" t="s">
        <v>3662</v>
      </c>
      <c r="F881" s="4"/>
      <c r="G881" s="4" t="s">
        <v>1690</v>
      </c>
      <c r="H881" s="4" t="s">
        <v>1691</v>
      </c>
      <c r="I881" s="4" t="s">
        <v>1782</v>
      </c>
      <c r="J881" s="4" t="s">
        <v>525</v>
      </c>
      <c r="K881" s="4" t="str">
        <f>IF(E881="KTG","KTG",(VLOOKUP(J881,'list of outsource'!B:H,2,0)))</f>
        <v>ETC</v>
      </c>
      <c r="L881" s="4" t="s">
        <v>526</v>
      </c>
      <c r="M881" s="4">
        <v>19</v>
      </c>
      <c r="N881" s="49" t="s">
        <v>1783</v>
      </c>
      <c r="O881" s="2"/>
      <c r="P881" s="4" t="s">
        <v>1784</v>
      </c>
      <c r="Q881" s="4" t="s">
        <v>1785</v>
      </c>
      <c r="R881" s="12">
        <v>45499</v>
      </c>
      <c r="S881" s="4">
        <v>4</v>
      </c>
      <c r="T881" s="4" t="s">
        <v>1465</v>
      </c>
      <c r="U881" s="4" t="s">
        <v>39</v>
      </c>
      <c r="V881" s="10">
        <v>45565</v>
      </c>
      <c r="W881" s="12">
        <v>45635</v>
      </c>
      <c r="Z881" t="e">
        <v>#N/A</v>
      </c>
    </row>
    <row r="882" spans="1:26" customFormat="1">
      <c r="A882">
        <f t="shared" ca="1" si="14"/>
        <v>53</v>
      </c>
      <c r="B882" s="49" t="s">
        <v>1431</v>
      </c>
      <c r="C882" s="12">
        <v>45267</v>
      </c>
      <c r="D882" s="4" t="s">
        <v>1070</v>
      </c>
      <c r="E882" s="4" t="s">
        <v>3662</v>
      </c>
      <c r="F882" s="4"/>
      <c r="G882" s="106" t="s">
        <v>505</v>
      </c>
      <c r="H882" s="106" t="s">
        <v>34</v>
      </c>
      <c r="I882" s="49">
        <v>69321290</v>
      </c>
      <c r="J882" s="4" t="s">
        <v>302</v>
      </c>
      <c r="K882" s="4" t="str">
        <f>IF(E882="KTG","KTG",(VLOOKUP(J882,'list of outsource'!B:H,2,0)))</f>
        <v>ETC</v>
      </c>
      <c r="L882" s="4" t="s">
        <v>303</v>
      </c>
      <c r="M882" s="4">
        <v>57</v>
      </c>
      <c r="N882" s="4" t="s">
        <v>600</v>
      </c>
      <c r="O882" s="2" t="s">
        <v>3689</v>
      </c>
      <c r="P882" s="4" t="s">
        <v>1432</v>
      </c>
      <c r="Q882" s="4">
        <v>1294605362</v>
      </c>
      <c r="R882" s="12" t="s">
        <v>549</v>
      </c>
      <c r="S882" s="4">
        <v>4</v>
      </c>
      <c r="T882" s="4"/>
      <c r="U882" s="4" t="s">
        <v>39</v>
      </c>
      <c r="V882" s="10">
        <v>45320</v>
      </c>
      <c r="W882" s="12">
        <v>45321</v>
      </c>
      <c r="Z882" t="e">
        <v>#N/A</v>
      </c>
    </row>
    <row r="883" spans="1:26" customFormat="1">
      <c r="A883">
        <f t="shared" ca="1" si="14"/>
        <v>53</v>
      </c>
      <c r="B883" s="49" t="s">
        <v>1433</v>
      </c>
      <c r="C883" s="12">
        <v>45267</v>
      </c>
      <c r="D883" s="4" t="s">
        <v>1070</v>
      </c>
      <c r="E883" s="4" t="s">
        <v>3662</v>
      </c>
      <c r="F883" s="4"/>
      <c r="G883" s="106" t="s">
        <v>505</v>
      </c>
      <c r="H883" s="106" t="s">
        <v>34</v>
      </c>
      <c r="I883" s="49">
        <v>69321291</v>
      </c>
      <c r="J883" s="4" t="s">
        <v>302</v>
      </c>
      <c r="K883" s="4" t="str">
        <f>IF(E883="KTG","KTG",(VLOOKUP(J883,'list of outsource'!B:H,2,0)))</f>
        <v>ETC</v>
      </c>
      <c r="L883" s="4" t="s">
        <v>303</v>
      </c>
      <c r="M883" s="4">
        <v>57</v>
      </c>
      <c r="N883" s="4" t="s">
        <v>1434</v>
      </c>
      <c r="O883" s="2" t="s">
        <v>3689</v>
      </c>
      <c r="P883" s="4" t="s">
        <v>1435</v>
      </c>
      <c r="Q883" s="4">
        <v>1294318471</v>
      </c>
      <c r="R883" s="12" t="s">
        <v>549</v>
      </c>
      <c r="S883" s="4">
        <v>4</v>
      </c>
      <c r="T883" s="4"/>
      <c r="U883" s="4" t="s">
        <v>39</v>
      </c>
      <c r="V883" s="10">
        <v>45320</v>
      </c>
      <c r="W883" s="12">
        <v>45321</v>
      </c>
      <c r="Z883" t="e">
        <v>#N/A</v>
      </c>
    </row>
    <row r="884" spans="1:26" customFormat="1">
      <c r="A884">
        <f t="shared" ca="1" si="14"/>
        <v>55</v>
      </c>
      <c r="B884" s="49" t="s">
        <v>1436</v>
      </c>
      <c r="C884" s="12">
        <v>45268</v>
      </c>
      <c r="D884" s="4" t="s">
        <v>1070</v>
      </c>
      <c r="E884" s="4" t="s">
        <v>3662</v>
      </c>
      <c r="F884" s="4"/>
      <c r="G884" s="106" t="s">
        <v>505</v>
      </c>
      <c r="H884" s="106" t="s">
        <v>34</v>
      </c>
      <c r="I884" s="49">
        <v>69321468</v>
      </c>
      <c r="J884" s="4" t="s">
        <v>840</v>
      </c>
      <c r="K884" s="4" t="str">
        <f>IF(E884="KTG","KTG",(VLOOKUP(J884,'list of outsource'!B:H,2,0)))</f>
        <v>ETC</v>
      </c>
      <c r="L884" s="4" t="s">
        <v>841</v>
      </c>
      <c r="M884" s="4">
        <v>17</v>
      </c>
      <c r="N884" s="4" t="s">
        <v>1437</v>
      </c>
      <c r="O884" s="2" t="s">
        <v>3689</v>
      </c>
      <c r="P884" s="4" t="s">
        <v>1438</v>
      </c>
      <c r="Q884" s="4" t="s">
        <v>1439</v>
      </c>
      <c r="R884" s="12" t="s">
        <v>549</v>
      </c>
      <c r="S884" s="4">
        <v>4</v>
      </c>
      <c r="T884" s="4" t="s">
        <v>607</v>
      </c>
      <c r="U884" s="4" t="s">
        <v>39</v>
      </c>
      <c r="V884" s="10">
        <v>45323</v>
      </c>
      <c r="W884" s="12">
        <v>45327</v>
      </c>
      <c r="Z884" t="e">
        <v>#N/A</v>
      </c>
    </row>
    <row r="885" spans="1:26" customFormat="1">
      <c r="A885">
        <f t="shared" ca="1" si="14"/>
        <v>55</v>
      </c>
      <c r="B885" s="49" t="s">
        <v>1440</v>
      </c>
      <c r="C885" s="12">
        <v>45268</v>
      </c>
      <c r="D885" s="4" t="s">
        <v>1070</v>
      </c>
      <c r="E885" s="4" t="s">
        <v>3662</v>
      </c>
      <c r="F885" s="4"/>
      <c r="G885" s="106" t="s">
        <v>505</v>
      </c>
      <c r="H885" s="106" t="s">
        <v>34</v>
      </c>
      <c r="I885" s="49">
        <v>69321469</v>
      </c>
      <c r="J885" s="4" t="s">
        <v>840</v>
      </c>
      <c r="K885" s="4" t="str">
        <f>IF(E885="KTG","KTG",(VLOOKUP(J885,'list of outsource'!B:H,2,0)))</f>
        <v>ETC</v>
      </c>
      <c r="L885" s="4" t="s">
        <v>841</v>
      </c>
      <c r="M885" s="4">
        <v>17</v>
      </c>
      <c r="N885" s="4" t="s">
        <v>1441</v>
      </c>
      <c r="O885" s="2" t="s">
        <v>3689</v>
      </c>
      <c r="P885" s="4" t="s">
        <v>1442</v>
      </c>
      <c r="Q885" s="4" t="s">
        <v>1443</v>
      </c>
      <c r="R885" s="12" t="s">
        <v>549</v>
      </c>
      <c r="S885" s="4">
        <v>4</v>
      </c>
      <c r="T885" s="4" t="s">
        <v>607</v>
      </c>
      <c r="U885" s="4" t="s">
        <v>39</v>
      </c>
      <c r="V885" s="10">
        <v>45323</v>
      </c>
      <c r="W885" s="12">
        <v>45327</v>
      </c>
      <c r="Z885" t="e">
        <v>#N/A</v>
      </c>
    </row>
    <row r="886" spans="1:26" customFormat="1">
      <c r="A886">
        <f t="shared" ca="1" si="14"/>
        <v>55</v>
      </c>
      <c r="B886" s="49" t="s">
        <v>1444</v>
      </c>
      <c r="C886" s="12">
        <v>45268</v>
      </c>
      <c r="D886" s="4" t="s">
        <v>1070</v>
      </c>
      <c r="E886" s="4" t="s">
        <v>3662</v>
      </c>
      <c r="F886" s="4"/>
      <c r="G886" s="106" t="s">
        <v>505</v>
      </c>
      <c r="H886" s="106" t="s">
        <v>34</v>
      </c>
      <c r="I886" s="49">
        <v>69321471</v>
      </c>
      <c r="J886" s="4" t="s">
        <v>840</v>
      </c>
      <c r="K886" s="4" t="str">
        <f>IF(E886="KTG","KTG",(VLOOKUP(J886,'list of outsource'!B:H,2,0)))</f>
        <v>ETC</v>
      </c>
      <c r="L886" s="4" t="s">
        <v>841</v>
      </c>
      <c r="M886" s="4">
        <v>17</v>
      </c>
      <c r="N886" s="4" t="s">
        <v>1445</v>
      </c>
      <c r="O886" s="2" t="s">
        <v>3689</v>
      </c>
      <c r="P886" s="4" t="s">
        <v>1446</v>
      </c>
      <c r="Q886" s="4" t="s">
        <v>1447</v>
      </c>
      <c r="R886" s="12" t="s">
        <v>549</v>
      </c>
      <c r="S886" s="4">
        <v>4</v>
      </c>
      <c r="T886" s="4" t="s">
        <v>607</v>
      </c>
      <c r="U886" s="4" t="s">
        <v>39</v>
      </c>
      <c r="V886" s="10">
        <v>45323</v>
      </c>
      <c r="W886" s="12">
        <v>45327</v>
      </c>
      <c r="Z886">
        <v>0</v>
      </c>
    </row>
    <row r="887" spans="1:26" customFormat="1">
      <c r="A887">
        <f t="shared" ca="1" si="14"/>
        <v>48</v>
      </c>
      <c r="B887" s="49" t="s">
        <v>1456</v>
      </c>
      <c r="C887" s="12">
        <v>45274</v>
      </c>
      <c r="D887" s="4" t="s">
        <v>1070</v>
      </c>
      <c r="E887" s="4" t="s">
        <v>3662</v>
      </c>
      <c r="F887" s="4"/>
      <c r="G887" s="106" t="s">
        <v>505</v>
      </c>
      <c r="H887" s="106" t="s">
        <v>34</v>
      </c>
      <c r="I887" s="49">
        <v>69321476</v>
      </c>
      <c r="J887" s="4" t="s">
        <v>840</v>
      </c>
      <c r="K887" s="4" t="str">
        <f>IF(E887="KTG","KTG",(VLOOKUP(J887,'list of outsource'!B:H,2,0)))</f>
        <v>ETC</v>
      </c>
      <c r="L887" s="4" t="s">
        <v>841</v>
      </c>
      <c r="M887" s="4">
        <v>17</v>
      </c>
      <c r="N887" s="4" t="s">
        <v>1457</v>
      </c>
      <c r="O887" s="2" t="s">
        <v>3689</v>
      </c>
      <c r="P887" s="4" t="s">
        <v>1458</v>
      </c>
      <c r="Q887" s="4" t="s">
        <v>1459</v>
      </c>
      <c r="R887" s="12" t="s">
        <v>549</v>
      </c>
      <c r="S887" s="4">
        <v>4</v>
      </c>
      <c r="T887" s="4" t="s">
        <v>307</v>
      </c>
      <c r="U887" s="4" t="s">
        <v>39</v>
      </c>
      <c r="V887" s="10">
        <v>45322</v>
      </c>
      <c r="W887" s="12">
        <v>45327</v>
      </c>
      <c r="Z887" t="e">
        <v>#N/A</v>
      </c>
    </row>
    <row r="888" spans="1:26" customFormat="1">
      <c r="A888">
        <f t="shared" ca="1" si="14"/>
        <v>48</v>
      </c>
      <c r="B888" s="49" t="s">
        <v>3093</v>
      </c>
      <c r="C888" s="12">
        <v>45274</v>
      </c>
      <c r="D888" s="4" t="s">
        <v>1070</v>
      </c>
      <c r="E888" s="4" t="s">
        <v>3662</v>
      </c>
      <c r="F888" s="4"/>
      <c r="G888" s="106" t="s">
        <v>505</v>
      </c>
      <c r="H888" s="106" t="s">
        <v>34</v>
      </c>
      <c r="I888" s="49">
        <v>69321145</v>
      </c>
      <c r="J888" s="4" t="s">
        <v>302</v>
      </c>
      <c r="K888" s="4" t="str">
        <f>IF(E888="KTG","KTG",(VLOOKUP(J888,'list of outsource'!B:H,2,0)))</f>
        <v>ETC</v>
      </c>
      <c r="L888" s="4" t="s">
        <v>303</v>
      </c>
      <c r="M888" s="4">
        <v>57</v>
      </c>
      <c r="N888" s="4" t="s">
        <v>3094</v>
      </c>
      <c r="O888" s="2" t="s">
        <v>3689</v>
      </c>
      <c r="P888" s="4" t="s">
        <v>3095</v>
      </c>
      <c r="Q888" s="4" t="s">
        <v>3096</v>
      </c>
      <c r="R888" s="12" t="s">
        <v>549</v>
      </c>
      <c r="S888" s="4">
        <v>4</v>
      </c>
      <c r="T888" s="4" t="s">
        <v>307</v>
      </c>
      <c r="U888" s="4" t="s">
        <v>39</v>
      </c>
      <c r="V888" s="10">
        <v>45322</v>
      </c>
      <c r="W888" s="12">
        <v>45327</v>
      </c>
      <c r="Z888" t="e">
        <v>#N/A</v>
      </c>
    </row>
    <row r="889" spans="1:26" customFormat="1">
      <c r="A889">
        <f t="shared" ca="1" si="14"/>
        <v>48</v>
      </c>
      <c r="B889" s="49" t="s">
        <v>1466</v>
      </c>
      <c r="C889" s="12">
        <v>45274</v>
      </c>
      <c r="D889" s="4" t="s">
        <v>1070</v>
      </c>
      <c r="E889" s="4" t="s">
        <v>3662</v>
      </c>
      <c r="F889" s="4"/>
      <c r="G889" s="106" t="s">
        <v>505</v>
      </c>
      <c r="H889" s="106" t="s">
        <v>34</v>
      </c>
      <c r="I889" s="49">
        <v>69321131</v>
      </c>
      <c r="J889" s="4" t="s">
        <v>525</v>
      </c>
      <c r="K889" s="4" t="str">
        <f>IF(E889="KTG","KTG",(VLOOKUP(J889,'list of outsource'!B:H,2,0)))</f>
        <v>ETC</v>
      </c>
      <c r="L889" s="4" t="s">
        <v>526</v>
      </c>
      <c r="M889" s="4">
        <v>17</v>
      </c>
      <c r="N889" s="4" t="s">
        <v>1467</v>
      </c>
      <c r="O889" s="2" t="s">
        <v>3689</v>
      </c>
      <c r="P889" s="4" t="s">
        <v>1185</v>
      </c>
      <c r="Q889" s="4" t="s">
        <v>1468</v>
      </c>
      <c r="R889" s="12" t="s">
        <v>549</v>
      </c>
      <c r="S889" s="4">
        <v>4</v>
      </c>
      <c r="T889" s="4" t="s">
        <v>307</v>
      </c>
      <c r="U889" s="4" t="s">
        <v>39</v>
      </c>
      <c r="V889" s="10">
        <v>45322</v>
      </c>
      <c r="W889" s="12">
        <v>45327</v>
      </c>
      <c r="Z889" t="e">
        <v>#N/A</v>
      </c>
    </row>
    <row r="890" spans="1:26" customFormat="1">
      <c r="A890">
        <f t="shared" ca="1" si="14"/>
        <v>36</v>
      </c>
      <c r="B890" s="49" t="s">
        <v>1576</v>
      </c>
      <c r="C890" s="12">
        <v>45330</v>
      </c>
      <c r="D890" s="4" t="s">
        <v>1070</v>
      </c>
      <c r="E890" s="4" t="s">
        <v>3663</v>
      </c>
      <c r="F890" s="4"/>
      <c r="G890" s="106" t="s">
        <v>505</v>
      </c>
      <c r="H890" s="106" t="s">
        <v>34</v>
      </c>
      <c r="I890" s="49">
        <v>69321269</v>
      </c>
      <c r="J890" s="4"/>
      <c r="K890" s="4" t="e">
        <f>IF(E890="KTG","KTG",(VLOOKUP(J890,'list of outsource'!B:H,2,0)))</f>
        <v>#N/A</v>
      </c>
      <c r="L890" s="4"/>
      <c r="M890" s="4"/>
      <c r="N890" s="4" t="s">
        <v>1577</v>
      </c>
      <c r="O890" s="2" t="s">
        <v>3689</v>
      </c>
      <c r="P890" s="4" t="s">
        <v>1578</v>
      </c>
      <c r="Q890" s="4" t="s">
        <v>1579</v>
      </c>
      <c r="R890" s="12" t="s">
        <v>549</v>
      </c>
      <c r="S890" s="4">
        <v>1</v>
      </c>
      <c r="T890" s="4" t="s">
        <v>307</v>
      </c>
      <c r="U890" s="4" t="s">
        <v>183</v>
      </c>
      <c r="V890" s="10">
        <v>45366</v>
      </c>
      <c r="W890" s="12">
        <v>45376</v>
      </c>
      <c r="Z890" t="e">
        <v>#N/A</v>
      </c>
    </row>
    <row r="891" spans="1:26" customFormat="1">
      <c r="A891">
        <f t="shared" ca="1" si="14"/>
        <v>29</v>
      </c>
      <c r="B891" s="49" t="s">
        <v>1576</v>
      </c>
      <c r="C891" s="12">
        <v>45666</v>
      </c>
      <c r="D891" s="4" t="s">
        <v>300</v>
      </c>
      <c r="E891" s="4" t="s">
        <v>3663</v>
      </c>
      <c r="F891" s="4"/>
      <c r="G891" s="106" t="s">
        <v>505</v>
      </c>
      <c r="H891" s="106" t="s">
        <v>34</v>
      </c>
      <c r="I891" s="49">
        <v>69321269</v>
      </c>
      <c r="J891" s="4"/>
      <c r="K891" s="4" t="e">
        <f>IF(E891="KTG","KTG",(VLOOKUP(J891,'list of outsource'!B:H,2,0)))</f>
        <v>#N/A</v>
      </c>
      <c r="L891" s="4"/>
      <c r="M891" s="4"/>
      <c r="N891" s="4" t="s">
        <v>1577</v>
      </c>
      <c r="O891" s="2" t="s">
        <v>3689</v>
      </c>
      <c r="P891" s="4" t="s">
        <v>1578</v>
      </c>
      <c r="Q891" s="4" t="s">
        <v>1579</v>
      </c>
      <c r="R891" s="12">
        <v>45679</v>
      </c>
      <c r="S891" s="4">
        <v>1</v>
      </c>
      <c r="T891" s="4" t="s">
        <v>307</v>
      </c>
      <c r="U891" s="4" t="s">
        <v>550</v>
      </c>
      <c r="V891" s="10">
        <v>45695</v>
      </c>
      <c r="W891" s="12">
        <v>45750</v>
      </c>
      <c r="Z891" t="e">
        <v>#N/A</v>
      </c>
    </row>
    <row r="892" spans="1:26" customFormat="1">
      <c r="A892">
        <f t="shared" ca="1" si="14"/>
        <v>36</v>
      </c>
      <c r="B892" s="49" t="s">
        <v>1580</v>
      </c>
      <c r="C892" s="12">
        <v>45330</v>
      </c>
      <c r="D892" s="4" t="s">
        <v>1070</v>
      </c>
      <c r="E892" s="4" t="s">
        <v>3663</v>
      </c>
      <c r="F892" s="4"/>
      <c r="G892" s="106" t="s">
        <v>505</v>
      </c>
      <c r="H892" s="106" t="s">
        <v>34</v>
      </c>
      <c r="I892" s="49">
        <v>69321257</v>
      </c>
      <c r="J892" s="4"/>
      <c r="K892" s="4" t="e">
        <f>IF(E892="KTG","KTG",(VLOOKUP(J892,'list of outsource'!B:H,2,0)))</f>
        <v>#N/A</v>
      </c>
      <c r="L892" s="4"/>
      <c r="M892" s="4"/>
      <c r="N892" s="4" t="s">
        <v>1581</v>
      </c>
      <c r="O892" s="2" t="s">
        <v>3689</v>
      </c>
      <c r="P892" s="4" t="s">
        <v>1582</v>
      </c>
      <c r="Q892" s="4" t="s">
        <v>1583</v>
      </c>
      <c r="R892" s="12" t="s">
        <v>549</v>
      </c>
      <c r="S892" s="4">
        <v>1</v>
      </c>
      <c r="T892" s="4" t="s">
        <v>307</v>
      </c>
      <c r="U892" s="4" t="s">
        <v>183</v>
      </c>
      <c r="V892" s="10">
        <v>45366</v>
      </c>
      <c r="W892" s="12">
        <v>45376</v>
      </c>
      <c r="Z892" t="e">
        <v>#N/A</v>
      </c>
    </row>
    <row r="893" spans="1:26" customFormat="1">
      <c r="A893">
        <f t="shared" ca="1" si="14"/>
        <v>29</v>
      </c>
      <c r="B893" s="49" t="s">
        <v>1580</v>
      </c>
      <c r="C893" s="12">
        <v>45666</v>
      </c>
      <c r="D893" s="4" t="s">
        <v>300</v>
      </c>
      <c r="E893" s="4" t="s">
        <v>3663</v>
      </c>
      <c r="F893" s="4"/>
      <c r="G893" s="106" t="s">
        <v>505</v>
      </c>
      <c r="H893" s="106" t="s">
        <v>34</v>
      </c>
      <c r="I893" s="49">
        <v>69321257</v>
      </c>
      <c r="J893" s="4"/>
      <c r="K893" s="4" t="e">
        <f>IF(E893="KTG","KTG",(VLOOKUP(J893,'list of outsource'!B:H,2,0)))</f>
        <v>#N/A</v>
      </c>
      <c r="L893" s="4"/>
      <c r="M893" s="4"/>
      <c r="N893" s="4" t="s">
        <v>1581</v>
      </c>
      <c r="O893" s="2" t="s">
        <v>3689</v>
      </c>
      <c r="P893" s="4" t="s">
        <v>1582</v>
      </c>
      <c r="Q893" s="4" t="s">
        <v>1583</v>
      </c>
      <c r="R893" s="12">
        <v>45679</v>
      </c>
      <c r="S893" s="4">
        <v>1</v>
      </c>
      <c r="T893" s="4" t="s">
        <v>307</v>
      </c>
      <c r="U893" s="4" t="s">
        <v>550</v>
      </c>
      <c r="V893" s="10">
        <v>45695</v>
      </c>
      <c r="W893" s="12">
        <v>45750</v>
      </c>
      <c r="Z893" t="e">
        <v>#N/A</v>
      </c>
    </row>
    <row r="894" spans="1:26" customFormat="1">
      <c r="A894">
        <f t="shared" ca="1" si="14"/>
        <v>27</v>
      </c>
      <c r="B894" s="49" t="s">
        <v>1612</v>
      </c>
      <c r="C894" s="12">
        <v>45351</v>
      </c>
      <c r="D894" s="4" t="s">
        <v>1070</v>
      </c>
      <c r="E894" s="4" t="s">
        <v>3663</v>
      </c>
      <c r="F894" s="4"/>
      <c r="G894" s="106" t="s">
        <v>505</v>
      </c>
      <c r="H894" s="106" t="s">
        <v>34</v>
      </c>
      <c r="I894" s="49">
        <v>69321264</v>
      </c>
      <c r="J894" s="4"/>
      <c r="K894" s="4" t="e">
        <f>IF(E894="KTG","KTG",(VLOOKUP(J894,'list of outsource'!B:H,2,0)))</f>
        <v>#N/A</v>
      </c>
      <c r="L894" s="4"/>
      <c r="M894" s="4"/>
      <c r="N894" s="4" t="s">
        <v>1613</v>
      </c>
      <c r="O894" s="2" t="s">
        <v>3689</v>
      </c>
      <c r="P894" s="4" t="s">
        <v>1614</v>
      </c>
      <c r="Q894" s="4"/>
      <c r="R894" s="12">
        <v>45373</v>
      </c>
      <c r="S894" s="4">
        <v>1</v>
      </c>
      <c r="T894" s="4" t="s">
        <v>307</v>
      </c>
      <c r="U894" s="4" t="s">
        <v>183</v>
      </c>
      <c r="V894" s="10">
        <v>45378</v>
      </c>
      <c r="W894" s="12">
        <v>45384</v>
      </c>
      <c r="Z894" t="e">
        <v>#N/A</v>
      </c>
    </row>
    <row r="895" spans="1:26" customFormat="1">
      <c r="A895">
        <f t="shared" ca="1" si="14"/>
        <v>29</v>
      </c>
      <c r="B895" s="49" t="s">
        <v>1612</v>
      </c>
      <c r="C895" s="12">
        <v>45666</v>
      </c>
      <c r="D895" s="4" t="s">
        <v>300</v>
      </c>
      <c r="E895" s="4" t="s">
        <v>3663</v>
      </c>
      <c r="F895" s="4"/>
      <c r="G895" s="106" t="s">
        <v>505</v>
      </c>
      <c r="H895" s="106" t="s">
        <v>34</v>
      </c>
      <c r="I895" s="49">
        <v>69321264</v>
      </c>
      <c r="J895" s="4"/>
      <c r="K895" s="4" t="e">
        <f>IF(E895="KTG","KTG",(VLOOKUP(J895,'list of outsource'!B:H,2,0)))</f>
        <v>#N/A</v>
      </c>
      <c r="L895" s="4"/>
      <c r="M895" s="4"/>
      <c r="N895" s="4" t="s">
        <v>1613</v>
      </c>
      <c r="O895" s="2" t="s">
        <v>3689</v>
      </c>
      <c r="P895" s="4" t="s">
        <v>1614</v>
      </c>
      <c r="Q895" s="4"/>
      <c r="R895" s="12">
        <v>45679</v>
      </c>
      <c r="S895" s="4">
        <v>1</v>
      </c>
      <c r="T895" s="4" t="s">
        <v>307</v>
      </c>
      <c r="U895" s="4" t="s">
        <v>550</v>
      </c>
      <c r="V895" s="10">
        <v>45695</v>
      </c>
      <c r="W895" s="12">
        <v>45750</v>
      </c>
      <c r="Z895" t="e">
        <v>#N/A</v>
      </c>
    </row>
    <row r="896" spans="1:26" customFormat="1">
      <c r="A896">
        <f t="shared" ca="1" si="14"/>
        <v>27</v>
      </c>
      <c r="B896" s="49" t="s">
        <v>1615</v>
      </c>
      <c r="C896" s="12">
        <v>45351</v>
      </c>
      <c r="D896" s="4" t="s">
        <v>1070</v>
      </c>
      <c r="E896" s="4" t="s">
        <v>3663</v>
      </c>
      <c r="F896" s="4"/>
      <c r="G896" s="106" t="s">
        <v>505</v>
      </c>
      <c r="H896" s="106" t="s">
        <v>34</v>
      </c>
      <c r="I896" s="49">
        <v>69321271</v>
      </c>
      <c r="J896" s="4"/>
      <c r="K896" s="4" t="e">
        <f>IF(E896="KTG","KTG",(VLOOKUP(J896,'list of outsource'!B:H,2,0)))</f>
        <v>#N/A</v>
      </c>
      <c r="L896" s="4"/>
      <c r="M896" s="4"/>
      <c r="N896" s="4" t="s">
        <v>1616</v>
      </c>
      <c r="O896" s="2" t="s">
        <v>3689</v>
      </c>
      <c r="P896" s="4" t="s">
        <v>1617</v>
      </c>
      <c r="Q896" s="4"/>
      <c r="R896" s="12">
        <v>45373</v>
      </c>
      <c r="S896" s="4">
        <v>1</v>
      </c>
      <c r="T896" s="4" t="s">
        <v>307</v>
      </c>
      <c r="U896" s="4" t="s">
        <v>183</v>
      </c>
      <c r="V896" s="10">
        <v>45378</v>
      </c>
      <c r="W896" s="12">
        <v>45384</v>
      </c>
      <c r="Z896" t="e">
        <v>#N/A</v>
      </c>
    </row>
    <row r="897" spans="1:26" customFormat="1">
      <c r="A897">
        <f t="shared" ca="1" si="14"/>
        <v>29</v>
      </c>
      <c r="B897" s="49" t="s">
        <v>1615</v>
      </c>
      <c r="C897" s="12">
        <v>45666</v>
      </c>
      <c r="D897" s="4" t="s">
        <v>300</v>
      </c>
      <c r="E897" s="4" t="s">
        <v>3663</v>
      </c>
      <c r="F897" s="4"/>
      <c r="G897" s="106" t="s">
        <v>505</v>
      </c>
      <c r="H897" s="106" t="s">
        <v>34</v>
      </c>
      <c r="I897" s="49">
        <v>69321271</v>
      </c>
      <c r="J897" s="4"/>
      <c r="K897" s="4" t="e">
        <f>IF(E897="KTG","KTG",(VLOOKUP(J897,'list of outsource'!B:H,2,0)))</f>
        <v>#N/A</v>
      </c>
      <c r="L897" s="4"/>
      <c r="M897" s="4"/>
      <c r="N897" s="4" t="s">
        <v>1616</v>
      </c>
      <c r="O897" s="2" t="s">
        <v>3689</v>
      </c>
      <c r="P897" s="4" t="s">
        <v>1617</v>
      </c>
      <c r="Q897" s="4"/>
      <c r="R897" s="12">
        <v>45679</v>
      </c>
      <c r="S897" s="4">
        <v>1</v>
      </c>
      <c r="T897" s="4" t="s">
        <v>307</v>
      </c>
      <c r="U897" s="4" t="s">
        <v>550</v>
      </c>
      <c r="V897" s="10">
        <v>45695</v>
      </c>
      <c r="W897" s="12">
        <v>45750</v>
      </c>
      <c r="Z897" t="e">
        <v>#N/A</v>
      </c>
    </row>
    <row r="898" spans="1:26" customFormat="1">
      <c r="A898">
        <f t="shared" ca="1" si="14"/>
        <v>28</v>
      </c>
      <c r="B898" s="49" t="s">
        <v>1664</v>
      </c>
      <c r="C898" s="12">
        <v>45414</v>
      </c>
      <c r="D898" s="4" t="s">
        <v>1070</v>
      </c>
      <c r="E898" s="4" t="s">
        <v>3662</v>
      </c>
      <c r="F898" s="4"/>
      <c r="G898" s="106" t="s">
        <v>505</v>
      </c>
      <c r="H898" s="106" t="s">
        <v>34</v>
      </c>
      <c r="I898" s="49">
        <v>69321579</v>
      </c>
      <c r="J898" s="4" t="s">
        <v>302</v>
      </c>
      <c r="K898" s="4" t="str">
        <f>IF(E898="KTG","KTG",(VLOOKUP(J898,'list of outsource'!B:H,2,0)))</f>
        <v>ETC</v>
      </c>
      <c r="L898" s="4" t="s">
        <v>303</v>
      </c>
      <c r="M898" s="4">
        <v>60</v>
      </c>
      <c r="N898" s="4" t="s">
        <v>1665</v>
      </c>
      <c r="O898" s="2" t="s">
        <v>3689</v>
      </c>
      <c r="P898" s="4" t="s">
        <v>1666</v>
      </c>
      <c r="Q898" s="4">
        <v>1328900853</v>
      </c>
      <c r="R898" s="12">
        <v>45422</v>
      </c>
      <c r="S898" s="4">
        <v>4</v>
      </c>
      <c r="T898" s="4" t="s">
        <v>1258</v>
      </c>
      <c r="U898" s="4" t="s">
        <v>39</v>
      </c>
      <c r="V898" s="10">
        <v>45442</v>
      </c>
      <c r="W898" s="12">
        <v>45443</v>
      </c>
      <c r="Z898" t="e">
        <v>#N/A</v>
      </c>
    </row>
    <row r="899" spans="1:26" customFormat="1">
      <c r="A899">
        <f t="shared" ca="1" si="14"/>
        <v>22</v>
      </c>
      <c r="B899" s="49" t="s">
        <v>1854</v>
      </c>
      <c r="C899" s="12">
        <v>45442</v>
      </c>
      <c r="D899" s="4" t="s">
        <v>1070</v>
      </c>
      <c r="E899" s="4" t="s">
        <v>3662</v>
      </c>
      <c r="F899" s="4"/>
      <c r="G899" s="106" t="s">
        <v>505</v>
      </c>
      <c r="H899" s="106" t="s">
        <v>34</v>
      </c>
      <c r="I899" s="49">
        <v>69322037</v>
      </c>
      <c r="J899" s="4" t="s">
        <v>525</v>
      </c>
      <c r="K899" s="4" t="str">
        <f>IF(E899="KTG","KTG",(VLOOKUP(J899,'list of outsource'!B:H,2,0)))</f>
        <v>ETC</v>
      </c>
      <c r="L899" s="4" t="s">
        <v>526</v>
      </c>
      <c r="M899" s="4">
        <v>19</v>
      </c>
      <c r="N899" s="4" t="s">
        <v>1855</v>
      </c>
      <c r="O899" s="2" t="s">
        <v>3689</v>
      </c>
      <c r="P899" s="4" t="s">
        <v>1766</v>
      </c>
      <c r="Q899" s="4">
        <v>1334612684</v>
      </c>
      <c r="R899" s="12">
        <v>45461</v>
      </c>
      <c r="S899" s="4">
        <v>4</v>
      </c>
      <c r="T899" s="4" t="s">
        <v>1258</v>
      </c>
      <c r="U899" s="4" t="s">
        <v>39</v>
      </c>
      <c r="V899" s="10">
        <v>45464</v>
      </c>
      <c r="W899" s="12">
        <v>45468</v>
      </c>
      <c r="Z899" t="e">
        <v>#N/A</v>
      </c>
    </row>
    <row r="900" spans="1:26">
      <c r="A900">
        <f t="shared" ca="1" si="14"/>
        <v>55</v>
      </c>
      <c r="B900" s="104" t="s">
        <v>1935</v>
      </c>
      <c r="C900" s="16">
        <v>45461</v>
      </c>
      <c r="D900" s="6" t="s">
        <v>129</v>
      </c>
      <c r="E900" s="6" t="s">
        <v>3663</v>
      </c>
      <c r="F900" s="6"/>
      <c r="G900" s="106" t="s">
        <v>505</v>
      </c>
      <c r="H900" s="106" t="s">
        <v>34</v>
      </c>
      <c r="I900" s="49">
        <v>69227221</v>
      </c>
      <c r="J900" s="6"/>
      <c r="K900" s="6" t="e">
        <f>IF(E900="KTG","KTG",(VLOOKUP(J900,'list of outsource'!B:H,2,0)))</f>
        <v>#N/A</v>
      </c>
      <c r="L900" s="6"/>
      <c r="M900" s="6"/>
      <c r="N900" s="6" t="s">
        <v>1936</v>
      </c>
      <c r="O900" s="2" t="s">
        <v>3689</v>
      </c>
      <c r="P900" s="6" t="s">
        <v>1937</v>
      </c>
      <c r="Q900" s="6"/>
      <c r="R900" s="16">
        <v>45504</v>
      </c>
      <c r="S900" s="6">
        <v>1</v>
      </c>
      <c r="T900" s="6" t="s">
        <v>307</v>
      </c>
      <c r="U900" s="6" t="s">
        <v>550</v>
      </c>
      <c r="V900" s="17">
        <v>45516</v>
      </c>
      <c r="W900" s="16"/>
      <c r="X900"/>
      <c r="Y900"/>
      <c r="Z900" t="e">
        <v>#N/A</v>
      </c>
    </row>
    <row r="901" spans="1:26">
      <c r="A901">
        <f t="shared" ca="1" si="14"/>
        <v>55</v>
      </c>
      <c r="B901" s="104" t="s">
        <v>1938</v>
      </c>
      <c r="C901" s="16">
        <v>45461</v>
      </c>
      <c r="D901" s="6" t="s">
        <v>129</v>
      </c>
      <c r="E901" s="6" t="s">
        <v>3663</v>
      </c>
      <c r="F901" s="6"/>
      <c r="G901" s="106" t="s">
        <v>505</v>
      </c>
      <c r="H901" s="106" t="s">
        <v>34</v>
      </c>
      <c r="I901" s="49">
        <v>69227222</v>
      </c>
      <c r="J901" s="6"/>
      <c r="K901" s="6" t="e">
        <f>IF(E901="KTG","KTG",(VLOOKUP(J901,'list of outsource'!B:H,2,0)))</f>
        <v>#N/A</v>
      </c>
      <c r="L901" s="6"/>
      <c r="M901" s="6"/>
      <c r="N901" s="6" t="s">
        <v>1939</v>
      </c>
      <c r="O901" s="2" t="s">
        <v>3689</v>
      </c>
      <c r="P901" s="6" t="s">
        <v>1940</v>
      </c>
      <c r="Q901" s="6"/>
      <c r="R901" s="16">
        <v>45504</v>
      </c>
      <c r="S901" s="6">
        <v>1</v>
      </c>
      <c r="T901" s="6" t="s">
        <v>307</v>
      </c>
      <c r="U901" s="6" t="s">
        <v>550</v>
      </c>
      <c r="V901" s="17">
        <v>45516</v>
      </c>
      <c r="W901" s="16"/>
      <c r="X901"/>
      <c r="Y901"/>
      <c r="Z901" t="e">
        <v>#N/A</v>
      </c>
    </row>
    <row r="902" spans="1:26" hidden="1">
      <c r="A902">
        <f t="shared" ca="1" si="14"/>
        <v>44</v>
      </c>
      <c r="B902" s="4" t="s">
        <v>1856</v>
      </c>
      <c r="C902" s="12">
        <v>45448</v>
      </c>
      <c r="D902" s="4" t="s">
        <v>300</v>
      </c>
      <c r="E902" s="4" t="s">
        <v>3662</v>
      </c>
      <c r="F902" s="4">
        <v>4381</v>
      </c>
      <c r="G902" s="4" t="s">
        <v>1857</v>
      </c>
      <c r="H902" s="4" t="s">
        <v>34</v>
      </c>
      <c r="I902" s="4">
        <v>142335</v>
      </c>
      <c r="J902" s="4" t="s">
        <v>1858</v>
      </c>
      <c r="K902" s="4" t="str">
        <f>IF(E902="KTG","KTG",(VLOOKUP(J902,'list of outsource'!B:H,2,0)))</f>
        <v xml:space="preserve">Huapeng </v>
      </c>
      <c r="L902" s="4" t="s">
        <v>1859</v>
      </c>
      <c r="M902" s="4">
        <v>3</v>
      </c>
      <c r="N902" s="4" t="s">
        <v>1860</v>
      </c>
      <c r="P902" s="4" t="s">
        <v>1861</v>
      </c>
      <c r="Q902" s="4" t="s">
        <v>1862</v>
      </c>
      <c r="R902" s="12">
        <v>45485</v>
      </c>
      <c r="S902" s="4">
        <v>4</v>
      </c>
      <c r="T902" s="4" t="s">
        <v>1465</v>
      </c>
      <c r="U902" s="4" t="s">
        <v>39</v>
      </c>
      <c r="V902" s="10">
        <v>45492</v>
      </c>
      <c r="W902" s="12">
        <v>45777</v>
      </c>
      <c r="X902"/>
      <c r="Y902"/>
      <c r="Z902" t="e">
        <v>#N/A</v>
      </c>
    </row>
    <row r="903" spans="1:26" customFormat="1" ht="33" hidden="1" customHeight="1">
      <c r="A903">
        <f t="shared" ca="1" si="14"/>
        <v>44</v>
      </c>
      <c r="B903" s="4" t="s">
        <v>1863</v>
      </c>
      <c r="C903" s="12">
        <v>45448</v>
      </c>
      <c r="D903" s="4" t="s">
        <v>300</v>
      </c>
      <c r="E903" s="4" t="s">
        <v>3662</v>
      </c>
      <c r="F903" s="4">
        <v>4382</v>
      </c>
      <c r="G903" s="4" t="s">
        <v>1857</v>
      </c>
      <c r="H903" s="4" t="s">
        <v>34</v>
      </c>
      <c r="I903" s="4">
        <v>142336</v>
      </c>
      <c r="J903" s="4" t="s">
        <v>1858</v>
      </c>
      <c r="K903" s="4" t="str">
        <f>IF(E903="KTG","KTG",(VLOOKUP(J903,'list of outsource'!B:H,2,0)))</f>
        <v xml:space="preserve">Huapeng </v>
      </c>
      <c r="L903" s="4" t="s">
        <v>1859</v>
      </c>
      <c r="M903" s="4">
        <v>3</v>
      </c>
      <c r="N903" s="4" t="s">
        <v>1864</v>
      </c>
      <c r="O903" s="2"/>
      <c r="P903" s="4" t="s">
        <v>1865</v>
      </c>
      <c r="Q903" s="4" t="s">
        <v>1866</v>
      </c>
      <c r="R903" s="12">
        <v>45485</v>
      </c>
      <c r="S903" s="4">
        <v>4</v>
      </c>
      <c r="T903" s="4" t="s">
        <v>1465</v>
      </c>
      <c r="U903" s="4" t="s">
        <v>39</v>
      </c>
      <c r="V903" s="10">
        <v>45492</v>
      </c>
      <c r="W903" s="12">
        <v>45777</v>
      </c>
      <c r="Z903" t="e">
        <v>#N/A</v>
      </c>
    </row>
    <row r="904" spans="1:26" ht="36.75" customHeight="1">
      <c r="A904">
        <f t="shared" ref="A904:A967" ca="1" si="15">IF(V904="",(TODAY()-C904),(V904-C904))</f>
        <v>28</v>
      </c>
      <c r="B904" s="49" t="s">
        <v>2042</v>
      </c>
      <c r="C904" s="12">
        <v>45503</v>
      </c>
      <c r="D904" s="4" t="s">
        <v>1070</v>
      </c>
      <c r="E904" s="4" t="s">
        <v>3662</v>
      </c>
      <c r="F904" s="4"/>
      <c r="G904" s="106" t="s">
        <v>505</v>
      </c>
      <c r="H904" s="106" t="s">
        <v>34</v>
      </c>
      <c r="I904" s="49">
        <v>69321143</v>
      </c>
      <c r="J904" s="4" t="s">
        <v>302</v>
      </c>
      <c r="K904" s="4" t="str">
        <f>IF(E904="KTG","KTG",(VLOOKUP(J904,'list of outsource'!B:H,2,0)))</f>
        <v>ETC</v>
      </c>
      <c r="L904" s="4" t="s">
        <v>303</v>
      </c>
      <c r="M904" s="4">
        <v>62</v>
      </c>
      <c r="N904" s="4" t="s">
        <v>2043</v>
      </c>
      <c r="O904" s="2" t="s">
        <v>3689</v>
      </c>
      <c r="P904" s="4" t="s">
        <v>2044</v>
      </c>
      <c r="Q904" s="4" t="s">
        <v>2045</v>
      </c>
      <c r="R904" s="12">
        <v>45530</v>
      </c>
      <c r="S904" s="4">
        <v>4</v>
      </c>
      <c r="T904" s="4" t="s">
        <v>1258</v>
      </c>
      <c r="U904" s="4" t="s">
        <v>2046</v>
      </c>
      <c r="V904" s="10">
        <v>45531</v>
      </c>
      <c r="W904" s="12">
        <v>45538</v>
      </c>
      <c r="X904"/>
      <c r="Y904"/>
      <c r="Z904" t="e">
        <v>#N/A</v>
      </c>
    </row>
    <row r="905" spans="1:26" ht="36.75" hidden="1" customHeight="1">
      <c r="A905">
        <f t="shared" ca="1" si="15"/>
        <v>44</v>
      </c>
      <c r="B905" s="4" t="s">
        <v>1871</v>
      </c>
      <c r="C905" s="12">
        <v>45448</v>
      </c>
      <c r="D905" s="4" t="s">
        <v>300</v>
      </c>
      <c r="E905" s="4" t="s">
        <v>3662</v>
      </c>
      <c r="F905" s="4">
        <v>4379</v>
      </c>
      <c r="G905" s="4" t="s">
        <v>1857</v>
      </c>
      <c r="H905" s="4" t="s">
        <v>34</v>
      </c>
      <c r="I905" s="4">
        <v>142338</v>
      </c>
      <c r="J905" s="4" t="s">
        <v>1858</v>
      </c>
      <c r="K905" s="4" t="str">
        <f>IF(E905="KTG","KTG",(VLOOKUP(J905,'list of outsource'!B:H,2,0)))</f>
        <v xml:space="preserve">Huapeng </v>
      </c>
      <c r="L905" s="4" t="s">
        <v>1859</v>
      </c>
      <c r="M905" s="4">
        <v>3</v>
      </c>
      <c r="N905" s="4" t="s">
        <v>1872</v>
      </c>
      <c r="P905" s="4" t="s">
        <v>1873</v>
      </c>
      <c r="Q905" s="4" t="s">
        <v>1874</v>
      </c>
      <c r="R905" s="12">
        <v>45485</v>
      </c>
      <c r="S905" s="4">
        <v>4</v>
      </c>
      <c r="T905" s="4" t="s">
        <v>1465</v>
      </c>
      <c r="U905" s="4" t="s">
        <v>39</v>
      </c>
      <c r="V905" s="10">
        <v>45492</v>
      </c>
      <c r="W905" s="12">
        <v>45777</v>
      </c>
      <c r="X905"/>
      <c r="Y905"/>
      <c r="Z905" t="e">
        <v>#N/A</v>
      </c>
    </row>
    <row r="906" spans="1:26" customFormat="1" ht="33" hidden="1" customHeight="1">
      <c r="A906">
        <f t="shared" ca="1" si="15"/>
        <v>44</v>
      </c>
      <c r="B906" s="4" t="s">
        <v>1875</v>
      </c>
      <c r="C906" s="12">
        <v>45448</v>
      </c>
      <c r="D906" s="4" t="s">
        <v>300</v>
      </c>
      <c r="E906" s="4" t="s">
        <v>3662</v>
      </c>
      <c r="F906" s="4">
        <v>4380</v>
      </c>
      <c r="G906" s="4" t="s">
        <v>1857</v>
      </c>
      <c r="H906" s="4" t="s">
        <v>34</v>
      </c>
      <c r="I906" s="4">
        <v>142339</v>
      </c>
      <c r="J906" s="4" t="s">
        <v>1858</v>
      </c>
      <c r="K906" s="4" t="str">
        <f>IF(E906="KTG","KTG",(VLOOKUP(J906,'list of outsource'!B:H,2,0)))</f>
        <v xml:space="preserve">Huapeng </v>
      </c>
      <c r="L906" s="4" t="s">
        <v>1859</v>
      </c>
      <c r="M906" s="4">
        <v>3</v>
      </c>
      <c r="N906" s="4" t="s">
        <v>1876</v>
      </c>
      <c r="O906" s="2"/>
      <c r="P906" s="4" t="s">
        <v>1877</v>
      </c>
      <c r="Q906" s="4" t="s">
        <v>1878</v>
      </c>
      <c r="R906" s="12">
        <v>45485</v>
      </c>
      <c r="S906" s="4">
        <v>4</v>
      </c>
      <c r="T906" s="4" t="s">
        <v>1465</v>
      </c>
      <c r="U906" s="4" t="s">
        <v>39</v>
      </c>
      <c r="V906" s="10">
        <v>45492</v>
      </c>
      <c r="W906" s="12">
        <v>45777</v>
      </c>
      <c r="Z906" t="e">
        <v>#N/A</v>
      </c>
    </row>
    <row r="907" spans="1:26" customFormat="1" ht="33" customHeight="1">
      <c r="A907">
        <f t="shared" ca="1" si="15"/>
        <v>29</v>
      </c>
      <c r="B907" s="49" t="s">
        <v>2238</v>
      </c>
      <c r="C907" s="12">
        <v>45666</v>
      </c>
      <c r="D907" s="4" t="s">
        <v>300</v>
      </c>
      <c r="E907" s="4" t="s">
        <v>3663</v>
      </c>
      <c r="F907" s="4"/>
      <c r="G907" s="106" t="s">
        <v>505</v>
      </c>
      <c r="H907" s="106" t="s">
        <v>34</v>
      </c>
      <c r="I907" s="49">
        <v>69321272</v>
      </c>
      <c r="J907" s="4"/>
      <c r="K907" s="4" t="e">
        <f>IF(E907="KTG","KTG",(VLOOKUP(J907,'list of outsource'!B:H,2,0)))</f>
        <v>#N/A</v>
      </c>
      <c r="L907" s="4"/>
      <c r="M907" s="4"/>
      <c r="N907" s="4" t="s">
        <v>2239</v>
      </c>
      <c r="O907" s="2" t="s">
        <v>3689</v>
      </c>
      <c r="P907" s="4" t="s">
        <v>2240</v>
      </c>
      <c r="Q907" s="4"/>
      <c r="R907" s="12">
        <v>45679</v>
      </c>
      <c r="S907" s="4">
        <v>1</v>
      </c>
      <c r="T907" s="4" t="s">
        <v>307</v>
      </c>
      <c r="U907" s="4" t="s">
        <v>550</v>
      </c>
      <c r="V907" s="10">
        <v>45695</v>
      </c>
      <c r="W907" s="12">
        <v>45750</v>
      </c>
      <c r="Z907" t="e">
        <v>#N/A</v>
      </c>
    </row>
    <row r="908" spans="1:26" customFormat="1" ht="33" hidden="1" customHeight="1">
      <c r="A908">
        <f t="shared" ca="1" si="15"/>
        <v>27</v>
      </c>
      <c r="B908" s="8" t="s">
        <v>2067</v>
      </c>
      <c r="C908" s="16">
        <v>45532</v>
      </c>
      <c r="D908" s="6" t="s">
        <v>129</v>
      </c>
      <c r="E908" s="6" t="s">
        <v>3665</v>
      </c>
      <c r="F908" s="6">
        <v>4378</v>
      </c>
      <c r="G908" s="6" t="s">
        <v>1857</v>
      </c>
      <c r="H908" s="6" t="s">
        <v>34</v>
      </c>
      <c r="I908" s="6">
        <v>60738</v>
      </c>
      <c r="J908" s="6" t="s">
        <v>96</v>
      </c>
      <c r="K908" s="6" t="str">
        <f>IF(E908="KTG","KTG",(VLOOKUP(J908,'list of outsource'!B:H,2,0)))</f>
        <v>Woer</v>
      </c>
      <c r="L908" s="6" t="s">
        <v>97</v>
      </c>
      <c r="M908" s="6">
        <v>50</v>
      </c>
      <c r="N908" s="6" t="s">
        <v>2068</v>
      </c>
      <c r="O908" s="2"/>
      <c r="P908" s="6" t="s">
        <v>2069</v>
      </c>
      <c r="Q908" s="6" t="s">
        <v>2070</v>
      </c>
      <c r="R908" s="16">
        <v>45540</v>
      </c>
      <c r="S908" s="6">
        <v>4</v>
      </c>
      <c r="T908" s="6" t="s">
        <v>607</v>
      </c>
      <c r="U908" s="6" t="s">
        <v>39</v>
      </c>
      <c r="V908" s="17">
        <v>45559</v>
      </c>
      <c r="W908" s="16"/>
      <c r="Z908" t="e">
        <v>#N/A</v>
      </c>
    </row>
    <row r="909" spans="1:26" customFormat="1" ht="33" hidden="1" customHeight="1">
      <c r="A909">
        <f t="shared" ca="1" si="15"/>
        <v>35</v>
      </c>
      <c r="B909" s="49" t="s">
        <v>1883</v>
      </c>
      <c r="C909" s="12">
        <v>45453</v>
      </c>
      <c r="D909" s="4" t="s">
        <v>1070</v>
      </c>
      <c r="E909" s="4" t="s">
        <v>3665</v>
      </c>
      <c r="F909" s="4"/>
      <c r="G909" s="4" t="s">
        <v>1884</v>
      </c>
      <c r="H909" s="4" t="s">
        <v>379</v>
      </c>
      <c r="I909" s="4" t="s">
        <v>1885</v>
      </c>
      <c r="J909" s="4" t="s">
        <v>96</v>
      </c>
      <c r="K909" s="4" t="str">
        <f>IF(E909="KTG","KTG",(VLOOKUP(J909,'list of outsource'!B:H,2,0)))</f>
        <v>Woer</v>
      </c>
      <c r="L909" s="4" t="s">
        <v>97</v>
      </c>
      <c r="M909" s="4">
        <v>48</v>
      </c>
      <c r="N909" s="49" t="s">
        <v>1886</v>
      </c>
      <c r="O909" s="2"/>
      <c r="P909" s="4" t="s">
        <v>1887</v>
      </c>
      <c r="Q909" s="4" t="s">
        <v>1888</v>
      </c>
      <c r="R909" s="12">
        <v>45470</v>
      </c>
      <c r="S909" s="4">
        <v>4</v>
      </c>
      <c r="T909" s="4" t="s">
        <v>607</v>
      </c>
      <c r="U909" s="4" t="s">
        <v>39</v>
      </c>
      <c r="V909" s="10">
        <v>45488</v>
      </c>
      <c r="W909" s="12">
        <v>45511</v>
      </c>
      <c r="Z909" t="e">
        <v>#N/A</v>
      </c>
    </row>
    <row r="910" spans="1:26" customFormat="1" ht="33" hidden="1" customHeight="1">
      <c r="A910">
        <f t="shared" ca="1" si="15"/>
        <v>32</v>
      </c>
      <c r="B910" s="4" t="s">
        <v>2210</v>
      </c>
      <c r="C910" s="12">
        <v>45638</v>
      </c>
      <c r="D910" s="4" t="s">
        <v>300</v>
      </c>
      <c r="E910" s="4" t="s">
        <v>3665</v>
      </c>
      <c r="F910" s="4">
        <v>3784</v>
      </c>
      <c r="G910" s="4" t="s">
        <v>1884</v>
      </c>
      <c r="H910" s="4" t="s">
        <v>379</v>
      </c>
      <c r="I910" s="4">
        <v>1027553</v>
      </c>
      <c r="J910" s="4" t="s">
        <v>96</v>
      </c>
      <c r="K910" s="4" t="str">
        <f>IF(E910="KTG","KTG",(VLOOKUP(J910,'list of outsource'!B:H,2,0)))</f>
        <v>Woer</v>
      </c>
      <c r="L910" s="4" t="s">
        <v>97</v>
      </c>
      <c r="M910" s="4">
        <v>52</v>
      </c>
      <c r="N910" s="4" t="s">
        <v>2211</v>
      </c>
      <c r="O910" s="2"/>
      <c r="P910" s="4" t="s">
        <v>2212</v>
      </c>
      <c r="Q910" s="4" t="s">
        <v>2213</v>
      </c>
      <c r="R910" s="12"/>
      <c r="S910" s="4">
        <v>4</v>
      </c>
      <c r="T910" s="4" t="s">
        <v>1465</v>
      </c>
      <c r="U910" s="4" t="s">
        <v>39</v>
      </c>
      <c r="V910" s="10">
        <v>45670</v>
      </c>
      <c r="W910" s="12">
        <v>45800</v>
      </c>
      <c r="Z910" t="e">
        <v>#N/A</v>
      </c>
    </row>
    <row r="911" spans="1:26" customFormat="1" ht="33" hidden="1" customHeight="1">
      <c r="A911">
        <f t="shared" ca="1" si="15"/>
        <v>32</v>
      </c>
      <c r="B911" s="4" t="s">
        <v>2214</v>
      </c>
      <c r="C911" s="12">
        <v>45638</v>
      </c>
      <c r="D911" s="4" t="s">
        <v>300</v>
      </c>
      <c r="E911" s="4" t="s">
        <v>3665</v>
      </c>
      <c r="F911" s="4">
        <v>3782</v>
      </c>
      <c r="G911" s="4" t="s">
        <v>1884</v>
      </c>
      <c r="H911" s="4" t="s">
        <v>379</v>
      </c>
      <c r="I911" s="4">
        <v>1027554</v>
      </c>
      <c r="J911" s="4" t="s">
        <v>96</v>
      </c>
      <c r="K911" s="4" t="str">
        <f>IF(E911="KTG","KTG",(VLOOKUP(J911,'list of outsource'!B:H,2,0)))</f>
        <v>Woer</v>
      </c>
      <c r="L911" s="4" t="s">
        <v>97</v>
      </c>
      <c r="M911" s="4">
        <v>52</v>
      </c>
      <c r="N911" s="4" t="s">
        <v>2215</v>
      </c>
      <c r="O911" s="2"/>
      <c r="P911" s="4" t="s">
        <v>2216</v>
      </c>
      <c r="Q911" s="4" t="s">
        <v>2217</v>
      </c>
      <c r="R911" s="12"/>
      <c r="S911" s="4">
        <v>4</v>
      </c>
      <c r="T911" s="4" t="s">
        <v>1465</v>
      </c>
      <c r="U911" s="4" t="s">
        <v>39</v>
      </c>
      <c r="V911" s="10">
        <v>45670</v>
      </c>
      <c r="W911" s="12">
        <v>45800</v>
      </c>
      <c r="Z911" t="e">
        <v>#N/A</v>
      </c>
    </row>
    <row r="912" spans="1:26" ht="36.75" hidden="1" customHeight="1">
      <c r="A912">
        <f t="shared" ca="1" si="15"/>
        <v>57</v>
      </c>
      <c r="B912" s="4" t="s">
        <v>2218</v>
      </c>
      <c r="C912" s="12">
        <v>45638</v>
      </c>
      <c r="D912" s="4" t="s">
        <v>300</v>
      </c>
      <c r="E912" s="4" t="s">
        <v>3665</v>
      </c>
      <c r="F912" s="4">
        <v>3783</v>
      </c>
      <c r="G912" s="4" t="s">
        <v>1884</v>
      </c>
      <c r="H912" s="4" t="s">
        <v>379</v>
      </c>
      <c r="I912" s="4">
        <v>1029294</v>
      </c>
      <c r="J912" s="4" t="s">
        <v>96</v>
      </c>
      <c r="K912" s="4" t="str">
        <f>IF(E912="KTG","KTG",(VLOOKUP(J912,'list of outsource'!B:H,2,0)))</f>
        <v>Woer</v>
      </c>
      <c r="L912" s="4" t="s">
        <v>97</v>
      </c>
      <c r="M912" s="4">
        <v>52</v>
      </c>
      <c r="N912" s="4" t="s">
        <v>2219</v>
      </c>
      <c r="P912" s="4" t="s">
        <v>2220</v>
      </c>
      <c r="Q912" s="4" t="s">
        <v>2221</v>
      </c>
      <c r="R912" s="12">
        <v>45664</v>
      </c>
      <c r="S912" s="4">
        <v>4</v>
      </c>
      <c r="T912" s="4" t="s">
        <v>1465</v>
      </c>
      <c r="U912" s="4" t="s">
        <v>39</v>
      </c>
      <c r="V912" s="10">
        <v>45695</v>
      </c>
      <c r="W912" s="12">
        <v>45800</v>
      </c>
      <c r="X912"/>
      <c r="Y912"/>
      <c r="Z912" t="e">
        <v>#N/A</v>
      </c>
    </row>
    <row r="913" spans="1:26" customFormat="1" ht="33" customHeight="1">
      <c r="A913">
        <f t="shared" ca="1" si="15"/>
        <v>29</v>
      </c>
      <c r="B913" s="49" t="s">
        <v>2241</v>
      </c>
      <c r="C913" s="12">
        <v>45666</v>
      </c>
      <c r="D913" s="4" t="s">
        <v>300</v>
      </c>
      <c r="E913" s="4" t="s">
        <v>3663</v>
      </c>
      <c r="F913" s="4"/>
      <c r="G913" s="106" t="s">
        <v>505</v>
      </c>
      <c r="H913" s="106" t="s">
        <v>34</v>
      </c>
      <c r="I913" s="49">
        <v>69321278</v>
      </c>
      <c r="J913" s="4"/>
      <c r="K913" s="4" t="e">
        <f>IF(E913="KTG","KTG",(VLOOKUP(J913,'list of outsource'!B:H,2,0)))</f>
        <v>#N/A</v>
      </c>
      <c r="L913" s="4"/>
      <c r="M913" s="4"/>
      <c r="N913" s="4" t="s">
        <v>2242</v>
      </c>
      <c r="O913" s="2" t="s">
        <v>3689</v>
      </c>
      <c r="P913" s="4" t="s">
        <v>2243</v>
      </c>
      <c r="Q913" s="4"/>
      <c r="R913" s="12">
        <v>45679</v>
      </c>
      <c r="S913" s="4">
        <v>1</v>
      </c>
      <c r="T913" s="4" t="s">
        <v>307</v>
      </c>
      <c r="U913" s="4" t="s">
        <v>550</v>
      </c>
      <c r="V913" s="10">
        <v>45695</v>
      </c>
      <c r="W913" s="12">
        <v>45750</v>
      </c>
      <c r="Z913" t="e">
        <v>#N/A</v>
      </c>
    </row>
    <row r="914" spans="1:26" ht="36.75" hidden="1" customHeight="1">
      <c r="A914">
        <f t="shared" ca="1" si="15"/>
        <v>174</v>
      </c>
      <c r="B914" s="8" t="s">
        <v>1889</v>
      </c>
      <c r="C914" s="16">
        <v>45455</v>
      </c>
      <c r="D914" s="6" t="s">
        <v>129</v>
      </c>
      <c r="E914" s="6" t="s">
        <v>3665</v>
      </c>
      <c r="F914" s="6">
        <v>4303</v>
      </c>
      <c r="G914" s="6" t="s">
        <v>1890</v>
      </c>
      <c r="H914" s="6" t="s">
        <v>34</v>
      </c>
      <c r="I914" s="6" t="s">
        <v>1891</v>
      </c>
      <c r="J914" s="6" t="s">
        <v>1892</v>
      </c>
      <c r="K914" s="6" t="str">
        <f>IF(E914="KTG","KTG",(VLOOKUP(J914,'list of outsource'!B:H,2,0)))</f>
        <v>ETC design and Kebao manufacture</v>
      </c>
      <c r="L914" s="6" t="s">
        <v>1893</v>
      </c>
      <c r="M914" s="6">
        <v>8</v>
      </c>
      <c r="N914" s="6" t="s">
        <v>1894</v>
      </c>
      <c r="P914" s="6" t="s">
        <v>1895</v>
      </c>
      <c r="Q914" s="6" t="s">
        <v>1896</v>
      </c>
      <c r="R914" s="16"/>
      <c r="S914" s="6">
        <v>4</v>
      </c>
      <c r="T914" s="6" t="s">
        <v>1258</v>
      </c>
      <c r="U914" s="6" t="s">
        <v>39</v>
      </c>
      <c r="V914" s="17">
        <v>45629</v>
      </c>
      <c r="W914" s="16"/>
      <c r="X914"/>
      <c r="Y914"/>
      <c r="Z914" t="e">
        <v>#N/A</v>
      </c>
    </row>
    <row r="915" spans="1:26" customFormat="1" ht="33" hidden="1" customHeight="1">
      <c r="A915">
        <f t="shared" ca="1" si="15"/>
        <v>5</v>
      </c>
      <c r="B915" s="8" t="s">
        <v>1889</v>
      </c>
      <c r="C915" s="16">
        <v>45715</v>
      </c>
      <c r="D915" s="6" t="s">
        <v>129</v>
      </c>
      <c r="E915" s="6" t="s">
        <v>3665</v>
      </c>
      <c r="F915" s="6">
        <v>4304</v>
      </c>
      <c r="G915" s="6" t="s">
        <v>1890</v>
      </c>
      <c r="H915" s="6" t="s">
        <v>34</v>
      </c>
      <c r="I915" s="6" t="s">
        <v>2383</v>
      </c>
      <c r="J915" s="6" t="s">
        <v>1892</v>
      </c>
      <c r="K915" s="6" t="str">
        <f>IF(E915="KTG","KTG",(VLOOKUP(J915,'list of outsource'!B:H,2,0)))</f>
        <v>ETC design and Kebao manufacture</v>
      </c>
      <c r="L915" s="6" t="s">
        <v>1893</v>
      </c>
      <c r="M915" s="6">
        <v>9</v>
      </c>
      <c r="N915" s="6" t="s">
        <v>1894</v>
      </c>
      <c r="O915" s="2"/>
      <c r="P915" s="6" t="s">
        <v>1895</v>
      </c>
      <c r="Q915" s="6" t="s">
        <v>1896</v>
      </c>
      <c r="R915" s="16"/>
      <c r="S915" s="6">
        <v>4</v>
      </c>
      <c r="T915" s="6" t="s">
        <v>1258</v>
      </c>
      <c r="U915" s="6" t="s">
        <v>39</v>
      </c>
      <c r="V915" s="17">
        <v>45720</v>
      </c>
      <c r="W915" s="16"/>
      <c r="Z915" t="e">
        <v>#N/A</v>
      </c>
    </row>
    <row r="916" spans="1:26" hidden="1">
      <c r="A916">
        <f t="shared" ca="1" si="15"/>
        <v>174</v>
      </c>
      <c r="B916" s="8" t="s">
        <v>1897</v>
      </c>
      <c r="C916" s="16">
        <v>45455</v>
      </c>
      <c r="D916" s="6" t="s">
        <v>129</v>
      </c>
      <c r="E916" s="6" t="s">
        <v>3665</v>
      </c>
      <c r="F916" s="6">
        <v>4301</v>
      </c>
      <c r="G916" s="6" t="s">
        <v>1890</v>
      </c>
      <c r="H916" s="6" t="s">
        <v>34</v>
      </c>
      <c r="I916" s="6" t="s">
        <v>1898</v>
      </c>
      <c r="J916" s="6" t="s">
        <v>1892</v>
      </c>
      <c r="K916" s="6" t="str">
        <f>IF(E916="KTG","KTG",(VLOOKUP(J916,'list of outsource'!B:H,2,0)))</f>
        <v>ETC design and Kebao manufacture</v>
      </c>
      <c r="L916" s="6" t="s">
        <v>1893</v>
      </c>
      <c r="M916" s="6">
        <v>8</v>
      </c>
      <c r="N916" s="6" t="s">
        <v>1899</v>
      </c>
      <c r="P916" s="6" t="s">
        <v>1900</v>
      </c>
      <c r="Q916" s="6" t="s">
        <v>1901</v>
      </c>
      <c r="R916" s="16"/>
      <c r="S916" s="6">
        <v>4</v>
      </c>
      <c r="T916" s="6" t="s">
        <v>1258</v>
      </c>
      <c r="U916" s="6" t="s">
        <v>39</v>
      </c>
      <c r="V916" s="17">
        <v>45629</v>
      </c>
      <c r="W916" s="16"/>
      <c r="X916"/>
      <c r="Y916"/>
      <c r="Z916" t="e">
        <v>#N/A</v>
      </c>
    </row>
    <row r="917" spans="1:26" s="7" customFormat="1" ht="21" hidden="1" customHeight="1">
      <c r="A917">
        <f t="shared" ca="1" si="15"/>
        <v>5</v>
      </c>
      <c r="B917" s="8" t="s">
        <v>1897</v>
      </c>
      <c r="C917" s="16">
        <v>45715</v>
      </c>
      <c r="D917" s="6" t="s">
        <v>129</v>
      </c>
      <c r="E917" s="6" t="s">
        <v>3665</v>
      </c>
      <c r="F917" s="6">
        <v>4302</v>
      </c>
      <c r="G917" s="6" t="s">
        <v>1890</v>
      </c>
      <c r="H917" s="6" t="s">
        <v>34</v>
      </c>
      <c r="I917" s="6" t="s">
        <v>2384</v>
      </c>
      <c r="J917" s="6" t="s">
        <v>1892</v>
      </c>
      <c r="K917" s="6" t="str">
        <f>IF(E917="KTG","KTG",(VLOOKUP(J917,'list of outsource'!B:H,2,0)))</f>
        <v>ETC design and Kebao manufacture</v>
      </c>
      <c r="L917" s="6" t="s">
        <v>1893</v>
      </c>
      <c r="M917" s="6">
        <v>9</v>
      </c>
      <c r="N917" s="6" t="s">
        <v>1899</v>
      </c>
      <c r="O917" s="2"/>
      <c r="P917" s="6" t="s">
        <v>1900</v>
      </c>
      <c r="Q917" s="6" t="s">
        <v>1901</v>
      </c>
      <c r="R917" s="16"/>
      <c r="S917" s="6">
        <v>4</v>
      </c>
      <c r="T917" s="6" t="s">
        <v>1258</v>
      </c>
      <c r="U917" s="6" t="s">
        <v>39</v>
      </c>
      <c r="V917" s="17">
        <v>45720</v>
      </c>
      <c r="W917" s="16"/>
      <c r="X917"/>
      <c r="Y917"/>
      <c r="Z917" t="e">
        <v>#N/A</v>
      </c>
    </row>
    <row r="918" spans="1:26" s="7" customFormat="1" ht="21" hidden="1" customHeight="1">
      <c r="A918">
        <f t="shared" ca="1" si="15"/>
        <v>174</v>
      </c>
      <c r="B918" s="8" t="s">
        <v>1902</v>
      </c>
      <c r="C918" s="16">
        <v>45455</v>
      </c>
      <c r="D918" s="6" t="s">
        <v>129</v>
      </c>
      <c r="E918" s="6" t="s">
        <v>3665</v>
      </c>
      <c r="F918" s="6">
        <v>4299</v>
      </c>
      <c r="G918" s="6" t="s">
        <v>1890</v>
      </c>
      <c r="H918" s="6" t="s">
        <v>34</v>
      </c>
      <c r="I918" s="6">
        <v>8001113010</v>
      </c>
      <c r="J918" s="6" t="s">
        <v>151</v>
      </c>
      <c r="K918" s="6" t="str">
        <f>IF(E918="KTG","KTG",(VLOOKUP(J918,'list of outsource'!B:H,2,0)))</f>
        <v>UPM</v>
      </c>
      <c r="L918" s="6" t="s">
        <v>381</v>
      </c>
      <c r="M918" s="6">
        <v>25</v>
      </c>
      <c r="N918" s="6" t="s">
        <v>1089</v>
      </c>
      <c r="O918" s="2"/>
      <c r="P918" s="6" t="s">
        <v>1903</v>
      </c>
      <c r="Q918" s="6" t="s">
        <v>1904</v>
      </c>
      <c r="R918" s="16"/>
      <c r="S918" s="6">
        <v>4</v>
      </c>
      <c r="T918" s="6" t="s">
        <v>1258</v>
      </c>
      <c r="U918" s="6" t="s">
        <v>39</v>
      </c>
      <c r="V918" s="17">
        <v>45629</v>
      </c>
      <c r="W918" s="16"/>
      <c r="X918"/>
      <c r="Y918"/>
      <c r="Z918" t="e">
        <v>#N/A</v>
      </c>
    </row>
    <row r="919" spans="1:26" customFormat="1" hidden="1">
      <c r="A919">
        <f t="shared" ca="1" si="15"/>
        <v>5</v>
      </c>
      <c r="B919" s="8" t="s">
        <v>1902</v>
      </c>
      <c r="C919" s="16">
        <v>45715</v>
      </c>
      <c r="D919" s="6" t="s">
        <v>129</v>
      </c>
      <c r="E919" s="6" t="s">
        <v>3665</v>
      </c>
      <c r="F919" s="6">
        <v>4300</v>
      </c>
      <c r="G919" s="6" t="s">
        <v>1890</v>
      </c>
      <c r="H919" s="6" t="s">
        <v>34</v>
      </c>
      <c r="I919" s="6" t="s">
        <v>2385</v>
      </c>
      <c r="J919" s="6" t="s">
        <v>151</v>
      </c>
      <c r="K919" s="6" t="str">
        <f>IF(E919="KTG","KTG",(VLOOKUP(J919,'list of outsource'!B:H,2,0)))</f>
        <v>UPM</v>
      </c>
      <c r="L919" s="6" t="s">
        <v>381</v>
      </c>
      <c r="M919" s="6">
        <v>25</v>
      </c>
      <c r="N919" s="6" t="s">
        <v>1089</v>
      </c>
      <c r="O919" s="2"/>
      <c r="P919" s="6" t="s">
        <v>1903</v>
      </c>
      <c r="Q919" s="6" t="s">
        <v>1904</v>
      </c>
      <c r="R919" s="16"/>
      <c r="S919" s="6">
        <v>4</v>
      </c>
      <c r="T919" s="6" t="s">
        <v>1258</v>
      </c>
      <c r="U919" s="6" t="s">
        <v>39</v>
      </c>
      <c r="V919" s="17">
        <v>45720</v>
      </c>
      <c r="W919" s="16"/>
      <c r="Z919" t="e">
        <v>#N/A</v>
      </c>
    </row>
    <row r="920" spans="1:26" s="7" customFormat="1" hidden="1">
      <c r="A920">
        <f t="shared" ca="1" si="15"/>
        <v>174</v>
      </c>
      <c r="B920" s="8" t="s">
        <v>1905</v>
      </c>
      <c r="C920" s="16">
        <v>45455</v>
      </c>
      <c r="D920" s="6" t="s">
        <v>129</v>
      </c>
      <c r="E920" s="6" t="s">
        <v>3665</v>
      </c>
      <c r="F920" s="6">
        <v>4297</v>
      </c>
      <c r="G920" s="6" t="s">
        <v>1890</v>
      </c>
      <c r="H920" s="6" t="s">
        <v>34</v>
      </c>
      <c r="I920" s="6">
        <v>8001113009</v>
      </c>
      <c r="J920" s="6" t="s">
        <v>151</v>
      </c>
      <c r="K920" s="6" t="str">
        <f>IF(E920="KTG","KTG",(VLOOKUP(J920,'list of outsource'!B:H,2,0)))</f>
        <v>UPM</v>
      </c>
      <c r="L920" s="6" t="s">
        <v>381</v>
      </c>
      <c r="M920" s="6">
        <v>25</v>
      </c>
      <c r="N920" s="6" t="s">
        <v>153</v>
      </c>
      <c r="O920" s="2"/>
      <c r="P920" s="6" t="s">
        <v>1906</v>
      </c>
      <c r="Q920" s="6" t="s">
        <v>1907</v>
      </c>
      <c r="R920" s="16"/>
      <c r="S920" s="6">
        <v>4</v>
      </c>
      <c r="T920" s="6" t="s">
        <v>1258</v>
      </c>
      <c r="U920" s="6" t="s">
        <v>39</v>
      </c>
      <c r="V920" s="17">
        <v>45629</v>
      </c>
      <c r="W920" s="16"/>
      <c r="X920"/>
      <c r="Y920"/>
      <c r="Z920" t="e">
        <v>#N/A</v>
      </c>
    </row>
    <row r="921" spans="1:26" customFormat="1" hidden="1">
      <c r="A921">
        <f t="shared" ca="1" si="15"/>
        <v>5</v>
      </c>
      <c r="B921" s="8" t="s">
        <v>1905</v>
      </c>
      <c r="C921" s="16">
        <v>45715</v>
      </c>
      <c r="D921" s="6" t="s">
        <v>129</v>
      </c>
      <c r="E921" s="6" t="s">
        <v>3665</v>
      </c>
      <c r="F921" s="6">
        <v>4298</v>
      </c>
      <c r="G921" s="6" t="s">
        <v>1890</v>
      </c>
      <c r="H921" s="6" t="s">
        <v>34</v>
      </c>
      <c r="I921" s="6" t="s">
        <v>2386</v>
      </c>
      <c r="J921" s="6" t="s">
        <v>151</v>
      </c>
      <c r="K921" s="6" t="str">
        <f>IF(E921="KTG","KTG",(VLOOKUP(J921,'list of outsource'!B:H,2,0)))</f>
        <v>UPM</v>
      </c>
      <c r="L921" s="6" t="s">
        <v>381</v>
      </c>
      <c r="M921" s="6">
        <v>25</v>
      </c>
      <c r="N921" s="6" t="s">
        <v>153</v>
      </c>
      <c r="O921" s="2"/>
      <c r="P921" s="6" t="s">
        <v>1906</v>
      </c>
      <c r="Q921" s="6" t="s">
        <v>1907</v>
      </c>
      <c r="R921" s="16"/>
      <c r="S921" s="6">
        <v>4</v>
      </c>
      <c r="T921" s="6" t="s">
        <v>1258</v>
      </c>
      <c r="U921" s="6" t="s">
        <v>39</v>
      </c>
      <c r="V921" s="17">
        <v>45720</v>
      </c>
      <c r="W921" s="16"/>
      <c r="Z921" t="e">
        <v>#N/A</v>
      </c>
    </row>
    <row r="922" spans="1:26" customFormat="1" hidden="1">
      <c r="A922">
        <f t="shared" ca="1" si="15"/>
        <v>174</v>
      </c>
      <c r="B922" s="8" t="s">
        <v>1908</v>
      </c>
      <c r="C922" s="16">
        <v>45455</v>
      </c>
      <c r="D922" s="6" t="s">
        <v>129</v>
      </c>
      <c r="E922" s="6" t="s">
        <v>3665</v>
      </c>
      <c r="F922" s="6">
        <v>4305</v>
      </c>
      <c r="G922" s="6" t="s">
        <v>1890</v>
      </c>
      <c r="H922" s="6" t="s">
        <v>34</v>
      </c>
      <c r="I922" s="6">
        <v>8001113005</v>
      </c>
      <c r="J922" s="6" t="s">
        <v>151</v>
      </c>
      <c r="K922" s="6" t="str">
        <f>IF(E922="KTG","KTG",(VLOOKUP(J922,'list of outsource'!B:H,2,0)))</f>
        <v>UPM</v>
      </c>
      <c r="L922" s="6" t="s">
        <v>381</v>
      </c>
      <c r="M922" s="6">
        <v>25</v>
      </c>
      <c r="N922" s="6" t="s">
        <v>792</v>
      </c>
      <c r="O922" s="2"/>
      <c r="P922" s="6" t="s">
        <v>1909</v>
      </c>
      <c r="Q922" s="6" t="s">
        <v>1910</v>
      </c>
      <c r="R922" s="16"/>
      <c r="S922" s="6">
        <v>4</v>
      </c>
      <c r="T922" s="6" t="s">
        <v>1258</v>
      </c>
      <c r="U922" s="6" t="s">
        <v>39</v>
      </c>
      <c r="V922" s="17">
        <v>45629</v>
      </c>
      <c r="W922" s="16"/>
      <c r="Z922" t="e">
        <v>#N/A</v>
      </c>
    </row>
    <row r="923" spans="1:26" s="7" customFormat="1" hidden="1">
      <c r="A923">
        <f t="shared" ca="1" si="15"/>
        <v>5</v>
      </c>
      <c r="B923" s="8" t="s">
        <v>1908</v>
      </c>
      <c r="C923" s="16">
        <v>45715</v>
      </c>
      <c r="D923" s="6" t="s">
        <v>129</v>
      </c>
      <c r="E923" s="6" t="s">
        <v>3665</v>
      </c>
      <c r="F923" s="6">
        <v>4306</v>
      </c>
      <c r="G923" s="6" t="s">
        <v>1890</v>
      </c>
      <c r="H923" s="6" t="s">
        <v>34</v>
      </c>
      <c r="I923" s="6" t="s">
        <v>2387</v>
      </c>
      <c r="J923" s="6" t="s">
        <v>151</v>
      </c>
      <c r="K923" s="6" t="str">
        <f>IF(E923="KTG","KTG",(VLOOKUP(J923,'list of outsource'!B:H,2,0)))</f>
        <v>UPM</v>
      </c>
      <c r="L923" s="6" t="s">
        <v>381</v>
      </c>
      <c r="M923" s="6">
        <v>25</v>
      </c>
      <c r="N923" s="6" t="s">
        <v>792</v>
      </c>
      <c r="O923" s="2"/>
      <c r="P923" s="6" t="s">
        <v>1909</v>
      </c>
      <c r="Q923" s="6" t="s">
        <v>1910</v>
      </c>
      <c r="R923" s="16"/>
      <c r="S923" s="6">
        <v>4</v>
      </c>
      <c r="T923" s="6" t="s">
        <v>1258</v>
      </c>
      <c r="U923" s="6" t="s">
        <v>39</v>
      </c>
      <c r="V923" s="17">
        <v>45720</v>
      </c>
      <c r="W923" s="16"/>
      <c r="X923"/>
      <c r="Y923"/>
      <c r="Z923" t="e">
        <v>#N/A</v>
      </c>
    </row>
    <row r="924" spans="1:26" customFormat="1" hidden="1">
      <c r="A924">
        <f t="shared" ca="1" si="15"/>
        <v>174</v>
      </c>
      <c r="B924" s="8" t="s">
        <v>1911</v>
      </c>
      <c r="C924" s="16">
        <v>45455</v>
      </c>
      <c r="D924" s="6" t="s">
        <v>129</v>
      </c>
      <c r="E924" s="6" t="s">
        <v>3665</v>
      </c>
      <c r="F924" s="6">
        <v>4295</v>
      </c>
      <c r="G924" s="6" t="s">
        <v>1890</v>
      </c>
      <c r="H924" s="6" t="s">
        <v>34</v>
      </c>
      <c r="I924" s="6">
        <v>8001113008</v>
      </c>
      <c r="J924" s="6" t="s">
        <v>151</v>
      </c>
      <c r="K924" s="6" t="str">
        <f>IF(E924="KTG","KTG",(VLOOKUP(J924,'list of outsource'!B:H,2,0)))</f>
        <v>UPM</v>
      </c>
      <c r="L924" s="6" t="s">
        <v>381</v>
      </c>
      <c r="M924" s="6">
        <v>25</v>
      </c>
      <c r="N924" s="6" t="s">
        <v>738</v>
      </c>
      <c r="O924" s="2"/>
      <c r="P924" s="6" t="s">
        <v>1912</v>
      </c>
      <c r="Q924" s="6" t="s">
        <v>1913</v>
      </c>
      <c r="R924" s="16"/>
      <c r="S924" s="6">
        <v>4</v>
      </c>
      <c r="T924" s="6" t="s">
        <v>1258</v>
      </c>
      <c r="U924" s="6" t="s">
        <v>39</v>
      </c>
      <c r="V924" s="17">
        <v>45629</v>
      </c>
      <c r="W924" s="16"/>
      <c r="Z924" t="e">
        <v>#N/A</v>
      </c>
    </row>
    <row r="925" spans="1:26" customFormat="1" hidden="1">
      <c r="A925">
        <f t="shared" ca="1" si="15"/>
        <v>5</v>
      </c>
      <c r="B925" s="8" t="s">
        <v>1911</v>
      </c>
      <c r="C925" s="16">
        <v>45715</v>
      </c>
      <c r="D925" s="6" t="s">
        <v>129</v>
      </c>
      <c r="E925" s="6" t="s">
        <v>3665</v>
      </c>
      <c r="F925" s="6">
        <v>4296</v>
      </c>
      <c r="G925" s="6" t="s">
        <v>1890</v>
      </c>
      <c r="H925" s="6" t="s">
        <v>34</v>
      </c>
      <c r="I925" s="6" t="s">
        <v>2388</v>
      </c>
      <c r="J925" s="6" t="s">
        <v>151</v>
      </c>
      <c r="K925" s="6" t="str">
        <f>IF(E925="KTG","KTG",(VLOOKUP(J925,'list of outsource'!B:H,2,0)))</f>
        <v>UPM</v>
      </c>
      <c r="L925" s="6" t="s">
        <v>381</v>
      </c>
      <c r="M925" s="6">
        <v>25</v>
      </c>
      <c r="N925" s="6" t="s">
        <v>738</v>
      </c>
      <c r="O925" s="2"/>
      <c r="P925" s="6" t="s">
        <v>1912</v>
      </c>
      <c r="Q925" s="6" t="s">
        <v>1913</v>
      </c>
      <c r="R925" s="16"/>
      <c r="S925" s="6">
        <v>4</v>
      </c>
      <c r="T925" s="6" t="s">
        <v>1258</v>
      </c>
      <c r="U925" s="6" t="s">
        <v>39</v>
      </c>
      <c r="V925" s="17">
        <v>45720</v>
      </c>
      <c r="W925" s="16"/>
      <c r="Z925" t="e">
        <v>#N/A</v>
      </c>
    </row>
    <row r="926" spans="1:26" customFormat="1" hidden="1">
      <c r="A926">
        <f t="shared" ca="1" si="15"/>
        <v>47</v>
      </c>
      <c r="B926" s="4" t="s">
        <v>1922</v>
      </c>
      <c r="C926" s="12">
        <v>45456</v>
      </c>
      <c r="D926" s="4" t="s">
        <v>1070</v>
      </c>
      <c r="E926" s="4" t="s">
        <v>3665</v>
      </c>
      <c r="F926" s="4">
        <v>46</v>
      </c>
      <c r="G926" s="4" t="s">
        <v>86</v>
      </c>
      <c r="H926" s="4" t="s">
        <v>165</v>
      </c>
      <c r="I926" s="4" t="s">
        <v>199</v>
      </c>
      <c r="J926" s="4" t="s">
        <v>108</v>
      </c>
      <c r="K926" s="4" t="str">
        <f>IF(E926="KTG","KTG",(VLOOKUP(J926,'list of outsource'!B:H,2,0)))</f>
        <v>UPM</v>
      </c>
      <c r="L926" s="4" t="s">
        <v>109</v>
      </c>
      <c r="M926" s="4">
        <v>42</v>
      </c>
      <c r="N926" s="4" t="s">
        <v>200</v>
      </c>
      <c r="O926" s="2"/>
      <c r="P926" s="4" t="s">
        <v>201</v>
      </c>
      <c r="Q926" s="4" t="s">
        <v>1923</v>
      </c>
      <c r="R926" s="12">
        <v>45471</v>
      </c>
      <c r="S926" s="4">
        <v>4</v>
      </c>
      <c r="T926" s="4" t="s">
        <v>1924</v>
      </c>
      <c r="U926" s="4" t="s">
        <v>39</v>
      </c>
      <c r="V926" s="10">
        <v>45503</v>
      </c>
      <c r="W926" s="12"/>
      <c r="Z926" t="e">
        <v>#N/A</v>
      </c>
    </row>
    <row r="927" spans="1:26" customFormat="1" hidden="1">
      <c r="A927">
        <f t="shared" ca="1" si="15"/>
        <v>47</v>
      </c>
      <c r="B927" s="8" t="s">
        <v>1925</v>
      </c>
      <c r="C927" s="16">
        <v>45456</v>
      </c>
      <c r="D927" s="6" t="s">
        <v>129</v>
      </c>
      <c r="E927" s="6" t="s">
        <v>3665</v>
      </c>
      <c r="F927" s="6">
        <v>50</v>
      </c>
      <c r="G927" s="6" t="s">
        <v>86</v>
      </c>
      <c r="H927" s="6" t="s">
        <v>165</v>
      </c>
      <c r="I927" s="6" t="s">
        <v>195</v>
      </c>
      <c r="J927" s="6" t="s">
        <v>190</v>
      </c>
      <c r="K927" s="6" t="str">
        <f>IF(E927="KTG","KTG",(VLOOKUP(J927,'list of outsource'!B:H,2,0)))</f>
        <v>UPM</v>
      </c>
      <c r="L927" s="6" t="s">
        <v>191</v>
      </c>
      <c r="M927" s="6">
        <v>12</v>
      </c>
      <c r="N927" s="6" t="s">
        <v>196</v>
      </c>
      <c r="O927" s="2"/>
      <c r="P927" s="6" t="s">
        <v>197</v>
      </c>
      <c r="Q927" s="6" t="s">
        <v>1926</v>
      </c>
      <c r="R927" s="16"/>
      <c r="S927" s="6">
        <v>4</v>
      </c>
      <c r="T927" s="6" t="s">
        <v>607</v>
      </c>
      <c r="U927" s="6" t="s">
        <v>39</v>
      </c>
      <c r="V927" s="17">
        <v>45503</v>
      </c>
      <c r="W927" s="16"/>
      <c r="Z927" t="e">
        <v>#N/A</v>
      </c>
    </row>
    <row r="928" spans="1:26" s="7" customFormat="1" hidden="1">
      <c r="A928">
        <f t="shared" ca="1" si="15"/>
        <v>47</v>
      </c>
      <c r="B928" s="8" t="s">
        <v>1927</v>
      </c>
      <c r="C928" s="16">
        <v>45456</v>
      </c>
      <c r="D928" s="6" t="s">
        <v>129</v>
      </c>
      <c r="E928" s="6" t="s">
        <v>3662</v>
      </c>
      <c r="F928" s="6">
        <v>53</v>
      </c>
      <c r="G928" s="6" t="s">
        <v>86</v>
      </c>
      <c r="H928" s="6" t="s">
        <v>165</v>
      </c>
      <c r="I928" s="6" t="s">
        <v>559</v>
      </c>
      <c r="J928" s="6" t="s">
        <v>302</v>
      </c>
      <c r="K928" s="6" t="str">
        <f>IF(E928="KTG","KTG",(VLOOKUP(J928,'list of outsource'!B:H,2,0)))</f>
        <v>ETC</v>
      </c>
      <c r="L928" s="6" t="s">
        <v>303</v>
      </c>
      <c r="M928" s="6">
        <v>62</v>
      </c>
      <c r="N928" s="6" t="s">
        <v>495</v>
      </c>
      <c r="O928" s="2"/>
      <c r="P928" s="6" t="s">
        <v>560</v>
      </c>
      <c r="Q928" s="6" t="s">
        <v>1928</v>
      </c>
      <c r="R928" s="16">
        <v>45475</v>
      </c>
      <c r="S928" s="6">
        <v>4</v>
      </c>
      <c r="T928" s="6" t="s">
        <v>1258</v>
      </c>
      <c r="U928" s="6" t="s">
        <v>39</v>
      </c>
      <c r="V928" s="17">
        <v>45503</v>
      </c>
      <c r="W928" s="16"/>
      <c r="X928"/>
      <c r="Y928"/>
      <c r="Z928" t="e">
        <v>#N/A</v>
      </c>
    </row>
    <row r="929" spans="1:26" s="7" customFormat="1" hidden="1">
      <c r="A929">
        <f t="shared" ca="1" si="15"/>
        <v>32</v>
      </c>
      <c r="B929" s="9" t="s">
        <v>2429</v>
      </c>
      <c r="C929" s="12">
        <v>45757</v>
      </c>
      <c r="D929" s="4" t="s">
        <v>300</v>
      </c>
      <c r="E929" s="4" t="s">
        <v>3662</v>
      </c>
      <c r="F929" s="4">
        <v>58</v>
      </c>
      <c r="G929" s="4" t="s">
        <v>86</v>
      </c>
      <c r="H929" s="4" t="s">
        <v>165</v>
      </c>
      <c r="I929" s="4" t="s">
        <v>2430</v>
      </c>
      <c r="J929" s="4" t="s">
        <v>302</v>
      </c>
      <c r="K929" s="4" t="str">
        <f>IF(E929="KTG","KTG",(VLOOKUP(J929,'list of outsource'!B:H,2,0)))</f>
        <v>ETC</v>
      </c>
      <c r="L929" s="4" t="s">
        <v>303</v>
      </c>
      <c r="M929" s="4">
        <v>68</v>
      </c>
      <c r="N929" s="4" t="s">
        <v>2431</v>
      </c>
      <c r="O929" s="2"/>
      <c r="P929" s="4" t="s">
        <v>2432</v>
      </c>
      <c r="Q929" s="4" t="s">
        <v>2433</v>
      </c>
      <c r="R929" s="12">
        <v>45765</v>
      </c>
      <c r="S929" s="4">
        <v>4</v>
      </c>
      <c r="T929" s="4" t="s">
        <v>1465</v>
      </c>
      <c r="U929" s="4" t="s">
        <v>39</v>
      </c>
      <c r="V929" s="10">
        <v>45789</v>
      </c>
      <c r="W929" s="12">
        <v>45814</v>
      </c>
      <c r="X929"/>
      <c r="Y929"/>
      <c r="Z929" t="s">
        <v>2434</v>
      </c>
    </row>
    <row r="930" spans="1:26" s="7" customFormat="1" hidden="1">
      <c r="A930">
        <f t="shared" ca="1" si="15"/>
        <v>539</v>
      </c>
      <c r="B930" s="4" t="s">
        <v>1979</v>
      </c>
      <c r="C930" s="12">
        <v>45469</v>
      </c>
      <c r="D930" s="4" t="s">
        <v>1946</v>
      </c>
      <c r="E930" s="4" t="s">
        <v>3662</v>
      </c>
      <c r="F930" s="4">
        <v>5107</v>
      </c>
      <c r="G930" s="4" t="s">
        <v>1461</v>
      </c>
      <c r="H930" s="4" t="s">
        <v>379</v>
      </c>
      <c r="I930" s="4" t="s">
        <v>1980</v>
      </c>
      <c r="J930" s="4" t="s">
        <v>302</v>
      </c>
      <c r="K930" s="4" t="str">
        <f>IF(E930="KTG","KTG",(VLOOKUP(J930,'list of outsource'!B:H,2,0)))</f>
        <v>ETC</v>
      </c>
      <c r="L930" s="4" t="s">
        <v>303</v>
      </c>
      <c r="M930" s="4"/>
      <c r="N930" s="4" t="s">
        <v>304</v>
      </c>
      <c r="O930" s="2"/>
      <c r="P930" s="4" t="s">
        <v>1702</v>
      </c>
      <c r="Q930" s="4"/>
      <c r="R930" s="12">
        <v>45443</v>
      </c>
      <c r="S930" s="4">
        <v>4</v>
      </c>
      <c r="T930" s="4" t="s">
        <v>1258</v>
      </c>
      <c r="U930" s="4" t="s">
        <v>39</v>
      </c>
      <c r="V930" s="10"/>
      <c r="W930" s="12"/>
      <c r="X930"/>
      <c r="Y930"/>
      <c r="Z930" t="s">
        <v>1704</v>
      </c>
    </row>
    <row r="931" spans="1:26" s="7" customFormat="1" hidden="1">
      <c r="A931">
        <f t="shared" ca="1" si="15"/>
        <v>539</v>
      </c>
      <c r="B931" s="4" t="s">
        <v>1981</v>
      </c>
      <c r="C931" s="12">
        <v>45469</v>
      </c>
      <c r="D931" s="4" t="s">
        <v>1946</v>
      </c>
      <c r="E931" s="4" t="s">
        <v>3662</v>
      </c>
      <c r="F931" s="4">
        <v>5108</v>
      </c>
      <c r="G931" s="4" t="s">
        <v>1461</v>
      </c>
      <c r="H931" s="4" t="s">
        <v>379</v>
      </c>
      <c r="I931" s="4" t="s">
        <v>1982</v>
      </c>
      <c r="J931" s="4" t="s">
        <v>302</v>
      </c>
      <c r="K931" s="4" t="str">
        <f>IF(E931="KTG","KTG",(VLOOKUP(J931,'list of outsource'!B:H,2,0)))</f>
        <v>ETC</v>
      </c>
      <c r="L931" s="4" t="s">
        <v>303</v>
      </c>
      <c r="M931" s="4"/>
      <c r="N931" s="4" t="s">
        <v>1711</v>
      </c>
      <c r="O931" s="2"/>
      <c r="P931" s="4" t="s">
        <v>1712</v>
      </c>
      <c r="Q931" s="4"/>
      <c r="R931" s="12">
        <v>45443</v>
      </c>
      <c r="S931" s="4">
        <v>4</v>
      </c>
      <c r="T931" s="4" t="s">
        <v>1258</v>
      </c>
      <c r="U931" s="4" t="s">
        <v>39</v>
      </c>
      <c r="V931" s="10"/>
      <c r="W931" s="12"/>
      <c r="X931"/>
      <c r="Y931"/>
      <c r="Z931" t="e">
        <v>#N/A</v>
      </c>
    </row>
    <row r="932" spans="1:26" s="7" customFormat="1" hidden="1">
      <c r="A932">
        <f t="shared" ca="1" si="15"/>
        <v>539</v>
      </c>
      <c r="B932" s="4" t="s">
        <v>1983</v>
      </c>
      <c r="C932" s="12">
        <v>45469</v>
      </c>
      <c r="D932" s="4" t="s">
        <v>1946</v>
      </c>
      <c r="E932" s="4" t="s">
        <v>3662</v>
      </c>
      <c r="F932" s="4">
        <v>5109</v>
      </c>
      <c r="G932" s="4" t="s">
        <v>1461</v>
      </c>
      <c r="H932" s="4" t="s">
        <v>379</v>
      </c>
      <c r="I932" s="4" t="s">
        <v>1984</v>
      </c>
      <c r="J932" s="4" t="s">
        <v>302</v>
      </c>
      <c r="K932" s="4" t="str">
        <f>IF(E932="KTG","KTG",(VLOOKUP(J932,'list of outsource'!B:H,2,0)))</f>
        <v>ETC</v>
      </c>
      <c r="L932" s="4" t="s">
        <v>303</v>
      </c>
      <c r="M932" s="4"/>
      <c r="N932" s="4" t="s">
        <v>1496</v>
      </c>
      <c r="O932" s="2"/>
      <c r="P932" s="4" t="s">
        <v>1497</v>
      </c>
      <c r="Q932" s="4"/>
      <c r="R932" s="12">
        <v>45225</v>
      </c>
      <c r="S932" s="4">
        <v>4</v>
      </c>
      <c r="T932" s="4" t="s">
        <v>1258</v>
      </c>
      <c r="U932" s="4" t="s">
        <v>39</v>
      </c>
      <c r="V932" s="10"/>
      <c r="W932" s="12"/>
      <c r="X932"/>
      <c r="Y932"/>
      <c r="Z932" t="e">
        <v>#N/A</v>
      </c>
    </row>
    <row r="933" spans="1:26" customFormat="1" hidden="1">
      <c r="A933">
        <f t="shared" ca="1" si="15"/>
        <v>539</v>
      </c>
      <c r="B933" s="4" t="s">
        <v>1985</v>
      </c>
      <c r="C933" s="12">
        <v>45469</v>
      </c>
      <c r="D933" s="4" t="s">
        <v>1946</v>
      </c>
      <c r="E933" s="4" t="s">
        <v>3662</v>
      </c>
      <c r="F933" s="4">
        <v>5110</v>
      </c>
      <c r="G933" s="4" t="s">
        <v>1461</v>
      </c>
      <c r="H933" s="4" t="s">
        <v>379</v>
      </c>
      <c r="I933" s="4" t="s">
        <v>1986</v>
      </c>
      <c r="J933" s="4" t="s">
        <v>302</v>
      </c>
      <c r="K933" s="4" t="str">
        <f>IF(E933="KTG","KTG",(VLOOKUP(J933,'list of outsource'!B:H,2,0)))</f>
        <v>ETC</v>
      </c>
      <c r="L933" s="4" t="s">
        <v>303</v>
      </c>
      <c r="M933" s="4"/>
      <c r="N933" s="4" t="s">
        <v>1747</v>
      </c>
      <c r="O933" s="2"/>
      <c r="P933" s="4" t="s">
        <v>1748</v>
      </c>
      <c r="Q933" s="4"/>
      <c r="R933" s="12">
        <v>45449</v>
      </c>
      <c r="S933" s="4">
        <v>4</v>
      </c>
      <c r="T933" s="4" t="s">
        <v>1258</v>
      </c>
      <c r="U933" s="4" t="s">
        <v>39</v>
      </c>
      <c r="V933" s="10"/>
      <c r="W933" s="12"/>
      <c r="Z933">
        <v>0</v>
      </c>
    </row>
    <row r="934" spans="1:26" customFormat="1" hidden="1">
      <c r="A934">
        <f t="shared" ca="1" si="15"/>
        <v>539</v>
      </c>
      <c r="B934" s="4" t="s">
        <v>1987</v>
      </c>
      <c r="C934" s="12">
        <v>45469</v>
      </c>
      <c r="D934" s="4" t="s">
        <v>1946</v>
      </c>
      <c r="E934" s="4" t="s">
        <v>3662</v>
      </c>
      <c r="F934" s="4">
        <v>5111</v>
      </c>
      <c r="G934" s="4" t="s">
        <v>1461</v>
      </c>
      <c r="H934" s="4" t="s">
        <v>379</v>
      </c>
      <c r="I934" s="4" t="s">
        <v>1988</v>
      </c>
      <c r="J934" s="4" t="s">
        <v>302</v>
      </c>
      <c r="K934" s="4" t="str">
        <f>IF(E934="KTG","KTG",(VLOOKUP(J934,'list of outsource'!B:H,2,0)))</f>
        <v>ETC</v>
      </c>
      <c r="L934" s="4" t="s">
        <v>303</v>
      </c>
      <c r="M934" s="4"/>
      <c r="N934" s="4" t="s">
        <v>1989</v>
      </c>
      <c r="O934" s="2"/>
      <c r="P934" s="4" t="s">
        <v>1990</v>
      </c>
      <c r="Q934" s="4"/>
      <c r="R934" s="12">
        <v>45491</v>
      </c>
      <c r="S934" s="4">
        <v>4</v>
      </c>
      <c r="T934" s="4" t="s">
        <v>1258</v>
      </c>
      <c r="U934" s="4" t="s">
        <v>39</v>
      </c>
      <c r="V934" s="10"/>
      <c r="W934" s="12"/>
      <c r="Z934" t="e">
        <v>#N/A</v>
      </c>
    </row>
    <row r="935" spans="1:26" customFormat="1" ht="34.5" hidden="1" customHeight="1">
      <c r="A935">
        <f t="shared" ca="1" si="15"/>
        <v>539</v>
      </c>
      <c r="B935" s="4" t="s">
        <v>1991</v>
      </c>
      <c r="C935" s="12">
        <v>45469</v>
      </c>
      <c r="D935" s="4" t="s">
        <v>1946</v>
      </c>
      <c r="E935" s="4" t="s">
        <v>3662</v>
      </c>
      <c r="F935" s="4">
        <v>5112</v>
      </c>
      <c r="G935" s="4" t="s">
        <v>1461</v>
      </c>
      <c r="H935" s="4" t="s">
        <v>379</v>
      </c>
      <c r="I935" s="4" t="s">
        <v>1992</v>
      </c>
      <c r="J935" s="4" t="s">
        <v>302</v>
      </c>
      <c r="K935" s="4" t="str">
        <f>IF(E935="KTG","KTG",(VLOOKUP(J935,'list of outsource'!B:H,2,0)))</f>
        <v>ETC</v>
      </c>
      <c r="L935" s="4" t="s">
        <v>303</v>
      </c>
      <c r="M935" s="4"/>
      <c r="N935" s="4" t="s">
        <v>1602</v>
      </c>
      <c r="O935" s="2"/>
      <c r="P935" s="4" t="s">
        <v>1603</v>
      </c>
      <c r="Q935" s="4"/>
      <c r="R935" s="12">
        <v>45373</v>
      </c>
      <c r="S935" s="4">
        <v>4</v>
      </c>
      <c r="T935" s="4" t="s">
        <v>1258</v>
      </c>
      <c r="U935" s="4" t="s">
        <v>39</v>
      </c>
      <c r="V935" s="10"/>
      <c r="W935" s="12"/>
      <c r="Z935" t="e">
        <v>#N/A</v>
      </c>
    </row>
    <row r="936" spans="1:26" customFormat="1" hidden="1">
      <c r="A936">
        <f t="shared" ca="1" si="15"/>
        <v>539</v>
      </c>
      <c r="B936" s="4" t="s">
        <v>1993</v>
      </c>
      <c r="C936" s="12">
        <v>45469</v>
      </c>
      <c r="D936" s="4" t="s">
        <v>1946</v>
      </c>
      <c r="E936" s="4" t="s">
        <v>3662</v>
      </c>
      <c r="F936" s="4">
        <v>5113</v>
      </c>
      <c r="G936" s="4" t="s">
        <v>1461</v>
      </c>
      <c r="H936" s="4" t="s">
        <v>379</v>
      </c>
      <c r="I936" s="4" t="s">
        <v>1994</v>
      </c>
      <c r="J936" s="4" t="s">
        <v>302</v>
      </c>
      <c r="K936" s="4" t="str">
        <f>IF(E936="KTG","KTG",(VLOOKUP(J936,'list of outsource'!B:H,2,0)))</f>
        <v>ETC</v>
      </c>
      <c r="L936" s="4" t="s">
        <v>303</v>
      </c>
      <c r="M936" s="4"/>
      <c r="N936" s="4" t="s">
        <v>1995</v>
      </c>
      <c r="O936" s="2"/>
      <c r="P936" s="4" t="s">
        <v>1996</v>
      </c>
      <c r="Q936" s="4"/>
      <c r="R936" s="12">
        <v>45491</v>
      </c>
      <c r="S936" s="4">
        <v>4</v>
      </c>
      <c r="T936" s="4" t="s">
        <v>1258</v>
      </c>
      <c r="U936" s="4" t="s">
        <v>39</v>
      </c>
      <c r="V936" s="10"/>
      <c r="W936" s="12"/>
      <c r="Z936" t="e">
        <v>#N/A</v>
      </c>
    </row>
    <row r="937" spans="1:26" hidden="1">
      <c r="A937">
        <f t="shared" ca="1" si="15"/>
        <v>539</v>
      </c>
      <c r="B937" s="4" t="s">
        <v>1997</v>
      </c>
      <c r="C937" s="12">
        <v>45469</v>
      </c>
      <c r="D937" s="4" t="s">
        <v>1946</v>
      </c>
      <c r="E937" s="4" t="s">
        <v>3662</v>
      </c>
      <c r="F937" s="4">
        <v>5114</v>
      </c>
      <c r="G937" s="4" t="s">
        <v>1461</v>
      </c>
      <c r="H937" s="4" t="s">
        <v>379</v>
      </c>
      <c r="I937" s="4" t="s">
        <v>1998</v>
      </c>
      <c r="J937" s="4" t="s">
        <v>302</v>
      </c>
      <c r="K937" s="4" t="str">
        <f>IF(E937="KTG","KTG",(VLOOKUP(J937,'list of outsource'!B:H,2,0)))</f>
        <v>ETC</v>
      </c>
      <c r="L937" s="4" t="s">
        <v>303</v>
      </c>
      <c r="M937" s="4"/>
      <c r="N937" s="4" t="s">
        <v>1999</v>
      </c>
      <c r="P937" s="4" t="s">
        <v>2000</v>
      </c>
      <c r="Q937" s="4"/>
      <c r="R937" s="12">
        <v>45491</v>
      </c>
      <c r="S937" s="4">
        <v>4</v>
      </c>
      <c r="T937" s="4" t="s">
        <v>1258</v>
      </c>
      <c r="U937" s="4" t="s">
        <v>39</v>
      </c>
      <c r="V937" s="10"/>
      <c r="W937" s="12"/>
      <c r="X937"/>
      <c r="Y937"/>
      <c r="Z937" t="e">
        <v>#N/A</v>
      </c>
    </row>
    <row r="938" spans="1:26" customFormat="1" hidden="1">
      <c r="A938">
        <f t="shared" ca="1" si="15"/>
        <v>539</v>
      </c>
      <c r="B938" s="4" t="s">
        <v>2001</v>
      </c>
      <c r="C938" s="12">
        <v>45469</v>
      </c>
      <c r="D938" s="4" t="s">
        <v>1946</v>
      </c>
      <c r="E938" s="4" t="s">
        <v>3662</v>
      </c>
      <c r="F938" s="4">
        <v>5115</v>
      </c>
      <c r="G938" s="4" t="s">
        <v>1461</v>
      </c>
      <c r="H938" s="4" t="s">
        <v>379</v>
      </c>
      <c r="I938" s="4" t="s">
        <v>2002</v>
      </c>
      <c r="J938" s="4" t="s">
        <v>525</v>
      </c>
      <c r="K938" s="4" t="str">
        <f>IF(E938="KTG","KTG",(VLOOKUP(J938,'list of outsource'!B:H,2,0)))</f>
        <v>ETC</v>
      </c>
      <c r="L938" s="4" t="s">
        <v>526</v>
      </c>
      <c r="M938" s="4"/>
      <c r="N938" s="4" t="s">
        <v>1177</v>
      </c>
      <c r="O938" s="2"/>
      <c r="P938" s="4" t="s">
        <v>1770</v>
      </c>
      <c r="Q938" s="4"/>
      <c r="R938" s="12">
        <v>45193</v>
      </c>
      <c r="S938" s="4">
        <v>4</v>
      </c>
      <c r="T938" s="4" t="s">
        <v>1258</v>
      </c>
      <c r="U938" s="4" t="s">
        <v>39</v>
      </c>
      <c r="V938" s="10"/>
      <c r="W938" s="12"/>
      <c r="Z938" t="e">
        <v>#N/A</v>
      </c>
    </row>
    <row r="939" spans="1:26" hidden="1">
      <c r="A939">
        <f t="shared" ca="1" si="15"/>
        <v>114</v>
      </c>
      <c r="B939" s="8" t="s">
        <v>1962</v>
      </c>
      <c r="C939" s="16">
        <v>45469</v>
      </c>
      <c r="D939" s="6" t="s">
        <v>129</v>
      </c>
      <c r="E939" s="6" t="s">
        <v>3665</v>
      </c>
      <c r="F939" s="6">
        <v>4462</v>
      </c>
      <c r="G939" s="6" t="s">
        <v>1461</v>
      </c>
      <c r="H939" s="6" t="s">
        <v>379</v>
      </c>
      <c r="I939" s="6" t="s">
        <v>1963</v>
      </c>
      <c r="J939" s="6" t="s">
        <v>96</v>
      </c>
      <c r="K939" s="6" t="str">
        <f>IF(E939="KTG","KTG",(VLOOKUP(J939,'list of outsource'!B:H,2,0)))</f>
        <v>Woer</v>
      </c>
      <c r="L939" s="6" t="s">
        <v>97</v>
      </c>
      <c r="M939" s="6">
        <v>50</v>
      </c>
      <c r="N939" s="6" t="s">
        <v>262</v>
      </c>
      <c r="P939" s="6" t="s">
        <v>1964</v>
      </c>
      <c r="Q939" s="6" t="s">
        <v>1965</v>
      </c>
      <c r="R939" s="16">
        <v>45470</v>
      </c>
      <c r="S939" s="6">
        <v>4</v>
      </c>
      <c r="T939" s="6" t="s">
        <v>607</v>
      </c>
      <c r="U939" s="6" t="s">
        <v>39</v>
      </c>
      <c r="V939" s="17">
        <v>45583</v>
      </c>
      <c r="W939" s="16"/>
      <c r="X939"/>
      <c r="Y939"/>
      <c r="Z939" t="s">
        <v>1240</v>
      </c>
    </row>
    <row r="940" spans="1:26" ht="29.25" hidden="1" customHeight="1">
      <c r="A940">
        <f t="shared" ca="1" si="15"/>
        <v>133</v>
      </c>
      <c r="B940" s="8" t="s">
        <v>1966</v>
      </c>
      <c r="C940" s="16">
        <v>45469</v>
      </c>
      <c r="D940" s="6" t="s">
        <v>129</v>
      </c>
      <c r="E940" s="6" t="s">
        <v>3665</v>
      </c>
      <c r="F940" s="6">
        <v>4468</v>
      </c>
      <c r="G940" s="6" t="s">
        <v>1461</v>
      </c>
      <c r="H940" s="6" t="s">
        <v>379</v>
      </c>
      <c r="I940" s="6" t="s">
        <v>1967</v>
      </c>
      <c r="J940" s="6" t="s">
        <v>96</v>
      </c>
      <c r="K940" s="6" t="str">
        <f>IF(E940="KTG","KTG",(VLOOKUP(J940,'list of outsource'!B:H,2,0)))</f>
        <v>Woer</v>
      </c>
      <c r="L940" s="6" t="s">
        <v>97</v>
      </c>
      <c r="M940" s="6">
        <v>50</v>
      </c>
      <c r="N940" s="6" t="s">
        <v>633</v>
      </c>
      <c r="P940" s="6" t="s">
        <v>1968</v>
      </c>
      <c r="Q940" s="6" t="s">
        <v>1969</v>
      </c>
      <c r="R940" s="16"/>
      <c r="S940" s="6">
        <v>4</v>
      </c>
      <c r="T940" s="6" t="s">
        <v>607</v>
      </c>
      <c r="U940" s="6" t="s">
        <v>39</v>
      </c>
      <c r="V940" s="17">
        <v>45602</v>
      </c>
      <c r="W940" s="16"/>
      <c r="X940"/>
      <c r="Y940"/>
      <c r="Z940" t="e">
        <v>#N/A</v>
      </c>
    </row>
    <row r="941" spans="1:26" customFormat="1" hidden="1">
      <c r="A941">
        <f t="shared" ca="1" si="15"/>
        <v>133</v>
      </c>
      <c r="B941" s="8" t="s">
        <v>1970</v>
      </c>
      <c r="C941" s="16">
        <v>45469</v>
      </c>
      <c r="D941" s="6" t="s">
        <v>129</v>
      </c>
      <c r="E941" s="6" t="s">
        <v>3665</v>
      </c>
      <c r="F941" s="6">
        <v>4471</v>
      </c>
      <c r="G941" s="6" t="s">
        <v>1461</v>
      </c>
      <c r="H941" s="6" t="s">
        <v>379</v>
      </c>
      <c r="I941" s="6" t="s">
        <v>1971</v>
      </c>
      <c r="J941" s="6" t="s">
        <v>96</v>
      </c>
      <c r="K941" s="6" t="str">
        <f>IF(E941="KTG","KTG",(VLOOKUP(J941,'list of outsource'!B:H,2,0)))</f>
        <v>Woer</v>
      </c>
      <c r="L941" s="6" t="s">
        <v>97</v>
      </c>
      <c r="M941" s="6">
        <v>50</v>
      </c>
      <c r="N941" s="6" t="s">
        <v>1972</v>
      </c>
      <c r="O941" s="2"/>
      <c r="P941" s="6" t="s">
        <v>1973</v>
      </c>
      <c r="Q941" s="6" t="s">
        <v>1974</v>
      </c>
      <c r="R941" s="16"/>
      <c r="S941" s="6">
        <v>4</v>
      </c>
      <c r="T941" s="6" t="s">
        <v>607</v>
      </c>
      <c r="U941" s="6" t="s">
        <v>39</v>
      </c>
      <c r="V941" s="17">
        <v>45602</v>
      </c>
      <c r="W941" s="16"/>
      <c r="Z941" t="e">
        <v>#N/A</v>
      </c>
    </row>
    <row r="942" spans="1:26" customFormat="1" hidden="1">
      <c r="A942">
        <f t="shared" ca="1" si="15"/>
        <v>147</v>
      </c>
      <c r="B942" s="8" t="s">
        <v>1975</v>
      </c>
      <c r="C942" s="16">
        <v>45469</v>
      </c>
      <c r="D942" s="6" t="s">
        <v>129</v>
      </c>
      <c r="E942" s="6" t="s">
        <v>3665</v>
      </c>
      <c r="F942" s="6">
        <v>4463</v>
      </c>
      <c r="G942" s="6" t="s">
        <v>1461</v>
      </c>
      <c r="H942" s="6" t="s">
        <v>379</v>
      </c>
      <c r="I942" s="6" t="s">
        <v>1976</v>
      </c>
      <c r="J942" s="6" t="s">
        <v>96</v>
      </c>
      <c r="K942" s="6" t="str">
        <f>IF(E942="KTG","KTG",(VLOOKUP(J942,'list of outsource'!B:H,2,0)))</f>
        <v>Woer</v>
      </c>
      <c r="L942" s="6" t="s">
        <v>97</v>
      </c>
      <c r="M942" s="6">
        <v>50</v>
      </c>
      <c r="N942" s="6" t="s">
        <v>368</v>
      </c>
      <c r="O942" s="2"/>
      <c r="P942" s="6" t="s">
        <v>1977</v>
      </c>
      <c r="Q942" s="6" t="s">
        <v>1978</v>
      </c>
      <c r="R942" s="16"/>
      <c r="S942" s="6">
        <v>4</v>
      </c>
      <c r="T942" s="6" t="s">
        <v>607</v>
      </c>
      <c r="U942" s="6" t="s">
        <v>39</v>
      </c>
      <c r="V942" s="17">
        <v>45616</v>
      </c>
      <c r="W942" s="16"/>
      <c r="Z942" t="e">
        <v>#N/A</v>
      </c>
    </row>
    <row r="943" spans="1:26" customFormat="1" hidden="1">
      <c r="A943">
        <f t="shared" ca="1" si="15"/>
        <v>69</v>
      </c>
      <c r="B943" s="8" t="s">
        <v>2052</v>
      </c>
      <c r="C943" s="16">
        <v>45519</v>
      </c>
      <c r="D943" s="6" t="s">
        <v>129</v>
      </c>
      <c r="E943" s="6" t="s">
        <v>3662</v>
      </c>
      <c r="F943" s="6">
        <v>4473</v>
      </c>
      <c r="G943" s="6" t="s">
        <v>1461</v>
      </c>
      <c r="H943" s="6" t="s">
        <v>379</v>
      </c>
      <c r="I943" s="6" t="s">
        <v>2053</v>
      </c>
      <c r="J943" s="6" t="s">
        <v>490</v>
      </c>
      <c r="K943" s="6" t="str">
        <f>IF(E943="KTG","KTG",(VLOOKUP(J943,'list of outsource'!B:H,2,0)))</f>
        <v>ETC</v>
      </c>
      <c r="L943" s="6" t="s">
        <v>491</v>
      </c>
      <c r="M943" s="6">
        <v>28</v>
      </c>
      <c r="N943" s="6" t="s">
        <v>2054</v>
      </c>
      <c r="O943" s="2"/>
      <c r="P943" s="6" t="s">
        <v>2055</v>
      </c>
      <c r="Q943" s="6" t="s">
        <v>2056</v>
      </c>
      <c r="R943" s="16">
        <v>45533</v>
      </c>
      <c r="S943" s="6">
        <v>4</v>
      </c>
      <c r="T943" s="6" t="s">
        <v>1258</v>
      </c>
      <c r="U943" s="6" t="s">
        <v>39</v>
      </c>
      <c r="V943" s="17">
        <v>45588</v>
      </c>
      <c r="W943" s="16"/>
      <c r="Z943" t="e">
        <v>#N/A</v>
      </c>
    </row>
    <row r="944" spans="1:26" customFormat="1" hidden="1">
      <c r="A944">
        <f t="shared" ca="1" si="15"/>
        <v>69</v>
      </c>
      <c r="B944" s="8" t="s">
        <v>2057</v>
      </c>
      <c r="C944" s="16">
        <v>45519</v>
      </c>
      <c r="D944" s="6" t="s">
        <v>129</v>
      </c>
      <c r="E944" s="6" t="s">
        <v>3662</v>
      </c>
      <c r="F944" s="6">
        <v>4474</v>
      </c>
      <c r="G944" s="6" t="s">
        <v>1461</v>
      </c>
      <c r="H944" s="6" t="s">
        <v>379</v>
      </c>
      <c r="I944" s="6" t="s">
        <v>2058</v>
      </c>
      <c r="J944" s="6" t="s">
        <v>490</v>
      </c>
      <c r="K944" s="6" t="str">
        <f>IF(E944="KTG","KTG",(VLOOKUP(J944,'list of outsource'!B:H,2,0)))</f>
        <v>ETC</v>
      </c>
      <c r="L944" s="6" t="s">
        <v>491</v>
      </c>
      <c r="M944" s="6">
        <v>28</v>
      </c>
      <c r="N944" s="6" t="s">
        <v>2059</v>
      </c>
      <c r="O944" s="2"/>
      <c r="P944" s="6" t="s">
        <v>2060</v>
      </c>
      <c r="Q944" s="6" t="s">
        <v>2061</v>
      </c>
      <c r="R944" s="16">
        <v>45533</v>
      </c>
      <c r="S944" s="6">
        <v>4</v>
      </c>
      <c r="T944" s="6" t="s">
        <v>1258</v>
      </c>
      <c r="U944" s="6" t="s">
        <v>39</v>
      </c>
      <c r="V944" s="17">
        <v>45588</v>
      </c>
      <c r="W944" s="16"/>
      <c r="Z944" t="e">
        <v>#N/A</v>
      </c>
    </row>
    <row r="945" spans="1:26" customFormat="1" hidden="1">
      <c r="A945">
        <f t="shared" ca="1" si="15"/>
        <v>61</v>
      </c>
      <c r="B945" s="8" t="s">
        <v>2094</v>
      </c>
      <c r="C945" s="16">
        <v>45560</v>
      </c>
      <c r="D945" s="6" t="s">
        <v>129</v>
      </c>
      <c r="E945" s="6" t="s">
        <v>3662</v>
      </c>
      <c r="F945" s="6">
        <v>4466</v>
      </c>
      <c r="G945" s="6" t="s">
        <v>1461</v>
      </c>
      <c r="H945" s="6" t="s">
        <v>379</v>
      </c>
      <c r="I945" s="6" t="s">
        <v>2095</v>
      </c>
      <c r="J945" s="6" t="s">
        <v>490</v>
      </c>
      <c r="K945" s="6" t="str">
        <f>IF(E945="KTG","KTG",(VLOOKUP(J945,'list of outsource'!B:H,2,0)))</f>
        <v>ETC</v>
      </c>
      <c r="L945" s="6" t="s">
        <v>491</v>
      </c>
      <c r="M945" s="6">
        <v>28</v>
      </c>
      <c r="N945" s="6" t="s">
        <v>1596</v>
      </c>
      <c r="O945" s="2"/>
      <c r="P945" s="6" t="s">
        <v>2096</v>
      </c>
      <c r="Q945" s="6" t="s">
        <v>2097</v>
      </c>
      <c r="R945" s="16"/>
      <c r="S945" s="6">
        <v>4</v>
      </c>
      <c r="T945" s="6" t="s">
        <v>1465</v>
      </c>
      <c r="U945" s="6" t="s">
        <v>39</v>
      </c>
      <c r="V945" s="17">
        <v>45621</v>
      </c>
      <c r="W945" s="16"/>
      <c r="Z945" t="e">
        <v>#N/A</v>
      </c>
    </row>
    <row r="946" spans="1:26" customFormat="1" hidden="1">
      <c r="A946">
        <f t="shared" ca="1" si="15"/>
        <v>61</v>
      </c>
      <c r="B946" s="8" t="s">
        <v>2090</v>
      </c>
      <c r="C946" s="16">
        <v>45560</v>
      </c>
      <c r="D946" s="6" t="s">
        <v>129</v>
      </c>
      <c r="E946" s="6" t="s">
        <v>3662</v>
      </c>
      <c r="F946" s="6">
        <v>4465</v>
      </c>
      <c r="G946" s="6" t="s">
        <v>1461</v>
      </c>
      <c r="H946" s="6" t="s">
        <v>379</v>
      </c>
      <c r="I946" s="6" t="s">
        <v>2091</v>
      </c>
      <c r="J946" s="6" t="s">
        <v>490</v>
      </c>
      <c r="K946" s="6" t="str">
        <f>IF(E946="KTG","KTG",(VLOOKUP(J946,'list of outsource'!B:H,2,0)))</f>
        <v>ETC</v>
      </c>
      <c r="L946" s="6" t="s">
        <v>491</v>
      </c>
      <c r="M946" s="6">
        <v>28</v>
      </c>
      <c r="N946" s="6" t="s">
        <v>492</v>
      </c>
      <c r="O946" s="2"/>
      <c r="P946" s="6" t="s">
        <v>2092</v>
      </c>
      <c r="Q946" s="6" t="s">
        <v>2093</v>
      </c>
      <c r="R946" s="16"/>
      <c r="S946" s="6">
        <v>4</v>
      </c>
      <c r="T946" s="6" t="s">
        <v>1465</v>
      </c>
      <c r="U946" s="6" t="s">
        <v>39</v>
      </c>
      <c r="V946" s="17">
        <v>45621</v>
      </c>
      <c r="W946" s="16"/>
      <c r="Z946" t="e">
        <v>#N/A</v>
      </c>
    </row>
    <row r="947" spans="1:26" customFormat="1" hidden="1">
      <c r="A947">
        <f t="shared" ca="1" si="15"/>
        <v>61</v>
      </c>
      <c r="B947" s="8" t="s">
        <v>2098</v>
      </c>
      <c r="C947" s="16">
        <v>45560</v>
      </c>
      <c r="D947" s="6" t="s">
        <v>129</v>
      </c>
      <c r="E947" s="6" t="s">
        <v>3662</v>
      </c>
      <c r="F947" s="6">
        <v>4467</v>
      </c>
      <c r="G947" s="6" t="s">
        <v>1461</v>
      </c>
      <c r="H947" s="6" t="s">
        <v>379</v>
      </c>
      <c r="I947" s="6" t="s">
        <v>2099</v>
      </c>
      <c r="J947" s="6" t="s">
        <v>490</v>
      </c>
      <c r="K947" s="6" t="str">
        <f>IF(E947="KTG","KTG",(VLOOKUP(J947,'list of outsource'!B:H,2,0)))</f>
        <v>ETC</v>
      </c>
      <c r="L947" s="6" t="s">
        <v>491</v>
      </c>
      <c r="M947" s="6">
        <v>28</v>
      </c>
      <c r="N947" s="6" t="s">
        <v>708</v>
      </c>
      <c r="O947" s="2"/>
      <c r="P947" s="6" t="s">
        <v>2100</v>
      </c>
      <c r="Q947" s="6" t="s">
        <v>2101</v>
      </c>
      <c r="R947" s="16"/>
      <c r="S947" s="6">
        <v>4</v>
      </c>
      <c r="T947" s="6" t="s">
        <v>1465</v>
      </c>
      <c r="U947" s="6" t="s">
        <v>39</v>
      </c>
      <c r="V947" s="17">
        <v>45621</v>
      </c>
      <c r="W947" s="16"/>
      <c r="Z947" t="e">
        <v>#N/A</v>
      </c>
    </row>
    <row r="948" spans="1:26" customFormat="1" hidden="1">
      <c r="A948">
        <f t="shared" ca="1" si="15"/>
        <v>63</v>
      </c>
      <c r="B948" s="8" t="s">
        <v>2134</v>
      </c>
      <c r="C948" s="16">
        <v>45560</v>
      </c>
      <c r="D948" s="6" t="s">
        <v>129</v>
      </c>
      <c r="E948" s="6" t="s">
        <v>3662</v>
      </c>
      <c r="F948" s="6">
        <v>4470</v>
      </c>
      <c r="G948" s="6" t="s">
        <v>1461</v>
      </c>
      <c r="H948" s="6" t="s">
        <v>379</v>
      </c>
      <c r="I948" s="6" t="s">
        <v>2135</v>
      </c>
      <c r="J948" s="6" t="s">
        <v>490</v>
      </c>
      <c r="K948" s="6" t="str">
        <f>IF(E948="KTG","KTG",(VLOOKUP(J948,'list of outsource'!B:H,2,0)))</f>
        <v>ETC</v>
      </c>
      <c r="L948" s="6" t="s">
        <v>491</v>
      </c>
      <c r="M948" s="6">
        <v>28</v>
      </c>
      <c r="N948" s="6" t="s">
        <v>2136</v>
      </c>
      <c r="O948" s="2"/>
      <c r="P948" s="6" t="s">
        <v>2137</v>
      </c>
      <c r="Q948" s="6" t="s">
        <v>2138</v>
      </c>
      <c r="R948" s="16"/>
      <c r="S948" s="6">
        <v>4</v>
      </c>
      <c r="T948" s="6" t="s">
        <v>1465</v>
      </c>
      <c r="U948" s="6" t="s">
        <v>39</v>
      </c>
      <c r="V948" s="17">
        <v>45623</v>
      </c>
      <c r="W948" s="16"/>
      <c r="Z948" t="e">
        <v>#N/A</v>
      </c>
    </row>
    <row r="949" spans="1:26" customFormat="1" hidden="1">
      <c r="A949">
        <f t="shared" ca="1" si="15"/>
        <v>61</v>
      </c>
      <c r="B949" s="8" t="s">
        <v>2085</v>
      </c>
      <c r="C949" s="16">
        <v>45560</v>
      </c>
      <c r="D949" s="6" t="s">
        <v>129</v>
      </c>
      <c r="E949" s="6" t="s">
        <v>3662</v>
      </c>
      <c r="F949" s="6">
        <v>4464</v>
      </c>
      <c r="G949" s="6" t="s">
        <v>1461</v>
      </c>
      <c r="H949" s="6" t="s">
        <v>379</v>
      </c>
      <c r="I949" s="6" t="s">
        <v>2086</v>
      </c>
      <c r="J949" s="6" t="s">
        <v>490</v>
      </c>
      <c r="K949" s="6" t="str">
        <f>IF(E949="KTG","KTG",(VLOOKUP(J949,'list of outsource'!B:H,2,0)))</f>
        <v>ETC</v>
      </c>
      <c r="L949" s="6" t="s">
        <v>491</v>
      </c>
      <c r="M949" s="6">
        <v>28</v>
      </c>
      <c r="N949" s="6" t="s">
        <v>2087</v>
      </c>
      <c r="O949" s="2"/>
      <c r="P949" s="6" t="s">
        <v>2088</v>
      </c>
      <c r="Q949" s="6" t="s">
        <v>2089</v>
      </c>
      <c r="R949" s="16"/>
      <c r="S949" s="6">
        <v>4</v>
      </c>
      <c r="T949" s="6" t="s">
        <v>1465</v>
      </c>
      <c r="U949" s="6" t="s">
        <v>39</v>
      </c>
      <c r="V949" s="17">
        <v>45621</v>
      </c>
      <c r="W949" s="16"/>
      <c r="Z949" t="e">
        <v>#N/A</v>
      </c>
    </row>
    <row r="950" spans="1:26" customFormat="1" hidden="1">
      <c r="A950">
        <f t="shared" ca="1" si="15"/>
        <v>61</v>
      </c>
      <c r="B950" s="8" t="s">
        <v>2082</v>
      </c>
      <c r="C950" s="16">
        <v>45560</v>
      </c>
      <c r="D950" s="6" t="s">
        <v>129</v>
      </c>
      <c r="E950" s="6" t="s">
        <v>3662</v>
      </c>
      <c r="F950" s="6">
        <v>4469</v>
      </c>
      <c r="G950" s="6" t="s">
        <v>1461</v>
      </c>
      <c r="H950" s="6" t="s">
        <v>379</v>
      </c>
      <c r="I950" s="6" t="s">
        <v>2083</v>
      </c>
      <c r="J950" s="6" t="s">
        <v>490</v>
      </c>
      <c r="K950" s="6" t="str">
        <f>IF(E950="KTG","KTG",(VLOOKUP(J950,'list of outsource'!B:H,2,0)))</f>
        <v>ETC</v>
      </c>
      <c r="L950" s="6" t="s">
        <v>491</v>
      </c>
      <c r="M950" s="6">
        <v>28</v>
      </c>
      <c r="N950" s="6" t="s">
        <v>649</v>
      </c>
      <c r="O950" s="2"/>
      <c r="P950" s="6" t="s">
        <v>650</v>
      </c>
      <c r="Q950" s="6" t="s">
        <v>2084</v>
      </c>
      <c r="R950" s="16"/>
      <c r="S950" s="6">
        <v>4</v>
      </c>
      <c r="T950" s="6" t="s">
        <v>1465</v>
      </c>
      <c r="U950" s="6" t="s">
        <v>39</v>
      </c>
      <c r="V950" s="17">
        <v>45621</v>
      </c>
      <c r="W950" s="16"/>
      <c r="Z950" t="e">
        <v>#N/A</v>
      </c>
    </row>
    <row r="951" spans="1:26" customFormat="1" hidden="1">
      <c r="A951">
        <f t="shared" ca="1" si="15"/>
        <v>85</v>
      </c>
      <c r="B951" s="8" t="s">
        <v>2119</v>
      </c>
      <c r="C951" s="16">
        <v>45560</v>
      </c>
      <c r="D951" s="6" t="s">
        <v>129</v>
      </c>
      <c r="E951" s="6" t="s">
        <v>3662</v>
      </c>
      <c r="F951" s="6">
        <v>5116</v>
      </c>
      <c r="G951" s="6" t="s">
        <v>1461</v>
      </c>
      <c r="H951" s="6" t="s">
        <v>379</v>
      </c>
      <c r="I951" s="6" t="s">
        <v>2120</v>
      </c>
      <c r="J951" s="6" t="s">
        <v>2104</v>
      </c>
      <c r="K951" s="6" t="str">
        <f>IF(E951="KTG","KTG",(VLOOKUP(J951,'list of outsource'!B:H,2,0)))</f>
        <v>ETC</v>
      </c>
      <c r="L951" s="6" t="s">
        <v>2105</v>
      </c>
      <c r="M951" s="6">
        <v>2</v>
      </c>
      <c r="N951" s="6" t="s">
        <v>2121</v>
      </c>
      <c r="O951" s="2"/>
      <c r="P951" s="6" t="s">
        <v>2122</v>
      </c>
      <c r="Q951" s="6" t="s">
        <v>2123</v>
      </c>
      <c r="R951" s="16"/>
      <c r="S951" s="6">
        <v>4</v>
      </c>
      <c r="T951" s="6" t="s">
        <v>1465</v>
      </c>
      <c r="U951" s="6" t="s">
        <v>39</v>
      </c>
      <c r="V951" s="17">
        <v>45645</v>
      </c>
      <c r="W951" s="16"/>
      <c r="Z951" t="e">
        <v>#N/A</v>
      </c>
    </row>
    <row r="952" spans="1:26" customFormat="1" hidden="1">
      <c r="A952">
        <f t="shared" ca="1" si="15"/>
        <v>83</v>
      </c>
      <c r="B952" s="8" t="s">
        <v>2102</v>
      </c>
      <c r="C952" s="16">
        <v>45560</v>
      </c>
      <c r="D952" s="6" t="s">
        <v>129</v>
      </c>
      <c r="E952" s="6" t="s">
        <v>3662</v>
      </c>
      <c r="F952" s="6">
        <v>5117</v>
      </c>
      <c r="G952" s="6" t="s">
        <v>1461</v>
      </c>
      <c r="H952" s="6" t="s">
        <v>379</v>
      </c>
      <c r="I952" s="6" t="s">
        <v>2103</v>
      </c>
      <c r="J952" s="6" t="s">
        <v>2104</v>
      </c>
      <c r="K952" s="6" t="str">
        <f>IF(E952="KTG","KTG",(VLOOKUP(J952,'list of outsource'!B:H,2,0)))</f>
        <v>ETC</v>
      </c>
      <c r="L952" s="6" t="s">
        <v>2105</v>
      </c>
      <c r="M952" s="6">
        <v>2</v>
      </c>
      <c r="N952" s="6" t="s">
        <v>2106</v>
      </c>
      <c r="O952" s="2"/>
      <c r="P952" s="6" t="s">
        <v>2107</v>
      </c>
      <c r="Q952" s="6" t="s">
        <v>2108</v>
      </c>
      <c r="R952" s="16"/>
      <c r="S952" s="6">
        <v>4</v>
      </c>
      <c r="T952" s="6" t="s">
        <v>1465</v>
      </c>
      <c r="U952" s="6" t="s">
        <v>39</v>
      </c>
      <c r="V952" s="17">
        <v>45643</v>
      </c>
      <c r="W952" s="16"/>
      <c r="Z952" t="e">
        <v>#N/A</v>
      </c>
    </row>
    <row r="953" spans="1:26" customFormat="1" hidden="1">
      <c r="A953">
        <f t="shared" ca="1" si="15"/>
        <v>61</v>
      </c>
      <c r="B953" s="8" t="s">
        <v>2129</v>
      </c>
      <c r="C953" s="16">
        <v>45560</v>
      </c>
      <c r="D953" s="6" t="s">
        <v>129</v>
      </c>
      <c r="E953" s="6" t="s">
        <v>3662</v>
      </c>
      <c r="F953" s="6">
        <v>4476</v>
      </c>
      <c r="G953" s="6" t="s">
        <v>1461</v>
      </c>
      <c r="H953" s="6" t="s">
        <v>379</v>
      </c>
      <c r="I953" s="6" t="s">
        <v>2130</v>
      </c>
      <c r="J953" s="6" t="s">
        <v>490</v>
      </c>
      <c r="K953" s="6" t="str">
        <f>IF(E953="KTG","KTG",(VLOOKUP(J953,'list of outsource'!B:H,2,0)))</f>
        <v>ETC</v>
      </c>
      <c r="L953" s="6" t="s">
        <v>491</v>
      </c>
      <c r="M953" s="6">
        <v>28</v>
      </c>
      <c r="N953" s="6" t="s">
        <v>2131</v>
      </c>
      <c r="O953" s="2"/>
      <c r="P953" s="6" t="s">
        <v>2132</v>
      </c>
      <c r="Q953" s="6" t="s">
        <v>2133</v>
      </c>
      <c r="R953" s="16"/>
      <c r="S953" s="6">
        <v>4</v>
      </c>
      <c r="T953" s="6" t="s">
        <v>1465</v>
      </c>
      <c r="U953" s="6" t="s">
        <v>39</v>
      </c>
      <c r="V953" s="17">
        <v>45621</v>
      </c>
      <c r="W953" s="16"/>
      <c r="Z953" t="e">
        <v>#N/A</v>
      </c>
    </row>
    <row r="954" spans="1:26" customFormat="1" hidden="1">
      <c r="A954">
        <f t="shared" ca="1" si="15"/>
        <v>85</v>
      </c>
      <c r="B954" s="8" t="s">
        <v>2124</v>
      </c>
      <c r="C954" s="16">
        <v>45560</v>
      </c>
      <c r="D954" s="6" t="s">
        <v>129</v>
      </c>
      <c r="E954" s="6" t="s">
        <v>3662</v>
      </c>
      <c r="F954" s="6">
        <v>5118</v>
      </c>
      <c r="G954" s="6" t="s">
        <v>1461</v>
      </c>
      <c r="H954" s="6" t="s">
        <v>379</v>
      </c>
      <c r="I954" s="6" t="s">
        <v>2125</v>
      </c>
      <c r="J954" s="6" t="s">
        <v>2104</v>
      </c>
      <c r="K954" s="6" t="str">
        <f>IF(E954="KTG","KTG",(VLOOKUP(J954,'list of outsource'!B:H,2,0)))</f>
        <v>ETC</v>
      </c>
      <c r="L954" s="6" t="s">
        <v>2105</v>
      </c>
      <c r="M954" s="6">
        <v>2</v>
      </c>
      <c r="N954" s="6" t="s">
        <v>2126</v>
      </c>
      <c r="O954" s="2"/>
      <c r="P954" s="6" t="s">
        <v>2127</v>
      </c>
      <c r="Q954" s="6" t="s">
        <v>2128</v>
      </c>
      <c r="R954" s="16"/>
      <c r="S954" s="6">
        <v>4</v>
      </c>
      <c r="T954" s="6" t="s">
        <v>1465</v>
      </c>
      <c r="U954" s="6" t="s">
        <v>39</v>
      </c>
      <c r="V954" s="17">
        <v>45645</v>
      </c>
      <c r="W954" s="16"/>
      <c r="Z954" t="e">
        <v>#N/A</v>
      </c>
    </row>
    <row r="955" spans="1:26" customFormat="1" hidden="1">
      <c r="A955">
        <f t="shared" ca="1" si="15"/>
        <v>85</v>
      </c>
      <c r="B955" s="8" t="s">
        <v>2109</v>
      </c>
      <c r="C955" s="16">
        <v>45560</v>
      </c>
      <c r="D955" s="6" t="s">
        <v>129</v>
      </c>
      <c r="E955" s="6" t="s">
        <v>3662</v>
      </c>
      <c r="F955" s="6">
        <v>4475</v>
      </c>
      <c r="G955" s="6" t="s">
        <v>1461</v>
      </c>
      <c r="H955" s="6" t="s">
        <v>379</v>
      </c>
      <c r="I955" s="6" t="s">
        <v>2110</v>
      </c>
      <c r="J955" s="6" t="s">
        <v>2104</v>
      </c>
      <c r="K955" s="6" t="str">
        <f>IF(E955="KTG","KTG",(VLOOKUP(J955,'list of outsource'!B:H,2,0)))</f>
        <v>ETC</v>
      </c>
      <c r="L955" s="6" t="s">
        <v>2105</v>
      </c>
      <c r="M955" s="6">
        <v>2</v>
      </c>
      <c r="N955" s="6" t="s">
        <v>2111</v>
      </c>
      <c r="O955" s="2"/>
      <c r="P955" s="6" t="s">
        <v>2112</v>
      </c>
      <c r="Q955" s="6" t="s">
        <v>2113</v>
      </c>
      <c r="R955" s="16"/>
      <c r="S955" s="6">
        <v>4</v>
      </c>
      <c r="T955" s="6" t="s">
        <v>1465</v>
      </c>
      <c r="U955" s="6" t="s">
        <v>39</v>
      </c>
      <c r="V955" s="17">
        <v>45645</v>
      </c>
      <c r="W955" s="16"/>
      <c r="Z955" t="e">
        <v>#N/A</v>
      </c>
    </row>
    <row r="956" spans="1:26" customFormat="1" hidden="1">
      <c r="A956">
        <f t="shared" ca="1" si="15"/>
        <v>63</v>
      </c>
      <c r="B956" s="8" t="s">
        <v>2077</v>
      </c>
      <c r="C956" s="16">
        <v>45560</v>
      </c>
      <c r="D956" s="6" t="s">
        <v>129</v>
      </c>
      <c r="E956" s="6" t="s">
        <v>3662</v>
      </c>
      <c r="F956" s="6">
        <v>5119</v>
      </c>
      <c r="G956" s="6" t="s">
        <v>1461</v>
      </c>
      <c r="H956" s="6" t="s">
        <v>379</v>
      </c>
      <c r="I956" s="6" t="s">
        <v>2078</v>
      </c>
      <c r="J956" s="6" t="s">
        <v>531</v>
      </c>
      <c r="K956" s="6" t="str">
        <f>IF(E956="KTG","KTG",(VLOOKUP(J956,'list of outsource'!B:H,2,0)))</f>
        <v>ETC</v>
      </c>
      <c r="L956" s="6" t="s">
        <v>532</v>
      </c>
      <c r="M956" s="6">
        <v>10</v>
      </c>
      <c r="N956" s="6" t="s">
        <v>2079</v>
      </c>
      <c r="O956" s="2"/>
      <c r="P956" s="6" t="s">
        <v>2080</v>
      </c>
      <c r="Q956" s="6" t="s">
        <v>2081</v>
      </c>
      <c r="R956" s="16"/>
      <c r="S956" s="6">
        <v>4</v>
      </c>
      <c r="T956" s="6" t="s">
        <v>1465</v>
      </c>
      <c r="U956" s="6" t="s">
        <v>39</v>
      </c>
      <c r="V956" s="17">
        <v>45623</v>
      </c>
      <c r="W956" s="16"/>
      <c r="Z956" t="e">
        <v>#N/A</v>
      </c>
    </row>
    <row r="957" spans="1:26" customFormat="1" hidden="1">
      <c r="A957">
        <f t="shared" ca="1" si="15"/>
        <v>63</v>
      </c>
      <c r="B957" s="104" t="s">
        <v>2144</v>
      </c>
      <c r="C957" s="16">
        <v>45560</v>
      </c>
      <c r="D957" s="6" t="s">
        <v>129</v>
      </c>
      <c r="E957" s="6" t="s">
        <v>3662</v>
      </c>
      <c r="F957" s="6"/>
      <c r="G957" s="6" t="s">
        <v>1461</v>
      </c>
      <c r="H957" s="6" t="s">
        <v>379</v>
      </c>
      <c r="I957" s="6" t="s">
        <v>2145</v>
      </c>
      <c r="J957" s="6" t="s">
        <v>490</v>
      </c>
      <c r="K957" s="6" t="str">
        <f>IF(E957="KTG","KTG",(VLOOKUP(J957,'list of outsource'!B:H,2,0)))</f>
        <v>ETC</v>
      </c>
      <c r="L957" s="6" t="s">
        <v>491</v>
      </c>
      <c r="M957" s="6">
        <v>28</v>
      </c>
      <c r="N957" s="49" t="s">
        <v>2146</v>
      </c>
      <c r="O957" s="2"/>
      <c r="P957" s="6" t="s">
        <v>2147</v>
      </c>
      <c r="Q957" s="6" t="s">
        <v>2148</v>
      </c>
      <c r="R957" s="16"/>
      <c r="S957" s="6">
        <v>4</v>
      </c>
      <c r="T957" s="6" t="s">
        <v>1465</v>
      </c>
      <c r="U957" s="6" t="s">
        <v>39</v>
      </c>
      <c r="V957" s="17">
        <v>45623</v>
      </c>
      <c r="W957" s="16"/>
      <c r="Z957" t="e">
        <v>#N/A</v>
      </c>
    </row>
    <row r="958" spans="1:26" customFormat="1" hidden="1">
      <c r="A958">
        <f t="shared" ca="1" si="15"/>
        <v>63</v>
      </c>
      <c r="B958" s="8" t="s">
        <v>2139</v>
      </c>
      <c r="C958" s="16">
        <v>45560</v>
      </c>
      <c r="D958" s="6" t="s">
        <v>129</v>
      </c>
      <c r="E958" s="6" t="s">
        <v>3662</v>
      </c>
      <c r="F958" s="6">
        <v>5120</v>
      </c>
      <c r="G958" s="6" t="s">
        <v>1461</v>
      </c>
      <c r="H958" s="6" t="s">
        <v>379</v>
      </c>
      <c r="I958" s="6" t="s">
        <v>2140</v>
      </c>
      <c r="J958" s="6" t="s">
        <v>490</v>
      </c>
      <c r="K958" s="6" t="str">
        <f>IF(E958="KTG","KTG",(VLOOKUP(J958,'list of outsource'!B:H,2,0)))</f>
        <v>ETC</v>
      </c>
      <c r="L958" s="6" t="s">
        <v>491</v>
      </c>
      <c r="M958" s="6">
        <v>28</v>
      </c>
      <c r="N958" s="6" t="s">
        <v>2141</v>
      </c>
      <c r="O958" s="2"/>
      <c r="P958" s="6" t="s">
        <v>2142</v>
      </c>
      <c r="Q958" s="6" t="s">
        <v>2143</v>
      </c>
      <c r="R958" s="16"/>
      <c r="S958" s="6">
        <v>4</v>
      </c>
      <c r="T958" s="6" t="s">
        <v>1465</v>
      </c>
      <c r="U958" s="6" t="s">
        <v>39</v>
      </c>
      <c r="V958" s="17">
        <v>45623</v>
      </c>
      <c r="W958" s="16"/>
      <c r="Z958" t="e">
        <v>#N/A</v>
      </c>
    </row>
    <row r="959" spans="1:26" customFormat="1" hidden="1">
      <c r="A959">
        <f t="shared" ca="1" si="15"/>
        <v>84</v>
      </c>
      <c r="B959" s="8" t="s">
        <v>2114</v>
      </c>
      <c r="C959" s="16">
        <v>45560</v>
      </c>
      <c r="D959" s="6" t="s">
        <v>129</v>
      </c>
      <c r="E959" s="6" t="s">
        <v>3662</v>
      </c>
      <c r="F959" s="6">
        <v>5121</v>
      </c>
      <c r="G959" s="6" t="s">
        <v>1461</v>
      </c>
      <c r="H959" s="6" t="s">
        <v>379</v>
      </c>
      <c r="I959" s="6" t="s">
        <v>2115</v>
      </c>
      <c r="J959" s="6" t="s">
        <v>2104</v>
      </c>
      <c r="K959" s="6" t="str">
        <f>IF(E959="KTG","KTG",(VLOOKUP(J959,'list of outsource'!B:H,2,0)))</f>
        <v>ETC</v>
      </c>
      <c r="L959" s="6" t="s">
        <v>2105</v>
      </c>
      <c r="M959" s="6">
        <v>2</v>
      </c>
      <c r="N959" s="6" t="s">
        <v>2116</v>
      </c>
      <c r="O959" s="2"/>
      <c r="P959" s="6" t="s">
        <v>2117</v>
      </c>
      <c r="Q959" s="6" t="s">
        <v>2118</v>
      </c>
      <c r="R959" s="16"/>
      <c r="S959" s="6">
        <v>4</v>
      </c>
      <c r="T959" s="6" t="s">
        <v>1465</v>
      </c>
      <c r="U959" s="6" t="s">
        <v>39</v>
      </c>
      <c r="V959" s="17">
        <v>45644</v>
      </c>
      <c r="W959" s="16"/>
      <c r="Z959" t="e">
        <v>#N/A</v>
      </c>
    </row>
    <row r="960" spans="1:26" customFormat="1" hidden="1">
      <c r="A960">
        <f t="shared" ca="1" si="15"/>
        <v>123</v>
      </c>
      <c r="B960" s="8" t="s">
        <v>2017</v>
      </c>
      <c r="C960" s="16">
        <v>45493</v>
      </c>
      <c r="D960" s="6" t="s">
        <v>129</v>
      </c>
      <c r="E960" s="6" t="s">
        <v>3665</v>
      </c>
      <c r="F960" s="6">
        <v>4472</v>
      </c>
      <c r="G960" s="6" t="s">
        <v>1461</v>
      </c>
      <c r="H960" s="6" t="s">
        <v>379</v>
      </c>
      <c r="I960" s="6" t="s">
        <v>2018</v>
      </c>
      <c r="J960" s="6" t="s">
        <v>96</v>
      </c>
      <c r="K960" s="6" t="str">
        <f>IF(E960="KTG","KTG",(VLOOKUP(J960,'list of outsource'!B:H,2,0)))</f>
        <v>Woer</v>
      </c>
      <c r="L960" s="6" t="s">
        <v>97</v>
      </c>
      <c r="M960" s="6">
        <v>50</v>
      </c>
      <c r="N960" s="6" t="s">
        <v>2019</v>
      </c>
      <c r="O960" s="2"/>
      <c r="P960" s="6" t="s">
        <v>2020</v>
      </c>
      <c r="Q960" s="6" t="s">
        <v>2021</v>
      </c>
      <c r="R960" s="16">
        <v>45525</v>
      </c>
      <c r="S960" s="6">
        <v>4</v>
      </c>
      <c r="T960" s="6" t="s">
        <v>1465</v>
      </c>
      <c r="U960" s="6" t="s">
        <v>39</v>
      </c>
      <c r="V960" s="17">
        <v>45616</v>
      </c>
      <c r="W960" s="16"/>
      <c r="Z960" t="e">
        <v>#N/A</v>
      </c>
    </row>
    <row r="961" spans="1:26" customFormat="1" hidden="1">
      <c r="A961">
        <f t="shared" ca="1" si="15"/>
        <v>407</v>
      </c>
      <c r="B961" s="49" t="s">
        <v>2191</v>
      </c>
      <c r="C961" s="12">
        <v>45601</v>
      </c>
      <c r="D961" s="4"/>
      <c r="E961" s="4" t="s">
        <v>3662</v>
      </c>
      <c r="F961" s="4"/>
      <c r="G961" s="4" t="s">
        <v>1461</v>
      </c>
      <c r="H961" s="4" t="s">
        <v>379</v>
      </c>
      <c r="I961" s="4"/>
      <c r="J961" s="4" t="s">
        <v>490</v>
      </c>
      <c r="K961" s="4" t="str">
        <f>IF(E961="KTG","KTG",(VLOOKUP(J961,'list of outsource'!B:H,2,0)))</f>
        <v>ETC</v>
      </c>
      <c r="L961" s="4" t="s">
        <v>491</v>
      </c>
      <c r="M961" s="4"/>
      <c r="N961" s="49" t="s">
        <v>2192</v>
      </c>
      <c r="O961" s="2"/>
      <c r="P961" s="4" t="s">
        <v>2193</v>
      </c>
      <c r="Q961" s="4"/>
      <c r="R961" s="12"/>
      <c r="S961" s="4">
        <v>4</v>
      </c>
      <c r="T961" s="4" t="s">
        <v>1465</v>
      </c>
      <c r="U961" s="4" t="s">
        <v>39</v>
      </c>
      <c r="V961" s="10"/>
      <c r="W961" s="12"/>
      <c r="Z961" t="e">
        <v>#N/A</v>
      </c>
    </row>
    <row r="962" spans="1:26" customFormat="1" hidden="1">
      <c r="A962">
        <f t="shared" ca="1" si="15"/>
        <v>407</v>
      </c>
      <c r="B962" s="49" t="s">
        <v>2194</v>
      </c>
      <c r="C962" s="12">
        <v>45601</v>
      </c>
      <c r="D962" s="4"/>
      <c r="E962" s="4" t="s">
        <v>3662</v>
      </c>
      <c r="F962" s="4"/>
      <c r="G962" s="4" t="s">
        <v>1461</v>
      </c>
      <c r="H962" s="4" t="s">
        <v>379</v>
      </c>
      <c r="I962" s="4"/>
      <c r="J962" s="4" t="s">
        <v>490</v>
      </c>
      <c r="K962" s="4" t="str">
        <f>IF(E962="KTG","KTG",(VLOOKUP(J962,'list of outsource'!B:H,2,0)))</f>
        <v>ETC</v>
      </c>
      <c r="L962" s="4" t="s">
        <v>491</v>
      </c>
      <c r="M962" s="4"/>
      <c r="N962" s="49" t="s">
        <v>2195</v>
      </c>
      <c r="O962" s="2"/>
      <c r="P962" s="4" t="s">
        <v>2196</v>
      </c>
      <c r="Q962" s="4"/>
      <c r="R962" s="12"/>
      <c r="S962" s="4">
        <v>4</v>
      </c>
      <c r="T962" s="4" t="s">
        <v>1465</v>
      </c>
      <c r="U962" s="4" t="s">
        <v>39</v>
      </c>
      <c r="V962" s="10"/>
      <c r="W962" s="12"/>
      <c r="Z962" t="e">
        <v>#N/A</v>
      </c>
    </row>
    <row r="963" spans="1:26" customFormat="1" hidden="1">
      <c r="A963">
        <f t="shared" ca="1" si="15"/>
        <v>14</v>
      </c>
      <c r="B963" s="8" t="s">
        <v>1460</v>
      </c>
      <c r="C963" s="16">
        <v>45741</v>
      </c>
      <c r="D963" s="6" t="s">
        <v>129</v>
      </c>
      <c r="E963" s="6" t="s">
        <v>3662</v>
      </c>
      <c r="F963" s="6">
        <v>5122</v>
      </c>
      <c r="G963" s="6" t="s">
        <v>1461</v>
      </c>
      <c r="H963" s="6" t="s">
        <v>379</v>
      </c>
      <c r="I963" s="6" t="s">
        <v>1462</v>
      </c>
      <c r="J963" s="6" t="s">
        <v>840</v>
      </c>
      <c r="K963" s="6" t="str">
        <f>IF(E963="KTG","KTG",(VLOOKUP(J963,'list of outsource'!B:H,2,0)))</f>
        <v>ETC</v>
      </c>
      <c r="L963" s="6" t="s">
        <v>841</v>
      </c>
      <c r="M963" s="6"/>
      <c r="N963" s="6" t="s">
        <v>1445</v>
      </c>
      <c r="O963" s="2"/>
      <c r="P963" s="6" t="s">
        <v>1463</v>
      </c>
      <c r="Q963" s="6" t="s">
        <v>1464</v>
      </c>
      <c r="R963" s="16"/>
      <c r="S963" s="6">
        <v>4</v>
      </c>
      <c r="T963" s="6" t="s">
        <v>1465</v>
      </c>
      <c r="U963" s="6" t="s">
        <v>39</v>
      </c>
      <c r="V963" s="17">
        <v>45755</v>
      </c>
      <c r="W963" s="16"/>
      <c r="Z963">
        <v>0</v>
      </c>
    </row>
    <row r="964" spans="1:26" customFormat="1">
      <c r="A964">
        <f t="shared" ca="1" si="15"/>
        <v>29</v>
      </c>
      <c r="B964" s="49" t="s">
        <v>2244</v>
      </c>
      <c r="C964" s="12">
        <v>45666</v>
      </c>
      <c r="D964" s="4" t="s">
        <v>300</v>
      </c>
      <c r="E964" s="4" t="s">
        <v>3663</v>
      </c>
      <c r="F964" s="4"/>
      <c r="G964" s="106" t="s">
        <v>505</v>
      </c>
      <c r="H964" s="106" t="s">
        <v>34</v>
      </c>
      <c r="I964" s="49">
        <v>69321285</v>
      </c>
      <c r="J964" s="4"/>
      <c r="K964" s="4" t="e">
        <f>IF(E964="KTG","KTG",(VLOOKUP(J964,'list of outsource'!B:H,2,0)))</f>
        <v>#N/A</v>
      </c>
      <c r="L964" s="4"/>
      <c r="M964" s="4"/>
      <c r="N964" s="4" t="s">
        <v>2245</v>
      </c>
      <c r="O964" s="2" t="s">
        <v>3689</v>
      </c>
      <c r="P964" s="4" t="s">
        <v>2246</v>
      </c>
      <c r="Q964" s="4"/>
      <c r="R964" s="12">
        <v>45679</v>
      </c>
      <c r="S964" s="4">
        <v>1</v>
      </c>
      <c r="T964" s="4" t="s">
        <v>307</v>
      </c>
      <c r="U964" s="4" t="s">
        <v>550</v>
      </c>
      <c r="V964" s="10">
        <v>45695</v>
      </c>
      <c r="W964" s="12">
        <v>45750</v>
      </c>
      <c r="Z964" t="e">
        <v>#N/A</v>
      </c>
    </row>
    <row r="965" spans="1:26" customFormat="1">
      <c r="A965">
        <f t="shared" ca="1" si="15"/>
        <v>29</v>
      </c>
      <c r="B965" s="49" t="s">
        <v>2247</v>
      </c>
      <c r="C965" s="12">
        <v>45666</v>
      </c>
      <c r="D965" s="4" t="s">
        <v>300</v>
      </c>
      <c r="E965" s="4" t="s">
        <v>3663</v>
      </c>
      <c r="F965" s="4"/>
      <c r="G965" s="106" t="s">
        <v>505</v>
      </c>
      <c r="H965" s="106" t="s">
        <v>34</v>
      </c>
      <c r="I965" s="49">
        <v>69321582</v>
      </c>
      <c r="J965" s="4"/>
      <c r="K965" s="4" t="e">
        <f>IF(E965="KTG","KTG",(VLOOKUP(J965,'list of outsource'!B:H,2,0)))</f>
        <v>#N/A</v>
      </c>
      <c r="L965" s="4"/>
      <c r="M965" s="4"/>
      <c r="N965" s="4" t="s">
        <v>2248</v>
      </c>
      <c r="O965" s="2" t="s">
        <v>3689</v>
      </c>
      <c r="P965" s="4" t="s">
        <v>2249</v>
      </c>
      <c r="Q965" s="4"/>
      <c r="R965" s="12">
        <v>45679</v>
      </c>
      <c r="S965" s="4">
        <v>1</v>
      </c>
      <c r="T965" s="4" t="s">
        <v>307</v>
      </c>
      <c r="U965" s="4" t="s">
        <v>550</v>
      </c>
      <c r="V965" s="10">
        <v>45695</v>
      </c>
      <c r="W965" s="12">
        <v>45750</v>
      </c>
      <c r="Z965" t="e">
        <v>#N/A</v>
      </c>
    </row>
    <row r="966" spans="1:26" customFormat="1">
      <c r="A966">
        <f t="shared" ca="1" si="15"/>
        <v>20</v>
      </c>
      <c r="B966" s="104" t="s">
        <v>2645</v>
      </c>
      <c r="C966" s="12">
        <v>45827</v>
      </c>
      <c r="D966" s="4" t="s">
        <v>300</v>
      </c>
      <c r="E966" s="4" t="s">
        <v>3662</v>
      </c>
      <c r="F966" s="4"/>
      <c r="G966" s="106" t="s">
        <v>505</v>
      </c>
      <c r="H966" s="106" t="s">
        <v>34</v>
      </c>
      <c r="I966" s="49">
        <v>69321147</v>
      </c>
      <c r="J966" s="4" t="s">
        <v>302</v>
      </c>
      <c r="K966" s="4" t="str">
        <f>IF(E966="KTG","KTG",(VLOOKUP(J966,'list of outsource'!B:H,2,0)))</f>
        <v>ETC</v>
      </c>
      <c r="L966" s="4" t="s">
        <v>303</v>
      </c>
      <c r="M966" s="47">
        <v>71</v>
      </c>
      <c r="N966" s="4" t="s">
        <v>2646</v>
      </c>
      <c r="O966" s="2" t="s">
        <v>3689</v>
      </c>
      <c r="P966" s="4" t="s">
        <v>2647</v>
      </c>
      <c r="Q966" s="4" t="s">
        <v>2648</v>
      </c>
      <c r="R966" s="12"/>
      <c r="S966" s="4">
        <v>4</v>
      </c>
      <c r="T966" s="4" t="s">
        <v>607</v>
      </c>
      <c r="U966" s="4" t="s">
        <v>39</v>
      </c>
      <c r="V966" s="10">
        <v>45847</v>
      </c>
      <c r="W966" s="12">
        <v>45848</v>
      </c>
      <c r="Z966" t="s">
        <v>2649</v>
      </c>
    </row>
    <row r="967" spans="1:26" customFormat="1">
      <c r="A967" s="50">
        <f t="shared" ca="1" si="15"/>
        <v>6</v>
      </c>
      <c r="B967" s="104" t="s">
        <v>2655</v>
      </c>
      <c r="C967" s="27">
        <v>45827</v>
      </c>
      <c r="D967" s="28" t="s">
        <v>2651</v>
      </c>
      <c r="E967" s="28" t="s">
        <v>3662</v>
      </c>
      <c r="F967" s="28"/>
      <c r="G967" s="106" t="s">
        <v>505</v>
      </c>
      <c r="H967" s="106" t="s">
        <v>34</v>
      </c>
      <c r="I967" s="49">
        <v>69322222</v>
      </c>
      <c r="J967" s="28" t="s">
        <v>490</v>
      </c>
      <c r="K967" s="28" t="str">
        <f>IF(E967="KTG","KTG",(VLOOKUP(J967,'list of outsource'!B:H,2,0)))</f>
        <v>ETC</v>
      </c>
      <c r="L967" s="28" t="s">
        <v>491</v>
      </c>
      <c r="M967" s="29"/>
      <c r="N967" s="28" t="s">
        <v>1609</v>
      </c>
      <c r="O967" s="2" t="s">
        <v>3689</v>
      </c>
      <c r="P967" s="28" t="s">
        <v>2656</v>
      </c>
      <c r="Q967" s="28"/>
      <c r="R967" s="27"/>
      <c r="S967" s="28">
        <v>4</v>
      </c>
      <c r="T967" s="28" t="s">
        <v>1465</v>
      </c>
      <c r="U967" s="28" t="s">
        <v>39</v>
      </c>
      <c r="V967" s="30">
        <v>45833</v>
      </c>
      <c r="W967" s="27">
        <v>45833</v>
      </c>
      <c r="Z967" t="s">
        <v>1611</v>
      </c>
    </row>
    <row r="968" spans="1:26" customFormat="1" ht="29">
      <c r="A968">
        <f t="shared" ref="A968:A1031" ca="1" si="16">IF(V968="",(TODAY()-C968),(V968-C968))</f>
        <v>71</v>
      </c>
      <c r="B968" s="104" t="s">
        <v>2704</v>
      </c>
      <c r="C968" s="16">
        <v>45841</v>
      </c>
      <c r="D968" s="6" t="s">
        <v>129</v>
      </c>
      <c r="E968" s="6" t="s">
        <v>3662</v>
      </c>
      <c r="F968" s="6"/>
      <c r="G968" s="108" t="s">
        <v>2705</v>
      </c>
      <c r="H968" s="108" t="s">
        <v>2706</v>
      </c>
      <c r="I968" s="49" t="s">
        <v>2707</v>
      </c>
      <c r="J968" s="6" t="s">
        <v>302</v>
      </c>
      <c r="K968" s="6" t="str">
        <f>IF(E968="KTG","KTG",(VLOOKUP(J968,'list of outsource'!B:H,2,0)))</f>
        <v>ETC</v>
      </c>
      <c r="L968" s="6" t="s">
        <v>303</v>
      </c>
      <c r="M968" s="6">
        <v>73</v>
      </c>
      <c r="N968" s="6" t="s">
        <v>1496</v>
      </c>
      <c r="O968" s="2" t="s">
        <v>3690</v>
      </c>
      <c r="P968" s="61" t="s">
        <v>2708</v>
      </c>
      <c r="Q968" s="6" t="s">
        <v>2709</v>
      </c>
      <c r="R968" s="16"/>
      <c r="S968" s="6">
        <v>4</v>
      </c>
      <c r="T968" s="6" t="s">
        <v>1465</v>
      </c>
      <c r="U968" s="6" t="s">
        <v>39</v>
      </c>
      <c r="V968" s="17">
        <v>45912</v>
      </c>
      <c r="W968" s="16"/>
      <c r="Z968" t="e">
        <v>#N/A</v>
      </c>
    </row>
    <row r="969" spans="1:26" customFormat="1" ht="29">
      <c r="A969">
        <f t="shared" ca="1" si="16"/>
        <v>71</v>
      </c>
      <c r="B969" s="104" t="s">
        <v>2710</v>
      </c>
      <c r="C969" s="16">
        <v>45841</v>
      </c>
      <c r="D969" s="6" t="s">
        <v>129</v>
      </c>
      <c r="E969" s="6" t="s">
        <v>3662</v>
      </c>
      <c r="F969" s="6"/>
      <c r="G969" s="108" t="s">
        <v>2705</v>
      </c>
      <c r="H969" s="108" t="s">
        <v>2706</v>
      </c>
      <c r="I969" s="49" t="s">
        <v>2711</v>
      </c>
      <c r="J969" s="6" t="s">
        <v>302</v>
      </c>
      <c r="K969" s="6" t="str">
        <f>IF(E969="KTG","KTG",(VLOOKUP(J969,'list of outsource'!B:H,2,0)))</f>
        <v>ETC</v>
      </c>
      <c r="L969" s="6" t="s">
        <v>303</v>
      </c>
      <c r="M969" s="6">
        <v>73</v>
      </c>
      <c r="N969" s="6" t="s">
        <v>2712</v>
      </c>
      <c r="O969" s="2" t="s">
        <v>3690</v>
      </c>
      <c r="P969" s="61" t="s">
        <v>2713</v>
      </c>
      <c r="Q969" s="6" t="s">
        <v>2714</v>
      </c>
      <c r="R969" s="16"/>
      <c r="S969" s="6">
        <v>4</v>
      </c>
      <c r="T969" s="6" t="s">
        <v>1465</v>
      </c>
      <c r="U969" s="6" t="s">
        <v>39</v>
      </c>
      <c r="V969" s="17">
        <v>45912</v>
      </c>
      <c r="W969" s="16"/>
      <c r="Z969" t="e">
        <v>#N/A</v>
      </c>
    </row>
    <row r="970" spans="1:26" customFormat="1" ht="29">
      <c r="A970">
        <f t="shared" ca="1" si="16"/>
        <v>71</v>
      </c>
      <c r="B970" s="104" t="s">
        <v>2724</v>
      </c>
      <c r="C970" s="16">
        <v>45841</v>
      </c>
      <c r="D970" s="6" t="s">
        <v>129</v>
      </c>
      <c r="E970" s="6" t="s">
        <v>3662</v>
      </c>
      <c r="F970" s="6"/>
      <c r="G970" s="108" t="s">
        <v>2705</v>
      </c>
      <c r="H970" s="108" t="s">
        <v>2706</v>
      </c>
      <c r="I970" s="49" t="s">
        <v>2725</v>
      </c>
      <c r="J970" s="6" t="s">
        <v>302</v>
      </c>
      <c r="K970" s="6" t="str">
        <f>IF(E970="KTG","KTG",(VLOOKUP(J970,'list of outsource'!B:H,2,0)))</f>
        <v>ETC</v>
      </c>
      <c r="L970" s="6" t="s">
        <v>303</v>
      </c>
      <c r="M970" s="6">
        <v>73</v>
      </c>
      <c r="N970" s="6" t="s">
        <v>1737</v>
      </c>
      <c r="O970" s="2" t="s">
        <v>3690</v>
      </c>
      <c r="P970" s="61" t="s">
        <v>2726</v>
      </c>
      <c r="Q970" s="6" t="s">
        <v>2727</v>
      </c>
      <c r="R970" s="16"/>
      <c r="S970" s="6">
        <v>4</v>
      </c>
      <c r="T970" s="6" t="s">
        <v>1465</v>
      </c>
      <c r="U970" s="6" t="s">
        <v>39</v>
      </c>
      <c r="V970" s="17">
        <v>45912</v>
      </c>
      <c r="W970" s="16"/>
      <c r="Z970" t="e">
        <v>#N/A</v>
      </c>
    </row>
    <row r="971" spans="1:26" customFormat="1">
      <c r="A971">
        <f t="shared" ca="1" si="16"/>
        <v>27</v>
      </c>
      <c r="B971" s="104" t="s">
        <v>2715</v>
      </c>
      <c r="C971" s="16">
        <v>45841</v>
      </c>
      <c r="D971" s="6" t="s">
        <v>2716</v>
      </c>
      <c r="E971" s="6" t="s">
        <v>3662</v>
      </c>
      <c r="F971" s="6"/>
      <c r="G971" s="108" t="s">
        <v>2705</v>
      </c>
      <c r="H971" s="108" t="s">
        <v>2706</v>
      </c>
      <c r="I971" s="49" t="s">
        <v>2717</v>
      </c>
      <c r="J971" s="6" t="s">
        <v>302</v>
      </c>
      <c r="K971" s="6" t="str">
        <f>IF(E971="KTG","KTG",(VLOOKUP(J971,'list of outsource'!B:H,2,0)))</f>
        <v>ETC</v>
      </c>
      <c r="L971" s="6" t="s">
        <v>303</v>
      </c>
      <c r="M971" s="6"/>
      <c r="N971" s="6" t="s">
        <v>1711</v>
      </c>
      <c r="O971" s="2" t="s">
        <v>3690</v>
      </c>
      <c r="P971" s="6" t="s">
        <v>2718</v>
      </c>
      <c r="Q971" s="6"/>
      <c r="R971" s="16"/>
      <c r="S971" s="6">
        <v>4</v>
      </c>
      <c r="T971" s="6" t="s">
        <v>1465</v>
      </c>
      <c r="U971" s="6" t="s">
        <v>39</v>
      </c>
      <c r="V971" s="17">
        <v>45868</v>
      </c>
      <c r="W971" s="16"/>
      <c r="Z971" t="e">
        <v>#N/A</v>
      </c>
    </row>
    <row r="972" spans="1:26" customFormat="1">
      <c r="A972">
        <f t="shared" ca="1" si="16"/>
        <v>129</v>
      </c>
      <c r="B972" s="49" t="s">
        <v>1689</v>
      </c>
      <c r="C972" s="12">
        <v>45432</v>
      </c>
      <c r="D972" s="4" t="s">
        <v>300</v>
      </c>
      <c r="E972" s="4" t="s">
        <v>3662</v>
      </c>
      <c r="F972" s="4"/>
      <c r="G972" s="106" t="s">
        <v>1690</v>
      </c>
      <c r="H972" s="106" t="s">
        <v>1691</v>
      </c>
      <c r="I972" s="49" t="s">
        <v>1692</v>
      </c>
      <c r="J972" s="4" t="s">
        <v>302</v>
      </c>
      <c r="K972" s="4" t="str">
        <f>IF(E972="KTG","KTG",(VLOOKUP(J972,'list of outsource'!B:H,2,0)))</f>
        <v>ETC</v>
      </c>
      <c r="L972" s="4" t="s">
        <v>303</v>
      </c>
      <c r="M972" s="4">
        <v>61</v>
      </c>
      <c r="N972" s="4" t="s">
        <v>1693</v>
      </c>
      <c r="O972" s="2" t="s">
        <v>3691</v>
      </c>
      <c r="P972" s="4" t="s">
        <v>1694</v>
      </c>
      <c r="Q972" s="4" t="s">
        <v>1695</v>
      </c>
      <c r="R972" s="12">
        <v>45447</v>
      </c>
      <c r="S972" s="4">
        <v>4</v>
      </c>
      <c r="T972" s="4" t="s">
        <v>1465</v>
      </c>
      <c r="U972" s="4" t="s">
        <v>39</v>
      </c>
      <c r="V972" s="10">
        <v>45561</v>
      </c>
      <c r="W972" s="12">
        <v>45561</v>
      </c>
      <c r="Z972" t="e">
        <v>#N/A</v>
      </c>
    </row>
    <row r="973" spans="1:26" customFormat="1">
      <c r="A973">
        <f t="shared" ca="1" si="16"/>
        <v>129</v>
      </c>
      <c r="B973" s="49" t="s">
        <v>1696</v>
      </c>
      <c r="C973" s="12">
        <v>45432</v>
      </c>
      <c r="D973" s="4" t="s">
        <v>300</v>
      </c>
      <c r="E973" s="4" t="s">
        <v>3662</v>
      </c>
      <c r="F973" s="4"/>
      <c r="G973" s="106" t="s">
        <v>1690</v>
      </c>
      <c r="H973" s="106" t="s">
        <v>1691</v>
      </c>
      <c r="I973" s="49" t="s">
        <v>1697</v>
      </c>
      <c r="J973" s="4" t="s">
        <v>302</v>
      </c>
      <c r="K973" s="4" t="str">
        <f>IF(E973="KTG","KTG",(VLOOKUP(J973,'list of outsource'!B:H,2,0)))</f>
        <v>ETC</v>
      </c>
      <c r="L973" s="4" t="s">
        <v>303</v>
      </c>
      <c r="M973" s="4">
        <v>61</v>
      </c>
      <c r="N973" s="4" t="s">
        <v>1483</v>
      </c>
      <c r="O973" s="2" t="s">
        <v>3691</v>
      </c>
      <c r="P973" s="4" t="s">
        <v>1698</v>
      </c>
      <c r="Q973" s="4" t="s">
        <v>1699</v>
      </c>
      <c r="R973" s="12">
        <v>45453</v>
      </c>
      <c r="S973" s="4">
        <v>4</v>
      </c>
      <c r="T973" s="4" t="s">
        <v>1465</v>
      </c>
      <c r="U973" s="4" t="s">
        <v>39</v>
      </c>
      <c r="V973" s="10">
        <v>45561</v>
      </c>
      <c r="W973" s="12">
        <v>45561</v>
      </c>
      <c r="Z973" t="e">
        <v>#N/A</v>
      </c>
    </row>
    <row r="974" spans="1:26" customFormat="1">
      <c r="A974">
        <f t="shared" ca="1" si="16"/>
        <v>105</v>
      </c>
      <c r="B974" s="49" t="s">
        <v>1700</v>
      </c>
      <c r="C974" s="12">
        <v>45432</v>
      </c>
      <c r="D974" s="4" t="s">
        <v>300</v>
      </c>
      <c r="E974" s="4" t="s">
        <v>3662</v>
      </c>
      <c r="F974" s="4"/>
      <c r="G974" s="106" t="s">
        <v>1690</v>
      </c>
      <c r="H974" s="106" t="s">
        <v>1691</v>
      </c>
      <c r="I974" s="49" t="s">
        <v>1701</v>
      </c>
      <c r="J974" s="4" t="s">
        <v>302</v>
      </c>
      <c r="K974" s="4" t="str">
        <f>IF(E974="KTG","KTG",(VLOOKUP(J974,'list of outsource'!B:H,2,0)))</f>
        <v>ETC</v>
      </c>
      <c r="L974" s="4" t="s">
        <v>303</v>
      </c>
      <c r="M974" s="4">
        <v>61</v>
      </c>
      <c r="N974" s="4" t="s">
        <v>304</v>
      </c>
      <c r="O974" s="2" t="s">
        <v>3691</v>
      </c>
      <c r="P974" s="4" t="s">
        <v>1702</v>
      </c>
      <c r="Q974" s="4" t="s">
        <v>1703</v>
      </c>
      <c r="R974" s="12">
        <v>45447</v>
      </c>
      <c r="S974" s="4">
        <v>4</v>
      </c>
      <c r="T974" s="4" t="s">
        <v>1465</v>
      </c>
      <c r="U974" s="4" t="s">
        <v>39</v>
      </c>
      <c r="V974" s="10">
        <v>45537</v>
      </c>
      <c r="W974" s="12">
        <v>45635</v>
      </c>
      <c r="Z974" t="s">
        <v>1704</v>
      </c>
    </row>
    <row r="975" spans="1:26" customFormat="1">
      <c r="A975">
        <f t="shared" ca="1" si="16"/>
        <v>105</v>
      </c>
      <c r="B975" s="49" t="s">
        <v>1705</v>
      </c>
      <c r="C975" s="12">
        <v>45432</v>
      </c>
      <c r="D975" s="4" t="s">
        <v>300</v>
      </c>
      <c r="E975" s="4" t="s">
        <v>3662</v>
      </c>
      <c r="F975" s="4"/>
      <c r="G975" s="106" t="s">
        <v>1690</v>
      </c>
      <c r="H975" s="106" t="s">
        <v>1691</v>
      </c>
      <c r="I975" s="49" t="s">
        <v>1706</v>
      </c>
      <c r="J975" s="4" t="s">
        <v>302</v>
      </c>
      <c r="K975" s="4" t="str">
        <f>IF(E975="KTG","KTG",(VLOOKUP(J975,'list of outsource'!B:H,2,0)))</f>
        <v>ETC</v>
      </c>
      <c r="L975" s="4" t="s">
        <v>303</v>
      </c>
      <c r="M975" s="4">
        <v>61</v>
      </c>
      <c r="N975" s="4" t="s">
        <v>1479</v>
      </c>
      <c r="O975" s="2" t="s">
        <v>3691</v>
      </c>
      <c r="P975" s="4" t="s">
        <v>1707</v>
      </c>
      <c r="Q975" s="4" t="s">
        <v>1708</v>
      </c>
      <c r="R975" s="12">
        <v>45306</v>
      </c>
      <c r="S975" s="4">
        <v>4</v>
      </c>
      <c r="T975" s="4" t="s">
        <v>1465</v>
      </c>
      <c r="U975" s="4" t="s">
        <v>39</v>
      </c>
      <c r="V975" s="10">
        <v>45537</v>
      </c>
      <c r="W975" s="12">
        <v>45635</v>
      </c>
      <c r="Z975" t="e">
        <v>#N/A</v>
      </c>
    </row>
    <row r="976" spans="1:26" customFormat="1">
      <c r="A976">
        <f t="shared" ca="1" si="16"/>
        <v>105</v>
      </c>
      <c r="B976" s="49" t="s">
        <v>1709</v>
      </c>
      <c r="C976" s="12">
        <v>45432</v>
      </c>
      <c r="D976" s="4" t="s">
        <v>300</v>
      </c>
      <c r="E976" s="4" t="s">
        <v>3662</v>
      </c>
      <c r="F976" s="4"/>
      <c r="G976" s="106" t="s">
        <v>1690</v>
      </c>
      <c r="H976" s="106" t="s">
        <v>1691</v>
      </c>
      <c r="I976" s="49" t="s">
        <v>1710</v>
      </c>
      <c r="J976" s="4" t="s">
        <v>302</v>
      </c>
      <c r="K976" s="4" t="str">
        <f>IF(E976="KTG","KTG",(VLOOKUP(J976,'list of outsource'!B:H,2,0)))</f>
        <v>ETC</v>
      </c>
      <c r="L976" s="4" t="s">
        <v>303</v>
      </c>
      <c r="M976" s="4">
        <v>61</v>
      </c>
      <c r="N976" s="4" t="s">
        <v>1711</v>
      </c>
      <c r="O976" s="2" t="s">
        <v>3691</v>
      </c>
      <c r="P976" s="4" t="s">
        <v>1712</v>
      </c>
      <c r="Q976" s="4" t="s">
        <v>1713</v>
      </c>
      <c r="R976" s="12">
        <v>45447</v>
      </c>
      <c r="S976" s="4">
        <v>4</v>
      </c>
      <c r="T976" s="4" t="s">
        <v>1465</v>
      </c>
      <c r="U976" s="4" t="s">
        <v>39</v>
      </c>
      <c r="V976" s="10">
        <v>45537</v>
      </c>
      <c r="W976" s="12">
        <v>45635</v>
      </c>
      <c r="Z976" t="e">
        <v>#N/A</v>
      </c>
    </row>
    <row r="977" spans="1:26" customFormat="1">
      <c r="A977">
        <f t="shared" ca="1" si="16"/>
        <v>105</v>
      </c>
      <c r="B977" s="49" t="s">
        <v>1714</v>
      </c>
      <c r="C977" s="12">
        <v>45432</v>
      </c>
      <c r="D977" s="4" t="s">
        <v>300</v>
      </c>
      <c r="E977" s="4" t="s">
        <v>3662</v>
      </c>
      <c r="F977" s="4"/>
      <c r="G977" s="106" t="s">
        <v>1690</v>
      </c>
      <c r="H977" s="106" t="s">
        <v>1691</v>
      </c>
      <c r="I977" s="49" t="s">
        <v>1715</v>
      </c>
      <c r="J977" s="4" t="s">
        <v>302</v>
      </c>
      <c r="K977" s="4" t="str">
        <f>IF(E977="KTG","KTG",(VLOOKUP(J977,'list of outsource'!B:H,2,0)))</f>
        <v>ETC</v>
      </c>
      <c r="L977" s="4" t="s">
        <v>303</v>
      </c>
      <c r="M977" s="4">
        <v>61</v>
      </c>
      <c r="N977" s="4" t="s">
        <v>1488</v>
      </c>
      <c r="O977" s="2" t="s">
        <v>3691</v>
      </c>
      <c r="P977" s="4" t="s">
        <v>1489</v>
      </c>
      <c r="Q977" s="4" t="s">
        <v>1716</v>
      </c>
      <c r="R977" s="12">
        <v>45306</v>
      </c>
      <c r="S977" s="4">
        <v>4</v>
      </c>
      <c r="T977" s="4" t="s">
        <v>1465</v>
      </c>
      <c r="U977" s="4" t="s">
        <v>39</v>
      </c>
      <c r="V977" s="10">
        <v>45537</v>
      </c>
      <c r="W977" s="12">
        <v>45635</v>
      </c>
      <c r="Z977" t="e">
        <v>#N/A</v>
      </c>
    </row>
    <row r="978" spans="1:26" customFormat="1">
      <c r="A978">
        <f t="shared" ca="1" si="16"/>
        <v>129</v>
      </c>
      <c r="B978" s="49" t="s">
        <v>1717</v>
      </c>
      <c r="C978" s="12">
        <v>45432</v>
      </c>
      <c r="D978" s="4" t="s">
        <v>300</v>
      </c>
      <c r="E978" s="4" t="s">
        <v>3662</v>
      </c>
      <c r="F978" s="4"/>
      <c r="G978" s="106" t="s">
        <v>1690</v>
      </c>
      <c r="H978" s="106" t="s">
        <v>1691</v>
      </c>
      <c r="I978" s="49" t="s">
        <v>1718</v>
      </c>
      <c r="J978" s="4" t="s">
        <v>302</v>
      </c>
      <c r="K978" s="4" t="str">
        <f>IF(E978="KTG","KTG",(VLOOKUP(J978,'list of outsource'!B:H,2,0)))</f>
        <v>ETC</v>
      </c>
      <c r="L978" s="4" t="s">
        <v>303</v>
      </c>
      <c r="M978" s="4">
        <v>61</v>
      </c>
      <c r="N978" s="4" t="s">
        <v>1719</v>
      </c>
      <c r="O978" s="2" t="s">
        <v>3691</v>
      </c>
      <c r="P978" s="4" t="s">
        <v>1720</v>
      </c>
      <c r="Q978" s="4" t="s">
        <v>1721</v>
      </c>
      <c r="R978" s="12">
        <v>45450</v>
      </c>
      <c r="S978" s="4">
        <v>4</v>
      </c>
      <c r="T978" s="4" t="s">
        <v>1465</v>
      </c>
      <c r="U978" s="4" t="s">
        <v>39</v>
      </c>
      <c r="V978" s="10">
        <v>45561</v>
      </c>
      <c r="W978" s="12">
        <v>45561</v>
      </c>
      <c r="Z978" t="e">
        <v>#N/A</v>
      </c>
    </row>
    <row r="979" spans="1:26" customFormat="1">
      <c r="A979">
        <f t="shared" ca="1" si="16"/>
        <v>129</v>
      </c>
      <c r="B979" s="49" t="s">
        <v>1722</v>
      </c>
      <c r="C979" s="12">
        <v>45432</v>
      </c>
      <c r="D979" s="4" t="s">
        <v>300</v>
      </c>
      <c r="E979" s="4" t="s">
        <v>3662</v>
      </c>
      <c r="F979" s="4"/>
      <c r="G979" s="106" t="s">
        <v>1690</v>
      </c>
      <c r="H979" s="106" t="s">
        <v>1691</v>
      </c>
      <c r="I979" s="49" t="s">
        <v>1723</v>
      </c>
      <c r="J979" s="4" t="s">
        <v>302</v>
      </c>
      <c r="K979" s="4" t="str">
        <f>IF(E979="KTG","KTG",(VLOOKUP(J979,'list of outsource'!B:H,2,0)))</f>
        <v>ETC</v>
      </c>
      <c r="L979" s="4" t="s">
        <v>303</v>
      </c>
      <c r="M979" s="4">
        <v>61</v>
      </c>
      <c r="N979" s="4" t="s">
        <v>1724</v>
      </c>
      <c r="O979" s="2" t="s">
        <v>3691</v>
      </c>
      <c r="P979" s="4" t="s">
        <v>1725</v>
      </c>
      <c r="Q979" s="4" t="s">
        <v>1726</v>
      </c>
      <c r="R979" s="12">
        <v>45450</v>
      </c>
      <c r="S979" s="4">
        <v>4</v>
      </c>
      <c r="T979" s="4" t="s">
        <v>1465</v>
      </c>
      <c r="U979" s="4" t="s">
        <v>39</v>
      </c>
      <c r="V979" s="10">
        <v>45561</v>
      </c>
      <c r="W979" s="12">
        <v>45561</v>
      </c>
      <c r="Z979" t="e">
        <v>#N/A</v>
      </c>
    </row>
    <row r="980" spans="1:26" customFormat="1">
      <c r="A980">
        <f t="shared" ca="1" si="16"/>
        <v>105</v>
      </c>
      <c r="B980" s="49" t="s">
        <v>1727</v>
      </c>
      <c r="C980" s="12">
        <v>45432</v>
      </c>
      <c r="D980" s="4" t="s">
        <v>300</v>
      </c>
      <c r="E980" s="4" t="s">
        <v>3662</v>
      </c>
      <c r="F980" s="4"/>
      <c r="G980" s="106" t="s">
        <v>1690</v>
      </c>
      <c r="H980" s="106" t="s">
        <v>1691</v>
      </c>
      <c r="I980" s="49" t="s">
        <v>1728</v>
      </c>
      <c r="J980" s="4" t="s">
        <v>302</v>
      </c>
      <c r="K980" s="4" t="str">
        <f>IF(E980="KTG","KTG",(VLOOKUP(J980,'list of outsource'!B:H,2,0)))</f>
        <v>ETC</v>
      </c>
      <c r="L980" s="4" t="s">
        <v>303</v>
      </c>
      <c r="M980" s="4">
        <v>61</v>
      </c>
      <c r="N980" s="4" t="s">
        <v>1496</v>
      </c>
      <c r="O980" s="2" t="s">
        <v>3691</v>
      </c>
      <c r="P980" s="4" t="s">
        <v>1497</v>
      </c>
      <c r="Q980" s="4" t="s">
        <v>1729</v>
      </c>
      <c r="R980" s="12">
        <v>45453</v>
      </c>
      <c r="S980" s="4">
        <v>4</v>
      </c>
      <c r="T980" s="4" t="s">
        <v>1465</v>
      </c>
      <c r="U980" s="4" t="s">
        <v>39</v>
      </c>
      <c r="V980" s="10">
        <v>45537</v>
      </c>
      <c r="W980" s="12">
        <v>45537</v>
      </c>
      <c r="Z980" t="e">
        <v>#N/A</v>
      </c>
    </row>
    <row r="981" spans="1:26" customFormat="1">
      <c r="A981">
        <f t="shared" ca="1" si="16"/>
        <v>105</v>
      </c>
      <c r="B981" s="49" t="s">
        <v>1730</v>
      </c>
      <c r="C981" s="12">
        <v>45432</v>
      </c>
      <c r="D981" s="4" t="s">
        <v>300</v>
      </c>
      <c r="E981" s="4" t="s">
        <v>3662</v>
      </c>
      <c r="F981" s="4"/>
      <c r="G981" s="106" t="s">
        <v>1690</v>
      </c>
      <c r="H981" s="106" t="s">
        <v>1691</v>
      </c>
      <c r="I981" s="49" t="s">
        <v>1731</v>
      </c>
      <c r="J981" s="4" t="s">
        <v>302</v>
      </c>
      <c r="K981" s="4" t="str">
        <f>IF(E981="KTG","KTG",(VLOOKUP(J981,'list of outsource'!B:H,2,0)))</f>
        <v>ETC</v>
      </c>
      <c r="L981" s="4" t="s">
        <v>303</v>
      </c>
      <c r="M981" s="4">
        <v>61</v>
      </c>
      <c r="N981" s="4" t="s">
        <v>1732</v>
      </c>
      <c r="O981" s="2" t="s">
        <v>3691</v>
      </c>
      <c r="P981" s="4" t="s">
        <v>1733</v>
      </c>
      <c r="Q981" s="4" t="s">
        <v>1734</v>
      </c>
      <c r="R981" s="12">
        <v>45450</v>
      </c>
      <c r="S981" s="4">
        <v>4</v>
      </c>
      <c r="T981" s="4" t="s">
        <v>1465</v>
      </c>
      <c r="U981" s="4" t="s">
        <v>39</v>
      </c>
      <c r="V981" s="10">
        <v>45537</v>
      </c>
      <c r="W981" s="12">
        <v>45537</v>
      </c>
      <c r="Z981" t="e">
        <v>#N/A</v>
      </c>
    </row>
    <row r="982" spans="1:26" customFormat="1" hidden="1">
      <c r="A982">
        <f t="shared" ca="1" si="16"/>
        <v>39</v>
      </c>
      <c r="B982" s="8" t="s">
        <v>2159</v>
      </c>
      <c r="C982" s="16">
        <v>45565</v>
      </c>
      <c r="D982" s="6" t="s">
        <v>129</v>
      </c>
      <c r="E982" s="6" t="s">
        <v>3665</v>
      </c>
      <c r="F982" s="6">
        <v>4369</v>
      </c>
      <c r="G982" s="6" t="s">
        <v>2160</v>
      </c>
      <c r="H982" s="6" t="s">
        <v>165</v>
      </c>
      <c r="I982" s="6">
        <v>10035195</v>
      </c>
      <c r="J982" s="6" t="s">
        <v>108</v>
      </c>
      <c r="K982" s="6" t="str">
        <f>IF(E982="KTG","KTG",(VLOOKUP(J982,'list of outsource'!B:H,2,0)))</f>
        <v>UPM</v>
      </c>
      <c r="L982" s="6" t="s">
        <v>109</v>
      </c>
      <c r="M982" s="6">
        <v>45</v>
      </c>
      <c r="N982" s="6" t="s">
        <v>2161</v>
      </c>
      <c r="O982" s="2"/>
      <c r="P982" s="6" t="s">
        <v>2162</v>
      </c>
      <c r="Q982" s="6" t="s">
        <v>2163</v>
      </c>
      <c r="R982" s="16"/>
      <c r="S982" s="6">
        <v>4</v>
      </c>
      <c r="T982" s="6" t="s">
        <v>1258</v>
      </c>
      <c r="U982" s="6" t="s">
        <v>39</v>
      </c>
      <c r="V982" s="17">
        <v>45604</v>
      </c>
      <c r="W982" s="16"/>
      <c r="Z982" t="e">
        <v>#N/A</v>
      </c>
    </row>
    <row r="983" spans="1:26" customFormat="1" hidden="1">
      <c r="A983">
        <f t="shared" ca="1" si="16"/>
        <v>39</v>
      </c>
      <c r="B983" s="8" t="s">
        <v>2164</v>
      </c>
      <c r="C983" s="16">
        <v>45565</v>
      </c>
      <c r="D983" s="6" t="s">
        <v>129</v>
      </c>
      <c r="E983" s="6" t="s">
        <v>3665</v>
      </c>
      <c r="F983" s="6">
        <v>4370</v>
      </c>
      <c r="G983" s="6" t="s">
        <v>2160</v>
      </c>
      <c r="H983" s="6" t="s">
        <v>165</v>
      </c>
      <c r="I983" s="6">
        <v>10035194</v>
      </c>
      <c r="J983" s="6" t="s">
        <v>108</v>
      </c>
      <c r="K983" s="6" t="str">
        <f>IF(E983="KTG","KTG",(VLOOKUP(J983,'list of outsource'!B:H,2,0)))</f>
        <v>UPM</v>
      </c>
      <c r="L983" s="6" t="s">
        <v>109</v>
      </c>
      <c r="M983" s="6">
        <v>45</v>
      </c>
      <c r="N983" s="6" t="s">
        <v>2165</v>
      </c>
      <c r="O983" s="2"/>
      <c r="P983" s="6" t="s">
        <v>2166</v>
      </c>
      <c r="Q983" s="6" t="s">
        <v>2167</v>
      </c>
      <c r="R983" s="16"/>
      <c r="S983" s="6">
        <v>4</v>
      </c>
      <c r="T983" s="6" t="s">
        <v>1258</v>
      </c>
      <c r="U983" s="6" t="s">
        <v>39</v>
      </c>
      <c r="V983" s="17">
        <v>45604</v>
      </c>
      <c r="W983" s="16"/>
      <c r="Z983" t="e">
        <v>#N/A</v>
      </c>
    </row>
    <row r="984" spans="1:26" customFormat="1">
      <c r="A984">
        <f t="shared" ca="1" si="16"/>
        <v>129</v>
      </c>
      <c r="B984" s="49" t="s">
        <v>1735</v>
      </c>
      <c r="C984" s="12">
        <v>45432</v>
      </c>
      <c r="D984" s="4" t="s">
        <v>300</v>
      </c>
      <c r="E984" s="4" t="s">
        <v>3662</v>
      </c>
      <c r="F984" s="4"/>
      <c r="G984" s="106" t="s">
        <v>1690</v>
      </c>
      <c r="H984" s="106" t="s">
        <v>1691</v>
      </c>
      <c r="I984" s="49" t="s">
        <v>1736</v>
      </c>
      <c r="J984" s="4" t="s">
        <v>302</v>
      </c>
      <c r="K984" s="4" t="str">
        <f>IF(E984="KTG","KTG",(VLOOKUP(J984,'list of outsource'!B:H,2,0)))</f>
        <v>ETC</v>
      </c>
      <c r="L984" s="4" t="s">
        <v>303</v>
      </c>
      <c r="M984" s="4">
        <v>61</v>
      </c>
      <c r="N984" s="4" t="s">
        <v>1737</v>
      </c>
      <c r="O984" s="2" t="s">
        <v>3691</v>
      </c>
      <c r="P984" s="4" t="s">
        <v>1738</v>
      </c>
      <c r="Q984" s="4" t="s">
        <v>1739</v>
      </c>
      <c r="R984" s="12">
        <v>45450</v>
      </c>
      <c r="S984" s="4">
        <v>4</v>
      </c>
      <c r="T984" s="4" t="s">
        <v>1465</v>
      </c>
      <c r="U984" s="4" t="s">
        <v>39</v>
      </c>
      <c r="V984" s="10">
        <v>45561</v>
      </c>
      <c r="W984" s="12">
        <v>45635</v>
      </c>
      <c r="Z984" t="e">
        <v>#N/A</v>
      </c>
    </row>
    <row r="985" spans="1:26" hidden="1">
      <c r="A985">
        <f t="shared" ca="1" si="16"/>
        <v>1</v>
      </c>
      <c r="B985" s="8" t="s">
        <v>2151</v>
      </c>
      <c r="C985" s="16">
        <v>45726</v>
      </c>
      <c r="D985" s="6" t="s">
        <v>1958</v>
      </c>
      <c r="E985" s="6" t="s">
        <v>3662</v>
      </c>
      <c r="F985" s="6">
        <v>4561</v>
      </c>
      <c r="G985" s="6" t="s">
        <v>2152</v>
      </c>
      <c r="H985" s="6" t="s">
        <v>146</v>
      </c>
      <c r="I985" s="6" t="s">
        <v>2399</v>
      </c>
      <c r="J985" s="6" t="s">
        <v>2154</v>
      </c>
      <c r="K985" s="6" t="e">
        <f>IF(E985="KTG","KTG",(VLOOKUP(J985,'list of outsource'!B:H,2,0)))</f>
        <v>#N/A</v>
      </c>
      <c r="L985" s="6" t="s">
        <v>2155</v>
      </c>
      <c r="M985" s="6">
        <v>0</v>
      </c>
      <c r="N985" s="6" t="s">
        <v>2156</v>
      </c>
      <c r="P985" s="6" t="s">
        <v>2400</v>
      </c>
      <c r="Q985" s="6" t="s">
        <v>2401</v>
      </c>
      <c r="R985" s="16"/>
      <c r="S985" s="6" t="s">
        <v>436</v>
      </c>
      <c r="T985" s="6" t="s">
        <v>307</v>
      </c>
      <c r="U985" s="6" t="s">
        <v>1598</v>
      </c>
      <c r="V985" s="17">
        <v>45727</v>
      </c>
      <c r="W985" s="16"/>
      <c r="X985"/>
      <c r="Y985"/>
      <c r="Z985" t="e">
        <v>#N/A</v>
      </c>
    </row>
    <row r="986" spans="1:26">
      <c r="A986">
        <f t="shared" ca="1" si="16"/>
        <v>129</v>
      </c>
      <c r="B986" s="49" t="s">
        <v>1740</v>
      </c>
      <c r="C986" s="12">
        <v>45432</v>
      </c>
      <c r="D986" s="4" t="s">
        <v>300</v>
      </c>
      <c r="E986" s="4" t="s">
        <v>3662</v>
      </c>
      <c r="F986" s="4"/>
      <c r="G986" s="106" t="s">
        <v>1690</v>
      </c>
      <c r="H986" s="106" t="s">
        <v>1691</v>
      </c>
      <c r="I986" s="49" t="s">
        <v>1741</v>
      </c>
      <c r="J986" s="4" t="s">
        <v>302</v>
      </c>
      <c r="K986" s="4" t="str">
        <f>IF(E986="KTG","KTG",(VLOOKUP(J986,'list of outsource'!B:H,2,0)))</f>
        <v>ETC</v>
      </c>
      <c r="L986" s="4" t="s">
        <v>303</v>
      </c>
      <c r="M986" s="4">
        <v>61</v>
      </c>
      <c r="N986" s="4" t="s">
        <v>1742</v>
      </c>
      <c r="O986" s="2" t="s">
        <v>3691</v>
      </c>
      <c r="P986" s="4" t="s">
        <v>1743</v>
      </c>
      <c r="Q986" s="4" t="s">
        <v>1744</v>
      </c>
      <c r="R986" s="12">
        <v>45450</v>
      </c>
      <c r="S986" s="4">
        <v>4</v>
      </c>
      <c r="T986" s="4" t="s">
        <v>1465</v>
      </c>
      <c r="U986" s="4" t="s">
        <v>39</v>
      </c>
      <c r="V986" s="10">
        <v>45561</v>
      </c>
      <c r="W986" s="12">
        <v>45635</v>
      </c>
      <c r="X986"/>
      <c r="Y986"/>
      <c r="Z986" t="e">
        <v>#N/A</v>
      </c>
    </row>
    <row r="987" spans="1:26">
      <c r="A987">
        <f t="shared" ca="1" si="16"/>
        <v>105</v>
      </c>
      <c r="B987" s="49" t="s">
        <v>1745</v>
      </c>
      <c r="C987" s="12">
        <v>45432</v>
      </c>
      <c r="D987" s="4" t="s">
        <v>300</v>
      </c>
      <c r="E987" s="4" t="s">
        <v>3662</v>
      </c>
      <c r="F987" s="4"/>
      <c r="G987" s="106" t="s">
        <v>1690</v>
      </c>
      <c r="H987" s="106" t="s">
        <v>1691</v>
      </c>
      <c r="I987" s="49" t="s">
        <v>1746</v>
      </c>
      <c r="J987" s="4" t="s">
        <v>302</v>
      </c>
      <c r="K987" s="4" t="str">
        <f>IF(E987="KTG","KTG",(VLOOKUP(J987,'list of outsource'!B:H,2,0)))</f>
        <v>ETC</v>
      </c>
      <c r="L987" s="4" t="s">
        <v>303</v>
      </c>
      <c r="M987" s="4">
        <v>61</v>
      </c>
      <c r="N987" s="4" t="s">
        <v>1747</v>
      </c>
      <c r="O987" s="2" t="s">
        <v>3691</v>
      </c>
      <c r="P987" s="4" t="s">
        <v>1748</v>
      </c>
      <c r="Q987" s="4" t="s">
        <v>1749</v>
      </c>
      <c r="R987" s="12">
        <v>45518</v>
      </c>
      <c r="S987" s="4">
        <v>4</v>
      </c>
      <c r="T987" s="4" t="s">
        <v>1465</v>
      </c>
      <c r="U987" s="4" t="s">
        <v>39</v>
      </c>
      <c r="V987" s="10">
        <v>45537</v>
      </c>
      <c r="W987" s="12">
        <v>45635</v>
      </c>
      <c r="X987"/>
      <c r="Y987"/>
      <c r="Z987">
        <v>0</v>
      </c>
    </row>
    <row r="988" spans="1:26">
      <c r="A988">
        <f t="shared" ca="1" si="16"/>
        <v>105</v>
      </c>
      <c r="B988" s="49" t="s">
        <v>1750</v>
      </c>
      <c r="C988" s="12">
        <v>45432</v>
      </c>
      <c r="D988" s="4" t="s">
        <v>300</v>
      </c>
      <c r="E988" s="4" t="s">
        <v>3662</v>
      </c>
      <c r="F988" s="4"/>
      <c r="G988" s="106" t="s">
        <v>1690</v>
      </c>
      <c r="H988" s="106" t="s">
        <v>1691</v>
      </c>
      <c r="I988" s="49" t="s">
        <v>1751</v>
      </c>
      <c r="J988" s="4" t="s">
        <v>302</v>
      </c>
      <c r="K988" s="4" t="str">
        <f>IF(E988="KTG","KTG",(VLOOKUP(J988,'list of outsource'!B:H,2,0)))</f>
        <v>ETC</v>
      </c>
      <c r="L988" s="4" t="s">
        <v>303</v>
      </c>
      <c r="M988" s="4">
        <v>61</v>
      </c>
      <c r="N988" s="4" t="s">
        <v>1752</v>
      </c>
      <c r="O988" s="2" t="s">
        <v>3691</v>
      </c>
      <c r="P988" s="4" t="s">
        <v>1753</v>
      </c>
      <c r="Q988" s="4" t="s">
        <v>1754</v>
      </c>
      <c r="R988" s="12">
        <v>45518</v>
      </c>
      <c r="S988" s="4">
        <v>4</v>
      </c>
      <c r="T988" s="4" t="s">
        <v>1465</v>
      </c>
      <c r="U988" s="4" t="s">
        <v>39</v>
      </c>
      <c r="V988" s="10">
        <v>45537</v>
      </c>
      <c r="W988" s="12">
        <v>45635</v>
      </c>
      <c r="X988"/>
      <c r="Y988"/>
      <c r="Z988" t="e">
        <v>#N/A</v>
      </c>
    </row>
    <row r="989" spans="1:26" hidden="1">
      <c r="A989">
        <f t="shared" ca="1" si="16"/>
        <v>10</v>
      </c>
      <c r="B989" s="4" t="s">
        <v>2250</v>
      </c>
      <c r="C989" s="12">
        <v>45667</v>
      </c>
      <c r="D989" s="4" t="s">
        <v>300</v>
      </c>
      <c r="E989" s="4" t="s">
        <v>3662</v>
      </c>
      <c r="F989" s="4">
        <v>4425</v>
      </c>
      <c r="G989" s="4" t="s">
        <v>2251</v>
      </c>
      <c r="H989" s="4" t="s">
        <v>2252</v>
      </c>
      <c r="I989" s="4">
        <v>69322334</v>
      </c>
      <c r="J989" s="4" t="s">
        <v>490</v>
      </c>
      <c r="K989" s="4" t="str">
        <f>IF(E989="KTG","KTG",(VLOOKUP(J989,'list of outsource'!B:H,2,0)))</f>
        <v>ETC</v>
      </c>
      <c r="L989" s="4" t="s">
        <v>491</v>
      </c>
      <c r="M989" s="4">
        <v>30</v>
      </c>
      <c r="N989" s="4" t="s">
        <v>2087</v>
      </c>
      <c r="P989" s="4" t="s">
        <v>2088</v>
      </c>
      <c r="Q989" s="4" t="s">
        <v>2253</v>
      </c>
      <c r="R989" s="12"/>
      <c r="S989" s="4">
        <v>4</v>
      </c>
      <c r="T989" s="4" t="s">
        <v>1465</v>
      </c>
      <c r="U989" s="4" t="s">
        <v>39</v>
      </c>
      <c r="V989" s="10">
        <v>45677</v>
      </c>
      <c r="W989" s="12">
        <v>45694</v>
      </c>
      <c r="X989"/>
      <c r="Y989"/>
      <c r="Z989" t="e">
        <v>#N/A</v>
      </c>
    </row>
    <row r="990" spans="1:26" hidden="1">
      <c r="A990">
        <f t="shared" ca="1" si="16"/>
        <v>10</v>
      </c>
      <c r="B990" s="4" t="s">
        <v>2254</v>
      </c>
      <c r="C990" s="12">
        <v>45667</v>
      </c>
      <c r="D990" s="4" t="s">
        <v>300</v>
      </c>
      <c r="E990" s="4" t="s">
        <v>3662</v>
      </c>
      <c r="F990" s="4">
        <v>4428</v>
      </c>
      <c r="G990" s="4" t="s">
        <v>2251</v>
      </c>
      <c r="H990" s="4" t="s">
        <v>2252</v>
      </c>
      <c r="I990" s="4">
        <v>69322335</v>
      </c>
      <c r="J990" s="4" t="s">
        <v>490</v>
      </c>
      <c r="K990" s="4" t="str">
        <f>IF(E990="KTG","KTG",(VLOOKUP(J990,'list of outsource'!B:H,2,0)))</f>
        <v>ETC</v>
      </c>
      <c r="L990" s="4" t="s">
        <v>491</v>
      </c>
      <c r="M990" s="4">
        <v>30</v>
      </c>
      <c r="N990" s="4" t="s">
        <v>708</v>
      </c>
      <c r="P990" s="4" t="s">
        <v>2100</v>
      </c>
      <c r="Q990" s="4" t="s">
        <v>2255</v>
      </c>
      <c r="R990" s="12"/>
      <c r="S990" s="4">
        <v>4</v>
      </c>
      <c r="T990" s="4" t="s">
        <v>1465</v>
      </c>
      <c r="U990" s="4" t="s">
        <v>39</v>
      </c>
      <c r="V990" s="10">
        <v>45677</v>
      </c>
      <c r="W990" s="12">
        <v>45694</v>
      </c>
      <c r="X990"/>
      <c r="Y990"/>
      <c r="Z990" t="e">
        <v>#N/A</v>
      </c>
    </row>
    <row r="991" spans="1:26" hidden="1">
      <c r="A991">
        <f t="shared" ca="1" si="16"/>
        <v>10</v>
      </c>
      <c r="B991" s="4" t="s">
        <v>2256</v>
      </c>
      <c r="C991" s="12">
        <v>45667</v>
      </c>
      <c r="D991" s="4" t="s">
        <v>300</v>
      </c>
      <c r="E991" s="4" t="s">
        <v>3662</v>
      </c>
      <c r="F991" s="4">
        <v>4427</v>
      </c>
      <c r="G991" s="4" t="s">
        <v>2251</v>
      </c>
      <c r="H991" s="4" t="s">
        <v>2252</v>
      </c>
      <c r="I991" s="4">
        <v>69322336</v>
      </c>
      <c r="J991" s="4" t="s">
        <v>490</v>
      </c>
      <c r="K991" s="4" t="str">
        <f>IF(E991="KTG","KTG",(VLOOKUP(J991,'list of outsource'!B:H,2,0)))</f>
        <v>ETC</v>
      </c>
      <c r="L991" s="4" t="s">
        <v>491</v>
      </c>
      <c r="M991" s="4">
        <v>30</v>
      </c>
      <c r="N991" s="4" t="s">
        <v>1596</v>
      </c>
      <c r="P991" s="4" t="s">
        <v>2096</v>
      </c>
      <c r="Q991" s="4" t="s">
        <v>2257</v>
      </c>
      <c r="R991" s="12"/>
      <c r="S991" s="4">
        <v>4</v>
      </c>
      <c r="T991" s="4" t="s">
        <v>1465</v>
      </c>
      <c r="U991" s="4" t="s">
        <v>39</v>
      </c>
      <c r="V991" s="10">
        <v>45677</v>
      </c>
      <c r="W991" s="12">
        <v>45694</v>
      </c>
      <c r="X991"/>
      <c r="Y991"/>
      <c r="Z991" t="e">
        <v>#N/A</v>
      </c>
    </row>
    <row r="992" spans="1:26" hidden="1">
      <c r="A992">
        <f t="shared" ca="1" si="16"/>
        <v>10</v>
      </c>
      <c r="B992" s="4" t="s">
        <v>2258</v>
      </c>
      <c r="C992" s="12">
        <v>45667</v>
      </c>
      <c r="D992" s="4" t="s">
        <v>300</v>
      </c>
      <c r="E992" s="4" t="s">
        <v>3662</v>
      </c>
      <c r="F992" s="4">
        <v>4429</v>
      </c>
      <c r="G992" s="4" t="s">
        <v>2251</v>
      </c>
      <c r="H992" s="4" t="s">
        <v>2252</v>
      </c>
      <c r="I992" s="4">
        <v>99932935</v>
      </c>
      <c r="J992" s="4" t="s">
        <v>490</v>
      </c>
      <c r="K992" s="4" t="str">
        <f>IF(E992="KTG","KTG",(VLOOKUP(J992,'list of outsource'!B:H,2,0)))</f>
        <v>ETC</v>
      </c>
      <c r="L992" s="4" t="s">
        <v>491</v>
      </c>
      <c r="M992" s="4">
        <v>30</v>
      </c>
      <c r="N992" s="4" t="s">
        <v>2259</v>
      </c>
      <c r="P992" s="4" t="s">
        <v>2260</v>
      </c>
      <c r="Q992" s="4" t="s">
        <v>2261</v>
      </c>
      <c r="R992" s="12"/>
      <c r="S992" s="4">
        <v>4</v>
      </c>
      <c r="T992" s="4" t="s">
        <v>1465</v>
      </c>
      <c r="U992" s="4" t="s">
        <v>39</v>
      </c>
      <c r="V992" s="10">
        <v>45677</v>
      </c>
      <c r="W992" s="12">
        <v>45694</v>
      </c>
      <c r="X992"/>
      <c r="Y992"/>
      <c r="Z992" t="e">
        <v>#N/A</v>
      </c>
    </row>
    <row r="993" spans="1:26" hidden="1">
      <c r="A993">
        <f t="shared" ca="1" si="16"/>
        <v>10</v>
      </c>
      <c r="B993" s="4" t="s">
        <v>2262</v>
      </c>
      <c r="C993" s="12">
        <v>45667</v>
      </c>
      <c r="D993" s="4" t="s">
        <v>300</v>
      </c>
      <c r="E993" s="4" t="s">
        <v>3662</v>
      </c>
      <c r="F993" s="4">
        <v>4430</v>
      </c>
      <c r="G993" s="4" t="s">
        <v>2251</v>
      </c>
      <c r="H993" s="4" t="s">
        <v>2252</v>
      </c>
      <c r="I993" s="4">
        <v>99932949</v>
      </c>
      <c r="J993" s="4" t="s">
        <v>490</v>
      </c>
      <c r="K993" s="4" t="str">
        <f>IF(E993="KTG","KTG",(VLOOKUP(J993,'list of outsource'!B:H,2,0)))</f>
        <v>ETC</v>
      </c>
      <c r="L993" s="4" t="s">
        <v>491</v>
      </c>
      <c r="M993" s="4">
        <v>30</v>
      </c>
      <c r="N993" s="4" t="s">
        <v>2263</v>
      </c>
      <c r="P993" s="4" t="s">
        <v>2264</v>
      </c>
      <c r="Q993" s="4" t="s">
        <v>2265</v>
      </c>
      <c r="R993" s="12"/>
      <c r="S993" s="4">
        <v>4</v>
      </c>
      <c r="T993" s="4" t="s">
        <v>1465</v>
      </c>
      <c r="U993" s="4" t="s">
        <v>39</v>
      </c>
      <c r="V993" s="10">
        <v>45677</v>
      </c>
      <c r="W993" s="12">
        <v>45694</v>
      </c>
      <c r="X993"/>
      <c r="Y993"/>
      <c r="Z993" t="e">
        <v>#N/A</v>
      </c>
    </row>
    <row r="994" spans="1:26" hidden="1">
      <c r="A994">
        <f t="shared" ca="1" si="16"/>
        <v>33</v>
      </c>
      <c r="B994" s="4" t="s">
        <v>2271</v>
      </c>
      <c r="C994" s="12">
        <v>45674</v>
      </c>
      <c r="D994" s="4" t="s">
        <v>300</v>
      </c>
      <c r="E994" s="4" t="s">
        <v>3665</v>
      </c>
      <c r="F994" s="4">
        <v>4431</v>
      </c>
      <c r="G994" s="4" t="s">
        <v>2251</v>
      </c>
      <c r="H994" s="4" t="s">
        <v>2252</v>
      </c>
      <c r="I994" s="4">
        <v>99932955</v>
      </c>
      <c r="J994" s="4" t="s">
        <v>2272</v>
      </c>
      <c r="K994" s="4" t="str">
        <f>IF(E994="KTG","KTG",(VLOOKUP(J994,'list of outsource'!B:H,2,0)))</f>
        <v>UPM</v>
      </c>
      <c r="L994" s="4" t="s">
        <v>2273</v>
      </c>
      <c r="M994" s="4">
        <v>5</v>
      </c>
      <c r="N994" s="4" t="s">
        <v>2274</v>
      </c>
      <c r="P994" s="4" t="s">
        <v>2275</v>
      </c>
      <c r="Q994" s="4" t="s">
        <v>2276</v>
      </c>
      <c r="R994" s="12"/>
      <c r="S994" s="4">
        <v>4</v>
      </c>
      <c r="T994" s="4" t="s">
        <v>1465</v>
      </c>
      <c r="U994" s="4" t="s">
        <v>2046</v>
      </c>
      <c r="V994" s="10">
        <v>45707</v>
      </c>
      <c r="W994" s="12">
        <v>45719</v>
      </c>
      <c r="X994"/>
      <c r="Y994"/>
      <c r="Z994" t="e">
        <v>#N/A</v>
      </c>
    </row>
    <row r="995" spans="1:26" hidden="1">
      <c r="A995">
        <f t="shared" ca="1" si="16"/>
        <v>33</v>
      </c>
      <c r="B995" s="4" t="s">
        <v>2277</v>
      </c>
      <c r="C995" s="12">
        <v>45674</v>
      </c>
      <c r="D995" s="4" t="s">
        <v>300</v>
      </c>
      <c r="E995" s="4" t="s">
        <v>3665</v>
      </c>
      <c r="F995" s="4">
        <v>4432</v>
      </c>
      <c r="G995" s="4" t="s">
        <v>2251</v>
      </c>
      <c r="H995" s="4" t="s">
        <v>2252</v>
      </c>
      <c r="I995" s="4">
        <v>99932948</v>
      </c>
      <c r="J995" s="4" t="s">
        <v>2272</v>
      </c>
      <c r="K995" s="4" t="str">
        <f>IF(E995="KTG","KTG",(VLOOKUP(J995,'list of outsource'!B:H,2,0)))</f>
        <v>UPM</v>
      </c>
      <c r="L995" s="4" t="s">
        <v>2273</v>
      </c>
      <c r="M995" s="4">
        <v>5</v>
      </c>
      <c r="N995" s="4" t="s">
        <v>2278</v>
      </c>
      <c r="P995" s="4" t="s">
        <v>2279</v>
      </c>
      <c r="Q995" s="4" t="s">
        <v>2280</v>
      </c>
      <c r="R995" s="12"/>
      <c r="S995" s="4">
        <v>4</v>
      </c>
      <c r="T995" s="4" t="s">
        <v>1465</v>
      </c>
      <c r="U995" s="4" t="s">
        <v>2046</v>
      </c>
      <c r="V995" s="10">
        <v>45707</v>
      </c>
      <c r="W995" s="12">
        <v>45719</v>
      </c>
      <c r="X995"/>
      <c r="Y995"/>
      <c r="Z995" t="e">
        <v>#N/A</v>
      </c>
    </row>
    <row r="996" spans="1:26" hidden="1">
      <c r="A996">
        <f t="shared" ca="1" si="16"/>
        <v>33</v>
      </c>
      <c r="B996" s="4" t="s">
        <v>2281</v>
      </c>
      <c r="C996" s="12">
        <v>45674</v>
      </c>
      <c r="D996" s="4" t="s">
        <v>300</v>
      </c>
      <c r="E996" s="4" t="s">
        <v>3665</v>
      </c>
      <c r="F996" s="4">
        <v>4433</v>
      </c>
      <c r="G996" s="4" t="s">
        <v>2251</v>
      </c>
      <c r="H996" s="4" t="s">
        <v>2252</v>
      </c>
      <c r="I996" s="4">
        <v>99932944</v>
      </c>
      <c r="J996" s="4" t="s">
        <v>2272</v>
      </c>
      <c r="K996" s="4" t="str">
        <f>IF(E996="KTG","KTG",(VLOOKUP(J996,'list of outsource'!B:H,2,0)))</f>
        <v>UPM</v>
      </c>
      <c r="L996" s="4" t="s">
        <v>2273</v>
      </c>
      <c r="M996" s="4">
        <v>5</v>
      </c>
      <c r="N996" s="4" t="s">
        <v>2282</v>
      </c>
      <c r="P996" s="4" t="s">
        <v>2283</v>
      </c>
      <c r="Q996" s="4" t="s">
        <v>2284</v>
      </c>
      <c r="R996" s="12"/>
      <c r="S996" s="4">
        <v>4</v>
      </c>
      <c r="T996" s="4" t="s">
        <v>1465</v>
      </c>
      <c r="U996" s="4" t="s">
        <v>2046</v>
      </c>
      <c r="V996" s="10">
        <v>45707</v>
      </c>
      <c r="W996" s="12">
        <v>45719</v>
      </c>
      <c r="X996"/>
      <c r="Y996"/>
      <c r="Z996" t="e">
        <v>#N/A</v>
      </c>
    </row>
    <row r="997" spans="1:26" hidden="1">
      <c r="A997">
        <f t="shared" ca="1" si="16"/>
        <v>33</v>
      </c>
      <c r="B997" s="4" t="s">
        <v>2285</v>
      </c>
      <c r="C997" s="12">
        <v>45674</v>
      </c>
      <c r="D997" s="4" t="s">
        <v>300</v>
      </c>
      <c r="E997" s="4" t="s">
        <v>3665</v>
      </c>
      <c r="F997" s="4">
        <v>4434</v>
      </c>
      <c r="G997" s="4" t="s">
        <v>2251</v>
      </c>
      <c r="H997" s="4" t="s">
        <v>2252</v>
      </c>
      <c r="I997" s="4">
        <v>99932954</v>
      </c>
      <c r="J997" s="4" t="s">
        <v>2272</v>
      </c>
      <c r="K997" s="4" t="str">
        <f>IF(E997="KTG","KTG",(VLOOKUP(J997,'list of outsource'!B:H,2,0)))</f>
        <v>UPM</v>
      </c>
      <c r="L997" s="4" t="s">
        <v>2273</v>
      </c>
      <c r="M997" s="4">
        <v>5</v>
      </c>
      <c r="N997" s="4" t="s">
        <v>2286</v>
      </c>
      <c r="P997" s="4" t="s">
        <v>2287</v>
      </c>
      <c r="Q997" s="4" t="s">
        <v>2288</v>
      </c>
      <c r="R997" s="12"/>
      <c r="S997" s="4">
        <v>4</v>
      </c>
      <c r="T997" s="4" t="s">
        <v>1465</v>
      </c>
      <c r="U997" s="4" t="s">
        <v>2046</v>
      </c>
      <c r="V997" s="10">
        <v>45707</v>
      </c>
      <c r="W997" s="12">
        <v>45719</v>
      </c>
      <c r="X997"/>
      <c r="Y997"/>
      <c r="Z997" t="e">
        <v>#N/A</v>
      </c>
    </row>
    <row r="998" spans="1:26" hidden="1">
      <c r="A998">
        <f t="shared" ca="1" si="16"/>
        <v>33</v>
      </c>
      <c r="B998" s="4" t="s">
        <v>2289</v>
      </c>
      <c r="C998" s="12">
        <v>45674</v>
      </c>
      <c r="D998" s="4" t="s">
        <v>300</v>
      </c>
      <c r="E998" s="4" t="s">
        <v>3665</v>
      </c>
      <c r="F998" s="4">
        <v>4435</v>
      </c>
      <c r="G998" s="4" t="s">
        <v>2251</v>
      </c>
      <c r="H998" s="4" t="s">
        <v>2252</v>
      </c>
      <c r="I998" s="4">
        <v>99932945</v>
      </c>
      <c r="J998" s="4" t="s">
        <v>2272</v>
      </c>
      <c r="K998" s="4" t="str">
        <f>IF(E998="KTG","KTG",(VLOOKUP(J998,'list of outsource'!B:H,2,0)))</f>
        <v>UPM</v>
      </c>
      <c r="L998" s="4" t="s">
        <v>2273</v>
      </c>
      <c r="M998" s="4">
        <v>5</v>
      </c>
      <c r="N998" s="4" t="s">
        <v>2290</v>
      </c>
      <c r="P998" s="4" t="s">
        <v>2291</v>
      </c>
      <c r="Q998" s="4" t="s">
        <v>2292</v>
      </c>
      <c r="R998" s="12"/>
      <c r="S998" s="4">
        <v>4</v>
      </c>
      <c r="T998" s="4" t="s">
        <v>1465</v>
      </c>
      <c r="U998" s="4" t="s">
        <v>2046</v>
      </c>
      <c r="V998" s="10">
        <v>45707</v>
      </c>
      <c r="W998" s="12">
        <v>45719</v>
      </c>
      <c r="X998"/>
      <c r="Y998"/>
      <c r="Z998" t="e">
        <v>#N/A</v>
      </c>
    </row>
    <row r="999" spans="1:26" hidden="1">
      <c r="A999">
        <f t="shared" ca="1" si="16"/>
        <v>33</v>
      </c>
      <c r="B999" s="4" t="s">
        <v>2293</v>
      </c>
      <c r="C999" s="12">
        <v>45674</v>
      </c>
      <c r="D999" s="4" t="s">
        <v>300</v>
      </c>
      <c r="E999" s="4" t="s">
        <v>3665</v>
      </c>
      <c r="F999" s="4">
        <v>4436</v>
      </c>
      <c r="G999" s="4" t="s">
        <v>2251</v>
      </c>
      <c r="H999" s="4" t="s">
        <v>2252</v>
      </c>
      <c r="I999" s="4">
        <v>99932946</v>
      </c>
      <c r="J999" s="4" t="s">
        <v>2272</v>
      </c>
      <c r="K999" s="4" t="str">
        <f>IF(E999="KTG","KTG",(VLOOKUP(J999,'list of outsource'!B:H,2,0)))</f>
        <v>UPM</v>
      </c>
      <c r="L999" s="4" t="s">
        <v>2273</v>
      </c>
      <c r="M999" s="4">
        <v>5</v>
      </c>
      <c r="N999" s="4" t="s">
        <v>2294</v>
      </c>
      <c r="P999" s="4" t="s">
        <v>2295</v>
      </c>
      <c r="Q999" s="4" t="s">
        <v>2296</v>
      </c>
      <c r="R999" s="12"/>
      <c r="S999" s="4">
        <v>4</v>
      </c>
      <c r="T999" s="4" t="s">
        <v>1465</v>
      </c>
      <c r="U999" s="4" t="s">
        <v>2046</v>
      </c>
      <c r="V999" s="10">
        <v>45707</v>
      </c>
      <c r="W999" s="12">
        <v>45719</v>
      </c>
      <c r="X999"/>
      <c r="Y999"/>
      <c r="Z999" t="e">
        <v>#N/A</v>
      </c>
    </row>
    <row r="1000" spans="1:26" hidden="1">
      <c r="A1000">
        <f t="shared" ca="1" si="16"/>
        <v>33</v>
      </c>
      <c r="B1000" s="8" t="s">
        <v>2297</v>
      </c>
      <c r="C1000" s="16">
        <v>45674</v>
      </c>
      <c r="D1000" s="6" t="s">
        <v>129</v>
      </c>
      <c r="E1000" s="6" t="s">
        <v>3665</v>
      </c>
      <c r="F1000" s="6">
        <v>4437</v>
      </c>
      <c r="G1000" s="6" t="s">
        <v>2251</v>
      </c>
      <c r="H1000" s="6" t="s">
        <v>2252</v>
      </c>
      <c r="I1000" s="6">
        <v>99932947</v>
      </c>
      <c r="J1000" s="6" t="s">
        <v>2272</v>
      </c>
      <c r="K1000" s="6" t="str">
        <f>IF(E1000="KTG","KTG",(VLOOKUP(J1000,'list of outsource'!B:H,2,0)))</f>
        <v>UPM</v>
      </c>
      <c r="L1000" s="6" t="s">
        <v>2273</v>
      </c>
      <c r="M1000" s="6">
        <v>5</v>
      </c>
      <c r="N1000" s="6" t="s">
        <v>2298</v>
      </c>
      <c r="P1000" s="6" t="s">
        <v>2299</v>
      </c>
      <c r="Q1000" s="6" t="s">
        <v>2300</v>
      </c>
      <c r="R1000" s="16"/>
      <c r="S1000" s="6">
        <v>4</v>
      </c>
      <c r="T1000" s="6" t="s">
        <v>1465</v>
      </c>
      <c r="U1000" s="6" t="s">
        <v>2046</v>
      </c>
      <c r="V1000" s="17">
        <v>45707</v>
      </c>
      <c r="W1000" s="16"/>
      <c r="X1000"/>
      <c r="Y1000"/>
      <c r="Z1000" t="e">
        <v>#N/A</v>
      </c>
    </row>
    <row r="1001" spans="1:26" hidden="1">
      <c r="A1001">
        <f t="shared" ca="1" si="16"/>
        <v>11</v>
      </c>
      <c r="B1001" s="4" t="s">
        <v>2313</v>
      </c>
      <c r="C1001" s="12">
        <v>45674</v>
      </c>
      <c r="D1001" s="4" t="s">
        <v>300</v>
      </c>
      <c r="E1001" s="4" t="s">
        <v>3662</v>
      </c>
      <c r="F1001" s="4">
        <v>4439</v>
      </c>
      <c r="G1001" s="4" t="s">
        <v>2251</v>
      </c>
      <c r="H1001" s="4" t="s">
        <v>2252</v>
      </c>
      <c r="I1001" s="4">
        <v>99932941</v>
      </c>
      <c r="J1001" s="4" t="s">
        <v>490</v>
      </c>
      <c r="K1001" s="4" t="str">
        <f>IF(E1001="KTG","KTG",(VLOOKUP(J1001,'list of outsource'!B:H,2,0)))</f>
        <v>ETC</v>
      </c>
      <c r="L1001" s="4" t="s">
        <v>491</v>
      </c>
      <c r="M1001" s="4">
        <v>30</v>
      </c>
      <c r="N1001" s="4" t="s">
        <v>2314</v>
      </c>
      <c r="P1001" s="4" t="s">
        <v>2315</v>
      </c>
      <c r="Q1001" s="4" t="s">
        <v>2316</v>
      </c>
      <c r="R1001" s="12">
        <v>45680</v>
      </c>
      <c r="S1001" s="4">
        <v>4</v>
      </c>
      <c r="T1001" s="4" t="s">
        <v>1465</v>
      </c>
      <c r="U1001" s="4" t="s">
        <v>2046</v>
      </c>
      <c r="V1001" s="10">
        <v>45685</v>
      </c>
      <c r="W1001" s="12">
        <v>45750</v>
      </c>
      <c r="X1001"/>
      <c r="Y1001"/>
      <c r="Z1001" t="e">
        <v>#N/A</v>
      </c>
    </row>
    <row r="1002" spans="1:26" hidden="1">
      <c r="A1002">
        <f t="shared" ca="1" si="16"/>
        <v>11</v>
      </c>
      <c r="B1002" s="8" t="s">
        <v>2317</v>
      </c>
      <c r="C1002" s="16">
        <v>45674</v>
      </c>
      <c r="D1002" s="6" t="s">
        <v>129</v>
      </c>
      <c r="E1002" s="6" t="s">
        <v>3662</v>
      </c>
      <c r="F1002" s="6">
        <v>4442</v>
      </c>
      <c r="G1002" s="6" t="s">
        <v>2251</v>
      </c>
      <c r="H1002" s="6" t="s">
        <v>2252</v>
      </c>
      <c r="I1002" s="6">
        <v>99932951</v>
      </c>
      <c r="J1002" s="6" t="s">
        <v>490</v>
      </c>
      <c r="K1002" s="6" t="str">
        <f>IF(E1002="KTG","KTG",(VLOOKUP(J1002,'list of outsource'!B:H,2,0)))</f>
        <v>ETC</v>
      </c>
      <c r="L1002" s="6" t="s">
        <v>491</v>
      </c>
      <c r="M1002" s="6">
        <v>30</v>
      </c>
      <c r="N1002" s="6" t="s">
        <v>2318</v>
      </c>
      <c r="P1002" s="6" t="s">
        <v>2319</v>
      </c>
      <c r="Q1002" s="6" t="s">
        <v>2320</v>
      </c>
      <c r="R1002" s="16">
        <v>45680</v>
      </c>
      <c r="S1002" s="6">
        <v>4</v>
      </c>
      <c r="T1002" s="6" t="s">
        <v>1465</v>
      </c>
      <c r="U1002" s="6" t="s">
        <v>2046</v>
      </c>
      <c r="V1002" s="17">
        <v>45685</v>
      </c>
      <c r="W1002" s="16"/>
      <c r="X1002"/>
      <c r="Y1002"/>
      <c r="Z1002" t="e">
        <v>#N/A</v>
      </c>
    </row>
    <row r="1003" spans="1:26" hidden="1">
      <c r="A1003">
        <f t="shared" ca="1" si="16"/>
        <v>11</v>
      </c>
      <c r="B1003" s="4" t="s">
        <v>2321</v>
      </c>
      <c r="C1003" s="12">
        <v>45674</v>
      </c>
      <c r="D1003" s="4" t="s">
        <v>300</v>
      </c>
      <c r="E1003" s="4" t="s">
        <v>3662</v>
      </c>
      <c r="F1003" s="4">
        <v>4444</v>
      </c>
      <c r="G1003" s="4" t="s">
        <v>2251</v>
      </c>
      <c r="H1003" s="4" t="s">
        <v>2252</v>
      </c>
      <c r="I1003" s="4">
        <v>99932943</v>
      </c>
      <c r="J1003" s="4" t="s">
        <v>490</v>
      </c>
      <c r="K1003" s="4" t="str">
        <f>IF(E1003="KTG","KTG",(VLOOKUP(J1003,'list of outsource'!B:H,2,0)))</f>
        <v>ETC</v>
      </c>
      <c r="L1003" s="4" t="s">
        <v>491</v>
      </c>
      <c r="M1003" s="4">
        <v>30</v>
      </c>
      <c r="N1003" s="4" t="s">
        <v>2322</v>
      </c>
      <c r="P1003" s="4" t="s">
        <v>2323</v>
      </c>
      <c r="Q1003" s="4" t="s">
        <v>2324</v>
      </c>
      <c r="R1003" s="12">
        <v>45680</v>
      </c>
      <c r="S1003" s="4">
        <v>4</v>
      </c>
      <c r="T1003" s="4" t="s">
        <v>1465</v>
      </c>
      <c r="U1003" s="4" t="s">
        <v>2046</v>
      </c>
      <c r="V1003" s="10">
        <v>45685</v>
      </c>
      <c r="W1003" s="12">
        <v>45750</v>
      </c>
      <c r="X1003"/>
      <c r="Y1003"/>
      <c r="Z1003" t="e">
        <v>#N/A</v>
      </c>
    </row>
    <row r="1004" spans="1:26" hidden="1">
      <c r="A1004">
        <f t="shared" ca="1" si="16"/>
        <v>11</v>
      </c>
      <c r="B1004" s="4" t="s">
        <v>2325</v>
      </c>
      <c r="C1004" s="12">
        <v>45674</v>
      </c>
      <c r="D1004" s="4" t="s">
        <v>300</v>
      </c>
      <c r="E1004" s="4" t="s">
        <v>3662</v>
      </c>
      <c r="F1004" s="4">
        <v>4440</v>
      </c>
      <c r="G1004" s="4" t="s">
        <v>2251</v>
      </c>
      <c r="H1004" s="4" t="s">
        <v>2252</v>
      </c>
      <c r="I1004" s="4">
        <v>99932942</v>
      </c>
      <c r="J1004" s="4" t="s">
        <v>490</v>
      </c>
      <c r="K1004" s="4" t="str">
        <f>IF(E1004="KTG","KTG",(VLOOKUP(J1004,'list of outsource'!B:H,2,0)))</f>
        <v>ETC</v>
      </c>
      <c r="L1004" s="4" t="s">
        <v>491</v>
      </c>
      <c r="M1004" s="4">
        <v>30</v>
      </c>
      <c r="N1004" s="4" t="s">
        <v>2326</v>
      </c>
      <c r="P1004" s="4" t="s">
        <v>2327</v>
      </c>
      <c r="Q1004" s="4" t="s">
        <v>2328</v>
      </c>
      <c r="R1004" s="12">
        <v>45680</v>
      </c>
      <c r="S1004" s="4">
        <v>4</v>
      </c>
      <c r="T1004" s="4" t="s">
        <v>1465</v>
      </c>
      <c r="U1004" s="4" t="s">
        <v>2046</v>
      </c>
      <c r="V1004" s="10">
        <v>45685</v>
      </c>
      <c r="W1004" s="12">
        <v>45750</v>
      </c>
      <c r="X1004"/>
      <c r="Y1004"/>
      <c r="Z1004" t="e">
        <v>#N/A</v>
      </c>
    </row>
    <row r="1005" spans="1:26" hidden="1">
      <c r="A1005">
        <f t="shared" ca="1" si="16"/>
        <v>11</v>
      </c>
      <c r="B1005" s="4" t="s">
        <v>2329</v>
      </c>
      <c r="C1005" s="12">
        <v>45674</v>
      </c>
      <c r="D1005" s="4" t="s">
        <v>300</v>
      </c>
      <c r="E1005" s="4" t="s">
        <v>3662</v>
      </c>
      <c r="F1005" s="4">
        <v>4443</v>
      </c>
      <c r="G1005" s="4" t="s">
        <v>2251</v>
      </c>
      <c r="H1005" s="4" t="s">
        <v>2252</v>
      </c>
      <c r="I1005" s="4">
        <v>99932952</v>
      </c>
      <c r="J1005" s="4" t="s">
        <v>490</v>
      </c>
      <c r="K1005" s="4" t="str">
        <f>IF(E1005="KTG","KTG",(VLOOKUP(J1005,'list of outsource'!B:H,2,0)))</f>
        <v>ETC</v>
      </c>
      <c r="L1005" s="4" t="s">
        <v>491</v>
      </c>
      <c r="M1005" s="4">
        <v>30</v>
      </c>
      <c r="N1005" s="4" t="s">
        <v>2330</v>
      </c>
      <c r="P1005" s="4" t="s">
        <v>2331</v>
      </c>
      <c r="Q1005" s="4" t="s">
        <v>2332</v>
      </c>
      <c r="R1005" s="12">
        <v>45680</v>
      </c>
      <c r="S1005" s="4">
        <v>4</v>
      </c>
      <c r="T1005" s="4" t="s">
        <v>1465</v>
      </c>
      <c r="U1005" s="4" t="s">
        <v>2046</v>
      </c>
      <c r="V1005" s="10">
        <v>45685</v>
      </c>
      <c r="W1005" s="12">
        <v>45750</v>
      </c>
      <c r="X1005"/>
      <c r="Y1005"/>
      <c r="Z1005" t="e">
        <v>#N/A</v>
      </c>
    </row>
    <row r="1006" spans="1:26" hidden="1">
      <c r="A1006">
        <f t="shared" ca="1" si="16"/>
        <v>11</v>
      </c>
      <c r="B1006" s="4" t="s">
        <v>2333</v>
      </c>
      <c r="C1006" s="12">
        <v>45674</v>
      </c>
      <c r="D1006" s="4" t="s">
        <v>300</v>
      </c>
      <c r="E1006" s="4" t="s">
        <v>3662</v>
      </c>
      <c r="F1006" s="4">
        <v>4445</v>
      </c>
      <c r="G1006" s="4" t="s">
        <v>2251</v>
      </c>
      <c r="H1006" s="4" t="s">
        <v>2252</v>
      </c>
      <c r="I1006" s="4">
        <v>99932953</v>
      </c>
      <c r="J1006" s="4" t="s">
        <v>490</v>
      </c>
      <c r="K1006" s="4" t="str">
        <f>IF(E1006="KTG","KTG",(VLOOKUP(J1006,'list of outsource'!B:H,2,0)))</f>
        <v>ETC</v>
      </c>
      <c r="L1006" s="4" t="s">
        <v>491</v>
      </c>
      <c r="M1006" s="4">
        <v>30</v>
      </c>
      <c r="N1006" s="4" t="s">
        <v>2334</v>
      </c>
      <c r="P1006" s="4" t="s">
        <v>2335</v>
      </c>
      <c r="Q1006" s="4" t="s">
        <v>2336</v>
      </c>
      <c r="R1006" s="12">
        <v>45680</v>
      </c>
      <c r="S1006" s="4">
        <v>4</v>
      </c>
      <c r="T1006" s="4" t="s">
        <v>1465</v>
      </c>
      <c r="U1006" s="4" t="s">
        <v>2046</v>
      </c>
      <c r="V1006" s="10">
        <v>45685</v>
      </c>
      <c r="W1006" s="12">
        <v>45757</v>
      </c>
      <c r="X1006"/>
      <c r="Y1006"/>
      <c r="Z1006" t="e">
        <v>#N/A</v>
      </c>
    </row>
    <row r="1007" spans="1:26" hidden="1">
      <c r="A1007">
        <f t="shared" ca="1" si="16"/>
        <v>11</v>
      </c>
      <c r="B1007" s="4" t="s">
        <v>2337</v>
      </c>
      <c r="C1007" s="12">
        <v>45674</v>
      </c>
      <c r="D1007" s="4" t="s">
        <v>300</v>
      </c>
      <c r="E1007" s="4" t="s">
        <v>3662</v>
      </c>
      <c r="F1007" s="4">
        <v>4438</v>
      </c>
      <c r="G1007" s="4" t="s">
        <v>2251</v>
      </c>
      <c r="H1007" s="4" t="s">
        <v>2252</v>
      </c>
      <c r="I1007" s="4">
        <v>99932940</v>
      </c>
      <c r="J1007" s="4" t="s">
        <v>490</v>
      </c>
      <c r="K1007" s="4" t="str">
        <f>IF(E1007="KTG","KTG",(VLOOKUP(J1007,'list of outsource'!B:H,2,0)))</f>
        <v>ETC</v>
      </c>
      <c r="L1007" s="4" t="s">
        <v>491</v>
      </c>
      <c r="M1007" s="4">
        <v>31</v>
      </c>
      <c r="N1007" s="4" t="s">
        <v>2338</v>
      </c>
      <c r="P1007" s="4" t="s">
        <v>2339</v>
      </c>
      <c r="Q1007" s="4" t="s">
        <v>2340</v>
      </c>
      <c r="R1007" s="12">
        <v>45680</v>
      </c>
      <c r="S1007" s="4">
        <v>4</v>
      </c>
      <c r="T1007" s="4" t="s">
        <v>1465</v>
      </c>
      <c r="U1007" s="4" t="s">
        <v>2046</v>
      </c>
      <c r="V1007" s="10">
        <v>45685</v>
      </c>
      <c r="W1007" s="12">
        <v>45750</v>
      </c>
      <c r="X1007"/>
      <c r="Y1007"/>
      <c r="Z1007" t="e">
        <v>#N/A</v>
      </c>
    </row>
    <row r="1008" spans="1:26" hidden="1">
      <c r="A1008">
        <f t="shared" ca="1" si="16"/>
        <v>11</v>
      </c>
      <c r="B1008" s="4" t="s">
        <v>2341</v>
      </c>
      <c r="C1008" s="12">
        <v>45674</v>
      </c>
      <c r="D1008" s="4" t="s">
        <v>300</v>
      </c>
      <c r="E1008" s="4" t="s">
        <v>3662</v>
      </c>
      <c r="F1008" s="4">
        <v>4441</v>
      </c>
      <c r="G1008" s="4" t="s">
        <v>2251</v>
      </c>
      <c r="H1008" s="4" t="s">
        <v>2252</v>
      </c>
      <c r="I1008" s="4">
        <v>99932950</v>
      </c>
      <c r="J1008" s="4" t="s">
        <v>490</v>
      </c>
      <c r="K1008" s="4" t="str">
        <f>IF(E1008="KTG","KTG",(VLOOKUP(J1008,'list of outsource'!B:H,2,0)))</f>
        <v>ETC</v>
      </c>
      <c r="L1008" s="4" t="s">
        <v>491</v>
      </c>
      <c r="M1008" s="4">
        <v>31</v>
      </c>
      <c r="N1008" s="4" t="s">
        <v>2342</v>
      </c>
      <c r="P1008" s="4" t="s">
        <v>2343</v>
      </c>
      <c r="Q1008" s="4" t="s">
        <v>2344</v>
      </c>
      <c r="R1008" s="12">
        <v>45680</v>
      </c>
      <c r="S1008" s="4">
        <v>4</v>
      </c>
      <c r="T1008" s="4" t="s">
        <v>1465</v>
      </c>
      <c r="U1008" s="4" t="s">
        <v>2046</v>
      </c>
      <c r="V1008" s="10">
        <v>45685</v>
      </c>
      <c r="W1008" s="12">
        <v>45750</v>
      </c>
      <c r="X1008"/>
      <c r="Y1008"/>
      <c r="Z1008" t="e">
        <v>#N/A</v>
      </c>
    </row>
    <row r="1009" spans="1:26" hidden="1">
      <c r="A1009">
        <f t="shared" ca="1" si="16"/>
        <v>1</v>
      </c>
      <c r="B1009" s="4" t="s">
        <v>2345</v>
      </c>
      <c r="C1009" s="12">
        <v>45678</v>
      </c>
      <c r="D1009" s="4" t="s">
        <v>300</v>
      </c>
      <c r="E1009" s="4" t="s">
        <v>3662</v>
      </c>
      <c r="F1009" s="4">
        <v>4426</v>
      </c>
      <c r="G1009" s="4" t="s">
        <v>2251</v>
      </c>
      <c r="H1009" s="4" t="s">
        <v>2252</v>
      </c>
      <c r="I1009" s="4">
        <v>69322246</v>
      </c>
      <c r="J1009" s="4" t="s">
        <v>490</v>
      </c>
      <c r="K1009" s="4" t="str">
        <f>IF(E1009="KTG","KTG",(VLOOKUP(J1009,'list of outsource'!B:H,2,0)))</f>
        <v>ETC</v>
      </c>
      <c r="L1009" s="4" t="s">
        <v>491</v>
      </c>
      <c r="M1009" s="4">
        <v>30</v>
      </c>
      <c r="N1009" s="4" t="s">
        <v>492</v>
      </c>
      <c r="P1009" s="4" t="s">
        <v>2092</v>
      </c>
      <c r="Q1009" s="4" t="s">
        <v>2346</v>
      </c>
      <c r="R1009" s="12"/>
      <c r="S1009" s="4">
        <v>4</v>
      </c>
      <c r="T1009" s="4" t="s">
        <v>1465</v>
      </c>
      <c r="U1009" s="4" t="s">
        <v>2046</v>
      </c>
      <c r="V1009" s="10">
        <v>45679</v>
      </c>
      <c r="W1009" s="12">
        <v>45694</v>
      </c>
      <c r="X1009"/>
      <c r="Y1009"/>
      <c r="Z1009" t="e">
        <v>#N/A</v>
      </c>
    </row>
    <row r="1010" spans="1:26" hidden="1">
      <c r="A1010">
        <f t="shared" ca="1" si="16"/>
        <v>33</v>
      </c>
      <c r="B1010" s="4" t="s">
        <v>2301</v>
      </c>
      <c r="C1010" s="12">
        <v>45674</v>
      </c>
      <c r="D1010" s="4" t="s">
        <v>300</v>
      </c>
      <c r="E1010" s="4" t="s">
        <v>3662</v>
      </c>
      <c r="F1010" s="4">
        <v>4448</v>
      </c>
      <c r="G1010" s="4" t="s">
        <v>2251</v>
      </c>
      <c r="H1010" s="4" t="s">
        <v>2252</v>
      </c>
      <c r="I1010" s="4">
        <v>99932934</v>
      </c>
      <c r="J1010" s="4" t="s">
        <v>490</v>
      </c>
      <c r="K1010" s="4" t="str">
        <f>IF(E1010="KTG","KTG",(VLOOKUP(J1010,'list of outsource'!B:H,2,0)))</f>
        <v>ETC</v>
      </c>
      <c r="L1010" s="4" t="s">
        <v>491</v>
      </c>
      <c r="M1010" s="4">
        <v>31</v>
      </c>
      <c r="N1010" s="4" t="s">
        <v>2302</v>
      </c>
      <c r="P1010" s="4" t="s">
        <v>2303</v>
      </c>
      <c r="Q1010" s="4" t="s">
        <v>2304</v>
      </c>
      <c r="R1010" s="12"/>
      <c r="S1010" s="4">
        <v>4</v>
      </c>
      <c r="T1010" s="4" t="s">
        <v>1465</v>
      </c>
      <c r="U1010" s="4" t="s">
        <v>2046</v>
      </c>
      <c r="V1010" s="10">
        <v>45707</v>
      </c>
      <c r="W1010" s="12">
        <v>45719</v>
      </c>
      <c r="X1010"/>
      <c r="Y1010"/>
      <c r="Z1010" t="e">
        <v>#N/A</v>
      </c>
    </row>
    <row r="1011" spans="1:26" hidden="1">
      <c r="A1011">
        <f t="shared" ca="1" si="16"/>
        <v>33</v>
      </c>
      <c r="B1011" s="4" t="s">
        <v>2305</v>
      </c>
      <c r="C1011" s="12">
        <v>45674</v>
      </c>
      <c r="D1011" s="4" t="s">
        <v>300</v>
      </c>
      <c r="E1011" s="4" t="s">
        <v>3662</v>
      </c>
      <c r="F1011" s="4">
        <v>4446</v>
      </c>
      <c r="G1011" s="4" t="s">
        <v>2251</v>
      </c>
      <c r="H1011" s="4" t="s">
        <v>2252</v>
      </c>
      <c r="I1011" s="4">
        <v>99932936</v>
      </c>
      <c r="J1011" s="4" t="s">
        <v>490</v>
      </c>
      <c r="K1011" s="4" t="str">
        <f>IF(E1011="KTG","KTG",(VLOOKUP(J1011,'list of outsource'!B:H,2,0)))</f>
        <v>ETC</v>
      </c>
      <c r="L1011" s="4" t="s">
        <v>491</v>
      </c>
      <c r="M1011" s="4">
        <v>31</v>
      </c>
      <c r="N1011" s="4" t="s">
        <v>2306</v>
      </c>
      <c r="P1011" s="4" t="s">
        <v>2307</v>
      </c>
      <c r="Q1011" s="4" t="s">
        <v>2308</v>
      </c>
      <c r="R1011" s="12"/>
      <c r="S1011" s="4">
        <v>4</v>
      </c>
      <c r="T1011" s="4" t="s">
        <v>1465</v>
      </c>
      <c r="U1011" s="4" t="s">
        <v>2046</v>
      </c>
      <c r="V1011" s="10">
        <v>45707</v>
      </c>
      <c r="W1011" s="12">
        <v>45719</v>
      </c>
      <c r="X1011"/>
      <c r="Y1011"/>
      <c r="Z1011" t="e">
        <v>#N/A</v>
      </c>
    </row>
    <row r="1012" spans="1:26" hidden="1">
      <c r="A1012">
        <f t="shared" ca="1" si="16"/>
        <v>33</v>
      </c>
      <c r="B1012" s="4" t="s">
        <v>2309</v>
      </c>
      <c r="C1012" s="12">
        <v>45674</v>
      </c>
      <c r="D1012" s="4" t="s">
        <v>300</v>
      </c>
      <c r="E1012" s="4" t="s">
        <v>3662</v>
      </c>
      <c r="F1012" s="4">
        <v>4447</v>
      </c>
      <c r="G1012" s="4" t="s">
        <v>2251</v>
      </c>
      <c r="H1012" s="4" t="s">
        <v>2252</v>
      </c>
      <c r="I1012" s="4">
        <v>99932937</v>
      </c>
      <c r="J1012" s="4" t="s">
        <v>490</v>
      </c>
      <c r="K1012" s="4" t="str">
        <f>IF(E1012="KTG","KTG",(VLOOKUP(J1012,'list of outsource'!B:H,2,0)))</f>
        <v>ETC</v>
      </c>
      <c r="L1012" s="4" t="s">
        <v>491</v>
      </c>
      <c r="M1012" s="4">
        <v>31</v>
      </c>
      <c r="N1012" s="4" t="s">
        <v>2310</v>
      </c>
      <c r="P1012" s="4" t="s">
        <v>2311</v>
      </c>
      <c r="Q1012" s="4" t="s">
        <v>2312</v>
      </c>
      <c r="R1012" s="12"/>
      <c r="S1012" s="4">
        <v>4</v>
      </c>
      <c r="T1012" s="4" t="s">
        <v>1465</v>
      </c>
      <c r="U1012" s="4" t="s">
        <v>2046</v>
      </c>
      <c r="V1012" s="10">
        <v>45707</v>
      </c>
      <c r="W1012" s="12">
        <v>45719</v>
      </c>
      <c r="X1012"/>
      <c r="Y1012"/>
      <c r="Z1012" t="e">
        <v>#N/A</v>
      </c>
    </row>
    <row r="1013" spans="1:26" hidden="1">
      <c r="A1013">
        <f t="shared" ca="1" si="16"/>
        <v>12</v>
      </c>
      <c r="B1013" s="4" t="s">
        <v>2361</v>
      </c>
      <c r="C1013" s="12">
        <v>45700</v>
      </c>
      <c r="D1013" s="4" t="s">
        <v>300</v>
      </c>
      <c r="E1013" s="4" t="s">
        <v>3662</v>
      </c>
      <c r="F1013" s="4">
        <v>4313</v>
      </c>
      <c r="G1013" s="4" t="s">
        <v>2362</v>
      </c>
      <c r="H1013" s="4" t="s">
        <v>34</v>
      </c>
      <c r="I1013" s="4" t="s">
        <v>2363</v>
      </c>
      <c r="J1013" s="4" t="s">
        <v>490</v>
      </c>
      <c r="K1013" s="4" t="str">
        <f>IF(E1013="KTG","KTG",(VLOOKUP(J1013,'list of outsource'!B:H,2,0)))</f>
        <v>ETC</v>
      </c>
      <c r="L1013" s="4" t="s">
        <v>491</v>
      </c>
      <c r="M1013" s="4">
        <v>32</v>
      </c>
      <c r="N1013" s="4" t="s">
        <v>1031</v>
      </c>
      <c r="P1013" s="4" t="s">
        <v>2364</v>
      </c>
      <c r="Q1013" s="4" t="s">
        <v>2365</v>
      </c>
      <c r="R1013" s="12"/>
      <c r="S1013" s="4">
        <v>4</v>
      </c>
      <c r="T1013" s="4" t="s">
        <v>1465</v>
      </c>
      <c r="U1013" s="4" t="s">
        <v>39</v>
      </c>
      <c r="V1013" s="10">
        <v>45712</v>
      </c>
      <c r="W1013" s="12">
        <v>45736</v>
      </c>
      <c r="X1013"/>
      <c r="Y1013"/>
      <c r="Z1013" t="e">
        <v>#N/A</v>
      </c>
    </row>
    <row r="1014" spans="1:26">
      <c r="A1014">
        <f t="shared" ca="1" si="16"/>
        <v>133</v>
      </c>
      <c r="B1014" s="49" t="s">
        <v>1755</v>
      </c>
      <c r="C1014" s="12">
        <v>45432</v>
      </c>
      <c r="D1014" s="4" t="s">
        <v>300</v>
      </c>
      <c r="E1014" s="4" t="s">
        <v>3662</v>
      </c>
      <c r="F1014" s="4"/>
      <c r="G1014" s="106" t="s">
        <v>1690</v>
      </c>
      <c r="H1014" s="106" t="s">
        <v>1691</v>
      </c>
      <c r="I1014" s="49" t="s">
        <v>1756</v>
      </c>
      <c r="J1014" s="4" t="s">
        <v>525</v>
      </c>
      <c r="K1014" s="4" t="str">
        <f>IF(E1014="KTG","KTG",(VLOOKUP(J1014,'list of outsource'!B:H,2,0)))</f>
        <v>ETC</v>
      </c>
      <c r="L1014" s="4" t="s">
        <v>526</v>
      </c>
      <c r="M1014" s="4">
        <v>19</v>
      </c>
      <c r="N1014" s="4" t="s">
        <v>641</v>
      </c>
      <c r="O1014" s="2" t="s">
        <v>3691</v>
      </c>
      <c r="P1014" s="4" t="s">
        <v>1757</v>
      </c>
      <c r="Q1014" s="4" t="s">
        <v>1758</v>
      </c>
      <c r="R1014" s="12">
        <v>45483</v>
      </c>
      <c r="S1014" s="4">
        <v>4</v>
      </c>
      <c r="T1014" s="4" t="s">
        <v>1465</v>
      </c>
      <c r="U1014" s="4" t="s">
        <v>39</v>
      </c>
      <c r="V1014" s="10">
        <v>45565</v>
      </c>
      <c r="W1014" s="12">
        <v>45635</v>
      </c>
      <c r="X1014"/>
      <c r="Y1014"/>
      <c r="Z1014" t="e">
        <v>#N/A</v>
      </c>
    </row>
    <row r="1015" spans="1:26" customFormat="1" hidden="1">
      <c r="A1015">
        <f t="shared" ca="1" si="16"/>
        <v>39</v>
      </c>
      <c r="B1015" s="4" t="s">
        <v>2410</v>
      </c>
      <c r="C1015" s="12">
        <v>45743</v>
      </c>
      <c r="D1015" s="4" t="s">
        <v>300</v>
      </c>
      <c r="E1015" s="4" t="s">
        <v>3662</v>
      </c>
      <c r="F1015" s="4">
        <v>3987</v>
      </c>
      <c r="G1015" s="4" t="s">
        <v>2411</v>
      </c>
      <c r="H1015" s="4" t="s">
        <v>34</v>
      </c>
      <c r="I1015" s="4" t="s">
        <v>2412</v>
      </c>
      <c r="J1015" s="4" t="s">
        <v>222</v>
      </c>
      <c r="K1015" s="4" t="str">
        <f>IF(E1015="KTG","KTG",(VLOOKUP(J1015,'list of outsource'!B:H,2,0)))</f>
        <v>ETC</v>
      </c>
      <c r="L1015" s="4" t="s">
        <v>223</v>
      </c>
      <c r="M1015" s="4">
        <v>23</v>
      </c>
      <c r="N1015" s="4" t="s">
        <v>372</v>
      </c>
      <c r="O1015" s="2"/>
      <c r="P1015" s="4" t="s">
        <v>566</v>
      </c>
      <c r="Q1015" s="4" t="s">
        <v>2413</v>
      </c>
      <c r="R1015" s="12"/>
      <c r="S1015" s="4">
        <v>3</v>
      </c>
      <c r="T1015" s="4" t="s">
        <v>1465</v>
      </c>
      <c r="U1015" s="4" t="s">
        <v>39</v>
      </c>
      <c r="V1015" s="10">
        <v>45782</v>
      </c>
      <c r="W1015" s="12">
        <v>45810</v>
      </c>
      <c r="Z1015">
        <v>0</v>
      </c>
    </row>
    <row r="1016" spans="1:26" customFormat="1" hidden="1">
      <c r="A1016">
        <f t="shared" ca="1" si="16"/>
        <v>6</v>
      </c>
      <c r="B1016" s="4" t="s">
        <v>2661</v>
      </c>
      <c r="C1016" s="12">
        <v>45834</v>
      </c>
      <c r="D1016" s="4" t="s">
        <v>300</v>
      </c>
      <c r="E1016" s="4" t="s">
        <v>3662</v>
      </c>
      <c r="F1016" s="4">
        <v>3988</v>
      </c>
      <c r="G1016" s="4" t="s">
        <v>2411</v>
      </c>
      <c r="H1016" s="4" t="s">
        <v>34</v>
      </c>
      <c r="I1016" s="4" t="s">
        <v>2662</v>
      </c>
      <c r="J1016" s="4" t="s">
        <v>222</v>
      </c>
      <c r="K1016" s="4" t="str">
        <f>IF(E1016="KTG","KTG",(VLOOKUP(J1016,'list of outsource'!B:H,2,0)))</f>
        <v>ETC</v>
      </c>
      <c r="L1016" s="4" t="s">
        <v>223</v>
      </c>
      <c r="M1016" s="4">
        <v>23</v>
      </c>
      <c r="N1016" s="4" t="s">
        <v>2663</v>
      </c>
      <c r="O1016" s="2"/>
      <c r="P1016" s="4" t="s">
        <v>2664</v>
      </c>
      <c r="Q1016" s="4" t="s">
        <v>2665</v>
      </c>
      <c r="R1016" s="12"/>
      <c r="S1016" s="4">
        <v>3</v>
      </c>
      <c r="T1016" s="4" t="s">
        <v>2666</v>
      </c>
      <c r="U1016" s="4" t="s">
        <v>39</v>
      </c>
      <c r="V1016" s="10">
        <v>45840</v>
      </c>
      <c r="W1016" s="12">
        <v>45881</v>
      </c>
      <c r="Z1016" t="s">
        <v>2667</v>
      </c>
    </row>
    <row r="1017" spans="1:26" customFormat="1" hidden="1">
      <c r="A1017">
        <f t="shared" ca="1" si="16"/>
        <v>36</v>
      </c>
      <c r="B1017" s="8" t="s">
        <v>2676</v>
      </c>
      <c r="C1017" s="16">
        <v>45838</v>
      </c>
      <c r="D1017" s="6" t="s">
        <v>129</v>
      </c>
      <c r="E1017" s="6" t="s">
        <v>3665</v>
      </c>
      <c r="F1017" s="6">
        <v>4673</v>
      </c>
      <c r="G1017" s="6" t="s">
        <v>2677</v>
      </c>
      <c r="H1017" s="6" t="s">
        <v>632</v>
      </c>
      <c r="I1017" s="6" t="s">
        <v>2678</v>
      </c>
      <c r="J1017" s="6" t="s">
        <v>108</v>
      </c>
      <c r="K1017" s="6" t="str">
        <f>IF(E1017="KTG","KTG",(VLOOKUP(J1017,'list of outsource'!B:H,2,0)))</f>
        <v>UPM</v>
      </c>
      <c r="L1017" s="6" t="s">
        <v>109</v>
      </c>
      <c r="M1017" s="6">
        <v>46</v>
      </c>
      <c r="N1017" s="6" t="s">
        <v>2679</v>
      </c>
      <c r="O1017" s="2"/>
      <c r="P1017" s="6" t="s">
        <v>2680</v>
      </c>
      <c r="Q1017" s="6" t="s">
        <v>2681</v>
      </c>
      <c r="R1017" s="16"/>
      <c r="S1017" s="6">
        <v>4</v>
      </c>
      <c r="T1017" s="6" t="s">
        <v>1465</v>
      </c>
      <c r="U1017" s="6" t="s">
        <v>39</v>
      </c>
      <c r="V1017" s="17">
        <v>45874</v>
      </c>
      <c r="W1017" s="16"/>
      <c r="X1017" t="s">
        <v>2171</v>
      </c>
      <c r="Z1017" t="e">
        <v>#N/A</v>
      </c>
    </row>
    <row r="1018" spans="1:26" customFormat="1" hidden="1">
      <c r="A1018">
        <f t="shared" ca="1" si="16"/>
        <v>36</v>
      </c>
      <c r="B1018" s="8" t="s">
        <v>2682</v>
      </c>
      <c r="C1018" s="16">
        <v>45838</v>
      </c>
      <c r="D1018" s="6" t="s">
        <v>129</v>
      </c>
      <c r="E1018" s="6" t="s">
        <v>3665</v>
      </c>
      <c r="F1018" s="6">
        <v>4670</v>
      </c>
      <c r="G1018" s="6" t="s">
        <v>2677</v>
      </c>
      <c r="H1018" s="6" t="s">
        <v>632</v>
      </c>
      <c r="I1018" s="6" t="s">
        <v>2683</v>
      </c>
      <c r="J1018" s="6" t="s">
        <v>212</v>
      </c>
      <c r="K1018" s="6" t="str">
        <f>IF(E1018="KTG","KTG",(VLOOKUP(J1018,'list of outsource'!B:H,2,0)))</f>
        <v>UPM</v>
      </c>
      <c r="L1018" s="6" t="s">
        <v>213</v>
      </c>
      <c r="M1018" s="6">
        <v>10</v>
      </c>
      <c r="N1018" s="6" t="s">
        <v>274</v>
      </c>
      <c r="O1018" s="2"/>
      <c r="P1018" s="6" t="s">
        <v>2684</v>
      </c>
      <c r="Q1018" s="6" t="s">
        <v>2685</v>
      </c>
      <c r="R1018" s="16"/>
      <c r="S1018" s="6">
        <v>4</v>
      </c>
      <c r="T1018" s="6" t="s">
        <v>1465</v>
      </c>
      <c r="U1018" s="6" t="s">
        <v>39</v>
      </c>
      <c r="V1018" s="17">
        <v>45874</v>
      </c>
      <c r="W1018" s="16"/>
      <c r="X1018" t="s">
        <v>2171</v>
      </c>
      <c r="Z1018" t="e">
        <v>#N/A</v>
      </c>
    </row>
    <row r="1019" spans="1:26" customFormat="1" hidden="1">
      <c r="A1019">
        <f t="shared" ca="1" si="16"/>
        <v>36</v>
      </c>
      <c r="B1019" s="8" t="s">
        <v>2686</v>
      </c>
      <c r="C1019" s="16">
        <v>45838</v>
      </c>
      <c r="D1019" s="6" t="s">
        <v>129</v>
      </c>
      <c r="E1019" s="6" t="s">
        <v>3665</v>
      </c>
      <c r="F1019" s="6">
        <v>4671</v>
      </c>
      <c r="G1019" s="6" t="s">
        <v>2677</v>
      </c>
      <c r="H1019" s="6" t="s">
        <v>632</v>
      </c>
      <c r="I1019" s="6" t="s">
        <v>2687</v>
      </c>
      <c r="J1019" s="6" t="s">
        <v>212</v>
      </c>
      <c r="K1019" s="6" t="str">
        <f>IF(E1019="KTG","KTG",(VLOOKUP(J1019,'list of outsource'!B:H,2,0)))</f>
        <v>UPM</v>
      </c>
      <c r="L1019" s="6" t="s">
        <v>213</v>
      </c>
      <c r="M1019" s="6">
        <v>10</v>
      </c>
      <c r="N1019" s="6" t="s">
        <v>214</v>
      </c>
      <c r="O1019" s="2"/>
      <c r="P1019" s="6" t="s">
        <v>2688</v>
      </c>
      <c r="Q1019" s="6" t="s">
        <v>2689</v>
      </c>
      <c r="R1019" s="16"/>
      <c r="S1019" s="6">
        <v>4</v>
      </c>
      <c r="T1019" s="6" t="s">
        <v>1465</v>
      </c>
      <c r="U1019" s="6" t="s">
        <v>39</v>
      </c>
      <c r="V1019" s="17">
        <v>45874</v>
      </c>
      <c r="W1019" s="16"/>
      <c r="X1019" t="s">
        <v>2171</v>
      </c>
      <c r="Z1019" t="e">
        <v>#N/A</v>
      </c>
    </row>
    <row r="1020" spans="1:26" customFormat="1">
      <c r="A1020">
        <f t="shared" ca="1" si="16"/>
        <v>133</v>
      </c>
      <c r="B1020" s="49" t="s">
        <v>1759</v>
      </c>
      <c r="C1020" s="12">
        <v>45432</v>
      </c>
      <c r="D1020" s="4" t="s">
        <v>300</v>
      </c>
      <c r="E1020" s="4" t="s">
        <v>3662</v>
      </c>
      <c r="F1020" s="4"/>
      <c r="G1020" s="106" t="s">
        <v>1690</v>
      </c>
      <c r="H1020" s="106" t="s">
        <v>1691</v>
      </c>
      <c r="I1020" s="49" t="s">
        <v>1760</v>
      </c>
      <c r="J1020" s="4" t="s">
        <v>525</v>
      </c>
      <c r="K1020" s="4" t="str">
        <f>IF(E1020="KTG","KTG",(VLOOKUP(J1020,'list of outsource'!B:H,2,0)))</f>
        <v>ETC</v>
      </c>
      <c r="L1020" s="4" t="s">
        <v>526</v>
      </c>
      <c r="M1020" s="4">
        <v>19</v>
      </c>
      <c r="N1020" s="4" t="s">
        <v>527</v>
      </c>
      <c r="O1020" s="2" t="s">
        <v>3691</v>
      </c>
      <c r="P1020" s="4" t="s">
        <v>1761</v>
      </c>
      <c r="Q1020" s="4" t="s">
        <v>1762</v>
      </c>
      <c r="R1020" s="12">
        <v>44964</v>
      </c>
      <c r="S1020" s="4">
        <v>4</v>
      </c>
      <c r="T1020" s="4" t="s">
        <v>1465</v>
      </c>
      <c r="U1020" s="4" t="s">
        <v>39</v>
      </c>
      <c r="V1020" s="10">
        <v>45565</v>
      </c>
      <c r="W1020" s="12">
        <v>45635</v>
      </c>
      <c r="Z1020" t="e">
        <v>#N/A</v>
      </c>
    </row>
    <row r="1021" spans="1:26" customFormat="1">
      <c r="A1021">
        <f t="shared" ca="1" si="16"/>
        <v>105</v>
      </c>
      <c r="B1021" s="49" t="s">
        <v>1763</v>
      </c>
      <c r="C1021" s="12">
        <v>45432</v>
      </c>
      <c r="D1021" s="4" t="s">
        <v>300</v>
      </c>
      <c r="E1021" s="4" t="s">
        <v>3662</v>
      </c>
      <c r="F1021" s="4"/>
      <c r="G1021" s="106" t="s">
        <v>1690</v>
      </c>
      <c r="H1021" s="106" t="s">
        <v>1691</v>
      </c>
      <c r="I1021" s="49" t="s">
        <v>1764</v>
      </c>
      <c r="J1021" s="4" t="s">
        <v>525</v>
      </c>
      <c r="K1021" s="4" t="str">
        <f>IF(E1021="KTG","KTG",(VLOOKUP(J1021,'list of outsource'!B:H,2,0)))</f>
        <v>ETC</v>
      </c>
      <c r="L1021" s="4" t="s">
        <v>526</v>
      </c>
      <c r="M1021" s="4">
        <v>19</v>
      </c>
      <c r="N1021" s="4" t="s">
        <v>1765</v>
      </c>
      <c r="O1021" s="2" t="s">
        <v>3691</v>
      </c>
      <c r="P1021" s="4" t="s">
        <v>1766</v>
      </c>
      <c r="Q1021" s="4" t="s">
        <v>1767</v>
      </c>
      <c r="R1021" s="12">
        <v>45453</v>
      </c>
      <c r="S1021" s="4">
        <v>4</v>
      </c>
      <c r="T1021" s="4" t="s">
        <v>1465</v>
      </c>
      <c r="U1021" s="4" t="s">
        <v>39</v>
      </c>
      <c r="V1021" s="10">
        <v>45537</v>
      </c>
      <c r="W1021" s="12">
        <v>45537</v>
      </c>
      <c r="Z1021" t="e">
        <v>#N/A</v>
      </c>
    </row>
    <row r="1022" spans="1:26" customFormat="1" ht="29" hidden="1">
      <c r="A1022">
        <f t="shared" ca="1" si="16"/>
        <v>71</v>
      </c>
      <c r="B1022" s="104" t="s">
        <v>2719</v>
      </c>
      <c r="C1022" s="16">
        <v>45841</v>
      </c>
      <c r="D1022" s="6" t="s">
        <v>129</v>
      </c>
      <c r="E1022" s="6" t="s">
        <v>3662</v>
      </c>
      <c r="F1022" s="6"/>
      <c r="G1022" s="6" t="s">
        <v>2705</v>
      </c>
      <c r="H1022" s="6" t="s">
        <v>2706</v>
      </c>
      <c r="I1022" s="6" t="s">
        <v>2720</v>
      </c>
      <c r="J1022" s="6" t="s">
        <v>302</v>
      </c>
      <c r="K1022" s="6" t="str">
        <f>IF(E1022="KTG","KTG",(VLOOKUP(J1022,'list of outsource'!B:H,2,0)))</f>
        <v>ETC</v>
      </c>
      <c r="L1022" s="6" t="s">
        <v>303</v>
      </c>
      <c r="M1022" s="6">
        <v>73</v>
      </c>
      <c r="N1022" s="49" t="s">
        <v>2721</v>
      </c>
      <c r="O1022" s="2"/>
      <c r="P1022" s="61" t="s">
        <v>2722</v>
      </c>
      <c r="Q1022" s="6" t="s">
        <v>2723</v>
      </c>
      <c r="R1022" s="16"/>
      <c r="S1022" s="6">
        <v>4</v>
      </c>
      <c r="T1022" s="6" t="s">
        <v>1465</v>
      </c>
      <c r="U1022" s="6" t="s">
        <v>39</v>
      </c>
      <c r="V1022" s="17">
        <v>45912</v>
      </c>
      <c r="W1022" s="16"/>
      <c r="Z1022" t="e">
        <v>#N/A</v>
      </c>
    </row>
    <row r="1023" spans="1:26">
      <c r="A1023">
        <f t="shared" ca="1" si="16"/>
        <v>105</v>
      </c>
      <c r="B1023" s="49" t="s">
        <v>1768</v>
      </c>
      <c r="C1023" s="12">
        <v>45432</v>
      </c>
      <c r="D1023" s="4" t="s">
        <v>300</v>
      </c>
      <c r="E1023" s="4" t="s">
        <v>3662</v>
      </c>
      <c r="F1023" s="4"/>
      <c r="G1023" s="106" t="s">
        <v>1690</v>
      </c>
      <c r="H1023" s="106" t="s">
        <v>1691</v>
      </c>
      <c r="I1023" s="49" t="s">
        <v>1769</v>
      </c>
      <c r="J1023" s="4" t="s">
        <v>525</v>
      </c>
      <c r="K1023" s="4" t="str">
        <f>IF(E1023="KTG","KTG",(VLOOKUP(J1023,'list of outsource'!B:H,2,0)))</f>
        <v>ETC</v>
      </c>
      <c r="L1023" s="4" t="s">
        <v>526</v>
      </c>
      <c r="M1023" s="4">
        <v>19</v>
      </c>
      <c r="N1023" s="4" t="s">
        <v>1177</v>
      </c>
      <c r="O1023" s="2" t="s">
        <v>3691</v>
      </c>
      <c r="P1023" s="4" t="s">
        <v>1770</v>
      </c>
      <c r="Q1023" s="4" t="s">
        <v>1771</v>
      </c>
      <c r="R1023" s="12">
        <v>45258</v>
      </c>
      <c r="S1023" s="4">
        <v>4</v>
      </c>
      <c r="T1023" s="4" t="s">
        <v>1465</v>
      </c>
      <c r="U1023" s="4" t="s">
        <v>39</v>
      </c>
      <c r="V1023" s="10">
        <v>45537</v>
      </c>
      <c r="W1023" s="12">
        <v>45537</v>
      </c>
      <c r="X1023"/>
      <c r="Y1023"/>
      <c r="Z1023" t="e">
        <v>#N/A</v>
      </c>
    </row>
    <row r="1024" spans="1:26" customFormat="1">
      <c r="A1024">
        <f t="shared" ca="1" si="16"/>
        <v>130</v>
      </c>
      <c r="B1024" s="49" t="s">
        <v>1772</v>
      </c>
      <c r="C1024" s="12">
        <v>45432</v>
      </c>
      <c r="D1024" s="4" t="s">
        <v>300</v>
      </c>
      <c r="E1024" s="4" t="s">
        <v>3662</v>
      </c>
      <c r="F1024" s="4"/>
      <c r="G1024" s="106" t="s">
        <v>1690</v>
      </c>
      <c r="H1024" s="106" t="s">
        <v>1691</v>
      </c>
      <c r="I1024" s="49" t="s">
        <v>1773</v>
      </c>
      <c r="J1024" s="4" t="s">
        <v>525</v>
      </c>
      <c r="K1024" s="4" t="str">
        <f>IF(E1024="KTG","KTG",(VLOOKUP(J1024,'list of outsource'!B:H,2,0)))</f>
        <v>ETC</v>
      </c>
      <c r="L1024" s="4" t="s">
        <v>526</v>
      </c>
      <c r="M1024" s="4">
        <v>19</v>
      </c>
      <c r="N1024" s="4" t="s">
        <v>1184</v>
      </c>
      <c r="O1024" s="2" t="s">
        <v>3691</v>
      </c>
      <c r="P1024" s="4" t="s">
        <v>1774</v>
      </c>
      <c r="Q1024" s="4" t="s">
        <v>1775</v>
      </c>
      <c r="R1024" s="12">
        <v>45194</v>
      </c>
      <c r="S1024" s="4">
        <v>4</v>
      </c>
      <c r="T1024" s="4" t="s">
        <v>1465</v>
      </c>
      <c r="U1024" s="4" t="s">
        <v>39</v>
      </c>
      <c r="V1024" s="10">
        <v>45562</v>
      </c>
      <c r="W1024" s="12">
        <v>45635</v>
      </c>
      <c r="Z1024" t="e">
        <v>#N/A</v>
      </c>
    </row>
    <row r="1025" spans="1:26" customFormat="1" ht="29" hidden="1">
      <c r="A1025" s="7">
        <f t="shared" ca="1" si="16"/>
        <v>22</v>
      </c>
      <c r="B1025" s="9" t="s">
        <v>3561</v>
      </c>
      <c r="C1025" s="14">
        <v>45847</v>
      </c>
      <c r="D1025" s="9" t="s">
        <v>300</v>
      </c>
      <c r="E1025" s="9" t="s">
        <v>3662</v>
      </c>
      <c r="F1025" s="9">
        <v>4546</v>
      </c>
      <c r="G1025" s="9" t="s">
        <v>1690</v>
      </c>
      <c r="H1025" s="9" t="s">
        <v>379</v>
      </c>
      <c r="I1025" s="9">
        <v>7094176330</v>
      </c>
      <c r="J1025" s="9" t="s">
        <v>302</v>
      </c>
      <c r="K1025" s="9" t="str">
        <f>IF(E1025="KTG","KTG",(VLOOKUP(J1025,'list of outsource'!B:H,2,0)))</f>
        <v>ETC</v>
      </c>
      <c r="L1025" s="9" t="s">
        <v>303</v>
      </c>
      <c r="M1025" s="68">
        <v>73</v>
      </c>
      <c r="N1025" s="9" t="s">
        <v>1602</v>
      </c>
      <c r="O1025" s="2"/>
      <c r="P1025" s="69" t="s">
        <v>3141</v>
      </c>
      <c r="Q1025" s="9" t="s">
        <v>3142</v>
      </c>
      <c r="R1025" s="14"/>
      <c r="S1025" s="9">
        <v>3</v>
      </c>
      <c r="T1025" s="9"/>
      <c r="U1025" s="9" t="s">
        <v>39</v>
      </c>
      <c r="V1025" s="15">
        <v>45869</v>
      </c>
      <c r="W1025" s="14">
        <v>45968</v>
      </c>
      <c r="X1025" s="7"/>
      <c r="Y1025" s="7"/>
      <c r="Z1025" s="7" t="e">
        <v>#N/A</v>
      </c>
    </row>
    <row r="1026" spans="1:26" customFormat="1" ht="29" hidden="1">
      <c r="A1026" s="7">
        <f t="shared" ca="1" si="16"/>
        <v>36</v>
      </c>
      <c r="B1026" s="9" t="s">
        <v>3563</v>
      </c>
      <c r="C1026" s="14">
        <v>45847</v>
      </c>
      <c r="D1026" s="9" t="s">
        <v>300</v>
      </c>
      <c r="E1026" s="9" t="s">
        <v>3662</v>
      </c>
      <c r="F1026" s="9">
        <v>4553</v>
      </c>
      <c r="G1026" s="9" t="s">
        <v>2375</v>
      </c>
      <c r="H1026" s="9" t="s">
        <v>379</v>
      </c>
      <c r="I1026" s="9">
        <v>7094176730</v>
      </c>
      <c r="J1026" s="9" t="s">
        <v>302</v>
      </c>
      <c r="K1026" s="9" t="str">
        <f>IF(E1026="KTG","KTG",(VLOOKUP(J1026,'list of outsource'!B:H,2,0)))</f>
        <v>ETC</v>
      </c>
      <c r="L1026" s="9" t="s">
        <v>303</v>
      </c>
      <c r="M1026" s="68">
        <v>73</v>
      </c>
      <c r="N1026" s="9" t="s">
        <v>2852</v>
      </c>
      <c r="O1026" s="2"/>
      <c r="P1026" s="69" t="s">
        <v>2853</v>
      </c>
      <c r="Q1026" s="9" t="s">
        <v>2854</v>
      </c>
      <c r="R1026" s="14"/>
      <c r="S1026" s="9">
        <v>3</v>
      </c>
      <c r="T1026" s="9"/>
      <c r="U1026" s="9" t="s">
        <v>39</v>
      </c>
      <c r="V1026" s="15">
        <v>45883</v>
      </c>
      <c r="W1026" s="14">
        <v>45968</v>
      </c>
      <c r="X1026" s="7"/>
      <c r="Y1026" s="7"/>
      <c r="Z1026" s="7" t="e">
        <v>#N/A</v>
      </c>
    </row>
    <row r="1027" spans="1:26" customFormat="1" ht="29" hidden="1">
      <c r="A1027">
        <f t="shared" ca="1" si="16"/>
        <v>107</v>
      </c>
      <c r="B1027" s="8" t="s">
        <v>3540</v>
      </c>
      <c r="C1027" s="16">
        <v>45888</v>
      </c>
      <c r="D1027" s="6" t="s">
        <v>129</v>
      </c>
      <c r="E1027" s="6" t="s">
        <v>3662</v>
      </c>
      <c r="F1027" s="6">
        <v>4538</v>
      </c>
      <c r="G1027" s="6" t="s">
        <v>1690</v>
      </c>
      <c r="H1027" s="6" t="s">
        <v>379</v>
      </c>
      <c r="I1027" s="6">
        <v>7194242130</v>
      </c>
      <c r="J1027" s="6" t="s">
        <v>222</v>
      </c>
      <c r="K1027" s="6" t="str">
        <f>IF(E1027="KTG","KTG",(VLOOKUP(J1027,'list of outsource'!B:H,2,0)))</f>
        <v>ETC</v>
      </c>
      <c r="L1027" s="6" t="s">
        <v>223</v>
      </c>
      <c r="M1027" s="6">
        <v>24</v>
      </c>
      <c r="N1027" s="6" t="s">
        <v>224</v>
      </c>
      <c r="O1027" s="2"/>
      <c r="P1027" s="61" t="s">
        <v>3553</v>
      </c>
      <c r="Q1027" s="6" t="s">
        <v>3336</v>
      </c>
      <c r="R1027" s="16">
        <v>45919</v>
      </c>
      <c r="S1027" s="6">
        <v>3</v>
      </c>
      <c r="T1027" s="6" t="s">
        <v>307</v>
      </c>
      <c r="U1027" s="6" t="s">
        <v>39</v>
      </c>
      <c r="V1027" s="17">
        <v>45995</v>
      </c>
      <c r="W1027" s="16"/>
      <c r="X1027" t="s">
        <v>2171</v>
      </c>
    </row>
    <row r="1028" spans="1:26" customFormat="1" ht="29" hidden="1">
      <c r="A1028">
        <f t="shared" ca="1" si="16"/>
        <v>107</v>
      </c>
      <c r="B1028" s="8" t="s">
        <v>3541</v>
      </c>
      <c r="C1028" s="16">
        <v>45888</v>
      </c>
      <c r="D1028" s="6" t="s">
        <v>129</v>
      </c>
      <c r="E1028" s="6" t="s">
        <v>3662</v>
      </c>
      <c r="F1028" s="6">
        <v>4539</v>
      </c>
      <c r="G1028" s="6" t="s">
        <v>1690</v>
      </c>
      <c r="H1028" s="6" t="s">
        <v>379</v>
      </c>
      <c r="I1028" s="6">
        <v>7194242230</v>
      </c>
      <c r="J1028" s="6" t="s">
        <v>222</v>
      </c>
      <c r="K1028" s="6" t="str">
        <f>IF(E1028="KTG","KTG",(VLOOKUP(J1028,'list of outsource'!B:H,2,0)))</f>
        <v>ETC</v>
      </c>
      <c r="L1028" s="6" t="s">
        <v>223</v>
      </c>
      <c r="M1028" s="6">
        <v>24</v>
      </c>
      <c r="N1028" s="6" t="s">
        <v>246</v>
      </c>
      <c r="O1028" s="2"/>
      <c r="P1028" s="61" t="s">
        <v>3554</v>
      </c>
      <c r="Q1028" s="6" t="s">
        <v>3337</v>
      </c>
      <c r="R1028" s="16">
        <v>45919</v>
      </c>
      <c r="S1028" s="6">
        <v>3</v>
      </c>
      <c r="T1028" s="6" t="s">
        <v>307</v>
      </c>
      <c r="U1028" s="6" t="s">
        <v>39</v>
      </c>
      <c r="V1028" s="17">
        <v>45995</v>
      </c>
      <c r="W1028" s="16"/>
      <c r="X1028" t="s">
        <v>2171</v>
      </c>
    </row>
    <row r="1029" spans="1:26" customFormat="1" ht="29" hidden="1">
      <c r="A1029">
        <f t="shared" ca="1" si="16"/>
        <v>107</v>
      </c>
      <c r="B1029" s="8" t="s">
        <v>3542</v>
      </c>
      <c r="C1029" s="16">
        <v>45888</v>
      </c>
      <c r="D1029" s="6" t="s">
        <v>129</v>
      </c>
      <c r="E1029" s="6" t="s">
        <v>3662</v>
      </c>
      <c r="F1029" s="6">
        <v>4540</v>
      </c>
      <c r="G1029" s="6" t="s">
        <v>1690</v>
      </c>
      <c r="H1029" s="6" t="s">
        <v>379</v>
      </c>
      <c r="I1029" s="6">
        <v>7194242330</v>
      </c>
      <c r="J1029" s="6" t="s">
        <v>222</v>
      </c>
      <c r="K1029" s="6" t="str">
        <f>IF(E1029="KTG","KTG",(VLOOKUP(J1029,'list of outsource'!B:H,2,0)))</f>
        <v>ETC</v>
      </c>
      <c r="L1029" s="6" t="s">
        <v>223</v>
      </c>
      <c r="M1029" s="6">
        <v>24</v>
      </c>
      <c r="N1029" s="6" t="s">
        <v>318</v>
      </c>
      <c r="O1029" s="2"/>
      <c r="P1029" s="61" t="s">
        <v>3555</v>
      </c>
      <c r="Q1029" s="6" t="s">
        <v>3338</v>
      </c>
      <c r="R1029" s="16">
        <v>45919</v>
      </c>
      <c r="S1029" s="6">
        <v>3</v>
      </c>
      <c r="T1029" s="6" t="s">
        <v>307</v>
      </c>
      <c r="U1029" s="6" t="s">
        <v>39</v>
      </c>
      <c r="V1029" s="17">
        <v>45995</v>
      </c>
      <c r="W1029" s="16"/>
      <c r="X1029" t="s">
        <v>2171</v>
      </c>
    </row>
    <row r="1030" spans="1:26" ht="29" hidden="1">
      <c r="A1030">
        <f t="shared" ca="1" si="16"/>
        <v>108</v>
      </c>
      <c r="B1030" s="8" t="s">
        <v>3543</v>
      </c>
      <c r="C1030" s="16">
        <v>45888</v>
      </c>
      <c r="D1030" s="6" t="s">
        <v>129</v>
      </c>
      <c r="E1030" s="6" t="s">
        <v>3662</v>
      </c>
      <c r="F1030" s="6">
        <v>4541</v>
      </c>
      <c r="G1030" s="6" t="s">
        <v>1690</v>
      </c>
      <c r="H1030" s="6" t="s">
        <v>379</v>
      </c>
      <c r="I1030" s="6">
        <v>7194242530</v>
      </c>
      <c r="J1030" s="6" t="s">
        <v>222</v>
      </c>
      <c r="K1030" s="6" t="str">
        <f>IF(E1030="KTG","KTG",(VLOOKUP(J1030,'list of outsource'!B:H,2,0)))</f>
        <v>ETC</v>
      </c>
      <c r="L1030" s="6" t="s">
        <v>223</v>
      </c>
      <c r="M1030" s="6">
        <v>24</v>
      </c>
      <c r="N1030" s="6" t="s">
        <v>575</v>
      </c>
      <c r="P1030" s="61" t="s">
        <v>3556</v>
      </c>
      <c r="Q1030" s="6" t="s">
        <v>3339</v>
      </c>
      <c r="R1030" s="16">
        <v>45919</v>
      </c>
      <c r="S1030" s="6">
        <v>3</v>
      </c>
      <c r="T1030" s="6" t="s">
        <v>307</v>
      </c>
      <c r="U1030" s="6" t="s">
        <v>39</v>
      </c>
      <c r="V1030" s="17">
        <v>45996</v>
      </c>
      <c r="W1030" s="16"/>
      <c r="X1030" t="s">
        <v>2171</v>
      </c>
      <c r="Y1030"/>
      <c r="Z1030"/>
    </row>
    <row r="1031" spans="1:26" ht="29" hidden="1">
      <c r="A1031">
        <f t="shared" ca="1" si="16"/>
        <v>107</v>
      </c>
      <c r="B1031" s="8" t="s">
        <v>3550</v>
      </c>
      <c r="C1031" s="16">
        <v>45888</v>
      </c>
      <c r="D1031" s="6" t="s">
        <v>129</v>
      </c>
      <c r="E1031" s="6" t="s">
        <v>3662</v>
      </c>
      <c r="F1031" s="6">
        <v>4550</v>
      </c>
      <c r="G1031" s="6" t="s">
        <v>1690</v>
      </c>
      <c r="H1031" s="6" t="s">
        <v>379</v>
      </c>
      <c r="I1031" s="6">
        <v>7194242030</v>
      </c>
      <c r="J1031" s="6" t="s">
        <v>222</v>
      </c>
      <c r="K1031" s="6" t="str">
        <f>IF(E1031="KTG","KTG",(VLOOKUP(J1031,'list of outsource'!B:H,2,0)))</f>
        <v>ETC</v>
      </c>
      <c r="L1031" s="6" t="s">
        <v>223</v>
      </c>
      <c r="M1031" s="6">
        <v>24</v>
      </c>
      <c r="N1031" s="6" t="s">
        <v>918</v>
      </c>
      <c r="P1031" s="61" t="s">
        <v>3557</v>
      </c>
      <c r="Q1031" s="6" t="s">
        <v>3340</v>
      </c>
      <c r="R1031" s="16">
        <v>45919</v>
      </c>
      <c r="S1031" s="6">
        <v>3</v>
      </c>
      <c r="T1031" s="6" t="s">
        <v>307</v>
      </c>
      <c r="U1031" s="6" t="s">
        <v>39</v>
      </c>
      <c r="V1031" s="17">
        <v>45995</v>
      </c>
      <c r="W1031" s="16"/>
      <c r="X1031" t="s">
        <v>2171</v>
      </c>
      <c r="Y1031"/>
      <c r="Z1031"/>
    </row>
    <row r="1032" spans="1:26" customFormat="1" ht="29" hidden="1">
      <c r="A1032">
        <f t="shared" ref="A1032:A1095" ca="1" si="17">IF(V1032="",(TODAY()-C1032),(V1032-C1032))</f>
        <v>108</v>
      </c>
      <c r="B1032" s="8" t="s">
        <v>3551</v>
      </c>
      <c r="C1032" s="16">
        <v>45888</v>
      </c>
      <c r="D1032" s="6" t="s">
        <v>129</v>
      </c>
      <c r="E1032" s="6" t="s">
        <v>3662</v>
      </c>
      <c r="F1032" s="6">
        <v>4551</v>
      </c>
      <c r="G1032" s="6" t="s">
        <v>1690</v>
      </c>
      <c r="H1032" s="6" t="s">
        <v>379</v>
      </c>
      <c r="I1032" s="6">
        <v>7194242630</v>
      </c>
      <c r="J1032" s="6" t="s">
        <v>222</v>
      </c>
      <c r="K1032" s="6" t="str">
        <f>IF(E1032="KTG","KTG",(VLOOKUP(J1032,'list of outsource'!B:H,2,0)))</f>
        <v>ETC</v>
      </c>
      <c r="L1032" s="6" t="s">
        <v>223</v>
      </c>
      <c r="M1032" s="6">
        <v>24</v>
      </c>
      <c r="N1032" s="6" t="s">
        <v>1849</v>
      </c>
      <c r="O1032" s="2"/>
      <c r="P1032" s="61" t="s">
        <v>3558</v>
      </c>
      <c r="Q1032" s="6" t="s">
        <v>3341</v>
      </c>
      <c r="R1032" s="16">
        <v>45919</v>
      </c>
      <c r="S1032" s="6">
        <v>3</v>
      </c>
      <c r="T1032" s="6" t="s">
        <v>307</v>
      </c>
      <c r="U1032" s="6" t="s">
        <v>39</v>
      </c>
      <c r="V1032" s="17">
        <v>45996</v>
      </c>
      <c r="W1032" s="16"/>
      <c r="X1032" t="s">
        <v>2171</v>
      </c>
    </row>
    <row r="1033" spans="1:26" customFormat="1" ht="29" hidden="1">
      <c r="A1033">
        <f t="shared" ca="1" si="17"/>
        <v>107</v>
      </c>
      <c r="B1033" s="8" t="s">
        <v>3552</v>
      </c>
      <c r="C1033" s="16">
        <v>45888</v>
      </c>
      <c r="D1033" s="6" t="s">
        <v>129</v>
      </c>
      <c r="E1033" s="6" t="s">
        <v>3662</v>
      </c>
      <c r="F1033" s="6">
        <v>4556</v>
      </c>
      <c r="G1033" s="6" t="s">
        <v>1690</v>
      </c>
      <c r="H1033" s="6" t="s">
        <v>379</v>
      </c>
      <c r="I1033" s="6">
        <v>7194242430</v>
      </c>
      <c r="J1033" s="6" t="s">
        <v>222</v>
      </c>
      <c r="K1033" s="6" t="str">
        <f>IF(E1033="KTG","KTG",(VLOOKUP(J1033,'list of outsource'!B:H,2,0)))</f>
        <v>ETC</v>
      </c>
      <c r="L1033" s="6" t="s">
        <v>223</v>
      </c>
      <c r="M1033" s="6">
        <v>24</v>
      </c>
      <c r="N1033" s="6" t="s">
        <v>3066</v>
      </c>
      <c r="O1033" s="2"/>
      <c r="P1033" s="61" t="s">
        <v>3559</v>
      </c>
      <c r="Q1033" s="6" t="s">
        <v>3342</v>
      </c>
      <c r="R1033" s="16">
        <v>45919</v>
      </c>
      <c r="S1033" s="6">
        <v>3</v>
      </c>
      <c r="T1033" s="6" t="s">
        <v>307</v>
      </c>
      <c r="U1033" s="6" t="s">
        <v>39</v>
      </c>
      <c r="V1033" s="17">
        <v>45995</v>
      </c>
      <c r="W1033" s="16"/>
      <c r="X1033" t="s">
        <v>2171</v>
      </c>
    </row>
    <row r="1034" spans="1:26" customFormat="1" ht="29" hidden="1">
      <c r="A1034">
        <f t="shared" ca="1" si="17"/>
        <v>108</v>
      </c>
      <c r="B1034" s="8" t="s">
        <v>3562</v>
      </c>
      <c r="C1034" s="16">
        <v>45888</v>
      </c>
      <c r="D1034" s="6" t="s">
        <v>129</v>
      </c>
      <c r="E1034" s="6" t="s">
        <v>3662</v>
      </c>
      <c r="F1034" s="6">
        <v>4559</v>
      </c>
      <c r="G1034" s="6" t="s">
        <v>1690</v>
      </c>
      <c r="H1034" s="6" t="s">
        <v>379</v>
      </c>
      <c r="I1034" s="6">
        <v>7194242730</v>
      </c>
      <c r="J1034" s="6" t="s">
        <v>222</v>
      </c>
      <c r="K1034" s="6" t="str">
        <f>IF(E1034="KTG","KTG",(VLOOKUP(J1034,'list of outsource'!B:H,2,0)))</f>
        <v>ETC</v>
      </c>
      <c r="L1034" s="6" t="s">
        <v>223</v>
      </c>
      <c r="M1034" s="6">
        <v>24</v>
      </c>
      <c r="N1034" s="6" t="s">
        <v>3067</v>
      </c>
      <c r="O1034" s="2"/>
      <c r="P1034" s="61" t="s">
        <v>3560</v>
      </c>
      <c r="Q1034" s="6" t="s">
        <v>3343</v>
      </c>
      <c r="R1034" s="16">
        <v>45919</v>
      </c>
      <c r="S1034" s="6">
        <v>3</v>
      </c>
      <c r="T1034" s="6" t="s">
        <v>307</v>
      </c>
      <c r="U1034" s="6" t="s">
        <v>39</v>
      </c>
      <c r="V1034" s="17">
        <v>45996</v>
      </c>
      <c r="W1034" s="16"/>
      <c r="X1034" t="s">
        <v>2171</v>
      </c>
    </row>
    <row r="1035" spans="1:26" customFormat="1" ht="29" hidden="1">
      <c r="A1035">
        <f t="shared" ca="1" si="17"/>
        <v>14</v>
      </c>
      <c r="B1035" s="8" t="s">
        <v>2730</v>
      </c>
      <c r="C1035" s="16">
        <v>45847</v>
      </c>
      <c r="D1035" s="6" t="s">
        <v>129</v>
      </c>
      <c r="E1035" s="6" t="s">
        <v>3662</v>
      </c>
      <c r="F1035" s="6">
        <v>4552</v>
      </c>
      <c r="G1035" s="6" t="s">
        <v>1690</v>
      </c>
      <c r="H1035" s="6" t="s">
        <v>379</v>
      </c>
      <c r="I1035" s="6">
        <v>7094177030</v>
      </c>
      <c r="J1035" s="6" t="s">
        <v>840</v>
      </c>
      <c r="K1035" s="6" t="str">
        <f>IF(E1035="KTG","KTG",(VLOOKUP(J1035,'list of outsource'!B:H,2,0)))</f>
        <v>ETC</v>
      </c>
      <c r="L1035" s="6" t="s">
        <v>841</v>
      </c>
      <c r="M1035" s="6">
        <v>21</v>
      </c>
      <c r="N1035" s="6" t="s">
        <v>1801</v>
      </c>
      <c r="O1035" s="2"/>
      <c r="P1035" s="61" t="s">
        <v>2731</v>
      </c>
      <c r="Q1035" s="6" t="s">
        <v>2732</v>
      </c>
      <c r="R1035" s="16"/>
      <c r="S1035" s="6">
        <v>3</v>
      </c>
      <c r="T1035" s="6"/>
      <c r="U1035" s="6" t="s">
        <v>39</v>
      </c>
      <c r="V1035" s="17">
        <v>45861</v>
      </c>
      <c r="W1035" s="16"/>
      <c r="Z1035" t="e">
        <v>#N/A</v>
      </c>
    </row>
    <row r="1036" spans="1:26" customFormat="1">
      <c r="A1036">
        <f t="shared" ca="1" si="17"/>
        <v>130</v>
      </c>
      <c r="B1036" s="49" t="s">
        <v>1776</v>
      </c>
      <c r="C1036" s="12">
        <v>45432</v>
      </c>
      <c r="D1036" s="4" t="s">
        <v>300</v>
      </c>
      <c r="E1036" s="4" t="s">
        <v>3662</v>
      </c>
      <c r="F1036" s="4"/>
      <c r="G1036" s="106" t="s">
        <v>1690</v>
      </c>
      <c r="H1036" s="106" t="s">
        <v>1691</v>
      </c>
      <c r="I1036" s="49" t="s">
        <v>1777</v>
      </c>
      <c r="J1036" s="4" t="s">
        <v>525</v>
      </c>
      <c r="K1036" s="4" t="str">
        <f>IF(E1036="KTG","KTG",(VLOOKUP(J1036,'list of outsource'!B:H,2,0)))</f>
        <v>ETC</v>
      </c>
      <c r="L1036" s="4" t="s">
        <v>526</v>
      </c>
      <c r="M1036" s="4">
        <v>19</v>
      </c>
      <c r="N1036" s="4" t="s">
        <v>1778</v>
      </c>
      <c r="O1036" s="2" t="s">
        <v>3691</v>
      </c>
      <c r="P1036" s="4" t="s">
        <v>1779</v>
      </c>
      <c r="Q1036" s="4" t="s">
        <v>1780</v>
      </c>
      <c r="R1036" s="12">
        <v>45453</v>
      </c>
      <c r="S1036" s="4">
        <v>4</v>
      </c>
      <c r="T1036" s="4" t="s">
        <v>1465</v>
      </c>
      <c r="U1036" s="4" t="s">
        <v>39</v>
      </c>
      <c r="V1036" s="10">
        <v>45562</v>
      </c>
      <c r="W1036" s="12">
        <v>45635</v>
      </c>
      <c r="Z1036" t="e">
        <v>#N/A</v>
      </c>
    </row>
    <row r="1037" spans="1:26" customFormat="1">
      <c r="A1037">
        <f t="shared" ca="1" si="17"/>
        <v>133</v>
      </c>
      <c r="B1037" s="49" t="s">
        <v>1786</v>
      </c>
      <c r="C1037" s="12">
        <v>45432</v>
      </c>
      <c r="D1037" s="4" t="s">
        <v>300</v>
      </c>
      <c r="E1037" s="4" t="s">
        <v>3662</v>
      </c>
      <c r="F1037" s="4"/>
      <c r="G1037" s="106" t="s">
        <v>1690</v>
      </c>
      <c r="H1037" s="106" t="s">
        <v>1691</v>
      </c>
      <c r="I1037" s="49" t="s">
        <v>1787</v>
      </c>
      <c r="J1037" s="4" t="s">
        <v>525</v>
      </c>
      <c r="K1037" s="4" t="str">
        <f>IF(E1037="KTG","KTG",(VLOOKUP(J1037,'list of outsource'!B:H,2,0)))</f>
        <v>ETC</v>
      </c>
      <c r="L1037" s="4" t="s">
        <v>526</v>
      </c>
      <c r="M1037" s="4">
        <v>19</v>
      </c>
      <c r="N1037" s="4" t="s">
        <v>1788</v>
      </c>
      <c r="O1037" s="2" t="s">
        <v>3691</v>
      </c>
      <c r="P1037" s="4" t="s">
        <v>1789</v>
      </c>
      <c r="Q1037" s="4" t="s">
        <v>1790</v>
      </c>
      <c r="R1037" s="12">
        <v>45453</v>
      </c>
      <c r="S1037" s="4">
        <v>4</v>
      </c>
      <c r="T1037" s="4" t="s">
        <v>1465</v>
      </c>
      <c r="U1037" s="4" t="s">
        <v>39</v>
      </c>
      <c r="V1037" s="10">
        <v>45565</v>
      </c>
      <c r="W1037" s="12">
        <v>45635</v>
      </c>
      <c r="Z1037" t="e">
        <v>#N/A</v>
      </c>
    </row>
    <row r="1038" spans="1:26" customFormat="1">
      <c r="A1038">
        <f t="shared" ca="1" si="17"/>
        <v>133</v>
      </c>
      <c r="B1038" s="49" t="s">
        <v>1791</v>
      </c>
      <c r="C1038" s="12">
        <v>45432</v>
      </c>
      <c r="D1038" s="4" t="s">
        <v>300</v>
      </c>
      <c r="E1038" s="4" t="s">
        <v>3662</v>
      </c>
      <c r="F1038" s="4"/>
      <c r="G1038" s="106" t="s">
        <v>1690</v>
      </c>
      <c r="H1038" s="106" t="s">
        <v>1691</v>
      </c>
      <c r="I1038" s="49" t="s">
        <v>1792</v>
      </c>
      <c r="J1038" s="4" t="s">
        <v>525</v>
      </c>
      <c r="K1038" s="4" t="str">
        <f>IF(E1038="KTG","KTG",(VLOOKUP(J1038,'list of outsource'!B:H,2,0)))</f>
        <v>ETC</v>
      </c>
      <c r="L1038" s="4" t="s">
        <v>526</v>
      </c>
      <c r="M1038" s="4">
        <v>19</v>
      </c>
      <c r="N1038" s="4" t="s">
        <v>1629</v>
      </c>
      <c r="O1038" s="2" t="s">
        <v>3691</v>
      </c>
      <c r="P1038" s="4" t="s">
        <v>1630</v>
      </c>
      <c r="Q1038" s="4" t="s">
        <v>1793</v>
      </c>
      <c r="R1038" s="12">
        <v>45453</v>
      </c>
      <c r="S1038" s="4">
        <v>4</v>
      </c>
      <c r="T1038" s="4" t="s">
        <v>1465</v>
      </c>
      <c r="U1038" s="4" t="s">
        <v>39</v>
      </c>
      <c r="V1038" s="10">
        <v>45565</v>
      </c>
      <c r="W1038" s="12">
        <v>45635</v>
      </c>
      <c r="Z1038" t="e">
        <v>#N/A</v>
      </c>
    </row>
    <row r="1039" spans="1:26">
      <c r="A1039">
        <f t="shared" ca="1" si="17"/>
        <v>133</v>
      </c>
      <c r="B1039" s="49" t="s">
        <v>1794</v>
      </c>
      <c r="C1039" s="12">
        <v>45432</v>
      </c>
      <c r="D1039" s="4" t="s">
        <v>300</v>
      </c>
      <c r="E1039" s="4" t="s">
        <v>3662</v>
      </c>
      <c r="F1039" s="4"/>
      <c r="G1039" s="106" t="s">
        <v>1690</v>
      </c>
      <c r="H1039" s="106" t="s">
        <v>1691</v>
      </c>
      <c r="I1039" s="49" t="s">
        <v>1795</v>
      </c>
      <c r="J1039" s="4" t="s">
        <v>525</v>
      </c>
      <c r="K1039" s="4" t="str">
        <f>IF(E1039="KTG","KTG",(VLOOKUP(J1039,'list of outsource'!B:H,2,0)))</f>
        <v>ETC</v>
      </c>
      <c r="L1039" s="4" t="s">
        <v>526</v>
      </c>
      <c r="M1039" s="4">
        <v>19</v>
      </c>
      <c r="N1039" s="4" t="s">
        <v>1796</v>
      </c>
      <c r="O1039" s="2" t="s">
        <v>3691</v>
      </c>
      <c r="P1039" s="4" t="s">
        <v>1797</v>
      </c>
      <c r="Q1039" s="4" t="s">
        <v>1798</v>
      </c>
      <c r="R1039" s="12">
        <v>45453</v>
      </c>
      <c r="S1039" s="4">
        <v>4</v>
      </c>
      <c r="T1039" s="4" t="s">
        <v>1465</v>
      </c>
      <c r="U1039" s="4" t="s">
        <v>39</v>
      </c>
      <c r="V1039" s="10">
        <v>45565</v>
      </c>
      <c r="W1039" s="12">
        <v>45635</v>
      </c>
      <c r="X1039"/>
      <c r="Y1039"/>
      <c r="Z1039" t="e">
        <v>#N/A</v>
      </c>
    </row>
    <row r="1040" spans="1:26" ht="29" hidden="1">
      <c r="A1040" s="55">
        <f t="shared" ca="1" si="17"/>
        <v>36</v>
      </c>
      <c r="B1040" s="8" t="s">
        <v>2749</v>
      </c>
      <c r="C1040" s="13">
        <v>45847</v>
      </c>
      <c r="D1040" s="8" t="s">
        <v>129</v>
      </c>
      <c r="E1040" s="8" t="s">
        <v>3662</v>
      </c>
      <c r="F1040" s="8">
        <v>4657</v>
      </c>
      <c r="G1040" s="8" t="s">
        <v>2375</v>
      </c>
      <c r="H1040" s="8" t="s">
        <v>379</v>
      </c>
      <c r="I1040" s="8">
        <v>7094201230</v>
      </c>
      <c r="J1040" s="8" t="s">
        <v>840</v>
      </c>
      <c r="K1040" s="8" t="str">
        <f>IF(E1040="KTG","KTG",(VLOOKUP(J1040,'list of outsource'!B:H,2,0)))</f>
        <v>ETC</v>
      </c>
      <c r="L1040" s="8" t="s">
        <v>841</v>
      </c>
      <c r="M1040" s="8">
        <v>21</v>
      </c>
      <c r="N1040" s="8" t="s">
        <v>2750</v>
      </c>
      <c r="P1040" s="57" t="s">
        <v>2751</v>
      </c>
      <c r="Q1040" s="8" t="s">
        <v>2752</v>
      </c>
      <c r="R1040" s="13"/>
      <c r="S1040" s="8">
        <v>3</v>
      </c>
      <c r="T1040" s="8"/>
      <c r="U1040" s="8" t="s">
        <v>39</v>
      </c>
      <c r="V1040" s="11">
        <v>45883</v>
      </c>
      <c r="W1040" s="13"/>
      <c r="Z1040" s="55" t="e">
        <v>#N/A</v>
      </c>
    </row>
    <row r="1041" spans="1:26" ht="29" hidden="1">
      <c r="A1041">
        <f t="shared" ca="1" si="17"/>
        <v>44</v>
      </c>
      <c r="B1041" s="8" t="s">
        <v>2753</v>
      </c>
      <c r="C1041" s="16">
        <v>45847</v>
      </c>
      <c r="D1041" s="6" t="s">
        <v>129</v>
      </c>
      <c r="E1041" s="6" t="s">
        <v>3662</v>
      </c>
      <c r="F1041" s="6">
        <v>4640</v>
      </c>
      <c r="G1041" s="6" t="s">
        <v>2375</v>
      </c>
      <c r="H1041" s="6" t="s">
        <v>379</v>
      </c>
      <c r="I1041" s="6">
        <v>7094200430</v>
      </c>
      <c r="J1041" s="6" t="s">
        <v>840</v>
      </c>
      <c r="K1041" s="6" t="str">
        <f>IF(E1041="KTG","KTG",(VLOOKUP(J1041,'list of outsource'!B:H,2,0)))</f>
        <v>ETC</v>
      </c>
      <c r="L1041" s="6" t="s">
        <v>841</v>
      </c>
      <c r="M1041" s="6">
        <v>21</v>
      </c>
      <c r="N1041" s="6" t="s">
        <v>2754</v>
      </c>
      <c r="P1041" s="61" t="s">
        <v>2755</v>
      </c>
      <c r="Q1041" s="6" t="s">
        <v>2756</v>
      </c>
      <c r="R1041" s="16"/>
      <c r="S1041" s="6">
        <v>3</v>
      </c>
      <c r="T1041" s="6"/>
      <c r="U1041" s="6" t="s">
        <v>39</v>
      </c>
      <c r="V1041" s="17">
        <v>45891</v>
      </c>
      <c r="W1041" s="16"/>
      <c r="X1041"/>
      <c r="Y1041"/>
      <c r="Z1041" t="e">
        <v>#N/A</v>
      </c>
    </row>
    <row r="1042" spans="1:26" ht="29" hidden="1">
      <c r="A1042" s="55">
        <f t="shared" ca="1" si="17"/>
        <v>44</v>
      </c>
      <c r="B1042" s="9" t="s">
        <v>2757</v>
      </c>
      <c r="C1042" s="14">
        <v>45847</v>
      </c>
      <c r="D1042" s="9" t="s">
        <v>300</v>
      </c>
      <c r="E1042" s="9" t="s">
        <v>3662</v>
      </c>
      <c r="F1042" s="9">
        <v>4656</v>
      </c>
      <c r="G1042" s="9" t="s">
        <v>2375</v>
      </c>
      <c r="H1042" s="9" t="s">
        <v>379</v>
      </c>
      <c r="I1042" s="9">
        <v>7094201030</v>
      </c>
      <c r="J1042" s="9" t="s">
        <v>840</v>
      </c>
      <c r="K1042" s="9" t="str">
        <f>IF(E1042="KTG","KTG",(VLOOKUP(J1042,'list of outsource'!B:H,2,0)))</f>
        <v>ETC</v>
      </c>
      <c r="L1042" s="9" t="s">
        <v>841</v>
      </c>
      <c r="M1042" s="68">
        <v>21</v>
      </c>
      <c r="N1042" s="9" t="s">
        <v>2758</v>
      </c>
      <c r="P1042" s="69" t="s">
        <v>2759</v>
      </c>
      <c r="Q1042" s="9" t="s">
        <v>2760</v>
      </c>
      <c r="R1042" s="14"/>
      <c r="S1042" s="9">
        <v>3</v>
      </c>
      <c r="T1042" s="9"/>
      <c r="U1042" s="9" t="s">
        <v>39</v>
      </c>
      <c r="V1042" s="15">
        <v>45891</v>
      </c>
      <c r="W1042" s="14">
        <v>45968</v>
      </c>
      <c r="Z1042" s="55" t="e">
        <v>#N/A</v>
      </c>
    </row>
    <row r="1043" spans="1:26" ht="29" hidden="1">
      <c r="A1043" s="55">
        <f t="shared" ca="1" si="17"/>
        <v>44</v>
      </c>
      <c r="B1043" s="9" t="s">
        <v>2761</v>
      </c>
      <c r="C1043" s="14">
        <v>45847</v>
      </c>
      <c r="D1043" s="9" t="s">
        <v>300</v>
      </c>
      <c r="E1043" s="9" t="s">
        <v>3662</v>
      </c>
      <c r="F1043" s="9">
        <v>4660</v>
      </c>
      <c r="G1043" s="9" t="s">
        <v>2375</v>
      </c>
      <c r="H1043" s="9" t="s">
        <v>379</v>
      </c>
      <c r="I1043" s="9">
        <v>7094201330</v>
      </c>
      <c r="J1043" s="9" t="s">
        <v>840</v>
      </c>
      <c r="K1043" s="9" t="str">
        <f>IF(E1043="KTG","KTG",(VLOOKUP(J1043,'list of outsource'!B:H,2,0)))</f>
        <v>ETC</v>
      </c>
      <c r="L1043" s="9" t="s">
        <v>841</v>
      </c>
      <c r="M1043" s="68">
        <v>21</v>
      </c>
      <c r="N1043" s="9" t="s">
        <v>2762</v>
      </c>
      <c r="P1043" s="69" t="s">
        <v>2763</v>
      </c>
      <c r="Q1043" s="9" t="s">
        <v>2764</v>
      </c>
      <c r="R1043" s="14"/>
      <c r="S1043" s="9">
        <v>3</v>
      </c>
      <c r="T1043" s="9"/>
      <c r="U1043" s="9" t="s">
        <v>39</v>
      </c>
      <c r="V1043" s="15">
        <v>45891</v>
      </c>
      <c r="W1043" s="14">
        <v>45968</v>
      </c>
      <c r="Z1043" s="55" t="e">
        <v>#N/A</v>
      </c>
    </row>
    <row r="1044" spans="1:26">
      <c r="A1044">
        <f t="shared" ca="1" si="17"/>
        <v>129</v>
      </c>
      <c r="B1044" s="49" t="s">
        <v>1799</v>
      </c>
      <c r="C1044" s="12">
        <v>45432</v>
      </c>
      <c r="D1044" s="4" t="s">
        <v>300</v>
      </c>
      <c r="E1044" s="4" t="s">
        <v>3662</v>
      </c>
      <c r="F1044" s="4"/>
      <c r="G1044" s="106" t="s">
        <v>1690</v>
      </c>
      <c r="H1044" s="106" t="s">
        <v>1691</v>
      </c>
      <c r="I1044" s="49" t="s">
        <v>1800</v>
      </c>
      <c r="J1044" s="4" t="s">
        <v>840</v>
      </c>
      <c r="K1044" s="4" t="str">
        <f>IF(E1044="KTG","KTG",(VLOOKUP(J1044,'list of outsource'!B:H,2,0)))</f>
        <v>ETC</v>
      </c>
      <c r="L1044" s="4" t="s">
        <v>841</v>
      </c>
      <c r="M1044" s="4">
        <v>19</v>
      </c>
      <c r="N1044" s="4" t="s">
        <v>1801</v>
      </c>
      <c r="O1044" s="2" t="s">
        <v>3691</v>
      </c>
      <c r="P1044" s="4" t="s">
        <v>1802</v>
      </c>
      <c r="Q1044" s="4" t="s">
        <v>1803</v>
      </c>
      <c r="R1044" s="12">
        <v>45449</v>
      </c>
      <c r="S1044" s="4">
        <v>4</v>
      </c>
      <c r="T1044" s="4" t="s">
        <v>1465</v>
      </c>
      <c r="U1044" s="4" t="s">
        <v>39</v>
      </c>
      <c r="V1044" s="10">
        <v>45561</v>
      </c>
      <c r="W1044" s="12">
        <v>45561</v>
      </c>
      <c r="X1044"/>
      <c r="Y1044"/>
      <c r="Z1044" t="e">
        <v>#N/A</v>
      </c>
    </row>
    <row r="1045" spans="1:26">
      <c r="A1045">
        <f t="shared" ca="1" si="17"/>
        <v>129</v>
      </c>
      <c r="B1045" s="49" t="s">
        <v>1804</v>
      </c>
      <c r="C1045" s="12">
        <v>45432</v>
      </c>
      <c r="D1045" s="4" t="s">
        <v>300</v>
      </c>
      <c r="E1045" s="4" t="s">
        <v>3662</v>
      </c>
      <c r="F1045" s="4"/>
      <c r="G1045" s="106" t="s">
        <v>1690</v>
      </c>
      <c r="H1045" s="106" t="s">
        <v>1691</v>
      </c>
      <c r="I1045" s="49" t="s">
        <v>1805</v>
      </c>
      <c r="J1045" s="4" t="s">
        <v>840</v>
      </c>
      <c r="K1045" s="4" t="str">
        <f>IF(E1045="KTG","KTG",(VLOOKUP(J1045,'list of outsource'!B:H,2,0)))</f>
        <v>ETC</v>
      </c>
      <c r="L1045" s="4" t="s">
        <v>841</v>
      </c>
      <c r="M1045" s="4">
        <v>19</v>
      </c>
      <c r="N1045" s="4" t="s">
        <v>1806</v>
      </c>
      <c r="O1045" s="2" t="s">
        <v>3691</v>
      </c>
      <c r="P1045" s="4" t="s">
        <v>1807</v>
      </c>
      <c r="Q1045" s="4" t="s">
        <v>1808</v>
      </c>
      <c r="R1045" s="12">
        <v>45449</v>
      </c>
      <c r="S1045" s="4">
        <v>4</v>
      </c>
      <c r="T1045" s="4" t="s">
        <v>1465</v>
      </c>
      <c r="U1045" s="4" t="s">
        <v>39</v>
      </c>
      <c r="V1045" s="10">
        <v>45561</v>
      </c>
      <c r="W1045" s="12">
        <v>45561</v>
      </c>
      <c r="X1045"/>
      <c r="Y1045"/>
      <c r="Z1045" t="e">
        <v>#N/A</v>
      </c>
    </row>
    <row r="1046" spans="1:26">
      <c r="A1046">
        <f t="shared" ca="1" si="17"/>
        <v>102</v>
      </c>
      <c r="B1046" s="49" t="s">
        <v>1809</v>
      </c>
      <c r="C1046" s="12">
        <v>45432</v>
      </c>
      <c r="D1046" s="4" t="s">
        <v>300</v>
      </c>
      <c r="E1046" s="4" t="s">
        <v>3662</v>
      </c>
      <c r="F1046" s="4"/>
      <c r="G1046" s="106" t="s">
        <v>1690</v>
      </c>
      <c r="H1046" s="106" t="s">
        <v>1691</v>
      </c>
      <c r="I1046" s="49" t="s">
        <v>1810</v>
      </c>
      <c r="J1046" s="4" t="s">
        <v>840</v>
      </c>
      <c r="K1046" s="4" t="str">
        <f>IF(E1046="KTG","KTG",(VLOOKUP(J1046,'list of outsource'!B:H,2,0)))</f>
        <v>ETC</v>
      </c>
      <c r="L1046" s="4" t="s">
        <v>841</v>
      </c>
      <c r="M1046" s="4">
        <v>19</v>
      </c>
      <c r="N1046" s="4" t="s">
        <v>1437</v>
      </c>
      <c r="O1046" s="2" t="s">
        <v>3691</v>
      </c>
      <c r="P1046" s="4" t="s">
        <v>1811</v>
      </c>
      <c r="Q1046" s="4" t="s">
        <v>1812</v>
      </c>
      <c r="R1046" s="12">
        <v>45449</v>
      </c>
      <c r="S1046" s="4">
        <v>4</v>
      </c>
      <c r="T1046" s="4" t="s">
        <v>1465</v>
      </c>
      <c r="U1046" s="4" t="s">
        <v>39</v>
      </c>
      <c r="V1046" s="10">
        <v>45534</v>
      </c>
      <c r="W1046" s="12">
        <v>45545</v>
      </c>
      <c r="X1046"/>
      <c r="Y1046"/>
      <c r="Z1046" t="e">
        <v>#N/A</v>
      </c>
    </row>
    <row r="1047" spans="1:26">
      <c r="A1047">
        <f t="shared" ca="1" si="17"/>
        <v>113</v>
      </c>
      <c r="B1047" s="104" t="s">
        <v>1813</v>
      </c>
      <c r="C1047" s="16">
        <v>45432</v>
      </c>
      <c r="D1047" s="6" t="s">
        <v>129</v>
      </c>
      <c r="E1047" s="6" t="s">
        <v>3662</v>
      </c>
      <c r="F1047" s="6"/>
      <c r="G1047" s="106" t="s">
        <v>1690</v>
      </c>
      <c r="H1047" s="106" t="s">
        <v>1691</v>
      </c>
      <c r="I1047" s="49">
        <v>7094177330</v>
      </c>
      <c r="J1047" s="6" t="s">
        <v>840</v>
      </c>
      <c r="K1047" s="6" t="str">
        <f>IF(E1047="KTG","KTG",(VLOOKUP(J1047,'list of outsource'!B:H,2,0)))</f>
        <v>ETC</v>
      </c>
      <c r="L1047" s="6" t="s">
        <v>841</v>
      </c>
      <c r="M1047" s="6">
        <v>19</v>
      </c>
      <c r="N1047" s="6" t="s">
        <v>1441</v>
      </c>
      <c r="O1047" s="2" t="s">
        <v>3691</v>
      </c>
      <c r="P1047" s="6" t="s">
        <v>1814</v>
      </c>
      <c r="Q1047" s="6" t="s">
        <v>1815</v>
      </c>
      <c r="R1047" s="16">
        <v>45449</v>
      </c>
      <c r="S1047" s="6">
        <v>4</v>
      </c>
      <c r="T1047" s="6" t="s">
        <v>1465</v>
      </c>
      <c r="U1047" s="6" t="s">
        <v>39</v>
      </c>
      <c r="V1047" s="17">
        <v>45545</v>
      </c>
      <c r="W1047" s="16"/>
      <c r="X1047"/>
      <c r="Y1047"/>
      <c r="Z1047" t="e">
        <v>#N/A</v>
      </c>
    </row>
    <row r="1048" spans="1:26">
      <c r="A1048">
        <f t="shared" ca="1" si="17"/>
        <v>113</v>
      </c>
      <c r="B1048" s="49" t="s">
        <v>1816</v>
      </c>
      <c r="C1048" s="12">
        <v>45432</v>
      </c>
      <c r="D1048" s="4" t="s">
        <v>300</v>
      </c>
      <c r="E1048" s="4" t="s">
        <v>3662</v>
      </c>
      <c r="F1048" s="4"/>
      <c r="G1048" s="106" t="s">
        <v>1690</v>
      </c>
      <c r="H1048" s="106" t="s">
        <v>1691</v>
      </c>
      <c r="I1048" s="49" t="s">
        <v>1817</v>
      </c>
      <c r="J1048" s="4" t="s">
        <v>840</v>
      </c>
      <c r="K1048" s="4" t="str">
        <f>IF(E1048="KTG","KTG",(VLOOKUP(J1048,'list of outsource'!B:H,2,0)))</f>
        <v>ETC</v>
      </c>
      <c r="L1048" s="4" t="s">
        <v>841</v>
      </c>
      <c r="M1048" s="4">
        <v>19</v>
      </c>
      <c r="N1048" s="4" t="s">
        <v>1818</v>
      </c>
      <c r="O1048" s="2" t="s">
        <v>3691</v>
      </c>
      <c r="P1048" s="4" t="s">
        <v>1819</v>
      </c>
      <c r="Q1048" s="4" t="s">
        <v>1820</v>
      </c>
      <c r="R1048" s="12">
        <v>45449</v>
      </c>
      <c r="S1048" s="4">
        <v>4</v>
      </c>
      <c r="T1048" s="4" t="s">
        <v>1465</v>
      </c>
      <c r="U1048" s="4" t="s">
        <v>39</v>
      </c>
      <c r="V1048" s="10">
        <v>45545</v>
      </c>
      <c r="W1048" s="12">
        <v>45545</v>
      </c>
      <c r="X1048"/>
      <c r="Y1048"/>
      <c r="Z1048" t="e">
        <v>#N/A</v>
      </c>
    </row>
    <row r="1049" spans="1:26">
      <c r="A1049">
        <f t="shared" ca="1" si="17"/>
        <v>105</v>
      </c>
      <c r="B1049" s="49" t="s">
        <v>1821</v>
      </c>
      <c r="C1049" s="12">
        <v>45432</v>
      </c>
      <c r="D1049" s="4" t="s">
        <v>300</v>
      </c>
      <c r="E1049" s="4" t="s">
        <v>3662</v>
      </c>
      <c r="F1049" s="4"/>
      <c r="G1049" s="106" t="s">
        <v>1690</v>
      </c>
      <c r="H1049" s="106" t="s">
        <v>1691</v>
      </c>
      <c r="I1049" s="49" t="s">
        <v>1822</v>
      </c>
      <c r="J1049" s="4" t="s">
        <v>840</v>
      </c>
      <c r="K1049" s="4" t="str">
        <f>IF(E1049="KTG","KTG",(VLOOKUP(J1049,'list of outsource'!B:H,2,0)))</f>
        <v>ETC</v>
      </c>
      <c r="L1049" s="4" t="s">
        <v>841</v>
      </c>
      <c r="M1049" s="4">
        <v>19</v>
      </c>
      <c r="N1049" s="4" t="s">
        <v>1445</v>
      </c>
      <c r="O1049" s="2" t="s">
        <v>3691</v>
      </c>
      <c r="P1049" s="4" t="s">
        <v>1463</v>
      </c>
      <c r="Q1049" s="4" t="s">
        <v>1823</v>
      </c>
      <c r="R1049" s="12">
        <v>45449</v>
      </c>
      <c r="S1049" s="4">
        <v>4</v>
      </c>
      <c r="T1049" s="4" t="s">
        <v>1465</v>
      </c>
      <c r="U1049" s="4" t="s">
        <v>39</v>
      </c>
      <c r="V1049" s="10">
        <v>45537</v>
      </c>
      <c r="W1049" s="12">
        <v>45537</v>
      </c>
      <c r="X1049"/>
      <c r="Y1049"/>
      <c r="Z1049">
        <v>0</v>
      </c>
    </row>
    <row r="1050" spans="1:26" customFormat="1">
      <c r="A1050">
        <f t="shared" ca="1" si="17"/>
        <v>113</v>
      </c>
      <c r="B1050" s="49" t="s">
        <v>1824</v>
      </c>
      <c r="C1050" s="12">
        <v>45432</v>
      </c>
      <c r="D1050" s="4" t="s">
        <v>300</v>
      </c>
      <c r="E1050" s="4" t="s">
        <v>3662</v>
      </c>
      <c r="F1050" s="4"/>
      <c r="G1050" s="106" t="s">
        <v>1690</v>
      </c>
      <c r="H1050" s="106" t="s">
        <v>1691</v>
      </c>
      <c r="I1050" s="49" t="s">
        <v>1825</v>
      </c>
      <c r="J1050" s="4" t="s">
        <v>840</v>
      </c>
      <c r="K1050" s="4" t="str">
        <f>IF(E1050="KTG","KTG",(VLOOKUP(J1050,'list of outsource'!B:H,2,0)))</f>
        <v>ETC</v>
      </c>
      <c r="L1050" s="4" t="s">
        <v>841</v>
      </c>
      <c r="M1050" s="4">
        <v>19</v>
      </c>
      <c r="N1050" s="4" t="s">
        <v>1826</v>
      </c>
      <c r="O1050" s="2" t="s">
        <v>3691</v>
      </c>
      <c r="P1050" s="4" t="s">
        <v>1827</v>
      </c>
      <c r="Q1050" s="4" t="s">
        <v>1828</v>
      </c>
      <c r="R1050" s="12">
        <v>45453</v>
      </c>
      <c r="S1050" s="4">
        <v>4</v>
      </c>
      <c r="T1050" s="4" t="s">
        <v>1465</v>
      </c>
      <c r="U1050" s="4" t="s">
        <v>39</v>
      </c>
      <c r="V1050" s="10">
        <v>45545</v>
      </c>
      <c r="W1050" s="12">
        <v>45545</v>
      </c>
      <c r="Z1050" t="e">
        <v>#N/A</v>
      </c>
    </row>
    <row r="1051" spans="1:26" customFormat="1">
      <c r="A1051">
        <f t="shared" ca="1" si="17"/>
        <v>105</v>
      </c>
      <c r="B1051" s="49" t="s">
        <v>1829</v>
      </c>
      <c r="C1051" s="12">
        <v>45432</v>
      </c>
      <c r="D1051" s="4" t="s">
        <v>300</v>
      </c>
      <c r="E1051" s="4" t="s">
        <v>3662</v>
      </c>
      <c r="F1051" s="4"/>
      <c r="G1051" s="106" t="s">
        <v>1690</v>
      </c>
      <c r="H1051" s="106" t="s">
        <v>1691</v>
      </c>
      <c r="I1051" s="49" t="s">
        <v>1830</v>
      </c>
      <c r="J1051" s="4" t="s">
        <v>840</v>
      </c>
      <c r="K1051" s="4" t="str">
        <f>IF(E1051="KTG","KTG",(VLOOKUP(J1051,'list of outsource'!B:H,2,0)))</f>
        <v>ETC</v>
      </c>
      <c r="L1051" s="4" t="s">
        <v>841</v>
      </c>
      <c r="M1051" s="4">
        <v>19</v>
      </c>
      <c r="N1051" s="4" t="s">
        <v>1831</v>
      </c>
      <c r="O1051" s="2" t="s">
        <v>3691</v>
      </c>
      <c r="P1051" s="4" t="s">
        <v>1832</v>
      </c>
      <c r="Q1051" s="4" t="s">
        <v>1833</v>
      </c>
      <c r="R1051" s="12">
        <v>45449</v>
      </c>
      <c r="S1051" s="4">
        <v>4</v>
      </c>
      <c r="T1051" s="4" t="s">
        <v>1465</v>
      </c>
      <c r="U1051" s="4" t="s">
        <v>39</v>
      </c>
      <c r="V1051" s="10">
        <v>45537</v>
      </c>
      <c r="W1051" s="12">
        <v>45537</v>
      </c>
      <c r="Z1051" t="e">
        <v>#N/A</v>
      </c>
    </row>
    <row r="1052" spans="1:26">
      <c r="A1052">
        <f t="shared" ca="1" si="17"/>
        <v>56</v>
      </c>
      <c r="B1052" s="106" t="s">
        <v>2011</v>
      </c>
      <c r="C1052" s="12">
        <v>45484</v>
      </c>
      <c r="D1052" s="4" t="s">
        <v>1070</v>
      </c>
      <c r="E1052" s="4" t="s">
        <v>3662</v>
      </c>
      <c r="F1052" s="4"/>
      <c r="G1052" s="106" t="s">
        <v>1690</v>
      </c>
      <c r="H1052" s="106" t="s">
        <v>165</v>
      </c>
      <c r="I1052" s="106">
        <v>7094171430</v>
      </c>
      <c r="J1052" s="4" t="s">
        <v>302</v>
      </c>
      <c r="K1052" s="4" t="str">
        <f>IF(E1052="KTG","KTG",(VLOOKUP(J1052,'list of outsource'!B:H,2,0)))</f>
        <v>ETC</v>
      </c>
      <c r="L1052" s="4" t="s">
        <v>303</v>
      </c>
      <c r="M1052" s="4">
        <v>62</v>
      </c>
      <c r="N1052" s="4" t="s">
        <v>1711</v>
      </c>
      <c r="O1052" s="2" t="s">
        <v>3692</v>
      </c>
      <c r="P1052" s="4" t="s">
        <v>1712</v>
      </c>
      <c r="Q1052" s="4" t="s">
        <v>1713</v>
      </c>
      <c r="R1052" s="12">
        <v>45447</v>
      </c>
      <c r="S1052" s="4">
        <v>4</v>
      </c>
      <c r="T1052" s="4" t="s">
        <v>1465</v>
      </c>
      <c r="U1052" s="4" t="s">
        <v>39</v>
      </c>
      <c r="V1052" s="10">
        <v>45540</v>
      </c>
      <c r="W1052" s="12">
        <v>45546</v>
      </c>
      <c r="X1052"/>
      <c r="Y1052"/>
      <c r="Z1052" t="e">
        <v>#N/A</v>
      </c>
    </row>
    <row r="1053" spans="1:26">
      <c r="A1053">
        <f t="shared" ca="1" si="17"/>
        <v>69</v>
      </c>
      <c r="B1053" s="106" t="s">
        <v>2022</v>
      </c>
      <c r="C1053" s="12">
        <v>45569</v>
      </c>
      <c r="D1053" s="4" t="s">
        <v>300</v>
      </c>
      <c r="E1053" s="4" t="s">
        <v>3662</v>
      </c>
      <c r="F1053" s="4"/>
      <c r="G1053" s="106" t="s">
        <v>1690</v>
      </c>
      <c r="H1053" s="106" t="s">
        <v>165</v>
      </c>
      <c r="I1053" s="106">
        <v>7094176630</v>
      </c>
      <c r="J1053" s="4" t="s">
        <v>302</v>
      </c>
      <c r="K1053" s="4" t="str">
        <f>IF(E1053="KTG","KTG",(VLOOKUP(J1053,'list of outsource'!B:H,2,0)))</f>
        <v>ETC</v>
      </c>
      <c r="L1053" s="4" t="s">
        <v>303</v>
      </c>
      <c r="M1053" s="4">
        <v>63</v>
      </c>
      <c r="N1053" s="4" t="s">
        <v>2023</v>
      </c>
      <c r="O1053" s="2" t="s">
        <v>3692</v>
      </c>
      <c r="P1053" s="4" t="s">
        <v>2024</v>
      </c>
      <c r="Q1053" s="4" t="s">
        <v>2025</v>
      </c>
      <c r="R1053" s="12"/>
      <c r="S1053" s="4">
        <v>4</v>
      </c>
      <c r="T1053" s="4" t="s">
        <v>1258</v>
      </c>
      <c r="U1053" s="4" t="s">
        <v>39</v>
      </c>
      <c r="V1053" s="10">
        <v>45638</v>
      </c>
      <c r="W1053" s="12">
        <v>45666</v>
      </c>
      <c r="X1053"/>
      <c r="Y1053"/>
      <c r="Z1053" t="e">
        <v>#N/A</v>
      </c>
    </row>
    <row r="1054" spans="1:26">
      <c r="A1054">
        <f t="shared" ca="1" si="17"/>
        <v>12</v>
      </c>
      <c r="B1054" s="106" t="s">
        <v>2026</v>
      </c>
      <c r="C1054" s="12">
        <v>45696</v>
      </c>
      <c r="D1054" s="4" t="s">
        <v>300</v>
      </c>
      <c r="E1054" s="4" t="s">
        <v>3662</v>
      </c>
      <c r="F1054" s="4"/>
      <c r="G1054" s="106" t="s">
        <v>1690</v>
      </c>
      <c r="H1054" s="106" t="s">
        <v>165</v>
      </c>
      <c r="I1054" s="106" t="s">
        <v>2027</v>
      </c>
      <c r="J1054" s="4" t="s">
        <v>525</v>
      </c>
      <c r="K1054" s="4" t="str">
        <f>IF(E1054="KTG","KTG",(VLOOKUP(J1054,'list of outsource'!B:H,2,0)))</f>
        <v>ETC</v>
      </c>
      <c r="L1054" s="4" t="s">
        <v>526</v>
      </c>
      <c r="M1054" s="4">
        <v>20</v>
      </c>
      <c r="N1054" s="4" t="s">
        <v>1796</v>
      </c>
      <c r="O1054" s="2" t="s">
        <v>3692</v>
      </c>
      <c r="P1054" s="4" t="s">
        <v>1797</v>
      </c>
      <c r="Q1054" s="4" t="s">
        <v>2028</v>
      </c>
      <c r="R1054" s="12">
        <v>45453</v>
      </c>
      <c r="S1054" s="4">
        <v>4</v>
      </c>
      <c r="T1054" s="4" t="s">
        <v>307</v>
      </c>
      <c r="U1054" s="4" t="s">
        <v>39</v>
      </c>
      <c r="V1054" s="10">
        <v>45708</v>
      </c>
      <c r="W1054" s="12">
        <v>45756</v>
      </c>
      <c r="X1054"/>
      <c r="Y1054"/>
      <c r="Z1054" t="e">
        <v>#N/A</v>
      </c>
    </row>
    <row r="1055" spans="1:26">
      <c r="A1055">
        <f t="shared" ca="1" si="17"/>
        <v>12</v>
      </c>
      <c r="B1055" s="107" t="s">
        <v>2029</v>
      </c>
      <c r="C1055" s="16">
        <v>45696</v>
      </c>
      <c r="D1055" s="6" t="s">
        <v>129</v>
      </c>
      <c r="E1055" s="6" t="s">
        <v>3662</v>
      </c>
      <c r="F1055" s="6"/>
      <c r="G1055" s="106" t="s">
        <v>1690</v>
      </c>
      <c r="H1055" s="106" t="s">
        <v>165</v>
      </c>
      <c r="I1055" s="106" t="s">
        <v>2030</v>
      </c>
      <c r="J1055" s="6" t="s">
        <v>525</v>
      </c>
      <c r="K1055" s="6" t="str">
        <f>IF(E1055="KTG","KTG",(VLOOKUP(J1055,'list of outsource'!B:H,2,0)))</f>
        <v>ETC</v>
      </c>
      <c r="L1055" s="6" t="s">
        <v>526</v>
      </c>
      <c r="M1055" s="6">
        <v>20</v>
      </c>
      <c r="N1055" s="6" t="s">
        <v>1778</v>
      </c>
      <c r="O1055" s="2" t="s">
        <v>3692</v>
      </c>
      <c r="P1055" s="6" t="s">
        <v>1779</v>
      </c>
      <c r="Q1055" s="6" t="s">
        <v>2031</v>
      </c>
      <c r="R1055" s="16">
        <v>45453</v>
      </c>
      <c r="S1055" s="6">
        <v>4</v>
      </c>
      <c r="T1055" s="6" t="s">
        <v>307</v>
      </c>
      <c r="U1055" s="6" t="s">
        <v>39</v>
      </c>
      <c r="V1055" s="17">
        <v>45708</v>
      </c>
      <c r="W1055" s="16"/>
      <c r="X1055"/>
      <c r="Y1055"/>
      <c r="Z1055" t="e">
        <v>#N/A</v>
      </c>
    </row>
    <row r="1056" spans="1:26">
      <c r="A1056">
        <f t="shared" ca="1" si="17"/>
        <v>12</v>
      </c>
      <c r="B1056" s="107" t="s">
        <v>2032</v>
      </c>
      <c r="C1056" s="16">
        <v>45696</v>
      </c>
      <c r="D1056" s="6" t="s">
        <v>129</v>
      </c>
      <c r="E1056" s="6" t="s">
        <v>3662</v>
      </c>
      <c r="F1056" s="6"/>
      <c r="G1056" s="106" t="s">
        <v>1690</v>
      </c>
      <c r="H1056" s="106" t="s">
        <v>165</v>
      </c>
      <c r="I1056" s="106" t="s">
        <v>2033</v>
      </c>
      <c r="J1056" s="6" t="s">
        <v>525</v>
      </c>
      <c r="K1056" s="6" t="str">
        <f>IF(E1056="KTG","KTG",(VLOOKUP(J1056,'list of outsource'!B:H,2,0)))</f>
        <v>ETC</v>
      </c>
      <c r="L1056" s="6" t="s">
        <v>526</v>
      </c>
      <c r="M1056" s="6">
        <v>20</v>
      </c>
      <c r="N1056" s="6" t="s">
        <v>1788</v>
      </c>
      <c r="O1056" s="2" t="s">
        <v>3692</v>
      </c>
      <c r="P1056" s="6" t="s">
        <v>1789</v>
      </c>
      <c r="Q1056" s="6" t="s">
        <v>2034</v>
      </c>
      <c r="R1056" s="16">
        <v>45453</v>
      </c>
      <c r="S1056" s="6">
        <v>4</v>
      </c>
      <c r="T1056" s="6" t="s">
        <v>307</v>
      </c>
      <c r="U1056" s="6" t="s">
        <v>39</v>
      </c>
      <c r="V1056" s="17">
        <v>45708</v>
      </c>
      <c r="W1056" s="16"/>
      <c r="X1056"/>
      <c r="Y1056"/>
      <c r="Z1056" t="e">
        <v>#N/A</v>
      </c>
    </row>
    <row r="1057" spans="1:26" customFormat="1">
      <c r="A1057">
        <f t="shared" ca="1" si="17"/>
        <v>146</v>
      </c>
      <c r="B1057" s="107" t="s">
        <v>2168</v>
      </c>
      <c r="C1057" s="16">
        <v>45793</v>
      </c>
      <c r="D1057" s="6" t="s">
        <v>2169</v>
      </c>
      <c r="E1057" s="6" t="s">
        <v>3662</v>
      </c>
      <c r="F1057" s="6"/>
      <c r="G1057" s="106" t="s">
        <v>1690</v>
      </c>
      <c r="H1057" s="106" t="s">
        <v>165</v>
      </c>
      <c r="I1057" s="106">
        <v>7094171830</v>
      </c>
      <c r="J1057" s="6" t="s">
        <v>302</v>
      </c>
      <c r="K1057" s="6" t="str">
        <f>IF(E1057="KTG","KTG",(VLOOKUP(J1057,'list of outsource'!B:H,2,0)))</f>
        <v>ETC</v>
      </c>
      <c r="L1057" s="6" t="s">
        <v>303</v>
      </c>
      <c r="M1057" s="6">
        <v>74</v>
      </c>
      <c r="N1057" s="6" t="s">
        <v>304</v>
      </c>
      <c r="O1057" s="2" t="s">
        <v>3692</v>
      </c>
      <c r="P1057" s="6" t="s">
        <v>305</v>
      </c>
      <c r="Q1057" s="6" t="s">
        <v>2170</v>
      </c>
      <c r="R1057" s="16"/>
      <c r="S1057" s="6">
        <v>3</v>
      </c>
      <c r="T1057" s="6" t="s">
        <v>307</v>
      </c>
      <c r="U1057" s="6" t="s">
        <v>39</v>
      </c>
      <c r="V1057" s="17">
        <v>45939</v>
      </c>
      <c r="W1057" s="16"/>
      <c r="X1057" t="s">
        <v>2171</v>
      </c>
      <c r="Z1057" t="s">
        <v>1704</v>
      </c>
    </row>
    <row r="1058" spans="1:26" customFormat="1">
      <c r="A1058">
        <f t="shared" ca="1" si="17"/>
        <v>61</v>
      </c>
      <c r="B1058" s="107" t="s">
        <v>2352</v>
      </c>
      <c r="C1058" s="16">
        <v>45793</v>
      </c>
      <c r="D1058" s="6" t="s">
        <v>2169</v>
      </c>
      <c r="E1058" s="6" t="s">
        <v>3662</v>
      </c>
      <c r="F1058" s="6"/>
      <c r="G1058" s="106" t="s">
        <v>1690</v>
      </c>
      <c r="H1058" s="106" t="s">
        <v>165</v>
      </c>
      <c r="I1058" s="106">
        <v>7094175930</v>
      </c>
      <c r="J1058" s="6" t="s">
        <v>302</v>
      </c>
      <c r="K1058" s="6" t="str">
        <f>IF(E1058="KTG","KTG",(VLOOKUP(J1058,'list of outsource'!B:H,2,0)))</f>
        <v>ETC</v>
      </c>
      <c r="L1058" s="6" t="s">
        <v>303</v>
      </c>
      <c r="M1058" s="6">
        <v>71</v>
      </c>
      <c r="N1058" s="6" t="s">
        <v>1747</v>
      </c>
      <c r="O1058" s="2" t="s">
        <v>3692</v>
      </c>
      <c r="P1058" s="6" t="s">
        <v>2353</v>
      </c>
      <c r="Q1058" s="6" t="s">
        <v>2354</v>
      </c>
      <c r="R1058" s="16"/>
      <c r="S1058" s="6">
        <v>4</v>
      </c>
      <c r="T1058" s="6" t="s">
        <v>307</v>
      </c>
      <c r="U1058" s="6" t="s">
        <v>39</v>
      </c>
      <c r="V1058" s="17">
        <v>45854</v>
      </c>
      <c r="W1058" s="16"/>
      <c r="X1058" t="s">
        <v>2171</v>
      </c>
      <c r="Z1058">
        <v>0</v>
      </c>
    </row>
    <row r="1059" spans="1:26" customFormat="1" hidden="1">
      <c r="A1059" s="7">
        <f t="shared" ca="1" si="17"/>
        <v>13</v>
      </c>
      <c r="B1059" s="9" t="s">
        <v>2823</v>
      </c>
      <c r="C1059" s="14">
        <v>45847</v>
      </c>
      <c r="D1059" s="9" t="s">
        <v>300</v>
      </c>
      <c r="E1059" s="9" t="s">
        <v>3662</v>
      </c>
      <c r="F1059" s="9">
        <v>4655</v>
      </c>
      <c r="G1059" s="9" t="s">
        <v>1690</v>
      </c>
      <c r="H1059" s="9" t="s">
        <v>379</v>
      </c>
      <c r="I1059" s="9">
        <v>7094176130</v>
      </c>
      <c r="J1059" s="9" t="s">
        <v>302</v>
      </c>
      <c r="K1059" s="9" t="str">
        <f>IF(E1059="KTG","KTG",(VLOOKUP(J1059,'list of outsource'!B:H,2,0)))</f>
        <v>ETC</v>
      </c>
      <c r="L1059" s="9" t="s">
        <v>303</v>
      </c>
      <c r="M1059" s="68">
        <v>72</v>
      </c>
      <c r="N1059" s="9" t="s">
        <v>2824</v>
      </c>
      <c r="O1059" s="2"/>
      <c r="P1059" s="69" t="s">
        <v>2825</v>
      </c>
      <c r="Q1059" s="9" t="s">
        <v>2826</v>
      </c>
      <c r="R1059" s="14"/>
      <c r="S1059" s="9">
        <v>3</v>
      </c>
      <c r="T1059" s="9"/>
      <c r="U1059" s="9" t="s">
        <v>39</v>
      </c>
      <c r="V1059" s="15">
        <v>45860</v>
      </c>
      <c r="W1059" s="14">
        <v>45968</v>
      </c>
      <c r="X1059" s="7"/>
      <c r="Y1059" s="7"/>
      <c r="Z1059" s="7" t="e">
        <v>#N/A</v>
      </c>
    </row>
    <row r="1060" spans="1:26" customFormat="1">
      <c r="A1060">
        <f t="shared" ca="1" si="17"/>
        <v>4</v>
      </c>
      <c r="B1060" s="107" t="s">
        <v>2355</v>
      </c>
      <c r="C1060" s="12">
        <v>45821</v>
      </c>
      <c r="D1060" s="4" t="s">
        <v>300</v>
      </c>
      <c r="E1060" s="4" t="s">
        <v>3662</v>
      </c>
      <c r="F1060" s="4"/>
      <c r="G1060" s="106" t="s">
        <v>1690</v>
      </c>
      <c r="H1060" s="106" t="s">
        <v>165</v>
      </c>
      <c r="I1060" s="106" t="s">
        <v>2356</v>
      </c>
      <c r="J1060" s="4" t="s">
        <v>840</v>
      </c>
      <c r="K1060" s="4" t="str">
        <f>IF(E1060="KTG","KTG",(VLOOKUP(J1060,'list of outsource'!B:H,2,0)))</f>
        <v>ETC</v>
      </c>
      <c r="L1060" s="4" t="s">
        <v>841</v>
      </c>
      <c r="M1060" s="47">
        <v>20</v>
      </c>
      <c r="N1060" s="4" t="s">
        <v>1806</v>
      </c>
      <c r="O1060" s="2" t="s">
        <v>3692</v>
      </c>
      <c r="P1060" s="4" t="s">
        <v>1807</v>
      </c>
      <c r="Q1060" s="4" t="s">
        <v>2357</v>
      </c>
      <c r="R1060" s="12">
        <v>45449</v>
      </c>
      <c r="S1060" s="4">
        <v>4</v>
      </c>
      <c r="T1060" s="4" t="s">
        <v>1465</v>
      </c>
      <c r="U1060" s="4" t="s">
        <v>39</v>
      </c>
      <c r="V1060" s="10">
        <v>45825</v>
      </c>
      <c r="W1060" s="12">
        <v>45840</v>
      </c>
      <c r="Z1060" t="e">
        <v>#N/A</v>
      </c>
    </row>
    <row r="1061" spans="1:26" customFormat="1">
      <c r="A1061">
        <f t="shared" ca="1" si="17"/>
        <v>24</v>
      </c>
      <c r="B1061" s="107" t="s">
        <v>3165</v>
      </c>
      <c r="C1061" s="16">
        <v>45936</v>
      </c>
      <c r="D1061" s="6" t="s">
        <v>1946</v>
      </c>
      <c r="E1061" s="6" t="s">
        <v>3662</v>
      </c>
      <c r="F1061" s="6"/>
      <c r="G1061" s="106" t="s">
        <v>1690</v>
      </c>
      <c r="H1061" s="106" t="s">
        <v>165</v>
      </c>
      <c r="I1061" s="106">
        <v>7094171330</v>
      </c>
      <c r="J1061" s="6" t="s">
        <v>302</v>
      </c>
      <c r="K1061" s="6" t="str">
        <f>IF(E1061="KTG","KTG",(VLOOKUP(J1061,'list of outsource'!B:H,2,0)))</f>
        <v>ETC</v>
      </c>
      <c r="L1061" s="6" t="s">
        <v>303</v>
      </c>
      <c r="M1061" s="6">
        <v>72</v>
      </c>
      <c r="N1061" s="6" t="s">
        <v>1496</v>
      </c>
      <c r="O1061" s="2" t="s">
        <v>3692</v>
      </c>
      <c r="P1061" s="6" t="s">
        <v>1497</v>
      </c>
      <c r="Q1061" s="6"/>
      <c r="R1061" s="16"/>
      <c r="S1061" s="6">
        <v>3</v>
      </c>
      <c r="T1061" s="6" t="s">
        <v>307</v>
      </c>
      <c r="U1061" s="6" t="s">
        <v>39</v>
      </c>
      <c r="V1061" s="17">
        <v>45960</v>
      </c>
      <c r="W1061" s="16"/>
      <c r="X1061" t="s">
        <v>2171</v>
      </c>
    </row>
    <row r="1062" spans="1:26" customFormat="1" hidden="1">
      <c r="A1062" s="7">
        <f t="shared" ca="1" si="17"/>
        <v>22</v>
      </c>
      <c r="B1062" s="9" t="s">
        <v>2835</v>
      </c>
      <c r="C1062" s="14">
        <v>45847</v>
      </c>
      <c r="D1062" s="9" t="s">
        <v>300</v>
      </c>
      <c r="E1062" s="9" t="s">
        <v>3662</v>
      </c>
      <c r="F1062" s="9">
        <v>4650</v>
      </c>
      <c r="G1062" s="9" t="s">
        <v>1690</v>
      </c>
      <c r="H1062" s="9" t="s">
        <v>379</v>
      </c>
      <c r="I1062" s="9">
        <v>7094176430</v>
      </c>
      <c r="J1062" s="9" t="s">
        <v>302</v>
      </c>
      <c r="K1062" s="9" t="str">
        <f>IF(E1062="KTG","KTG",(VLOOKUP(J1062,'list of outsource'!B:H,2,0)))</f>
        <v>ETC</v>
      </c>
      <c r="L1062" s="9" t="s">
        <v>303</v>
      </c>
      <c r="M1062" s="68">
        <v>73</v>
      </c>
      <c r="N1062" s="9" t="s">
        <v>1995</v>
      </c>
      <c r="O1062" s="2"/>
      <c r="P1062" s="69" t="s">
        <v>1996</v>
      </c>
      <c r="Q1062" s="9" t="s">
        <v>2836</v>
      </c>
      <c r="R1062" s="14"/>
      <c r="S1062" s="9">
        <v>3</v>
      </c>
      <c r="T1062" s="9"/>
      <c r="U1062" s="9" t="s">
        <v>39</v>
      </c>
      <c r="V1062" s="15">
        <v>45869</v>
      </c>
      <c r="W1062" s="14"/>
      <c r="X1062" s="7"/>
      <c r="Y1062" s="7"/>
      <c r="Z1062" s="7" t="e">
        <v>#N/A</v>
      </c>
    </row>
    <row r="1063" spans="1:26" customFormat="1" hidden="1">
      <c r="A1063">
        <f t="shared" ca="1" si="17"/>
        <v>36</v>
      </c>
      <c r="B1063" s="8" t="s">
        <v>2837</v>
      </c>
      <c r="C1063" s="16">
        <v>45847</v>
      </c>
      <c r="D1063" s="6" t="s">
        <v>129</v>
      </c>
      <c r="E1063" s="6" t="s">
        <v>3662</v>
      </c>
      <c r="F1063" s="6">
        <v>4554</v>
      </c>
      <c r="G1063" s="6" t="s">
        <v>2375</v>
      </c>
      <c r="H1063" s="6" t="s">
        <v>379</v>
      </c>
      <c r="I1063" s="6">
        <v>7094183530</v>
      </c>
      <c r="J1063" s="6" t="s">
        <v>302</v>
      </c>
      <c r="K1063" s="6" t="str">
        <f>IF(E1063="KTG","KTG",(VLOOKUP(J1063,'list of outsource'!B:H,2,0)))</f>
        <v>ETC</v>
      </c>
      <c r="L1063" s="6" t="s">
        <v>303</v>
      </c>
      <c r="M1063" s="6">
        <v>73</v>
      </c>
      <c r="N1063" s="6" t="s">
        <v>2838</v>
      </c>
      <c r="O1063" s="2"/>
      <c r="P1063" s="6" t="s">
        <v>2839</v>
      </c>
      <c r="Q1063" s="6" t="s">
        <v>2840</v>
      </c>
      <c r="R1063" s="16"/>
      <c r="S1063" s="6">
        <v>3</v>
      </c>
      <c r="T1063" s="6"/>
      <c r="U1063" s="6" t="s">
        <v>39</v>
      </c>
      <c r="V1063" s="17">
        <v>45883</v>
      </c>
      <c r="W1063" s="16"/>
      <c r="Z1063" t="e">
        <v>#N/A</v>
      </c>
    </row>
    <row r="1064" spans="1:26" customFormat="1" hidden="1">
      <c r="A1064">
        <f t="shared" ca="1" si="17"/>
        <v>14</v>
      </c>
      <c r="B1064" s="8" t="s">
        <v>2841</v>
      </c>
      <c r="C1064" s="16">
        <v>45847</v>
      </c>
      <c r="D1064" s="6" t="s">
        <v>129</v>
      </c>
      <c r="E1064" s="6" t="s">
        <v>3662</v>
      </c>
      <c r="F1064" s="6">
        <v>4659</v>
      </c>
      <c r="G1064" s="6" t="s">
        <v>1690</v>
      </c>
      <c r="H1064" s="6" t="s">
        <v>379</v>
      </c>
      <c r="I1064" s="6">
        <v>7094175830</v>
      </c>
      <c r="J1064" s="6" t="s">
        <v>302</v>
      </c>
      <c r="K1064" s="6" t="str">
        <f>IF(E1064="KTG","KTG",(VLOOKUP(J1064,'list of outsource'!B:H,2,0)))</f>
        <v>ETC</v>
      </c>
      <c r="L1064" s="6" t="s">
        <v>303</v>
      </c>
      <c r="M1064" s="6">
        <v>72</v>
      </c>
      <c r="N1064" s="6" t="s">
        <v>1742</v>
      </c>
      <c r="O1064" s="2"/>
      <c r="P1064" s="6" t="s">
        <v>1743</v>
      </c>
      <c r="Q1064" s="6" t="s">
        <v>2842</v>
      </c>
      <c r="R1064" s="16"/>
      <c r="S1064" s="6">
        <v>3</v>
      </c>
      <c r="T1064" s="6"/>
      <c r="U1064" s="6" t="s">
        <v>39</v>
      </c>
      <c r="V1064" s="17">
        <v>45861</v>
      </c>
      <c r="W1064" s="16"/>
      <c r="Z1064" t="e">
        <v>#N/A</v>
      </c>
    </row>
    <row r="1065" spans="1:26" customFormat="1" hidden="1">
      <c r="A1065">
        <f t="shared" ca="1" si="17"/>
        <v>14</v>
      </c>
      <c r="B1065" s="8" t="s">
        <v>2843</v>
      </c>
      <c r="C1065" s="16">
        <v>45847</v>
      </c>
      <c r="D1065" s="6" t="s">
        <v>129</v>
      </c>
      <c r="E1065" s="6" t="s">
        <v>3662</v>
      </c>
      <c r="F1065" s="6">
        <v>4652</v>
      </c>
      <c r="G1065" s="6" t="s">
        <v>1690</v>
      </c>
      <c r="H1065" s="6" t="s">
        <v>379</v>
      </c>
      <c r="I1065" s="6">
        <v>7094174230</v>
      </c>
      <c r="J1065" s="6" t="s">
        <v>525</v>
      </c>
      <c r="K1065" s="6" t="str">
        <f>IF(E1065="KTG","KTG",(VLOOKUP(J1065,'list of outsource'!B:H,2,0)))</f>
        <v>ETC</v>
      </c>
      <c r="L1065" s="6" t="s">
        <v>526</v>
      </c>
      <c r="M1065" s="6">
        <v>20</v>
      </c>
      <c r="N1065" s="6" t="s">
        <v>1765</v>
      </c>
      <c r="O1065" s="2"/>
      <c r="P1065" s="6" t="s">
        <v>1766</v>
      </c>
      <c r="Q1065" s="6" t="s">
        <v>2844</v>
      </c>
      <c r="R1065" s="16"/>
      <c r="S1065" s="6">
        <v>3</v>
      </c>
      <c r="T1065" s="6"/>
      <c r="U1065" s="6" t="s">
        <v>39</v>
      </c>
      <c r="V1065" s="17">
        <v>45861</v>
      </c>
      <c r="W1065" s="16"/>
      <c r="Z1065" t="e">
        <v>#N/A</v>
      </c>
    </row>
    <row r="1066" spans="1:26" customFormat="1" hidden="1">
      <c r="A1066">
        <f t="shared" ca="1" si="17"/>
        <v>14</v>
      </c>
      <c r="B1066" s="8" t="s">
        <v>2845</v>
      </c>
      <c r="C1066" s="16">
        <v>45847</v>
      </c>
      <c r="D1066" s="6" t="s">
        <v>129</v>
      </c>
      <c r="E1066" s="6" t="s">
        <v>3662</v>
      </c>
      <c r="F1066" s="6">
        <v>4644</v>
      </c>
      <c r="G1066" s="6" t="s">
        <v>1690</v>
      </c>
      <c r="H1066" s="6" t="s">
        <v>379</v>
      </c>
      <c r="I1066" s="6">
        <v>7094171330</v>
      </c>
      <c r="J1066" s="6" t="s">
        <v>302</v>
      </c>
      <c r="K1066" s="6" t="str">
        <f>IF(E1066="KTG","KTG",(VLOOKUP(J1066,'list of outsource'!B:H,2,0)))</f>
        <v>ETC</v>
      </c>
      <c r="L1066" s="6" t="s">
        <v>303</v>
      </c>
      <c r="M1066" s="6">
        <v>72</v>
      </c>
      <c r="N1066" s="6" t="s">
        <v>1496</v>
      </c>
      <c r="O1066" s="2"/>
      <c r="P1066" s="6" t="s">
        <v>1497</v>
      </c>
      <c r="Q1066" s="6" t="s">
        <v>2846</v>
      </c>
      <c r="R1066" s="16"/>
      <c r="S1066" s="6">
        <v>3</v>
      </c>
      <c r="T1066" s="6"/>
      <c r="U1066" s="6" t="s">
        <v>39</v>
      </c>
      <c r="V1066" s="17">
        <v>45861</v>
      </c>
      <c r="W1066" s="16"/>
      <c r="Z1066" t="e">
        <v>#N/A</v>
      </c>
    </row>
    <row r="1067" spans="1:26" customFormat="1">
      <c r="A1067">
        <f t="shared" ca="1" si="17"/>
        <v>81</v>
      </c>
      <c r="B1067" s="104" t="s">
        <v>2358</v>
      </c>
      <c r="C1067" s="16">
        <v>45493</v>
      </c>
      <c r="D1067" s="6" t="s">
        <v>129</v>
      </c>
      <c r="E1067" s="6" t="s">
        <v>3662</v>
      </c>
      <c r="F1067" s="6"/>
      <c r="G1067" s="106" t="s">
        <v>1690</v>
      </c>
      <c r="H1067" s="106" t="s">
        <v>736</v>
      </c>
      <c r="I1067" s="49" t="s">
        <v>2359</v>
      </c>
      <c r="J1067" s="6" t="s">
        <v>302</v>
      </c>
      <c r="K1067" s="6" t="str">
        <f>IF(E1067="KTG","KTG",(VLOOKUP(J1067,'list of outsource'!B:H,2,0)))</f>
        <v>ETC</v>
      </c>
      <c r="L1067" s="6" t="s">
        <v>303</v>
      </c>
      <c r="M1067" s="6">
        <v>63</v>
      </c>
      <c r="N1067" s="6" t="s">
        <v>1989</v>
      </c>
      <c r="O1067" s="2" t="s">
        <v>3693</v>
      </c>
      <c r="P1067" s="6" t="s">
        <v>1990</v>
      </c>
      <c r="Q1067" s="6" t="s">
        <v>2360</v>
      </c>
      <c r="R1067" s="16">
        <v>45519</v>
      </c>
      <c r="S1067" s="6">
        <v>4</v>
      </c>
      <c r="T1067" s="6" t="s">
        <v>1465</v>
      </c>
      <c r="U1067" s="6" t="s">
        <v>39</v>
      </c>
      <c r="V1067" s="17">
        <v>45574</v>
      </c>
      <c r="W1067" s="16"/>
      <c r="Z1067" t="e">
        <v>#N/A</v>
      </c>
    </row>
    <row r="1068" spans="1:26" customFormat="1">
      <c r="A1068">
        <f t="shared" ca="1" si="17"/>
        <v>81</v>
      </c>
      <c r="B1068" s="104" t="s">
        <v>2524</v>
      </c>
      <c r="C1068" s="16">
        <v>45493</v>
      </c>
      <c r="D1068" s="6" t="s">
        <v>129</v>
      </c>
      <c r="E1068" s="6" t="s">
        <v>3662</v>
      </c>
      <c r="F1068" s="6"/>
      <c r="G1068" s="106" t="s">
        <v>1690</v>
      </c>
      <c r="H1068" s="106" t="s">
        <v>736</v>
      </c>
      <c r="I1068" s="49" t="s">
        <v>2525</v>
      </c>
      <c r="J1068" s="6" t="s">
        <v>302</v>
      </c>
      <c r="K1068" s="6" t="str">
        <f>IF(E1068="KTG","KTG",(VLOOKUP(J1068,'list of outsource'!B:H,2,0)))</f>
        <v>ETC</v>
      </c>
      <c r="L1068" s="6" t="s">
        <v>303</v>
      </c>
      <c r="M1068" s="6">
        <v>63</v>
      </c>
      <c r="N1068" s="6" t="s">
        <v>1995</v>
      </c>
      <c r="O1068" s="2" t="s">
        <v>3693</v>
      </c>
      <c r="P1068" s="6" t="s">
        <v>1996</v>
      </c>
      <c r="Q1068" s="6" t="s">
        <v>2526</v>
      </c>
      <c r="R1068" s="16">
        <v>45492</v>
      </c>
      <c r="S1068" s="6">
        <v>4</v>
      </c>
      <c r="T1068" s="6" t="s">
        <v>1465</v>
      </c>
      <c r="U1068" s="6" t="s">
        <v>39</v>
      </c>
      <c r="V1068" s="17">
        <v>45574</v>
      </c>
      <c r="W1068" s="16"/>
      <c r="Z1068" t="e">
        <v>#N/A</v>
      </c>
    </row>
    <row r="1069" spans="1:26" customFormat="1">
      <c r="A1069">
        <f t="shared" ca="1" si="17"/>
        <v>81</v>
      </c>
      <c r="B1069" s="104" t="s">
        <v>2527</v>
      </c>
      <c r="C1069" s="16">
        <v>45493</v>
      </c>
      <c r="D1069" s="6" t="s">
        <v>129</v>
      </c>
      <c r="E1069" s="6" t="s">
        <v>3662</v>
      </c>
      <c r="F1069" s="6"/>
      <c r="G1069" s="106" t="s">
        <v>1690</v>
      </c>
      <c r="H1069" s="106" t="s">
        <v>736</v>
      </c>
      <c r="I1069" s="49" t="s">
        <v>2528</v>
      </c>
      <c r="J1069" s="6" t="s">
        <v>302</v>
      </c>
      <c r="K1069" s="6" t="str">
        <f>IF(E1069="KTG","KTG",(VLOOKUP(J1069,'list of outsource'!B:H,2,0)))</f>
        <v>ETC</v>
      </c>
      <c r="L1069" s="6" t="s">
        <v>303</v>
      </c>
      <c r="M1069" s="6">
        <v>63</v>
      </c>
      <c r="N1069" s="6" t="s">
        <v>1999</v>
      </c>
      <c r="O1069" s="2" t="s">
        <v>3693</v>
      </c>
      <c r="P1069" s="6" t="s">
        <v>2000</v>
      </c>
      <c r="Q1069" s="6" t="s">
        <v>2529</v>
      </c>
      <c r="R1069" s="16">
        <v>45492</v>
      </c>
      <c r="S1069" s="6">
        <v>4</v>
      </c>
      <c r="T1069" s="6" t="s">
        <v>1465</v>
      </c>
      <c r="U1069" s="6" t="s">
        <v>39</v>
      </c>
      <c r="V1069" s="17">
        <v>45574</v>
      </c>
      <c r="W1069" s="16"/>
      <c r="Z1069" t="e">
        <v>#N/A</v>
      </c>
    </row>
    <row r="1070" spans="1:26" customFormat="1" hidden="1">
      <c r="A1070">
        <f t="shared" ca="1" si="17"/>
        <v>22</v>
      </c>
      <c r="B1070" s="8" t="s">
        <v>2857</v>
      </c>
      <c r="C1070" s="16">
        <v>45847</v>
      </c>
      <c r="D1070" s="6" t="s">
        <v>129</v>
      </c>
      <c r="E1070" s="6" t="s">
        <v>3662</v>
      </c>
      <c r="F1070" s="6">
        <v>4648</v>
      </c>
      <c r="G1070" s="6" t="s">
        <v>1690</v>
      </c>
      <c r="H1070" s="6" t="s">
        <v>379</v>
      </c>
      <c r="I1070" s="6">
        <v>7094176030</v>
      </c>
      <c r="J1070" s="6" t="s">
        <v>302</v>
      </c>
      <c r="K1070" s="6" t="str">
        <f>IF(E1070="KTG","KTG",(VLOOKUP(J1070,'list of outsource'!B:H,2,0)))</f>
        <v>ETC</v>
      </c>
      <c r="L1070" s="6" t="s">
        <v>303</v>
      </c>
      <c r="M1070" s="48">
        <v>73</v>
      </c>
      <c r="N1070" s="6" t="s">
        <v>1752</v>
      </c>
      <c r="O1070" s="2"/>
      <c r="P1070" s="6" t="s">
        <v>2858</v>
      </c>
      <c r="Q1070" s="6" t="s">
        <v>2859</v>
      </c>
      <c r="R1070" s="16"/>
      <c r="S1070" s="6">
        <v>3</v>
      </c>
      <c r="T1070" s="6"/>
      <c r="U1070" s="6" t="s">
        <v>39</v>
      </c>
      <c r="V1070" s="17">
        <v>45869</v>
      </c>
      <c r="W1070" s="16"/>
      <c r="Z1070" t="e">
        <v>#N/A</v>
      </c>
    </row>
    <row r="1071" spans="1:26" customFormat="1">
      <c r="A1071">
        <f t="shared" ca="1" si="17"/>
        <v>81</v>
      </c>
      <c r="B1071" s="104" t="s">
        <v>2633</v>
      </c>
      <c r="C1071" s="16">
        <v>45493</v>
      </c>
      <c r="D1071" s="6" t="s">
        <v>129</v>
      </c>
      <c r="E1071" s="6" t="s">
        <v>3662</v>
      </c>
      <c r="F1071" s="6"/>
      <c r="G1071" s="106" t="s">
        <v>1690</v>
      </c>
      <c r="H1071" s="106" t="s">
        <v>736</v>
      </c>
      <c r="I1071" s="49" t="s">
        <v>2634</v>
      </c>
      <c r="J1071" s="6" t="s">
        <v>302</v>
      </c>
      <c r="K1071" s="6" t="str">
        <f>IF(E1071="KTG","KTG",(VLOOKUP(J1071,'list of outsource'!B:H,2,0)))</f>
        <v>ETC</v>
      </c>
      <c r="L1071" s="6" t="s">
        <v>303</v>
      </c>
      <c r="M1071" s="6">
        <v>63</v>
      </c>
      <c r="N1071" s="6" t="s">
        <v>1602</v>
      </c>
      <c r="O1071" s="2" t="s">
        <v>3693</v>
      </c>
      <c r="P1071" s="6" t="s">
        <v>1603</v>
      </c>
      <c r="Q1071" s="6" t="s">
        <v>2635</v>
      </c>
      <c r="R1071" s="16">
        <v>45469</v>
      </c>
      <c r="S1071" s="6">
        <v>4</v>
      </c>
      <c r="T1071" s="6" t="s">
        <v>1465</v>
      </c>
      <c r="U1071" s="6" t="s">
        <v>39</v>
      </c>
      <c r="V1071" s="17">
        <v>45574</v>
      </c>
      <c r="W1071" s="16"/>
      <c r="Z1071" t="e">
        <v>#N/A</v>
      </c>
    </row>
    <row r="1072" spans="1:26" customFormat="1">
      <c r="A1072">
        <f t="shared" ca="1" si="17"/>
        <v>22</v>
      </c>
      <c r="B1072" s="107" t="s">
        <v>2737</v>
      </c>
      <c r="C1072" s="16">
        <v>45847</v>
      </c>
      <c r="D1072" s="6" t="s">
        <v>129</v>
      </c>
      <c r="E1072" s="6" t="s">
        <v>3662</v>
      </c>
      <c r="F1072" s="6"/>
      <c r="G1072" s="106" t="s">
        <v>1690</v>
      </c>
      <c r="H1072" s="106" t="s">
        <v>379</v>
      </c>
      <c r="I1072" s="106">
        <v>7090200030</v>
      </c>
      <c r="J1072" s="6" t="s">
        <v>840</v>
      </c>
      <c r="K1072" s="6" t="str">
        <f>IF(E1072="KTG","KTG",(VLOOKUP(J1072,'list of outsource'!B:H,2,0)))</f>
        <v>ETC</v>
      </c>
      <c r="L1072" s="6" t="s">
        <v>841</v>
      </c>
      <c r="M1072" s="6">
        <v>21</v>
      </c>
      <c r="N1072" s="6" t="s">
        <v>2738</v>
      </c>
      <c r="O1072" s="2" t="s">
        <v>3694</v>
      </c>
      <c r="P1072" s="6" t="s">
        <v>2739</v>
      </c>
      <c r="Q1072" s="6" t="s">
        <v>2740</v>
      </c>
      <c r="R1072" s="16"/>
      <c r="S1072" s="6">
        <v>3</v>
      </c>
      <c r="T1072" s="6"/>
      <c r="U1072" s="6" t="s">
        <v>39</v>
      </c>
      <c r="V1072" s="17">
        <v>45869</v>
      </c>
      <c r="W1072" s="16"/>
      <c r="Z1072" t="e">
        <v>#N/A</v>
      </c>
    </row>
    <row r="1073" spans="1:26" customFormat="1">
      <c r="A1073" s="7">
        <f t="shared" ca="1" si="17"/>
        <v>22</v>
      </c>
      <c r="B1073" s="107" t="s">
        <v>2847</v>
      </c>
      <c r="C1073" s="14">
        <v>45847</v>
      </c>
      <c r="D1073" s="9" t="s">
        <v>300</v>
      </c>
      <c r="E1073" s="9" t="s">
        <v>3662</v>
      </c>
      <c r="F1073" s="9"/>
      <c r="G1073" s="107" t="s">
        <v>1690</v>
      </c>
      <c r="H1073" s="107" t="s">
        <v>379</v>
      </c>
      <c r="I1073" s="107">
        <v>7094176230</v>
      </c>
      <c r="J1073" s="9" t="s">
        <v>302</v>
      </c>
      <c r="K1073" s="9" t="str">
        <f>IF(E1073="KTG","KTG",(VLOOKUP(J1073,'list of outsource'!B:H,2,0)))</f>
        <v>ETC</v>
      </c>
      <c r="L1073" s="9" t="s">
        <v>303</v>
      </c>
      <c r="M1073" s="68">
        <v>73</v>
      </c>
      <c r="N1073" s="9" t="s">
        <v>1989</v>
      </c>
      <c r="O1073" s="2" t="s">
        <v>3694</v>
      </c>
      <c r="P1073" s="69" t="s">
        <v>1990</v>
      </c>
      <c r="Q1073" s="9" t="s">
        <v>2848</v>
      </c>
      <c r="R1073" s="14"/>
      <c r="S1073" s="9">
        <v>3</v>
      </c>
      <c r="T1073" s="9"/>
      <c r="U1073" s="9" t="s">
        <v>39</v>
      </c>
      <c r="V1073" s="15">
        <v>45869</v>
      </c>
      <c r="W1073" s="14">
        <v>45968</v>
      </c>
      <c r="X1073" s="7"/>
      <c r="Y1073" s="7"/>
      <c r="Z1073" s="7" t="e">
        <v>#N/A</v>
      </c>
    </row>
    <row r="1074" spans="1:26" customFormat="1" hidden="1">
      <c r="A1074">
        <f t="shared" ca="1" si="17"/>
        <v>120</v>
      </c>
      <c r="B1074" s="18" t="s">
        <v>3068</v>
      </c>
      <c r="C1074" s="58">
        <v>45888</v>
      </c>
      <c r="D1074" s="18" t="s">
        <v>1946</v>
      </c>
      <c r="E1074" s="18" t="s">
        <v>3662</v>
      </c>
      <c r="F1074" s="18">
        <v>4557</v>
      </c>
      <c r="G1074" s="18" t="s">
        <v>1690</v>
      </c>
      <c r="H1074" s="18" t="s">
        <v>379</v>
      </c>
      <c r="I1074" s="18">
        <v>7194183730</v>
      </c>
      <c r="J1074" s="18" t="s">
        <v>3069</v>
      </c>
      <c r="K1074" s="18" t="str">
        <f>IF(E1074="KTG","KTG",(VLOOKUP(J1074,'list of outsource'!B:H,2,0)))</f>
        <v>ETC</v>
      </c>
      <c r="L1074" s="18" t="s">
        <v>3070</v>
      </c>
      <c r="M1074" s="59"/>
      <c r="N1074" s="18" t="s">
        <v>3071</v>
      </c>
      <c r="O1074" s="2"/>
      <c r="P1074" s="18" t="s">
        <v>3072</v>
      </c>
      <c r="Q1074" s="18" t="s">
        <v>3344</v>
      </c>
      <c r="R1074" s="58">
        <v>45923</v>
      </c>
      <c r="S1074" s="18">
        <v>3</v>
      </c>
      <c r="T1074" s="18" t="s">
        <v>307</v>
      </c>
      <c r="U1074" s="18" t="s">
        <v>39</v>
      </c>
      <c r="V1074" s="60"/>
      <c r="W1074" s="58"/>
      <c r="X1074" s="55" t="s">
        <v>2171</v>
      </c>
      <c r="Y1074" s="55"/>
      <c r="Z1074" s="55"/>
    </row>
    <row r="1075" spans="1:26" customFormat="1">
      <c r="A1075" s="7">
        <f t="shared" ca="1" si="17"/>
        <v>22</v>
      </c>
      <c r="B1075" s="107" t="s">
        <v>2849</v>
      </c>
      <c r="C1075" s="14">
        <v>45847</v>
      </c>
      <c r="D1075" s="9" t="s">
        <v>300</v>
      </c>
      <c r="E1075" s="9" t="s">
        <v>3662</v>
      </c>
      <c r="F1075" s="9"/>
      <c r="G1075" s="107" t="s">
        <v>1690</v>
      </c>
      <c r="H1075" s="107" t="s">
        <v>379</v>
      </c>
      <c r="I1075" s="107">
        <v>7094176530</v>
      </c>
      <c r="J1075" s="9" t="s">
        <v>302</v>
      </c>
      <c r="K1075" s="9" t="str">
        <f>IF(E1075="KTG","KTG",(VLOOKUP(J1075,'list of outsource'!B:H,2,0)))</f>
        <v>ETC</v>
      </c>
      <c r="L1075" s="9" t="s">
        <v>303</v>
      </c>
      <c r="M1075" s="68">
        <v>73</v>
      </c>
      <c r="N1075" s="9" t="s">
        <v>1999</v>
      </c>
      <c r="O1075" s="2" t="s">
        <v>3694</v>
      </c>
      <c r="P1075" s="69" t="s">
        <v>2850</v>
      </c>
      <c r="Q1075" s="9" t="s">
        <v>2851</v>
      </c>
      <c r="R1075" s="14"/>
      <c r="S1075" s="9">
        <v>3</v>
      </c>
      <c r="T1075" s="9"/>
      <c r="U1075" s="9" t="s">
        <v>39</v>
      </c>
      <c r="V1075" s="15">
        <v>45869</v>
      </c>
      <c r="W1075" s="14">
        <v>45968</v>
      </c>
      <c r="X1075" s="7"/>
      <c r="Y1075" s="7"/>
      <c r="Z1075" s="7" t="e">
        <v>#N/A</v>
      </c>
    </row>
    <row r="1076" spans="1:26" customFormat="1" hidden="1">
      <c r="A1076">
        <f t="shared" ca="1" si="17"/>
        <v>95</v>
      </c>
      <c r="B1076" s="104" t="s">
        <v>2806</v>
      </c>
      <c r="C1076" s="16">
        <v>45859</v>
      </c>
      <c r="D1076" s="6" t="s">
        <v>129</v>
      </c>
      <c r="E1076" s="6" t="s">
        <v>3662</v>
      </c>
      <c r="F1076" s="6"/>
      <c r="G1076" s="6" t="s">
        <v>505</v>
      </c>
      <c r="H1076" s="6" t="s">
        <v>379</v>
      </c>
      <c r="I1076" s="6">
        <v>69322848</v>
      </c>
      <c r="J1076" s="6" t="s">
        <v>840</v>
      </c>
      <c r="K1076" s="6" t="str">
        <f>IF(E1076="KTG","KTG",(VLOOKUP(J1076,'list of outsource'!B:H,2,0)))</f>
        <v>ETC</v>
      </c>
      <c r="L1076" s="6" t="s">
        <v>2807</v>
      </c>
      <c r="M1076" s="6" t="s">
        <v>2808</v>
      </c>
      <c r="N1076" s="49" t="s">
        <v>2809</v>
      </c>
      <c r="O1076" s="2"/>
      <c r="P1076" s="6" t="s">
        <v>2810</v>
      </c>
      <c r="Q1076" s="6" t="s">
        <v>2811</v>
      </c>
      <c r="R1076" s="16">
        <v>45891</v>
      </c>
      <c r="S1076" s="6">
        <v>4</v>
      </c>
      <c r="T1076" s="6" t="s">
        <v>1258</v>
      </c>
      <c r="U1076" s="6" t="s">
        <v>39</v>
      </c>
      <c r="V1076" s="17">
        <v>45954</v>
      </c>
      <c r="W1076" s="16"/>
    </row>
    <row r="1077" spans="1:26" customFormat="1" hidden="1">
      <c r="A1077">
        <f t="shared" ca="1" si="17"/>
        <v>95</v>
      </c>
      <c r="B1077" s="104" t="s">
        <v>2900</v>
      </c>
      <c r="C1077" s="16">
        <v>45859</v>
      </c>
      <c r="D1077" s="6" t="s">
        <v>129</v>
      </c>
      <c r="E1077" s="6" t="s">
        <v>3662</v>
      </c>
      <c r="F1077" s="6"/>
      <c r="G1077" s="6" t="s">
        <v>505</v>
      </c>
      <c r="H1077" s="6" t="s">
        <v>379</v>
      </c>
      <c r="I1077" s="6">
        <v>69322849</v>
      </c>
      <c r="J1077" s="6" t="s">
        <v>840</v>
      </c>
      <c r="K1077" s="6" t="str">
        <f>IF(E1077="KTG","KTG",(VLOOKUP(J1077,'list of outsource'!B:H,2,0)))</f>
        <v>ETC</v>
      </c>
      <c r="L1077" s="6" t="s">
        <v>2807</v>
      </c>
      <c r="M1077" s="6" t="s">
        <v>2808</v>
      </c>
      <c r="N1077" s="49" t="s">
        <v>2901</v>
      </c>
      <c r="O1077" s="2"/>
      <c r="P1077" s="6" t="s">
        <v>2902</v>
      </c>
      <c r="Q1077" s="6" t="s">
        <v>2903</v>
      </c>
      <c r="R1077" s="16">
        <v>45891</v>
      </c>
      <c r="S1077" s="6">
        <v>4</v>
      </c>
      <c r="T1077" s="6" t="s">
        <v>1258</v>
      </c>
      <c r="U1077" s="6" t="s">
        <v>39</v>
      </c>
      <c r="V1077" s="17">
        <v>45954</v>
      </c>
      <c r="W1077" s="16"/>
    </row>
    <row r="1078" spans="1:26" customFormat="1" hidden="1">
      <c r="A1078">
        <f t="shared" ca="1" si="17"/>
        <v>95</v>
      </c>
      <c r="B1078" s="104" t="s">
        <v>2908</v>
      </c>
      <c r="C1078" s="16">
        <v>45859</v>
      </c>
      <c r="D1078" s="6" t="s">
        <v>129</v>
      </c>
      <c r="E1078" s="6" t="s">
        <v>3662</v>
      </c>
      <c r="F1078" s="6"/>
      <c r="G1078" s="6" t="s">
        <v>505</v>
      </c>
      <c r="H1078" s="6" t="s">
        <v>379</v>
      </c>
      <c r="I1078" s="6">
        <v>69322859</v>
      </c>
      <c r="J1078" s="6" t="s">
        <v>928</v>
      </c>
      <c r="K1078" s="6" t="str">
        <f>IF(E1078="KTG","KTG",(VLOOKUP(J1078,'list of outsource'!B:H,2,0)))</f>
        <v>ETC</v>
      </c>
      <c r="L1078" s="6" t="s">
        <v>2909</v>
      </c>
      <c r="M1078" s="6" t="s">
        <v>1554</v>
      </c>
      <c r="N1078" s="49" t="s">
        <v>2910</v>
      </c>
      <c r="O1078" s="2"/>
      <c r="P1078" s="6" t="s">
        <v>2911</v>
      </c>
      <c r="Q1078" s="6" t="s">
        <v>2912</v>
      </c>
      <c r="R1078" s="16">
        <v>45891</v>
      </c>
      <c r="S1078" s="6">
        <v>4</v>
      </c>
      <c r="T1078" s="6" t="s">
        <v>1258</v>
      </c>
      <c r="U1078" s="6" t="s">
        <v>39</v>
      </c>
      <c r="V1078" s="17">
        <v>45954</v>
      </c>
      <c r="W1078" s="16"/>
    </row>
    <row r="1079" spans="1:26" customFormat="1" hidden="1">
      <c r="A1079">
        <f t="shared" ca="1" si="17"/>
        <v>95</v>
      </c>
      <c r="B1079" s="8" t="s">
        <v>2913</v>
      </c>
      <c r="C1079" s="16">
        <v>45859</v>
      </c>
      <c r="D1079" s="6" t="s">
        <v>129</v>
      </c>
      <c r="E1079" s="6" t="s">
        <v>3662</v>
      </c>
      <c r="F1079" s="6"/>
      <c r="G1079" s="6" t="s">
        <v>505</v>
      </c>
      <c r="H1079" s="6" t="s">
        <v>379</v>
      </c>
      <c r="I1079" s="6">
        <v>69322872</v>
      </c>
      <c r="J1079" s="6" t="s">
        <v>928</v>
      </c>
      <c r="K1079" s="6" t="str">
        <f>IF(E1079="KTG","KTG",(VLOOKUP(J1079,'list of outsource'!B:H,2,0)))</f>
        <v>ETC</v>
      </c>
      <c r="L1079" s="6" t="s">
        <v>2909</v>
      </c>
      <c r="M1079" s="6" t="s">
        <v>1554</v>
      </c>
      <c r="N1079" s="6" t="s">
        <v>998</v>
      </c>
      <c r="O1079" s="2"/>
      <c r="P1079" s="6" t="s">
        <v>2914</v>
      </c>
      <c r="Q1079" s="6" t="s">
        <v>2915</v>
      </c>
      <c r="R1079" s="16">
        <v>45891</v>
      </c>
      <c r="S1079" s="6">
        <v>4</v>
      </c>
      <c r="T1079" s="6" t="s">
        <v>1258</v>
      </c>
      <c r="U1079" s="6" t="s">
        <v>39</v>
      </c>
      <c r="V1079" s="17">
        <v>45954</v>
      </c>
      <c r="W1079" s="16"/>
    </row>
    <row r="1080" spans="1:26" customFormat="1" hidden="1">
      <c r="A1080">
        <f t="shared" ca="1" si="17"/>
        <v>95</v>
      </c>
      <c r="B1080" s="8" t="s">
        <v>2920</v>
      </c>
      <c r="C1080" s="16">
        <v>45859</v>
      </c>
      <c r="D1080" s="6" t="s">
        <v>129</v>
      </c>
      <c r="E1080" s="6" t="s">
        <v>3662</v>
      </c>
      <c r="F1080" s="6"/>
      <c r="G1080" s="6" t="s">
        <v>505</v>
      </c>
      <c r="H1080" s="6" t="s">
        <v>379</v>
      </c>
      <c r="I1080" s="6">
        <v>69322860</v>
      </c>
      <c r="J1080" s="6" t="s">
        <v>928</v>
      </c>
      <c r="K1080" s="6" t="str">
        <f>IF(E1080="KTG","KTG",(VLOOKUP(J1080,'list of outsource'!B:H,2,0)))</f>
        <v>ETC</v>
      </c>
      <c r="L1080" s="6" t="s">
        <v>2909</v>
      </c>
      <c r="M1080" s="6" t="s">
        <v>1554</v>
      </c>
      <c r="N1080" s="6" t="s">
        <v>990</v>
      </c>
      <c r="O1080" s="2"/>
      <c r="P1080" s="6" t="s">
        <v>2921</v>
      </c>
      <c r="Q1080" s="6" t="s">
        <v>2922</v>
      </c>
      <c r="R1080" s="16">
        <v>45891</v>
      </c>
      <c r="S1080" s="6">
        <v>4</v>
      </c>
      <c r="T1080" s="6" t="s">
        <v>1258</v>
      </c>
      <c r="U1080" s="6" t="s">
        <v>39</v>
      </c>
      <c r="V1080" s="17">
        <v>45954</v>
      </c>
      <c r="W1080" s="16"/>
    </row>
    <row r="1081" spans="1:26" hidden="1">
      <c r="A1081">
        <f t="shared" ca="1" si="17"/>
        <v>142</v>
      </c>
      <c r="B1081" s="104" t="s">
        <v>3656</v>
      </c>
      <c r="C1081" s="16">
        <v>45859</v>
      </c>
      <c r="D1081" s="6" t="s">
        <v>129</v>
      </c>
      <c r="E1081" s="6" t="s">
        <v>3662</v>
      </c>
      <c r="F1081" s="6"/>
      <c r="G1081" s="6" t="s">
        <v>505</v>
      </c>
      <c r="H1081" s="6" t="s">
        <v>379</v>
      </c>
      <c r="I1081" s="6">
        <v>69322889</v>
      </c>
      <c r="J1081" s="6" t="s">
        <v>928</v>
      </c>
      <c r="K1081" s="6" t="str">
        <f>IF(E1081="KTG","KTG",(VLOOKUP(J1081,'list of outsource'!B:H,2,0)))</f>
        <v>ETC</v>
      </c>
      <c r="L1081" s="6" t="s">
        <v>2909</v>
      </c>
      <c r="M1081" s="6" t="s">
        <v>1554</v>
      </c>
      <c r="N1081" s="49" t="s">
        <v>2923</v>
      </c>
      <c r="P1081" s="6" t="s">
        <v>2924</v>
      </c>
      <c r="Q1081" s="6" t="s">
        <v>3655</v>
      </c>
      <c r="R1081" s="16">
        <v>45891</v>
      </c>
      <c r="S1081" s="6">
        <v>4</v>
      </c>
      <c r="T1081" s="6" t="s">
        <v>1258</v>
      </c>
      <c r="U1081" s="6" t="s">
        <v>39</v>
      </c>
      <c r="V1081" s="17">
        <v>46001</v>
      </c>
      <c r="W1081" s="16"/>
      <c r="X1081"/>
      <c r="Y1081"/>
      <c r="Z1081"/>
    </row>
    <row r="1082" spans="1:26" hidden="1">
      <c r="A1082">
        <f t="shared" ca="1" si="17"/>
        <v>142</v>
      </c>
      <c r="B1082" s="8" t="s">
        <v>3658</v>
      </c>
      <c r="C1082" s="16">
        <v>45859</v>
      </c>
      <c r="D1082" s="6" t="s">
        <v>129</v>
      </c>
      <c r="E1082" s="6" t="s">
        <v>3662</v>
      </c>
      <c r="F1082" s="6"/>
      <c r="G1082" s="6" t="s">
        <v>505</v>
      </c>
      <c r="H1082" s="6" t="s">
        <v>379</v>
      </c>
      <c r="I1082" s="6">
        <v>69322881</v>
      </c>
      <c r="J1082" s="6" t="s">
        <v>928</v>
      </c>
      <c r="K1082" s="6" t="str">
        <f>IF(E1082="KTG","KTG",(VLOOKUP(J1082,'list of outsource'!B:H,2,0)))</f>
        <v>ETC</v>
      </c>
      <c r="L1082" s="6" t="s">
        <v>2909</v>
      </c>
      <c r="M1082" s="6" t="s">
        <v>1554</v>
      </c>
      <c r="N1082" s="6" t="s">
        <v>951</v>
      </c>
      <c r="P1082" s="6" t="s">
        <v>2925</v>
      </c>
      <c r="Q1082" s="6" t="s">
        <v>3657</v>
      </c>
      <c r="R1082" s="16">
        <v>45891</v>
      </c>
      <c r="S1082" s="6">
        <v>4</v>
      </c>
      <c r="T1082" s="6" t="s">
        <v>1258</v>
      </c>
      <c r="U1082" s="6" t="s">
        <v>39</v>
      </c>
      <c r="V1082" s="17">
        <v>46001</v>
      </c>
      <c r="W1082" s="16"/>
      <c r="X1082"/>
      <c r="Y1082"/>
      <c r="Z1082"/>
    </row>
    <row r="1083" spans="1:26" hidden="1">
      <c r="A1083">
        <f t="shared" ca="1" si="17"/>
        <v>95</v>
      </c>
      <c r="B1083" s="104" t="s">
        <v>2926</v>
      </c>
      <c r="C1083" s="16">
        <v>45859</v>
      </c>
      <c r="D1083" s="6" t="s">
        <v>129</v>
      </c>
      <c r="E1083" s="6" t="s">
        <v>3662</v>
      </c>
      <c r="F1083" s="6"/>
      <c r="G1083" s="6" t="s">
        <v>505</v>
      </c>
      <c r="H1083" s="6" t="s">
        <v>379</v>
      </c>
      <c r="I1083" s="6">
        <v>69322874</v>
      </c>
      <c r="J1083" s="6" t="s">
        <v>928</v>
      </c>
      <c r="K1083" s="6" t="str">
        <f>IF(E1083="KTG","KTG",(VLOOKUP(J1083,'list of outsource'!B:H,2,0)))</f>
        <v>ETC</v>
      </c>
      <c r="L1083" s="6" t="s">
        <v>2909</v>
      </c>
      <c r="M1083" s="6" t="s">
        <v>1554</v>
      </c>
      <c r="N1083" s="49" t="s">
        <v>2927</v>
      </c>
      <c r="P1083" s="6" t="s">
        <v>2928</v>
      </c>
      <c r="Q1083" s="6" t="s">
        <v>2929</v>
      </c>
      <c r="R1083" s="16">
        <v>45891</v>
      </c>
      <c r="S1083" s="6">
        <v>4</v>
      </c>
      <c r="T1083" s="6" t="s">
        <v>1258</v>
      </c>
      <c r="U1083" s="6" t="s">
        <v>39</v>
      </c>
      <c r="V1083" s="17">
        <v>45954</v>
      </c>
      <c r="W1083" s="16"/>
      <c r="X1083"/>
      <c r="Y1083"/>
      <c r="Z1083"/>
    </row>
    <row r="1084" spans="1:26" customFormat="1" hidden="1">
      <c r="A1084">
        <f t="shared" ca="1" si="17"/>
        <v>95</v>
      </c>
      <c r="B1084" s="104" t="s">
        <v>2930</v>
      </c>
      <c r="C1084" s="16">
        <v>45859</v>
      </c>
      <c r="D1084" s="6" t="s">
        <v>129</v>
      </c>
      <c r="E1084" s="6" t="s">
        <v>3662</v>
      </c>
      <c r="F1084" s="6"/>
      <c r="G1084" s="6" t="s">
        <v>505</v>
      </c>
      <c r="H1084" s="6" t="s">
        <v>379</v>
      </c>
      <c r="I1084" s="6">
        <v>69322858</v>
      </c>
      <c r="J1084" s="6" t="s">
        <v>928</v>
      </c>
      <c r="K1084" s="6" t="str">
        <f>IF(E1084="KTG","KTG",(VLOOKUP(J1084,'list of outsource'!B:H,2,0)))</f>
        <v>ETC</v>
      </c>
      <c r="L1084" s="6" t="s">
        <v>2909</v>
      </c>
      <c r="M1084" s="6" t="s">
        <v>1554</v>
      </c>
      <c r="N1084" s="49" t="s">
        <v>2931</v>
      </c>
      <c r="O1084" s="2"/>
      <c r="P1084" s="6" t="s">
        <v>2932</v>
      </c>
      <c r="Q1084" s="6" t="s">
        <v>2933</v>
      </c>
      <c r="R1084" s="16">
        <v>45891</v>
      </c>
      <c r="S1084" s="6">
        <v>4</v>
      </c>
      <c r="T1084" s="6" t="s">
        <v>1258</v>
      </c>
      <c r="U1084" s="6" t="s">
        <v>39</v>
      </c>
      <c r="V1084" s="17">
        <v>45954</v>
      </c>
      <c r="W1084" s="16"/>
    </row>
    <row r="1085" spans="1:26" customFormat="1" hidden="1">
      <c r="A1085" s="50">
        <f t="shared" ca="1" si="17"/>
        <v>149</v>
      </c>
      <c r="B1085" s="104" t="s">
        <v>2904</v>
      </c>
      <c r="C1085" s="20">
        <v>45859</v>
      </c>
      <c r="D1085" s="19" t="s">
        <v>1946</v>
      </c>
      <c r="E1085" s="19" t="s">
        <v>3662</v>
      </c>
      <c r="F1085" s="19"/>
      <c r="G1085" s="19" t="s">
        <v>505</v>
      </c>
      <c r="H1085" s="19" t="s">
        <v>379</v>
      </c>
      <c r="I1085" s="19">
        <v>69322902</v>
      </c>
      <c r="J1085" s="19" t="s">
        <v>840</v>
      </c>
      <c r="K1085" s="19" t="str">
        <f>IF(E1085="KTG","KTG",(VLOOKUP(J1085,'list of outsource'!B:H,2,0)))</f>
        <v>ETC</v>
      </c>
      <c r="L1085" s="19" t="s">
        <v>2807</v>
      </c>
      <c r="M1085" s="25"/>
      <c r="N1085" s="49" t="s">
        <v>2905</v>
      </c>
      <c r="O1085" s="2"/>
      <c r="P1085" s="19" t="s">
        <v>2906</v>
      </c>
      <c r="Q1085" s="19" t="s">
        <v>2907</v>
      </c>
      <c r="R1085" s="20">
        <v>45891</v>
      </c>
      <c r="S1085" s="19">
        <v>4</v>
      </c>
      <c r="T1085" s="19" t="s">
        <v>1258</v>
      </c>
      <c r="U1085" s="19" t="s">
        <v>39</v>
      </c>
      <c r="V1085" s="21"/>
      <c r="W1085" s="20"/>
    </row>
    <row r="1086" spans="1:26" customFormat="1" hidden="1">
      <c r="A1086" s="50">
        <f t="shared" ca="1" si="17"/>
        <v>149</v>
      </c>
      <c r="B1086" s="104" t="s">
        <v>2916</v>
      </c>
      <c r="C1086" s="20">
        <v>45859</v>
      </c>
      <c r="D1086" s="19" t="s">
        <v>1946</v>
      </c>
      <c r="E1086" s="19" t="s">
        <v>3662</v>
      </c>
      <c r="F1086" s="19"/>
      <c r="G1086" s="19" t="s">
        <v>505</v>
      </c>
      <c r="H1086" s="19" t="s">
        <v>379</v>
      </c>
      <c r="I1086" s="19">
        <v>69322903</v>
      </c>
      <c r="J1086" s="19" t="s">
        <v>928</v>
      </c>
      <c r="K1086" s="19" t="str">
        <f>IF(E1086="KTG","KTG",(VLOOKUP(J1086,'list of outsource'!B:H,2,0)))</f>
        <v>ETC</v>
      </c>
      <c r="L1086" s="19" t="s">
        <v>2909</v>
      </c>
      <c r="M1086" s="25"/>
      <c r="N1086" s="49" t="s">
        <v>2917</v>
      </c>
      <c r="O1086" s="2"/>
      <c r="P1086" s="19" t="s">
        <v>2918</v>
      </c>
      <c r="Q1086" s="19" t="s">
        <v>2919</v>
      </c>
      <c r="R1086" s="20">
        <v>45891</v>
      </c>
      <c r="S1086" s="19">
        <v>4</v>
      </c>
      <c r="T1086" s="19" t="s">
        <v>1258</v>
      </c>
      <c r="U1086" s="19" t="s">
        <v>39</v>
      </c>
      <c r="V1086" s="21"/>
      <c r="W1086" s="20"/>
    </row>
    <row r="1087" spans="1:26" customFormat="1">
      <c r="A1087" s="7">
        <f t="shared" ca="1" si="17"/>
        <v>23</v>
      </c>
      <c r="B1087" s="107" t="s">
        <v>2855</v>
      </c>
      <c r="C1087" s="14">
        <v>45847</v>
      </c>
      <c r="D1087" s="9" t="s">
        <v>300</v>
      </c>
      <c r="E1087" s="9" t="s">
        <v>3662</v>
      </c>
      <c r="F1087" s="9"/>
      <c r="G1087" s="107" t="s">
        <v>1690</v>
      </c>
      <c r="H1087" s="107" t="s">
        <v>379</v>
      </c>
      <c r="I1087" s="107">
        <v>7094175930</v>
      </c>
      <c r="J1087" s="9" t="s">
        <v>302</v>
      </c>
      <c r="K1087" s="9" t="str">
        <f>IF(E1087="KTG","KTG",(VLOOKUP(J1087,'list of outsource'!B:H,2,0)))</f>
        <v>ETC</v>
      </c>
      <c r="L1087" s="9" t="s">
        <v>303</v>
      </c>
      <c r="M1087" s="68">
        <v>73</v>
      </c>
      <c r="N1087" s="9" t="s">
        <v>1747</v>
      </c>
      <c r="O1087" s="2" t="s">
        <v>3694</v>
      </c>
      <c r="P1087" s="69" t="s">
        <v>1748</v>
      </c>
      <c r="Q1087" s="9" t="s">
        <v>2856</v>
      </c>
      <c r="R1087" s="14"/>
      <c r="S1087" s="9">
        <v>3</v>
      </c>
      <c r="T1087" s="9"/>
      <c r="U1087" s="9" t="s">
        <v>39</v>
      </c>
      <c r="V1087" s="15">
        <v>45870</v>
      </c>
      <c r="W1087" s="14">
        <v>45968</v>
      </c>
      <c r="X1087" s="7"/>
      <c r="Y1087" s="7"/>
      <c r="Z1087" s="7">
        <v>0</v>
      </c>
    </row>
    <row r="1088" spans="1:26" customFormat="1">
      <c r="A1088">
        <f t="shared" ca="1" si="17"/>
        <v>100</v>
      </c>
      <c r="B1088" s="107" t="s">
        <v>3334</v>
      </c>
      <c r="C1088" s="58">
        <v>45908</v>
      </c>
      <c r="D1088" s="18" t="s">
        <v>1946</v>
      </c>
      <c r="E1088" s="18" t="s">
        <v>3662</v>
      </c>
      <c r="F1088" s="18"/>
      <c r="G1088" s="107" t="s">
        <v>1690</v>
      </c>
      <c r="H1088" s="107" t="s">
        <v>379</v>
      </c>
      <c r="I1088" s="107">
        <v>7094177730</v>
      </c>
      <c r="J1088" s="18" t="s">
        <v>840</v>
      </c>
      <c r="K1088" s="18" t="str">
        <f>IF(E1088="KTG","KTG",(VLOOKUP(J1088,'list of outsource'!B:H,2,0)))</f>
        <v>ETC</v>
      </c>
      <c r="L1088" s="18" t="s">
        <v>841</v>
      </c>
      <c r="M1088" s="59">
        <v>19</v>
      </c>
      <c r="N1088" s="18" t="s">
        <v>1831</v>
      </c>
      <c r="O1088" s="2" t="s">
        <v>3694</v>
      </c>
      <c r="P1088" s="18" t="s">
        <v>1832</v>
      </c>
      <c r="Q1088" s="18" t="s">
        <v>3345</v>
      </c>
      <c r="R1088" s="58">
        <v>45968</v>
      </c>
      <c r="S1088" s="18">
        <v>3</v>
      </c>
      <c r="T1088" s="18" t="s">
        <v>1465</v>
      </c>
      <c r="U1088" s="18" t="s">
        <v>39</v>
      </c>
      <c r="V1088" s="60"/>
      <c r="W1088" s="58"/>
      <c r="X1088" s="55"/>
      <c r="Y1088" s="55"/>
      <c r="Z1088" s="55"/>
    </row>
    <row r="1089" spans="1:26" customFormat="1">
      <c r="A1089">
        <f t="shared" ca="1" si="17"/>
        <v>24</v>
      </c>
      <c r="B1089" s="107" t="s">
        <v>3166</v>
      </c>
      <c r="C1089" s="16">
        <v>45936</v>
      </c>
      <c r="D1089" s="6" t="s">
        <v>1946</v>
      </c>
      <c r="E1089" s="6" t="s">
        <v>3662</v>
      </c>
      <c r="F1089" s="6"/>
      <c r="G1089" s="106" t="s">
        <v>2375</v>
      </c>
      <c r="H1089" s="106" t="s">
        <v>165</v>
      </c>
      <c r="I1089" s="106">
        <v>7094171430</v>
      </c>
      <c r="J1089" s="6" t="s">
        <v>302</v>
      </c>
      <c r="K1089" s="6" t="str">
        <f>IF(E1089="KTG","KTG",(VLOOKUP(J1089,'list of outsource'!B:H,2,0)))</f>
        <v>ETC</v>
      </c>
      <c r="L1089" s="6" t="s">
        <v>303</v>
      </c>
      <c r="M1089" s="6">
        <v>72</v>
      </c>
      <c r="N1089" s="6" t="s">
        <v>1711</v>
      </c>
      <c r="O1089" s="2" t="s">
        <v>3692</v>
      </c>
      <c r="P1089" s="6" t="s">
        <v>1712</v>
      </c>
      <c r="Q1089" s="6"/>
      <c r="R1089" s="16"/>
      <c r="S1089" s="6">
        <v>3</v>
      </c>
      <c r="T1089" s="6" t="s">
        <v>307</v>
      </c>
      <c r="U1089" s="6" t="s">
        <v>39</v>
      </c>
      <c r="V1089" s="17">
        <v>45960</v>
      </c>
      <c r="W1089" s="16"/>
      <c r="X1089" t="s">
        <v>2171</v>
      </c>
    </row>
    <row r="1090" spans="1:26" customFormat="1">
      <c r="A1090">
        <f t="shared" ca="1" si="17"/>
        <v>24</v>
      </c>
      <c r="B1090" s="107" t="s">
        <v>3167</v>
      </c>
      <c r="C1090" s="16">
        <v>45936</v>
      </c>
      <c r="D1090" s="6" t="s">
        <v>1946</v>
      </c>
      <c r="E1090" s="6" t="s">
        <v>3662</v>
      </c>
      <c r="F1090" s="6"/>
      <c r="G1090" s="106" t="s">
        <v>2375</v>
      </c>
      <c r="H1090" s="106" t="s">
        <v>165</v>
      </c>
      <c r="I1090" s="106">
        <v>7094174030</v>
      </c>
      <c r="J1090" s="6" t="s">
        <v>525</v>
      </c>
      <c r="K1090" s="6" t="str">
        <f>IF(E1090="KTG","KTG",(VLOOKUP(J1090,'list of outsource'!B:H,2,0)))</f>
        <v>ETC</v>
      </c>
      <c r="L1090" s="6" t="s">
        <v>526</v>
      </c>
      <c r="M1090" s="6"/>
      <c r="N1090" s="6" t="s">
        <v>641</v>
      </c>
      <c r="O1090" s="2" t="s">
        <v>3692</v>
      </c>
      <c r="P1090" s="6" t="s">
        <v>642</v>
      </c>
      <c r="Q1090" s="6"/>
      <c r="R1090" s="16">
        <v>45951</v>
      </c>
      <c r="S1090" s="6">
        <v>3</v>
      </c>
      <c r="T1090" s="6" t="s">
        <v>1465</v>
      </c>
      <c r="U1090" s="6" t="s">
        <v>39</v>
      </c>
      <c r="V1090" s="17">
        <v>45960</v>
      </c>
      <c r="W1090" s="16"/>
      <c r="X1090" t="s">
        <v>2171</v>
      </c>
    </row>
    <row r="1091" spans="1:26" customFormat="1" ht="29">
      <c r="A1091">
        <f t="shared" ca="1" si="17"/>
        <v>36</v>
      </c>
      <c r="B1091" s="107" t="s">
        <v>2733</v>
      </c>
      <c r="C1091" s="16">
        <v>45847</v>
      </c>
      <c r="D1091" s="6" t="s">
        <v>129</v>
      </c>
      <c r="E1091" s="6" t="s">
        <v>3662</v>
      </c>
      <c r="F1091" s="6"/>
      <c r="G1091" s="106" t="s">
        <v>2375</v>
      </c>
      <c r="H1091" s="106" t="s">
        <v>379</v>
      </c>
      <c r="I1091" s="106">
        <v>7094201130</v>
      </c>
      <c r="J1091" s="6" t="s">
        <v>840</v>
      </c>
      <c r="K1091" s="6" t="str">
        <f>IF(E1091="KTG","KTG",(VLOOKUP(J1091,'list of outsource'!B:H,2,0)))</f>
        <v>ETC</v>
      </c>
      <c r="L1091" s="6" t="s">
        <v>841</v>
      </c>
      <c r="M1091" s="6">
        <v>21</v>
      </c>
      <c r="N1091" s="6" t="s">
        <v>2734</v>
      </c>
      <c r="O1091" s="2" t="s">
        <v>3694</v>
      </c>
      <c r="P1091" s="61" t="s">
        <v>2735</v>
      </c>
      <c r="Q1091" s="6" t="s">
        <v>2736</v>
      </c>
      <c r="R1091" s="16"/>
      <c r="S1091" s="6">
        <v>3</v>
      </c>
      <c r="T1091" s="6"/>
      <c r="U1091" s="6" t="s">
        <v>39</v>
      </c>
      <c r="V1091" s="17">
        <v>45883</v>
      </c>
      <c r="W1091" s="16"/>
      <c r="Z1091" t="e">
        <v>#N/A</v>
      </c>
    </row>
    <row r="1092" spans="1:26" customFormat="1" ht="29">
      <c r="A1092" s="55">
        <f t="shared" ca="1" si="17"/>
        <v>36</v>
      </c>
      <c r="B1092" s="107" t="s">
        <v>2741</v>
      </c>
      <c r="C1092" s="13">
        <v>45847</v>
      </c>
      <c r="D1092" s="8" t="s">
        <v>129</v>
      </c>
      <c r="E1092" s="8" t="s">
        <v>3662</v>
      </c>
      <c r="F1092" s="8"/>
      <c r="G1092" s="107" t="s">
        <v>2375</v>
      </c>
      <c r="H1092" s="107" t="s">
        <v>379</v>
      </c>
      <c r="I1092" s="107">
        <v>7094200530</v>
      </c>
      <c r="J1092" s="8" t="s">
        <v>840</v>
      </c>
      <c r="K1092" s="8" t="str">
        <f>IF(E1092="KTG","KTG",(VLOOKUP(J1092,'list of outsource'!B:H,2,0)))</f>
        <v>ETC</v>
      </c>
      <c r="L1092" s="8" t="s">
        <v>841</v>
      </c>
      <c r="M1092" s="8">
        <v>21</v>
      </c>
      <c r="N1092" s="8" t="s">
        <v>2742</v>
      </c>
      <c r="O1092" s="2" t="s">
        <v>3694</v>
      </c>
      <c r="P1092" s="57" t="s">
        <v>2743</v>
      </c>
      <c r="Q1092" s="8" t="s">
        <v>2744</v>
      </c>
      <c r="R1092" s="13"/>
      <c r="S1092" s="8">
        <v>3</v>
      </c>
      <c r="T1092" s="8"/>
      <c r="U1092" s="8" t="s">
        <v>39</v>
      </c>
      <c r="V1092" s="11">
        <v>45883</v>
      </c>
      <c r="W1092" s="13"/>
      <c r="X1092" s="55"/>
      <c r="Y1092" s="55"/>
      <c r="Z1092" s="55" t="e">
        <v>#N/A</v>
      </c>
    </row>
    <row r="1093" spans="1:26" customFormat="1" ht="29">
      <c r="A1093" s="55">
        <f t="shared" ca="1" si="17"/>
        <v>36</v>
      </c>
      <c r="B1093" s="107" t="s">
        <v>2745</v>
      </c>
      <c r="C1093" s="13">
        <v>45847</v>
      </c>
      <c r="D1093" s="8" t="s">
        <v>129</v>
      </c>
      <c r="E1093" s="8" t="s">
        <v>3662</v>
      </c>
      <c r="F1093" s="8"/>
      <c r="G1093" s="107" t="s">
        <v>2375</v>
      </c>
      <c r="H1093" s="107" t="s">
        <v>379</v>
      </c>
      <c r="I1093" s="107">
        <v>7094200830</v>
      </c>
      <c r="J1093" s="8" t="s">
        <v>840</v>
      </c>
      <c r="K1093" s="8" t="str">
        <f>IF(E1093="KTG","KTG",(VLOOKUP(J1093,'list of outsource'!B:H,2,0)))</f>
        <v>ETC</v>
      </c>
      <c r="L1093" s="8" t="s">
        <v>841</v>
      </c>
      <c r="M1093" s="8">
        <v>21</v>
      </c>
      <c r="N1093" s="8" t="s">
        <v>2746</v>
      </c>
      <c r="O1093" s="2" t="s">
        <v>3694</v>
      </c>
      <c r="P1093" s="57" t="s">
        <v>2747</v>
      </c>
      <c r="Q1093" s="8" t="s">
        <v>2748</v>
      </c>
      <c r="R1093" s="13"/>
      <c r="S1093" s="8">
        <v>3</v>
      </c>
      <c r="T1093" s="8"/>
      <c r="U1093" s="8" t="s">
        <v>39</v>
      </c>
      <c r="V1093" s="11">
        <v>45883</v>
      </c>
      <c r="W1093" s="13"/>
      <c r="X1093" s="55"/>
      <c r="Y1093" s="55"/>
      <c r="Z1093" s="55" t="e">
        <v>#N/A</v>
      </c>
    </row>
    <row r="1094" spans="1:26" customFormat="1" ht="29">
      <c r="A1094">
        <f t="shared" ca="1" si="17"/>
        <v>44</v>
      </c>
      <c r="B1094" s="107" t="s">
        <v>2765</v>
      </c>
      <c r="C1094" s="16">
        <v>45847</v>
      </c>
      <c r="D1094" s="6" t="s">
        <v>129</v>
      </c>
      <c r="E1094" s="6" t="s">
        <v>3662</v>
      </c>
      <c r="F1094" s="6"/>
      <c r="G1094" s="106" t="s">
        <v>2375</v>
      </c>
      <c r="H1094" s="106" t="s">
        <v>379</v>
      </c>
      <c r="I1094" s="106">
        <v>7094200330</v>
      </c>
      <c r="J1094" s="6" t="s">
        <v>840</v>
      </c>
      <c r="K1094" s="6" t="str">
        <f>IF(E1094="KTG","KTG",(VLOOKUP(J1094,'list of outsource'!B:H,2,0)))</f>
        <v>ETC</v>
      </c>
      <c r="L1094" s="6" t="s">
        <v>841</v>
      </c>
      <c r="M1094" s="6">
        <v>21</v>
      </c>
      <c r="N1094" s="6" t="s">
        <v>2766</v>
      </c>
      <c r="O1094" s="2" t="s">
        <v>3694</v>
      </c>
      <c r="P1094" s="61" t="s">
        <v>2767</v>
      </c>
      <c r="Q1094" s="6" t="s">
        <v>2768</v>
      </c>
      <c r="R1094" s="16"/>
      <c r="S1094" s="6">
        <v>3</v>
      </c>
      <c r="T1094" s="6"/>
      <c r="U1094" s="6" t="s">
        <v>39</v>
      </c>
      <c r="V1094" s="17">
        <v>45891</v>
      </c>
      <c r="W1094" s="16"/>
      <c r="Z1094" t="e">
        <v>#N/A</v>
      </c>
    </row>
    <row r="1095" spans="1:26" customFormat="1" ht="29">
      <c r="A1095">
        <f t="shared" ca="1" si="17"/>
        <v>44</v>
      </c>
      <c r="B1095" s="107" t="s">
        <v>2769</v>
      </c>
      <c r="C1095" s="16">
        <v>45847</v>
      </c>
      <c r="D1095" s="6" t="s">
        <v>129</v>
      </c>
      <c r="E1095" s="6" t="s">
        <v>3662</v>
      </c>
      <c r="F1095" s="6"/>
      <c r="G1095" s="106" t="s">
        <v>2375</v>
      </c>
      <c r="H1095" s="106" t="s">
        <v>379</v>
      </c>
      <c r="I1095" s="106">
        <v>7094200730</v>
      </c>
      <c r="J1095" s="6" t="s">
        <v>840</v>
      </c>
      <c r="K1095" s="6" t="str">
        <f>IF(E1095="KTG","KTG",(VLOOKUP(J1095,'list of outsource'!B:H,2,0)))</f>
        <v>ETC</v>
      </c>
      <c r="L1095" s="6" t="s">
        <v>841</v>
      </c>
      <c r="M1095" s="6">
        <v>21</v>
      </c>
      <c r="N1095" s="6" t="s">
        <v>2770</v>
      </c>
      <c r="O1095" s="2" t="s">
        <v>3694</v>
      </c>
      <c r="P1095" s="61" t="s">
        <v>2771</v>
      </c>
      <c r="Q1095" s="6" t="s">
        <v>2772</v>
      </c>
      <c r="R1095" s="16"/>
      <c r="S1095" s="6">
        <v>3</v>
      </c>
      <c r="T1095" s="6"/>
      <c r="U1095" s="6" t="s">
        <v>39</v>
      </c>
      <c r="V1095" s="17">
        <v>45891</v>
      </c>
      <c r="W1095" s="16"/>
      <c r="Z1095" t="e">
        <v>#N/A</v>
      </c>
    </row>
    <row r="1096" spans="1:26" customFormat="1" ht="29">
      <c r="A1096">
        <f t="shared" ref="A1096:A1114" ca="1" si="18">IF(V1096="",(TODAY()-C1096),(V1096-C1096))</f>
        <v>44</v>
      </c>
      <c r="B1096" s="107" t="s">
        <v>2773</v>
      </c>
      <c r="C1096" s="16">
        <v>45847</v>
      </c>
      <c r="D1096" s="6" t="s">
        <v>129</v>
      </c>
      <c r="E1096" s="6" t="s">
        <v>3662</v>
      </c>
      <c r="F1096" s="6"/>
      <c r="G1096" s="106" t="s">
        <v>2375</v>
      </c>
      <c r="H1096" s="106" t="s">
        <v>379</v>
      </c>
      <c r="I1096" s="106">
        <v>7094200230</v>
      </c>
      <c r="J1096" s="6" t="s">
        <v>840</v>
      </c>
      <c r="K1096" s="6" t="str">
        <f>IF(E1096="KTG","KTG",(VLOOKUP(J1096,'list of outsource'!B:H,2,0)))</f>
        <v>ETC</v>
      </c>
      <c r="L1096" s="6" t="s">
        <v>841</v>
      </c>
      <c r="M1096" s="6">
        <v>21</v>
      </c>
      <c r="N1096" s="6" t="s">
        <v>2774</v>
      </c>
      <c r="O1096" s="2" t="s">
        <v>3694</v>
      </c>
      <c r="P1096" s="61" t="s">
        <v>2775</v>
      </c>
      <c r="Q1096" s="6" t="s">
        <v>2776</v>
      </c>
      <c r="R1096" s="16"/>
      <c r="S1096" s="6">
        <v>3</v>
      </c>
      <c r="T1096" s="6"/>
      <c r="U1096" s="6" t="s">
        <v>39</v>
      </c>
      <c r="V1096" s="17">
        <v>45891</v>
      </c>
      <c r="W1096" s="16"/>
      <c r="Z1096" t="e">
        <v>#N/A</v>
      </c>
    </row>
    <row r="1097" spans="1:26" customFormat="1" ht="29">
      <c r="A1097">
        <f t="shared" ca="1" si="18"/>
        <v>44</v>
      </c>
      <c r="B1097" s="107" t="s">
        <v>2777</v>
      </c>
      <c r="C1097" s="16">
        <v>45847</v>
      </c>
      <c r="D1097" s="6" t="s">
        <v>129</v>
      </c>
      <c r="E1097" s="6" t="s">
        <v>3662</v>
      </c>
      <c r="F1097" s="6"/>
      <c r="G1097" s="106" t="s">
        <v>2375</v>
      </c>
      <c r="H1097" s="106" t="s">
        <v>379</v>
      </c>
      <c r="I1097" s="106">
        <v>7094200630</v>
      </c>
      <c r="J1097" s="6" t="s">
        <v>840</v>
      </c>
      <c r="K1097" s="6" t="str">
        <f>IF(E1097="KTG","KTG",(VLOOKUP(J1097,'list of outsource'!B:H,2,0)))</f>
        <v>ETC</v>
      </c>
      <c r="L1097" s="6" t="s">
        <v>841</v>
      </c>
      <c r="M1097" s="6">
        <v>21</v>
      </c>
      <c r="N1097" s="6" t="s">
        <v>2778</v>
      </c>
      <c r="O1097" s="2" t="s">
        <v>3694</v>
      </c>
      <c r="P1097" s="61" t="s">
        <v>2779</v>
      </c>
      <c r="Q1097" s="6" t="s">
        <v>2780</v>
      </c>
      <c r="R1097" s="16"/>
      <c r="S1097" s="6">
        <v>3</v>
      </c>
      <c r="T1097" s="6"/>
      <c r="U1097" s="6" t="s">
        <v>39</v>
      </c>
      <c r="V1097" s="17">
        <v>45891</v>
      </c>
      <c r="W1097" s="16"/>
      <c r="Z1097" t="e">
        <v>#N/A</v>
      </c>
    </row>
    <row r="1098" spans="1:26" customFormat="1" ht="29">
      <c r="A1098">
        <f t="shared" ca="1" si="18"/>
        <v>44</v>
      </c>
      <c r="B1098" s="107" t="s">
        <v>2781</v>
      </c>
      <c r="C1098" s="16">
        <v>45847</v>
      </c>
      <c r="D1098" s="6" t="s">
        <v>129</v>
      </c>
      <c r="E1098" s="6" t="s">
        <v>3662</v>
      </c>
      <c r="F1098" s="6"/>
      <c r="G1098" s="106" t="s">
        <v>2375</v>
      </c>
      <c r="H1098" s="106" t="s">
        <v>379</v>
      </c>
      <c r="I1098" s="106">
        <v>7094201430</v>
      </c>
      <c r="J1098" s="6" t="s">
        <v>840</v>
      </c>
      <c r="K1098" s="6" t="str">
        <f>IF(E1098="KTG","KTG",(VLOOKUP(J1098,'list of outsource'!B:H,2,0)))</f>
        <v>ETC</v>
      </c>
      <c r="L1098" s="6" t="s">
        <v>841</v>
      </c>
      <c r="M1098" s="6">
        <v>21</v>
      </c>
      <c r="N1098" s="6" t="s">
        <v>2782</v>
      </c>
      <c r="O1098" s="2" t="s">
        <v>3694</v>
      </c>
      <c r="P1098" s="61" t="s">
        <v>2783</v>
      </c>
      <c r="Q1098" s="6" t="s">
        <v>2784</v>
      </c>
      <c r="R1098" s="16"/>
      <c r="S1098" s="6">
        <v>3</v>
      </c>
      <c r="T1098" s="6"/>
      <c r="U1098" s="6" t="s">
        <v>39</v>
      </c>
      <c r="V1098" s="17">
        <v>45891</v>
      </c>
      <c r="W1098" s="16"/>
      <c r="Z1098" t="e">
        <v>#N/A</v>
      </c>
    </row>
    <row r="1099" spans="1:26" customFormat="1" ht="29">
      <c r="A1099">
        <f t="shared" ca="1" si="18"/>
        <v>51</v>
      </c>
      <c r="B1099" s="107" t="s">
        <v>2785</v>
      </c>
      <c r="C1099" s="16">
        <v>45847</v>
      </c>
      <c r="D1099" s="6" t="s">
        <v>129</v>
      </c>
      <c r="E1099" s="6" t="s">
        <v>3662</v>
      </c>
      <c r="F1099" s="6">
        <v>5723</v>
      </c>
      <c r="G1099" s="106" t="s">
        <v>2375</v>
      </c>
      <c r="H1099" s="106" t="s">
        <v>379</v>
      </c>
      <c r="I1099" s="106" t="s">
        <v>2786</v>
      </c>
      <c r="J1099" s="6" t="s">
        <v>840</v>
      </c>
      <c r="K1099" s="6" t="str">
        <f>IF(E1099="KTG","KTG",(VLOOKUP(J1099,'list of outsource'!B:H,2,0)))</f>
        <v>ETC</v>
      </c>
      <c r="L1099" s="6" t="s">
        <v>841</v>
      </c>
      <c r="M1099" s="6">
        <v>21</v>
      </c>
      <c r="N1099" s="6" t="s">
        <v>1002</v>
      </c>
      <c r="O1099" s="2" t="s">
        <v>3694</v>
      </c>
      <c r="P1099" s="61" t="s">
        <v>2787</v>
      </c>
      <c r="Q1099" s="6" t="s">
        <v>2788</v>
      </c>
      <c r="R1099" s="16"/>
      <c r="S1099" s="6">
        <v>3</v>
      </c>
      <c r="T1099" s="6"/>
      <c r="U1099" s="6" t="s">
        <v>39</v>
      </c>
      <c r="V1099" s="17">
        <v>45898</v>
      </c>
      <c r="W1099" s="16"/>
      <c r="Z1099" t="e">
        <v>#N/A</v>
      </c>
    </row>
    <row r="1100" spans="1:26" customFormat="1" ht="29">
      <c r="A1100" s="55">
        <f t="shared" ca="1" si="18"/>
        <v>51</v>
      </c>
      <c r="B1100" s="107" t="s">
        <v>2789</v>
      </c>
      <c r="C1100" s="14">
        <v>45847</v>
      </c>
      <c r="D1100" s="9" t="s">
        <v>300</v>
      </c>
      <c r="E1100" s="9" t="s">
        <v>3662</v>
      </c>
      <c r="F1100" s="9">
        <v>5724</v>
      </c>
      <c r="G1100" s="107" t="s">
        <v>2375</v>
      </c>
      <c r="H1100" s="107" t="s">
        <v>379</v>
      </c>
      <c r="I1100" s="107" t="s">
        <v>2790</v>
      </c>
      <c r="J1100" s="9" t="s">
        <v>840</v>
      </c>
      <c r="K1100" s="9" t="str">
        <f>IF(E1100="KTG","KTG",(VLOOKUP(J1100,'list of outsource'!B:H,2,0)))</f>
        <v>ETC</v>
      </c>
      <c r="L1100" s="9" t="s">
        <v>841</v>
      </c>
      <c r="M1100" s="68">
        <v>21</v>
      </c>
      <c r="N1100" s="9" t="s">
        <v>842</v>
      </c>
      <c r="O1100" s="2" t="s">
        <v>3694</v>
      </c>
      <c r="P1100" s="69" t="s">
        <v>2791</v>
      </c>
      <c r="Q1100" s="9" t="s">
        <v>2792</v>
      </c>
      <c r="R1100" s="14"/>
      <c r="S1100" s="9">
        <v>3</v>
      </c>
      <c r="T1100" s="9"/>
      <c r="U1100" s="9" t="s">
        <v>39</v>
      </c>
      <c r="V1100" s="15">
        <v>45898</v>
      </c>
      <c r="W1100" s="14">
        <v>45968</v>
      </c>
      <c r="X1100" s="55"/>
      <c r="Y1100" s="55"/>
      <c r="Z1100" s="55" t="e">
        <v>#N/A</v>
      </c>
    </row>
    <row r="1101" spans="1:26" customFormat="1" ht="29">
      <c r="A1101">
        <f t="shared" ca="1" si="18"/>
        <v>51</v>
      </c>
      <c r="B1101" s="107" t="s">
        <v>2793</v>
      </c>
      <c r="C1101" s="16">
        <v>45847</v>
      </c>
      <c r="D1101" s="6" t="s">
        <v>129</v>
      </c>
      <c r="E1101" s="6" t="s">
        <v>3662</v>
      </c>
      <c r="F1101" s="6">
        <v>5725</v>
      </c>
      <c r="G1101" s="106" t="s">
        <v>2375</v>
      </c>
      <c r="H1101" s="106" t="s">
        <v>379</v>
      </c>
      <c r="I1101" s="106" t="s">
        <v>2794</v>
      </c>
      <c r="J1101" s="6" t="s">
        <v>840</v>
      </c>
      <c r="K1101" s="6" t="str">
        <f>IF(E1101="KTG","KTG",(VLOOKUP(J1101,'list of outsource'!B:H,2,0)))</f>
        <v>ETC</v>
      </c>
      <c r="L1101" s="6" t="s">
        <v>841</v>
      </c>
      <c r="M1101" s="6">
        <v>21</v>
      </c>
      <c r="N1101" s="6" t="s">
        <v>1011</v>
      </c>
      <c r="O1101" s="2" t="s">
        <v>3694</v>
      </c>
      <c r="P1101" s="61" t="s">
        <v>2795</v>
      </c>
      <c r="Q1101" s="6" t="s">
        <v>2796</v>
      </c>
      <c r="R1101" s="16"/>
      <c r="S1101" s="6">
        <v>3</v>
      </c>
      <c r="T1101" s="6"/>
      <c r="U1101" s="6" t="s">
        <v>39</v>
      </c>
      <c r="V1101" s="17">
        <v>45898</v>
      </c>
      <c r="W1101" s="16"/>
      <c r="Z1101" t="e">
        <v>#N/A</v>
      </c>
    </row>
    <row r="1102" spans="1:26" customFormat="1" ht="29">
      <c r="A1102" s="55">
        <f t="shared" ca="1" si="18"/>
        <v>51</v>
      </c>
      <c r="B1102" s="107" t="s">
        <v>2797</v>
      </c>
      <c r="C1102" s="14">
        <v>45847</v>
      </c>
      <c r="D1102" s="9" t="s">
        <v>300</v>
      </c>
      <c r="E1102" s="9" t="s">
        <v>3662</v>
      </c>
      <c r="F1102" s="9">
        <v>5726</v>
      </c>
      <c r="G1102" s="107" t="s">
        <v>2375</v>
      </c>
      <c r="H1102" s="107" t="s">
        <v>379</v>
      </c>
      <c r="I1102" s="107" t="s">
        <v>2798</v>
      </c>
      <c r="J1102" s="9" t="s">
        <v>840</v>
      </c>
      <c r="K1102" s="9" t="str">
        <f>IF(E1102="KTG","KTG",(VLOOKUP(J1102,'list of outsource'!B:H,2,0)))</f>
        <v>ETC</v>
      </c>
      <c r="L1102" s="9" t="s">
        <v>841</v>
      </c>
      <c r="M1102" s="68">
        <v>21</v>
      </c>
      <c r="N1102" s="9" t="s">
        <v>934</v>
      </c>
      <c r="O1102" s="2" t="s">
        <v>3694</v>
      </c>
      <c r="P1102" s="69" t="s">
        <v>2799</v>
      </c>
      <c r="Q1102" s="9" t="s">
        <v>2800</v>
      </c>
      <c r="R1102" s="14"/>
      <c r="S1102" s="9">
        <v>3</v>
      </c>
      <c r="T1102" s="9"/>
      <c r="U1102" s="9" t="s">
        <v>39</v>
      </c>
      <c r="V1102" s="15">
        <v>45898</v>
      </c>
      <c r="W1102" s="14">
        <v>45968</v>
      </c>
      <c r="X1102" s="55"/>
      <c r="Y1102" s="55"/>
      <c r="Z1102" s="55" t="e">
        <v>#N/A</v>
      </c>
    </row>
    <row r="1103" spans="1:26" customFormat="1">
      <c r="A1103">
        <f t="shared" ca="1" si="18"/>
        <v>82</v>
      </c>
      <c r="B1103" s="107" t="s">
        <v>2374</v>
      </c>
      <c r="C1103" s="16">
        <v>45847</v>
      </c>
      <c r="D1103" s="6" t="s">
        <v>129</v>
      </c>
      <c r="E1103" s="6" t="s">
        <v>3662</v>
      </c>
      <c r="F1103" s="6">
        <v>5727</v>
      </c>
      <c r="G1103" s="106" t="s">
        <v>2375</v>
      </c>
      <c r="H1103" s="106" t="s">
        <v>379</v>
      </c>
      <c r="I1103" s="106" t="s">
        <v>2376</v>
      </c>
      <c r="J1103" s="6" t="s">
        <v>2377</v>
      </c>
      <c r="K1103" s="6" t="e">
        <f>IF(E1103="KTG","KTG",(VLOOKUP(J1103,'list of outsource'!B:H,2,0)))</f>
        <v>#N/A</v>
      </c>
      <c r="L1103" s="6" t="s">
        <v>2378</v>
      </c>
      <c r="M1103" s="6">
        <v>1</v>
      </c>
      <c r="N1103" s="6" t="s">
        <v>2379</v>
      </c>
      <c r="O1103" s="2" t="s">
        <v>3694</v>
      </c>
      <c r="P1103" s="6" t="s">
        <v>2380</v>
      </c>
      <c r="Q1103" s="6" t="s">
        <v>2381</v>
      </c>
      <c r="R1103" s="16">
        <v>45914</v>
      </c>
      <c r="S1103" s="6">
        <v>3</v>
      </c>
      <c r="T1103" s="6"/>
      <c r="U1103" s="6" t="s">
        <v>39</v>
      </c>
      <c r="V1103" s="17">
        <v>45929</v>
      </c>
      <c r="W1103" s="16"/>
      <c r="Z1103" t="e">
        <v>#N/A</v>
      </c>
    </row>
    <row r="1104" spans="1:26" customFormat="1" ht="29">
      <c r="A1104">
        <f t="shared" ca="1" si="18"/>
        <v>82</v>
      </c>
      <c r="B1104" s="107" t="s">
        <v>2801</v>
      </c>
      <c r="C1104" s="16">
        <v>45847</v>
      </c>
      <c r="D1104" s="6" t="s">
        <v>129</v>
      </c>
      <c r="E1104" s="6" t="s">
        <v>3662</v>
      </c>
      <c r="F1104" s="6">
        <v>5728</v>
      </c>
      <c r="G1104" s="106" t="s">
        <v>2375</v>
      </c>
      <c r="H1104" s="106" t="s">
        <v>379</v>
      </c>
      <c r="I1104" s="106" t="s">
        <v>2802</v>
      </c>
      <c r="J1104" s="6" t="s">
        <v>2377</v>
      </c>
      <c r="K1104" s="6" t="e">
        <f>IF(E1104="KTG","KTG",(VLOOKUP(J1104,'list of outsource'!B:H,2,0)))</f>
        <v>#N/A</v>
      </c>
      <c r="L1104" s="6" t="s">
        <v>2378</v>
      </c>
      <c r="M1104" s="6">
        <v>1</v>
      </c>
      <c r="N1104" s="6" t="s">
        <v>2803</v>
      </c>
      <c r="O1104" s="2" t="s">
        <v>3694</v>
      </c>
      <c r="P1104" s="61" t="s">
        <v>2804</v>
      </c>
      <c r="Q1104" s="6" t="s">
        <v>2805</v>
      </c>
      <c r="R1104" s="16">
        <v>45914</v>
      </c>
      <c r="S1104" s="6">
        <v>3</v>
      </c>
      <c r="T1104" s="6"/>
      <c r="U1104" s="6" t="s">
        <v>39</v>
      </c>
      <c r="V1104" s="17">
        <v>45929</v>
      </c>
      <c r="W1104" s="16"/>
      <c r="Z1104" t="e">
        <v>#N/A</v>
      </c>
    </row>
    <row r="1105" spans="1:26" customFormat="1" ht="29">
      <c r="A1105">
        <f t="shared" ca="1" si="18"/>
        <v>44</v>
      </c>
      <c r="B1105" s="107" t="s">
        <v>2812</v>
      </c>
      <c r="C1105" s="16">
        <v>45847</v>
      </c>
      <c r="D1105" s="6" t="s">
        <v>129</v>
      </c>
      <c r="E1105" s="6" t="s">
        <v>3665</v>
      </c>
      <c r="F1105" s="6">
        <v>5729</v>
      </c>
      <c r="G1105" s="106" t="s">
        <v>2375</v>
      </c>
      <c r="H1105" s="106" t="s">
        <v>379</v>
      </c>
      <c r="I1105" s="106">
        <v>7094202050</v>
      </c>
      <c r="J1105" s="6" t="s">
        <v>408</v>
      </c>
      <c r="K1105" s="6" t="str">
        <f>IF(E1105="KTG","KTG",(VLOOKUP(J1105,'list of outsource'!B:H,2,0)))</f>
        <v>UPM</v>
      </c>
      <c r="L1105" s="6" t="s">
        <v>409</v>
      </c>
      <c r="M1105" s="6">
        <v>24</v>
      </c>
      <c r="N1105" s="6" t="s">
        <v>2813</v>
      </c>
      <c r="O1105" s="2" t="s">
        <v>3694</v>
      </c>
      <c r="P1105" s="61" t="s">
        <v>2814</v>
      </c>
      <c r="Q1105" s="6" t="s">
        <v>2815</v>
      </c>
      <c r="R1105" s="16"/>
      <c r="S1105" s="6">
        <v>3</v>
      </c>
      <c r="T1105" s="6"/>
      <c r="U1105" s="6" t="s">
        <v>39</v>
      </c>
      <c r="V1105" s="17">
        <v>45891</v>
      </c>
      <c r="W1105" s="16"/>
      <c r="Z1105" t="s">
        <v>2816</v>
      </c>
    </row>
    <row r="1106" spans="1:26" customFormat="1">
      <c r="A1106" s="7">
        <f t="shared" ca="1" si="18"/>
        <v>12</v>
      </c>
      <c r="B1106" s="107" t="s">
        <v>2817</v>
      </c>
      <c r="C1106" s="14">
        <v>45847</v>
      </c>
      <c r="D1106" s="9" t="s">
        <v>300</v>
      </c>
      <c r="E1106" s="9" t="s">
        <v>3662</v>
      </c>
      <c r="F1106" s="9">
        <v>5730</v>
      </c>
      <c r="G1106" s="107" t="s">
        <v>2375</v>
      </c>
      <c r="H1106" s="107" t="s">
        <v>379</v>
      </c>
      <c r="I1106" s="107">
        <v>7094171830</v>
      </c>
      <c r="J1106" s="9" t="s">
        <v>302</v>
      </c>
      <c r="K1106" s="9" t="str">
        <f>IF(E1106="KTG","KTG",(VLOOKUP(J1106,'list of outsource'!B:H,2,0)))</f>
        <v>ETC</v>
      </c>
      <c r="L1106" s="9" t="s">
        <v>303</v>
      </c>
      <c r="M1106" s="68">
        <v>72</v>
      </c>
      <c r="N1106" s="9" t="s">
        <v>304</v>
      </c>
      <c r="O1106" s="2" t="s">
        <v>3694</v>
      </c>
      <c r="P1106" s="69" t="s">
        <v>1702</v>
      </c>
      <c r="Q1106" s="9" t="s">
        <v>2818</v>
      </c>
      <c r="R1106" s="14"/>
      <c r="S1106" s="9">
        <v>3</v>
      </c>
      <c r="T1106" s="9"/>
      <c r="U1106" s="9" t="s">
        <v>39</v>
      </c>
      <c r="V1106" s="15">
        <v>45859</v>
      </c>
      <c r="W1106" s="14">
        <v>45968</v>
      </c>
      <c r="X1106" s="7"/>
      <c r="Y1106" s="7"/>
      <c r="Z1106" s="7" t="s">
        <v>1704</v>
      </c>
    </row>
    <row r="1107" spans="1:26" customFormat="1">
      <c r="A1107" s="7">
        <f t="shared" ca="1" si="18"/>
        <v>13</v>
      </c>
      <c r="B1107" s="107" t="s">
        <v>2819</v>
      </c>
      <c r="C1107" s="14">
        <v>45847</v>
      </c>
      <c r="D1107" s="9" t="s">
        <v>300</v>
      </c>
      <c r="E1107" s="9" t="s">
        <v>3662</v>
      </c>
      <c r="F1107" s="9">
        <v>5731</v>
      </c>
      <c r="G1107" s="107" t="s">
        <v>2375</v>
      </c>
      <c r="H1107" s="107" t="s">
        <v>379</v>
      </c>
      <c r="I1107" s="107">
        <v>7094171430</v>
      </c>
      <c r="J1107" s="9" t="s">
        <v>302</v>
      </c>
      <c r="K1107" s="9" t="str">
        <f>IF(E1107="KTG","KTG",(VLOOKUP(J1107,'list of outsource'!B:H,2,0)))</f>
        <v>ETC</v>
      </c>
      <c r="L1107" s="9" t="s">
        <v>303</v>
      </c>
      <c r="M1107" s="68">
        <v>72</v>
      </c>
      <c r="N1107" s="9" t="s">
        <v>1711</v>
      </c>
      <c r="O1107" s="2" t="s">
        <v>3694</v>
      </c>
      <c r="P1107" s="69" t="s">
        <v>1712</v>
      </c>
      <c r="Q1107" s="9" t="s">
        <v>2820</v>
      </c>
      <c r="R1107" s="14"/>
      <c r="S1107" s="9">
        <v>3</v>
      </c>
      <c r="T1107" s="9"/>
      <c r="U1107" s="9" t="s">
        <v>39</v>
      </c>
      <c r="V1107" s="15">
        <v>45860</v>
      </c>
      <c r="W1107" s="14">
        <v>45968</v>
      </c>
      <c r="X1107" s="7"/>
      <c r="Y1107" s="7"/>
      <c r="Z1107" s="7" t="e">
        <v>#N/A</v>
      </c>
    </row>
    <row r="1108" spans="1:26" customFormat="1">
      <c r="A1108">
        <f t="shared" ca="1" si="18"/>
        <v>13</v>
      </c>
      <c r="B1108" s="107" t="s">
        <v>2821</v>
      </c>
      <c r="C1108" s="16">
        <v>45847</v>
      </c>
      <c r="D1108" s="6" t="s">
        <v>129</v>
      </c>
      <c r="E1108" s="6" t="s">
        <v>3662</v>
      </c>
      <c r="F1108" s="6">
        <v>5732</v>
      </c>
      <c r="G1108" s="106" t="s">
        <v>2375</v>
      </c>
      <c r="H1108" s="106" t="s">
        <v>379</v>
      </c>
      <c r="I1108" s="106">
        <v>7094175630</v>
      </c>
      <c r="J1108" s="6" t="s">
        <v>302</v>
      </c>
      <c r="K1108" s="6" t="str">
        <f>IF(E1108="KTG","KTG",(VLOOKUP(J1108,'list of outsource'!B:H,2,0)))</f>
        <v>ETC</v>
      </c>
      <c r="L1108" s="6" t="s">
        <v>303</v>
      </c>
      <c r="M1108" s="6">
        <v>72</v>
      </c>
      <c r="N1108" s="6" t="s">
        <v>1732</v>
      </c>
      <c r="O1108" s="2" t="s">
        <v>3694</v>
      </c>
      <c r="P1108" s="6" t="s">
        <v>1733</v>
      </c>
      <c r="Q1108" s="6" t="s">
        <v>2822</v>
      </c>
      <c r="R1108" s="16"/>
      <c r="S1108" s="6">
        <v>3</v>
      </c>
      <c r="T1108" s="6"/>
      <c r="U1108" s="6" t="s">
        <v>39</v>
      </c>
      <c r="V1108" s="17">
        <v>45860</v>
      </c>
      <c r="W1108" s="16"/>
      <c r="Z1108" t="e">
        <v>#N/A</v>
      </c>
    </row>
    <row r="1109" spans="1:26" customFormat="1">
      <c r="A1109">
        <f t="shared" ca="1" si="18"/>
        <v>36</v>
      </c>
      <c r="B1109" s="107" t="s">
        <v>2827</v>
      </c>
      <c r="C1109" s="16">
        <v>45847</v>
      </c>
      <c r="D1109" s="6" t="s">
        <v>129</v>
      </c>
      <c r="E1109" s="6" t="s">
        <v>3662</v>
      </c>
      <c r="F1109" s="6">
        <v>5733</v>
      </c>
      <c r="G1109" s="106" t="s">
        <v>2375</v>
      </c>
      <c r="H1109" s="106" t="s">
        <v>379</v>
      </c>
      <c r="I1109" s="106">
        <v>7094176930</v>
      </c>
      <c r="J1109" s="6" t="s">
        <v>302</v>
      </c>
      <c r="K1109" s="6" t="str">
        <f>IF(E1109="KTG","KTG",(VLOOKUP(J1109,'list of outsource'!B:H,2,0)))</f>
        <v>ETC</v>
      </c>
      <c r="L1109" s="6" t="s">
        <v>303</v>
      </c>
      <c r="M1109" s="6">
        <v>73</v>
      </c>
      <c r="N1109" s="6" t="s">
        <v>2828</v>
      </c>
      <c r="O1109" s="2" t="s">
        <v>3694</v>
      </c>
      <c r="P1109" s="6" t="s">
        <v>2829</v>
      </c>
      <c r="Q1109" s="6" t="s">
        <v>2830</v>
      </c>
      <c r="R1109" s="16"/>
      <c r="S1109" s="6">
        <v>3</v>
      </c>
      <c r="T1109" s="6"/>
      <c r="U1109" s="6" t="s">
        <v>39</v>
      </c>
      <c r="V1109" s="17">
        <v>45883</v>
      </c>
      <c r="W1109" s="16"/>
      <c r="Z1109" t="e">
        <v>#N/A</v>
      </c>
    </row>
    <row r="1110" spans="1:26" customFormat="1">
      <c r="A1110">
        <f t="shared" ca="1" si="18"/>
        <v>36</v>
      </c>
      <c r="B1110" s="107" t="s">
        <v>2831</v>
      </c>
      <c r="C1110" s="16">
        <v>45847</v>
      </c>
      <c r="D1110" s="6" t="s">
        <v>129</v>
      </c>
      <c r="E1110" s="6" t="s">
        <v>3662</v>
      </c>
      <c r="F1110" s="6">
        <v>5734</v>
      </c>
      <c r="G1110" s="106" t="s">
        <v>2375</v>
      </c>
      <c r="H1110" s="106" t="s">
        <v>379</v>
      </c>
      <c r="I1110" s="106">
        <v>7094176830</v>
      </c>
      <c r="J1110" s="6" t="s">
        <v>302</v>
      </c>
      <c r="K1110" s="6" t="str">
        <f>IF(E1110="KTG","KTG",(VLOOKUP(J1110,'list of outsource'!B:H,2,0)))</f>
        <v>ETC</v>
      </c>
      <c r="L1110" s="6" t="s">
        <v>303</v>
      </c>
      <c r="M1110" s="6">
        <v>73</v>
      </c>
      <c r="N1110" s="6" t="s">
        <v>2832</v>
      </c>
      <c r="O1110" s="2" t="s">
        <v>3694</v>
      </c>
      <c r="P1110" s="6" t="s">
        <v>2833</v>
      </c>
      <c r="Q1110" s="6" t="s">
        <v>2834</v>
      </c>
      <c r="R1110" s="16"/>
      <c r="S1110" s="6">
        <v>3</v>
      </c>
      <c r="T1110" s="6"/>
      <c r="U1110" s="6" t="s">
        <v>39</v>
      </c>
      <c r="V1110" s="17">
        <v>45883</v>
      </c>
      <c r="W1110" s="16"/>
      <c r="Z1110" t="e">
        <v>#N/A</v>
      </c>
    </row>
    <row r="1111" spans="1:26" customFormat="1" ht="29">
      <c r="A1111">
        <f t="shared" ca="1" si="18"/>
        <v>44</v>
      </c>
      <c r="B1111" s="107" t="s">
        <v>2860</v>
      </c>
      <c r="C1111" s="16">
        <v>45847</v>
      </c>
      <c r="D1111" s="6" t="s">
        <v>129</v>
      </c>
      <c r="E1111" s="6" t="s">
        <v>3662</v>
      </c>
      <c r="F1111" s="6">
        <v>5735</v>
      </c>
      <c r="G1111" s="106" t="s">
        <v>2375</v>
      </c>
      <c r="H1111" s="106" t="s">
        <v>379</v>
      </c>
      <c r="I1111" s="106">
        <v>7094171730</v>
      </c>
      <c r="J1111" s="6" t="s">
        <v>302</v>
      </c>
      <c r="K1111" s="6" t="str">
        <f>IF(E1111="KTG","KTG",(VLOOKUP(J1111,'list of outsource'!B:H,2,0)))</f>
        <v>ETC</v>
      </c>
      <c r="L1111" s="6" t="s">
        <v>303</v>
      </c>
      <c r="M1111" s="48">
        <v>73</v>
      </c>
      <c r="N1111" s="6" t="s">
        <v>2861</v>
      </c>
      <c r="O1111" s="2" t="s">
        <v>3694</v>
      </c>
      <c r="P1111" s="61" t="s">
        <v>2862</v>
      </c>
      <c r="Q1111" s="6" t="s">
        <v>2863</v>
      </c>
      <c r="R1111" s="16"/>
      <c r="S1111" s="6">
        <v>3</v>
      </c>
      <c r="T1111" s="6"/>
      <c r="U1111" s="6" t="s">
        <v>39</v>
      </c>
      <c r="V1111" s="17">
        <v>45891</v>
      </c>
      <c r="W1111" s="16"/>
      <c r="Z1111" t="e">
        <v>#N/A</v>
      </c>
    </row>
    <row r="1112" spans="1:26" customFormat="1" ht="29">
      <c r="A1112" s="55">
        <f t="shared" ca="1" si="18"/>
        <v>40</v>
      </c>
      <c r="B1112" s="107" t="s">
        <v>2864</v>
      </c>
      <c r="C1112" s="13">
        <v>45847</v>
      </c>
      <c r="D1112" s="8" t="s">
        <v>129</v>
      </c>
      <c r="E1112" s="8" t="s">
        <v>3662</v>
      </c>
      <c r="F1112" s="8">
        <v>5736</v>
      </c>
      <c r="G1112" s="107" t="s">
        <v>2375</v>
      </c>
      <c r="H1112" s="107" t="s">
        <v>379</v>
      </c>
      <c r="I1112" s="107">
        <v>7173811880</v>
      </c>
      <c r="J1112" s="8" t="s">
        <v>2865</v>
      </c>
      <c r="K1112" s="8" t="e">
        <f>IF(E1112="KTG","KTG",(VLOOKUP(J1112,'list of outsource'!B:H,2,0)))</f>
        <v>#N/A</v>
      </c>
      <c r="L1112" s="8" t="s">
        <v>2866</v>
      </c>
      <c r="M1112" s="8">
        <v>5</v>
      </c>
      <c r="N1112" s="8" t="s">
        <v>2867</v>
      </c>
      <c r="O1112" s="2" t="s">
        <v>3694</v>
      </c>
      <c r="P1112" s="57" t="s">
        <v>2868</v>
      </c>
      <c r="Q1112" s="8" t="s">
        <v>2869</v>
      </c>
      <c r="R1112" s="13"/>
      <c r="S1112" s="8">
        <v>3</v>
      </c>
      <c r="T1112" s="8"/>
      <c r="U1112" s="8" t="s">
        <v>39</v>
      </c>
      <c r="V1112" s="11">
        <v>45887</v>
      </c>
      <c r="W1112" s="13"/>
      <c r="X1112" s="55"/>
      <c r="Y1112" s="55"/>
      <c r="Z1112" s="55" t="e">
        <v>#N/A</v>
      </c>
    </row>
    <row r="1113" spans="1:26" customFormat="1" hidden="1">
      <c r="A1113">
        <f t="shared" ca="1" si="18"/>
        <v>4</v>
      </c>
      <c r="B1113" s="104" t="s">
        <v>3443</v>
      </c>
      <c r="C1113" s="16">
        <v>45967</v>
      </c>
      <c r="D1113" s="6" t="s">
        <v>3446</v>
      </c>
      <c r="E1113" s="6" t="s">
        <v>3665</v>
      </c>
      <c r="F1113" s="6"/>
      <c r="G1113" s="6" t="s">
        <v>3440</v>
      </c>
      <c r="H1113" s="6" t="s">
        <v>379</v>
      </c>
      <c r="I1113" s="6" t="s">
        <v>3444</v>
      </c>
      <c r="J1113" s="6" t="s">
        <v>108</v>
      </c>
      <c r="K1113" s="6" t="str">
        <f>IF(E1113="KTG","KTG",(VLOOKUP(J1113,'list of outsource'!B:H,2,0)))</f>
        <v>UPM</v>
      </c>
      <c r="L1113" s="6" t="s">
        <v>109</v>
      </c>
      <c r="M1113" s="6"/>
      <c r="N1113" s="49" t="s">
        <v>3441</v>
      </c>
      <c r="O1113" s="2"/>
      <c r="P1113" s="6" t="s">
        <v>3442</v>
      </c>
      <c r="Q1113" s="6" t="s">
        <v>3452</v>
      </c>
      <c r="R1113" s="16"/>
      <c r="S1113" s="6" t="s">
        <v>3445</v>
      </c>
      <c r="T1113" s="6" t="s">
        <v>307</v>
      </c>
      <c r="U1113" s="6" t="s">
        <v>1598</v>
      </c>
      <c r="V1113" s="17">
        <v>45971</v>
      </c>
      <c r="W1113" s="16"/>
    </row>
    <row r="1114" spans="1:26" customFormat="1" ht="29">
      <c r="A1114" s="55">
        <f t="shared" ca="1" si="18"/>
        <v>40</v>
      </c>
      <c r="B1114" s="107" t="s">
        <v>2870</v>
      </c>
      <c r="C1114" s="13">
        <v>45847</v>
      </c>
      <c r="D1114" s="8" t="s">
        <v>129</v>
      </c>
      <c r="E1114" s="8" t="s">
        <v>3662</v>
      </c>
      <c r="F1114" s="8">
        <v>5737</v>
      </c>
      <c r="G1114" s="107" t="s">
        <v>2375</v>
      </c>
      <c r="H1114" s="107" t="s">
        <v>379</v>
      </c>
      <c r="I1114" s="107">
        <v>7173811980</v>
      </c>
      <c r="J1114" s="8" t="s">
        <v>2865</v>
      </c>
      <c r="K1114" s="8" t="e">
        <f>IF(E1114="KTG","KTG",(VLOOKUP(J1114,'list of outsource'!B:H,2,0)))</f>
        <v>#N/A</v>
      </c>
      <c r="L1114" s="8" t="s">
        <v>2866</v>
      </c>
      <c r="M1114" s="8">
        <v>5</v>
      </c>
      <c r="N1114" s="8" t="s">
        <v>2871</v>
      </c>
      <c r="O1114" s="2" t="s">
        <v>3694</v>
      </c>
      <c r="P1114" s="57" t="s">
        <v>2872</v>
      </c>
      <c r="Q1114" s="8" t="s">
        <v>2873</v>
      </c>
      <c r="R1114" s="13"/>
      <c r="S1114" s="8">
        <v>3</v>
      </c>
      <c r="T1114" s="8"/>
      <c r="U1114" s="8" t="s">
        <v>39</v>
      </c>
      <c r="V1114" s="11">
        <v>45887</v>
      </c>
      <c r="W1114" s="13"/>
      <c r="X1114" s="55"/>
      <c r="Y1114" s="55"/>
      <c r="Z1114" s="55" t="e">
        <v>#N/A</v>
      </c>
    </row>
  </sheetData>
  <protectedRanges>
    <protectedRange sqref="I849" name="Range1_2"/>
  </protectedRanges>
  <autoFilter ref="A3:Z1114" xr:uid="{BB73D3A0-10DC-498B-91B1-0910CE38A903}">
    <filterColumn colId="5">
      <filters blank="1"/>
    </filterColumn>
    <filterColumn colId="13">
      <filters blank="1">
        <filter val="E101701"/>
        <filter val="E101702"/>
        <filter val="E101703"/>
        <filter val="E101705"/>
        <filter val="E101706"/>
        <filter val="E101707"/>
        <filter val="E101709"/>
        <filter val="E101710"/>
        <filter val="E10523"/>
        <filter val="E20002"/>
        <filter val="E20007"/>
        <filter val="E20009"/>
        <filter val="E20010"/>
        <filter val="E20012"/>
        <filter val="E20014"/>
        <filter val="E20018"/>
        <filter val="E20019"/>
        <filter val="E20023"/>
        <filter val="E20025"/>
        <filter val="E20026"/>
        <filter val="E20027"/>
        <filter val="E20028"/>
        <filter val="E20030"/>
        <filter val="E20031"/>
        <filter val="E20032"/>
        <filter val="E20033"/>
        <filter val="E20034"/>
        <filter val="E20035"/>
        <filter val="E42801"/>
        <filter val="E42803"/>
        <filter val="E4407"/>
        <filter val="E47401"/>
        <filter val="E47402"/>
        <filter val="E47405"/>
        <filter val="E47408"/>
        <filter val="E47413"/>
        <filter val="E47415"/>
        <filter val="E47418"/>
        <filter val="E47419"/>
        <filter val="E53117"/>
        <filter val="E53119"/>
        <filter val="E57002"/>
        <filter val="E57011"/>
        <filter val="E58302"/>
        <filter val="E58304"/>
        <filter val="E58306"/>
        <filter val="E58307"/>
        <filter val="E58310"/>
        <filter val="E58313"/>
        <filter val="E58316"/>
        <filter val="E58317"/>
        <filter val="E58322"/>
        <filter val="E58323"/>
        <filter val="E58324"/>
        <filter val="E58330"/>
        <filter val="E58331"/>
        <filter val="E58332"/>
        <filter val="E58333"/>
        <filter val="E58335"/>
        <filter val="E58339"/>
        <filter val="E58341"/>
        <filter val="E58343"/>
        <filter val="E58344"/>
        <filter val="E58345"/>
        <filter val="E58346"/>
        <filter val="E58350"/>
        <filter val="E58351"/>
        <filter val="E58353"/>
        <filter val="E58356"/>
        <filter val="E58357"/>
        <filter val="E58359"/>
        <filter val="E62401"/>
        <filter val="E62402"/>
        <filter val="E62403"/>
        <filter val="E62404"/>
        <filter val="E62405"/>
        <filter val="E62406"/>
        <filter val="E62407"/>
        <filter val="E62408"/>
        <filter val="E62409"/>
        <filter val="E62410"/>
        <filter val="E62411"/>
        <filter val="E62412"/>
        <filter val="E62413"/>
        <filter val="E62414"/>
        <filter val="E62415"/>
        <filter val="E62416"/>
        <filter val="E62426"/>
        <filter val="E62427"/>
        <filter val="E62428"/>
        <filter val="E62429"/>
        <filter val="E62430"/>
        <filter val="E62431"/>
        <filter val="E62432"/>
        <filter val="E62433"/>
        <filter val="E69601"/>
        <filter val="E69612"/>
        <filter val="E74901"/>
        <filter val="E74903"/>
        <filter val="E74905"/>
        <filter val="E74906"/>
        <filter val="E74907"/>
        <filter val="E74919"/>
        <filter val="E74925"/>
        <filter val="E74926"/>
        <filter val="E74928"/>
        <filter val="E74935"/>
        <filter val="E74936"/>
        <filter val="E74937"/>
        <filter val="E84408"/>
        <filter val="E84437"/>
        <filter val="E84461"/>
        <filter val="ET008-50"/>
        <filter val="ET008-500"/>
        <filter val="P000006"/>
        <filter val="P000025"/>
        <filter val="P000026"/>
        <filter val="P000027"/>
        <filter val="P000028"/>
        <filter val="P000029"/>
        <filter val="P000030"/>
        <filter val="P000032"/>
        <filter val="P000033"/>
        <filter val="P000042"/>
        <filter val="P000043"/>
        <filter val="P000049"/>
        <filter val="P000052"/>
        <filter val="P000053"/>
        <filter val="P000075"/>
        <filter val="P000076"/>
        <filter val="P000102"/>
        <filter val="P000103"/>
        <filter val="P000105"/>
        <filter val="P000106"/>
        <filter val="P000107"/>
        <filter val="P000108"/>
        <filter val="P000109"/>
        <filter val="P000110"/>
        <filter val="P000115"/>
        <filter val="P000117"/>
        <filter val="P000121"/>
        <filter val="P000123"/>
        <filter val="P000124"/>
        <filter val="P000125"/>
        <filter val="P000126"/>
        <filter val="P000127"/>
        <filter val="P000128"/>
        <filter val="P000129"/>
        <filter val="P000131"/>
        <filter val="P000132"/>
        <filter val="P000133"/>
        <filter val="P000134"/>
        <filter val="P000135"/>
        <filter val="P000136"/>
        <filter val="P000137"/>
        <filter val="P000138"/>
        <filter val="P000139"/>
        <filter val="P000140"/>
        <filter val="P000141"/>
        <filter val="P000142"/>
        <filter val="P000143"/>
        <filter val="P000144"/>
        <filter val="P000145"/>
        <filter val="P000146"/>
        <filter val="P000147"/>
        <filter val="P000148"/>
        <filter val="P000149"/>
        <filter val="P000150"/>
        <filter val="P000151"/>
        <filter val="P000152"/>
        <filter val="P000156"/>
        <filter val="P000157"/>
        <filter val="P000158"/>
        <filter val="P000159"/>
        <filter val="P000160"/>
        <filter val="P000161"/>
        <filter val="P000162"/>
        <filter val="P000163"/>
        <filter val="P000164"/>
        <filter val="P000165"/>
        <filter val="P000166"/>
        <filter val="P000167"/>
        <filter val="P000170"/>
        <filter val="P000177"/>
        <filter val="P000179"/>
        <filter val="P000180"/>
        <filter val="P000181"/>
        <filter val="P000183"/>
        <filter val="P000184"/>
        <filter val="P000191"/>
        <filter val="P000192"/>
        <filter val="P000195"/>
        <filter val="P000198"/>
        <filter val="P000200"/>
        <filter val="P000204"/>
        <filter val="P000205"/>
        <filter val="P000213"/>
        <filter val="P000214"/>
        <filter val="P000215"/>
        <filter val="P000216"/>
        <filter val="P000217"/>
        <filter val="P000218"/>
        <filter val="P000220"/>
        <filter val="P000229"/>
        <filter val="P000230"/>
        <filter val="P000231"/>
        <filter val="P000233"/>
        <filter val="P000234"/>
        <filter val="P000235"/>
        <filter val="P000236"/>
        <filter val="P000237"/>
        <filter val="P000238"/>
        <filter val="P000246"/>
        <filter val="P000249"/>
        <filter val="P000250"/>
        <filter val="P000251"/>
        <filter val="P000252"/>
        <filter val="P000253"/>
        <filter val="P000254"/>
        <filter val="P000255"/>
        <filter val="P000257"/>
        <filter val="P000262"/>
        <filter val="P000263"/>
        <filter val="P000264"/>
        <filter val="P000267"/>
        <filter val="P000268"/>
        <filter val="P000269"/>
        <filter val="P000270"/>
        <filter val="P000272"/>
        <filter val="P000274"/>
        <filter val="P000276"/>
        <filter val="P000277"/>
        <filter val="P000287"/>
        <filter val="P000289"/>
        <filter val="P000291"/>
        <filter val="P000292"/>
        <filter val="P000293"/>
        <filter val="P000294"/>
        <filter val="P000296"/>
        <filter val="P000298"/>
        <filter val="P000299"/>
        <filter val="P000300"/>
        <filter val="P000301"/>
        <filter val="P000302"/>
        <filter val="P000303"/>
        <filter val="P000304"/>
        <filter val="P000306"/>
        <filter val="P000307"/>
        <filter val="P000308"/>
        <filter val="P000311"/>
        <filter val="P000314"/>
        <filter val="P000315"/>
        <filter val="P000316"/>
        <filter val="P000317"/>
        <filter val="P000325"/>
        <filter val="P000326"/>
        <filter val="P000327"/>
        <filter val="P000328"/>
        <filter val="P000336"/>
        <filter val="P000337"/>
        <filter val="P000338"/>
        <filter val="P000339"/>
        <filter val="P000340"/>
        <filter val="P000341"/>
        <filter val="P000342"/>
        <filter val="P000345"/>
        <filter val="P000346"/>
        <filter val="P000347"/>
        <filter val="P000348"/>
        <filter val="P000350"/>
        <filter val="P000352"/>
        <filter val="P000353"/>
        <filter val="P000354"/>
        <filter val="P000355"/>
        <filter val="P000356"/>
        <filter val="P000358"/>
        <filter val="P000359"/>
        <filter val="P000360"/>
        <filter val="P000361"/>
        <filter val="P000362"/>
        <filter val="P000363"/>
        <filter val="P000364"/>
        <filter val="P000365"/>
        <filter val="P000366"/>
        <filter val="P000368"/>
        <filter val="P000369"/>
        <filter val="P000371"/>
        <filter val="P000372"/>
        <filter val="P000373"/>
        <filter val="P000374"/>
        <filter val="P000376"/>
        <filter val="P000378"/>
        <filter val="P000379"/>
        <filter val="P000381"/>
        <filter val="P000382"/>
        <filter val="P000383"/>
        <filter val="P000384"/>
        <filter val="P000386"/>
        <filter val="P000388"/>
        <filter val="P000406"/>
        <filter val="P000407"/>
        <filter val="P000413"/>
        <filter val="P000415"/>
        <filter val="P000417"/>
        <filter val="P000420"/>
        <filter val="P000423"/>
        <filter val="P000424"/>
        <filter val="P000428"/>
        <filter val="P000435"/>
        <filter val="P000440"/>
        <filter val="P000450"/>
        <filter val="P000451"/>
        <filter val="P000452"/>
        <filter val="P000454"/>
        <filter val="P000455"/>
        <filter val="P000458"/>
        <filter val="P000459"/>
        <filter val="P000463"/>
        <filter val="P000465"/>
        <filter val="P000467"/>
        <filter val="P000469"/>
        <filter val="P000471"/>
        <filter val="P000475"/>
        <filter val="P000480"/>
        <filter val="P000481"/>
        <filter val="P000482"/>
        <filter val="P000483"/>
        <filter val="P000484"/>
        <filter val="P000485"/>
        <filter val="P000493"/>
        <filter val="P000497"/>
        <filter val="P000499"/>
        <filter val="P000514"/>
        <filter val="P000515"/>
        <filter val="P000517"/>
        <filter val="P000518"/>
        <filter val="P000538"/>
        <filter val="P000542"/>
        <filter val="P000554"/>
        <filter val="P000566"/>
        <filter val="P000569"/>
        <filter val="P000572"/>
        <filter val="P000573"/>
        <filter val="P000588"/>
        <filter val="P000602"/>
        <filter val="P000621"/>
        <filter val="P000622"/>
        <filter val="P000623"/>
        <filter val="P000628"/>
        <filter val="P000632"/>
        <filter val="P000634"/>
        <filter val="P000639"/>
        <filter val="P000645"/>
        <filter val="P000646"/>
        <filter val="P000649"/>
        <filter val="P000655"/>
        <filter val="P000668"/>
        <filter val="P000677"/>
        <filter val="P000683"/>
        <filter val="P000693"/>
        <filter val="P000708"/>
        <filter val="P000709"/>
        <filter val="P000716"/>
        <filter val="P000727"/>
        <filter val="P000728"/>
        <filter val="P000731"/>
        <filter val="P000733"/>
        <filter val="P000735"/>
        <filter val="P000736"/>
        <filter val="P000737"/>
        <filter val="P000738"/>
        <filter val="P000739"/>
        <filter val="P000740"/>
        <filter val="P000741"/>
        <filter val="P000742"/>
        <filter val="P000743"/>
        <filter val="P000744"/>
        <filter val="P000745"/>
        <filter val="P000754"/>
        <filter val="P000755"/>
        <filter val="P000756"/>
        <filter val="P000757"/>
        <filter val="P000758"/>
        <filter val="P000759"/>
        <filter val="P000760"/>
        <filter val="P000761"/>
        <filter val="P000762"/>
        <filter val="P000764"/>
        <filter val="P000766"/>
        <filter val="P000770"/>
        <filter val="P000771"/>
        <filter val="P000772"/>
        <filter val="P000775"/>
        <filter val="P000777"/>
        <filter val="P000779"/>
        <filter val="P000804"/>
        <filter val="P000813"/>
        <filter val="P000818"/>
        <filter val="P000822"/>
        <filter val="P000837"/>
        <filter val="P000839"/>
        <filter val="P000840"/>
        <filter val="P000841"/>
        <filter val="P000850"/>
        <filter val="P000928"/>
        <filter val="P000929"/>
        <filter val="P000933"/>
        <filter val="P000934"/>
        <filter val="P000935"/>
        <filter val="P000936"/>
        <filter val="P000937"/>
        <filter val="P000938"/>
        <filter val="P000939"/>
        <filter val="P000940"/>
        <filter val="P000941"/>
        <filter val="P000950"/>
        <filter val="P000951"/>
        <filter val="P000953"/>
        <filter val="P000956"/>
        <filter val="P000972"/>
        <filter val="P000977"/>
        <filter val="P000978"/>
        <filter val="P000980"/>
        <filter val="P000981"/>
        <filter val="P000982"/>
        <filter val="P000983"/>
        <filter val="P000984"/>
        <filter val="P000986"/>
        <filter val="P000987"/>
        <filter val="P000989"/>
        <filter val="P000993"/>
        <filter val="P001006"/>
        <filter val="P001012"/>
        <filter val="P001013"/>
        <filter val="P001014"/>
        <filter val="P001015"/>
        <filter val="P001016"/>
        <filter val="P001017"/>
        <filter val="P001018"/>
        <filter val="P001019"/>
        <filter val="P001020"/>
        <filter val="P001021"/>
        <filter val="P001022"/>
        <filter val="P001023"/>
        <filter val="P001024"/>
        <filter val="P001025"/>
        <filter val="P001026"/>
        <filter val="P001027"/>
        <filter val="P001028"/>
        <filter val="P001029"/>
        <filter val="P001065"/>
        <filter val="P001068"/>
        <filter val="P001069"/>
        <filter val="P001072"/>
        <filter val="P001073"/>
        <filter val="P001074"/>
        <filter val="P001075"/>
        <filter val="P001076"/>
        <filter val="P001077"/>
        <filter val="P001078"/>
        <filter val="P001079"/>
        <filter val="P001080"/>
        <filter val="P001081"/>
        <filter val="P001082"/>
        <filter val="P001083"/>
        <filter val="P001084"/>
        <filter val="P001085"/>
        <filter val="P001086"/>
        <filter val="P001087"/>
        <filter val="P001088"/>
        <filter val="P001090"/>
        <filter val="P001107"/>
        <filter val="P001117"/>
        <filter val="P001128"/>
        <filter val="P001129"/>
        <filter val="P001130"/>
        <filter val="P001131"/>
        <filter val="P001132"/>
        <filter val="P001146"/>
        <filter val="P001153"/>
        <filter val="P001159"/>
        <filter val="P001195"/>
        <filter val="P001197"/>
        <filter val="P001206"/>
        <filter val="P001216"/>
        <filter val="P001217"/>
        <filter val="P001218"/>
        <filter val="P001219"/>
        <filter val="P001220"/>
        <filter val="P001221"/>
        <filter val="P001222"/>
        <filter val="P001223"/>
        <filter val="P001224"/>
        <filter val="P100207"/>
        <filter val="P100257"/>
        <filter val="P100262"/>
        <filter val="P100263"/>
        <filter val="P100354"/>
        <filter val="P100355"/>
        <filter val="P100356"/>
        <filter val="P100357"/>
        <filter val="P100358"/>
        <filter val="P100360"/>
        <filter val="P100362"/>
        <filter val="P100364"/>
        <filter val="P100365"/>
        <filter val="P100366"/>
        <filter val="P200156"/>
        <filter val="P200161"/>
        <filter val="P200279"/>
        <filter val="P200304"/>
        <filter val="P200305"/>
        <filter val="P200318"/>
        <filter val="P200366"/>
        <filter val="P200370"/>
        <filter val="P200623"/>
      </filters>
    </filterColumn>
    <sortState xmlns:xlrd2="http://schemas.microsoft.com/office/spreadsheetml/2017/richdata2" ref="A18:Z1114">
      <sortCondition ref="G3:G1114"/>
    </sortState>
  </autoFilter>
  <phoneticPr fontId="28" type="noConversion"/>
  <conditionalFormatting sqref="A3:A1114">
    <cfRule type="expression" dxfId="99" priority="424">
      <formula>"g:g="""""</formula>
    </cfRule>
  </conditionalFormatting>
  <conditionalFormatting sqref="A4:A1114">
    <cfRule type="cellIs" dxfId="98" priority="421" operator="lessThanOrEqual">
      <formula>18</formula>
    </cfRule>
    <cfRule type="cellIs" dxfId="97" priority="422" operator="greaterThanOrEqual">
      <formula>31</formula>
    </cfRule>
    <cfRule type="cellIs" dxfId="96" priority="423" operator="between">
      <formula>18</formula>
      <formula>30</formula>
    </cfRule>
  </conditionalFormatting>
  <conditionalFormatting sqref="T30 T654:U655 T523:T564 T116:U218 T31:U114">
    <cfRule type="cellIs" dxfId="95" priority="95" operator="equal">
      <formula>"rejected"</formula>
    </cfRule>
  </conditionalFormatting>
  <conditionalFormatting sqref="T115">
    <cfRule type="cellIs" dxfId="94" priority="94" operator="equal">
      <formula>"rejected"</formula>
    </cfRule>
  </conditionalFormatting>
  <conditionalFormatting sqref="T219:T220 T566:T567">
    <cfRule type="cellIs" dxfId="93" priority="395" operator="equal">
      <formula>"rejected"</formula>
    </cfRule>
  </conditionalFormatting>
  <conditionalFormatting sqref="T224:T233">
    <cfRule type="cellIs" dxfId="92" priority="396" operator="equal">
      <formula>"rejected"</formula>
    </cfRule>
  </conditionalFormatting>
  <conditionalFormatting sqref="T235:T237">
    <cfRule type="cellIs" dxfId="91" priority="397" operator="equal">
      <formula>"rejected"</formula>
    </cfRule>
  </conditionalFormatting>
  <conditionalFormatting sqref="T239">
    <cfRule type="cellIs" dxfId="90" priority="398" operator="equal">
      <formula>"rejected"</formula>
    </cfRule>
  </conditionalFormatting>
  <conditionalFormatting sqref="T241:T244">
    <cfRule type="cellIs" dxfId="89" priority="399" operator="equal">
      <formula>"rejected"</formula>
    </cfRule>
  </conditionalFormatting>
  <conditionalFormatting sqref="T247:T250">
    <cfRule type="cellIs" dxfId="88" priority="400" operator="equal">
      <formula>"rejected"</formula>
    </cfRule>
  </conditionalFormatting>
  <conditionalFormatting sqref="T257:T260">
    <cfRule type="cellIs" dxfId="87" priority="401" operator="equal">
      <formula>"rejected"</formula>
    </cfRule>
  </conditionalFormatting>
  <conditionalFormatting sqref="T263:T282">
    <cfRule type="cellIs" dxfId="86" priority="402" operator="equal">
      <formula>"rejected"</formula>
    </cfRule>
  </conditionalFormatting>
  <conditionalFormatting sqref="T285:T288">
    <cfRule type="cellIs" dxfId="85" priority="403" operator="equal">
      <formula>"rejected"</formula>
    </cfRule>
  </conditionalFormatting>
  <conditionalFormatting sqref="T290">
    <cfRule type="cellIs" dxfId="84" priority="404" operator="equal">
      <formula>"rejected"</formula>
    </cfRule>
  </conditionalFormatting>
  <conditionalFormatting sqref="T293:T296">
    <cfRule type="cellIs" dxfId="83" priority="405" operator="equal">
      <formula>"rejected"</formula>
    </cfRule>
  </conditionalFormatting>
  <conditionalFormatting sqref="T299:T300">
    <cfRule type="cellIs" dxfId="82" priority="406" operator="equal">
      <formula>"rejected"</formula>
    </cfRule>
  </conditionalFormatting>
  <conditionalFormatting sqref="T302">
    <cfRule type="cellIs" dxfId="81" priority="425" operator="equal">
      <formula>"rejected"</formula>
    </cfRule>
  </conditionalFormatting>
  <conditionalFormatting sqref="T304:T307">
    <cfRule type="cellIs" dxfId="80" priority="430" operator="equal">
      <formula>"rejected"</formula>
    </cfRule>
  </conditionalFormatting>
  <conditionalFormatting sqref="T309:T325">
    <cfRule type="cellIs" dxfId="79" priority="435" operator="equal">
      <formula>"rejected"</formula>
    </cfRule>
  </conditionalFormatting>
  <conditionalFormatting sqref="T328:T329">
    <cfRule type="cellIs" dxfId="78" priority="440" operator="equal">
      <formula>"rejected"</formula>
    </cfRule>
  </conditionalFormatting>
  <conditionalFormatting sqref="T337">
    <cfRule type="cellIs" dxfId="77" priority="445" operator="equal">
      <formula>"rejected"</formula>
    </cfRule>
  </conditionalFormatting>
  <conditionalFormatting sqref="T340">
    <cfRule type="cellIs" dxfId="76" priority="450" operator="equal">
      <formula>"rejected"</formula>
    </cfRule>
  </conditionalFormatting>
  <conditionalFormatting sqref="T351">
    <cfRule type="cellIs" dxfId="75" priority="455" operator="equal">
      <formula>"rejected"</formula>
    </cfRule>
  </conditionalFormatting>
  <conditionalFormatting sqref="T353">
    <cfRule type="cellIs" dxfId="74" priority="460" operator="equal">
      <formula>"rejected"</formula>
    </cfRule>
  </conditionalFormatting>
  <conditionalFormatting sqref="T359:T363">
    <cfRule type="cellIs" dxfId="73" priority="210" operator="equal">
      <formula>"rejected"</formula>
    </cfRule>
  </conditionalFormatting>
  <conditionalFormatting sqref="T367">
    <cfRule type="cellIs" dxfId="72" priority="470" operator="equal">
      <formula>"rejected"</formula>
    </cfRule>
  </conditionalFormatting>
  <conditionalFormatting sqref="T369:T372">
    <cfRule type="cellIs" dxfId="71" priority="475" operator="equal">
      <formula>"rejected"</formula>
    </cfRule>
  </conditionalFormatting>
  <conditionalFormatting sqref="T377:T395">
    <cfRule type="cellIs" dxfId="70" priority="480" operator="equal">
      <formula>"rejected"</formula>
    </cfRule>
  </conditionalFormatting>
  <conditionalFormatting sqref="T398:T401">
    <cfRule type="cellIs" dxfId="69" priority="485" operator="equal">
      <formula>"rejected"</formula>
    </cfRule>
  </conditionalFormatting>
  <conditionalFormatting sqref="T405">
    <cfRule type="cellIs" dxfId="68" priority="490" operator="equal">
      <formula>"rejected"</formula>
    </cfRule>
  </conditionalFormatting>
  <conditionalFormatting sqref="T409:T412">
    <cfRule type="cellIs" dxfId="67" priority="495" operator="equal">
      <formula>"rejected"</formula>
    </cfRule>
  </conditionalFormatting>
  <conditionalFormatting sqref="T420">
    <cfRule type="cellIs" dxfId="66" priority="500" operator="equal">
      <formula>"rejected"</formula>
    </cfRule>
  </conditionalFormatting>
  <conditionalFormatting sqref="T425">
    <cfRule type="cellIs" dxfId="65" priority="505" operator="equal">
      <formula>"rejected"</formula>
    </cfRule>
  </conditionalFormatting>
  <conditionalFormatting sqref="T427">
    <cfRule type="cellIs" dxfId="64" priority="510" operator="equal">
      <formula>"rejected"</formula>
    </cfRule>
  </conditionalFormatting>
  <conditionalFormatting sqref="T439:T441">
    <cfRule type="cellIs" dxfId="63" priority="515" operator="equal">
      <formula>"rejected"</formula>
    </cfRule>
  </conditionalFormatting>
  <conditionalFormatting sqref="T444:T445">
    <cfRule type="cellIs" dxfId="62" priority="520" operator="equal">
      <formula>"rejected"</formula>
    </cfRule>
  </conditionalFormatting>
  <conditionalFormatting sqref="T447:T448">
    <cfRule type="cellIs" dxfId="61" priority="525" operator="equal">
      <formula>"rejected"</formula>
    </cfRule>
  </conditionalFormatting>
  <conditionalFormatting sqref="T450">
    <cfRule type="cellIs" dxfId="60" priority="530" operator="equal">
      <formula>"rejected"</formula>
    </cfRule>
  </conditionalFormatting>
  <conditionalFormatting sqref="T452:T454">
    <cfRule type="cellIs" dxfId="59" priority="535" operator="equal">
      <formula>"rejected"</formula>
    </cfRule>
  </conditionalFormatting>
  <conditionalFormatting sqref="T457:T464">
    <cfRule type="cellIs" dxfId="58" priority="540" operator="equal">
      <formula>"rejected"</formula>
    </cfRule>
  </conditionalFormatting>
  <conditionalFormatting sqref="T466">
    <cfRule type="cellIs" dxfId="57" priority="545" operator="equal">
      <formula>"rejected"</formula>
    </cfRule>
  </conditionalFormatting>
  <conditionalFormatting sqref="T482:T505">
    <cfRule type="cellIs" dxfId="56" priority="224" operator="equal">
      <formula>"rejected"</formula>
    </cfRule>
  </conditionalFormatting>
  <conditionalFormatting sqref="T508:T510">
    <cfRule type="cellIs" dxfId="55" priority="225" operator="equal">
      <formula>"rejected"</formula>
    </cfRule>
  </conditionalFormatting>
  <conditionalFormatting sqref="T515:T518">
    <cfRule type="cellIs" dxfId="54" priority="226" operator="equal">
      <formula>"rejected"</formula>
    </cfRule>
  </conditionalFormatting>
  <conditionalFormatting sqref="T576:T577">
    <cfRule type="cellIs" dxfId="53" priority="575" operator="equal">
      <formula>"rejected"</formula>
    </cfRule>
  </conditionalFormatting>
  <conditionalFormatting sqref="T579">
    <cfRule type="cellIs" dxfId="52" priority="580" operator="equal">
      <formula>"rejected"</formula>
    </cfRule>
  </conditionalFormatting>
  <conditionalFormatting sqref="T587:T589">
    <cfRule type="cellIs" dxfId="51" priority="585" operator="equal">
      <formula>"rejected"</formula>
    </cfRule>
  </conditionalFormatting>
  <conditionalFormatting sqref="T594:T597">
    <cfRule type="cellIs" dxfId="50" priority="590" operator="equal">
      <formula>"rejected"</formula>
    </cfRule>
  </conditionalFormatting>
  <conditionalFormatting sqref="T612">
    <cfRule type="cellIs" dxfId="49" priority="600" operator="equal">
      <formula>"rejected"</formula>
    </cfRule>
  </conditionalFormatting>
  <conditionalFormatting sqref="T614:T618">
    <cfRule type="cellIs" dxfId="48" priority="605" operator="equal">
      <formula>"rejected"</formula>
    </cfRule>
  </conditionalFormatting>
  <conditionalFormatting sqref="T620">
    <cfRule type="cellIs" dxfId="47" priority="610" operator="equal">
      <formula>"rejected"</formula>
    </cfRule>
  </conditionalFormatting>
  <conditionalFormatting sqref="T627:T629">
    <cfRule type="cellIs" dxfId="46" priority="615" operator="equal">
      <formula>"rejected"</formula>
    </cfRule>
  </conditionalFormatting>
  <conditionalFormatting sqref="T631">
    <cfRule type="cellIs" dxfId="45" priority="620" operator="equal">
      <formula>"rejected"</formula>
    </cfRule>
  </conditionalFormatting>
  <conditionalFormatting sqref="T634:T635">
    <cfRule type="cellIs" dxfId="44" priority="625" operator="equal">
      <formula>"rejected"</formula>
    </cfRule>
  </conditionalFormatting>
  <conditionalFormatting sqref="T637">
    <cfRule type="cellIs" dxfId="43" priority="630" operator="equal">
      <formula>"rejected"</formula>
    </cfRule>
  </conditionalFormatting>
  <conditionalFormatting sqref="T640:T653">
    <cfRule type="cellIs" dxfId="42" priority="635" operator="equal">
      <formula>"rejected"</formula>
    </cfRule>
  </conditionalFormatting>
  <conditionalFormatting sqref="T656:T657">
    <cfRule type="cellIs" dxfId="41" priority="640" operator="equal">
      <formula>"rejected"</formula>
    </cfRule>
  </conditionalFormatting>
  <conditionalFormatting sqref="T659">
    <cfRule type="cellIs" dxfId="40" priority="645" operator="equal">
      <formula>"rejected"</formula>
    </cfRule>
  </conditionalFormatting>
  <conditionalFormatting sqref="T663:T665">
    <cfRule type="cellIs" dxfId="39" priority="650" operator="equal">
      <formula>"rejected"</formula>
    </cfRule>
  </conditionalFormatting>
  <conditionalFormatting sqref="T668">
    <cfRule type="cellIs" dxfId="38" priority="655" operator="equal">
      <formula>"rejected"</formula>
    </cfRule>
  </conditionalFormatting>
  <conditionalFormatting sqref="T670:T672">
    <cfRule type="cellIs" dxfId="37" priority="660" operator="equal">
      <formula>"rejected"</formula>
    </cfRule>
  </conditionalFormatting>
  <conditionalFormatting sqref="T677:T678">
    <cfRule type="cellIs" dxfId="36" priority="665" operator="equal">
      <formula>"rejected"</formula>
    </cfRule>
  </conditionalFormatting>
  <conditionalFormatting sqref="T682">
    <cfRule type="cellIs" dxfId="35" priority="670" operator="equal">
      <formula>"rejected"</formula>
    </cfRule>
  </conditionalFormatting>
  <conditionalFormatting sqref="T684:T687">
    <cfRule type="cellIs" dxfId="34" priority="675" operator="equal">
      <formula>"rejected"</formula>
    </cfRule>
  </conditionalFormatting>
  <conditionalFormatting sqref="T689">
    <cfRule type="cellIs" dxfId="33" priority="203" operator="equal">
      <formula>"rejected"</formula>
    </cfRule>
  </conditionalFormatting>
  <conditionalFormatting sqref="T701:T704">
    <cfRule type="cellIs" dxfId="32" priority="685" operator="equal">
      <formula>"rejected"</formula>
    </cfRule>
  </conditionalFormatting>
  <conditionalFormatting sqref="T719 T721 T725">
    <cfRule type="cellIs" dxfId="31" priority="690" operator="equal">
      <formula>"rejected"</formula>
    </cfRule>
  </conditionalFormatting>
  <conditionalFormatting sqref="T732">
    <cfRule type="cellIs" dxfId="30" priority="276" operator="equal">
      <formula>"rejected"</formula>
    </cfRule>
  </conditionalFormatting>
  <conditionalFormatting sqref="T734:T736">
    <cfRule type="cellIs" dxfId="29" priority="695" operator="equal">
      <formula>"rejected"</formula>
    </cfRule>
  </conditionalFormatting>
  <conditionalFormatting sqref="T738">
    <cfRule type="cellIs" dxfId="28" priority="700" operator="equal">
      <formula>"rejected"</formula>
    </cfRule>
  </conditionalFormatting>
  <conditionalFormatting sqref="T740:T777">
    <cfRule type="cellIs" dxfId="27" priority="202" operator="equal">
      <formula>"rejected"</formula>
    </cfRule>
  </conditionalFormatting>
  <conditionalFormatting sqref="T781">
    <cfRule type="cellIs" dxfId="26" priority="407" operator="equal">
      <formula>"rejected"</formula>
    </cfRule>
  </conditionalFormatting>
  <conditionalFormatting sqref="T783">
    <cfRule type="cellIs" dxfId="25" priority="346" operator="equal">
      <formula>"rejected"</formula>
    </cfRule>
  </conditionalFormatting>
  <conditionalFormatting sqref="T787:T788">
    <cfRule type="cellIs" dxfId="24" priority="354" operator="equal">
      <formula>"rejected"</formula>
    </cfRule>
  </conditionalFormatting>
  <conditionalFormatting sqref="T795">
    <cfRule type="cellIs" dxfId="23" priority="353" operator="equal">
      <formula>"rejected"</formula>
    </cfRule>
  </conditionalFormatting>
  <conditionalFormatting sqref="T827:T828">
    <cfRule type="cellIs" dxfId="22" priority="325" operator="equal">
      <formula>"rejected"</formula>
    </cfRule>
  </conditionalFormatting>
  <conditionalFormatting sqref="T1067:T1069">
    <cfRule type="cellIs" dxfId="21" priority="5" operator="equal">
      <formula>"rejected"</formula>
    </cfRule>
  </conditionalFormatting>
  <conditionalFormatting sqref="T1071">
    <cfRule type="cellIs" dxfId="20" priority="4" operator="equal">
      <formula>"rejected"</formula>
    </cfRule>
  </conditionalFormatting>
  <conditionalFormatting sqref="T1073:T1077">
    <cfRule type="cellIs" dxfId="19" priority="3" operator="equal">
      <formula>"rejected"</formula>
    </cfRule>
  </conditionalFormatting>
  <conditionalFormatting sqref="T7:U29 T221:U223 T234:U234 T238:U238 T240:U240 T245:U246 T251:U256 T261:U262 T283:U284 T289:U289 T291:U292 T297:U298 T301:U301 T303:U303 T308:U308 T326:U327 T330:U336 T338:U339 T341:U350 T352:U352 T354:U358 T364:U366 T368:U368 T373:U376 T396:U397 T402:U404 T406:U408 T413:U419 T421:U424 T426:U426 T428:U438 T446:U446 T449:U449 T451:U451 T455:U456 T465:U465 T467:U481 T506:U507 T511:U514 T519:U522 T565:U565 T578:U578 T580:U586 T590:U593 T613:U613 T619:U619 T621:U626 T630:U630 T632:U633 T636:U636 T638:U639 T658:U658 T660:U662 T666:U667 T669:U669 T679:U681 T683:U683 T705:U718 T737:U737 T739:U739">
    <cfRule type="cellIs" dxfId="18" priority="710" operator="equal">
      <formula>"rejected"</formula>
    </cfRule>
  </conditionalFormatting>
  <conditionalFormatting sqref="T442:U443">
    <cfRule type="cellIs" dxfId="17" priority="177" operator="equal">
      <formula>"rejected"</formula>
    </cfRule>
  </conditionalFormatting>
  <conditionalFormatting sqref="T568:U575">
    <cfRule type="cellIs" dxfId="16" priority="384" operator="equal">
      <formula>"rejected"</formula>
    </cfRule>
  </conditionalFormatting>
  <conditionalFormatting sqref="T598:U611">
    <cfRule type="cellIs" dxfId="15" priority="278" operator="equal">
      <formula>"rejected"</formula>
    </cfRule>
  </conditionalFormatting>
  <conditionalFormatting sqref="T673:U676">
    <cfRule type="cellIs" dxfId="14" priority="100" operator="equal">
      <formula>"rejected"</formula>
    </cfRule>
  </conditionalFormatting>
  <conditionalFormatting sqref="T688:U688 T690:U700">
    <cfRule type="cellIs" dxfId="13" priority="415" operator="equal">
      <formula>"rejected"</formula>
    </cfRule>
  </conditionalFormatting>
  <conditionalFormatting sqref="T720:U720">
    <cfRule type="cellIs" dxfId="12" priority="419" operator="equal">
      <formula>"rejected"</formula>
    </cfRule>
  </conditionalFormatting>
  <conditionalFormatting sqref="T722:U724">
    <cfRule type="cellIs" dxfId="11" priority="417" operator="equal">
      <formula>"rejected"</formula>
    </cfRule>
  </conditionalFormatting>
  <conditionalFormatting sqref="T726:U731 T733:U733">
    <cfRule type="cellIs" dxfId="10" priority="416" operator="equal">
      <formula>"rejected"</formula>
    </cfRule>
  </conditionalFormatting>
  <conditionalFormatting sqref="T778:U780">
    <cfRule type="cellIs" dxfId="9" priority="409" operator="equal">
      <formula>"rejected"</formula>
    </cfRule>
  </conditionalFormatting>
  <conditionalFormatting sqref="T782:U782">
    <cfRule type="cellIs" dxfId="8" priority="363" operator="equal">
      <formula>"rejected"</formula>
    </cfRule>
  </conditionalFormatting>
  <conditionalFormatting sqref="T784:U786">
    <cfRule type="cellIs" dxfId="7" priority="306" operator="equal">
      <formula>"rejected"</formula>
    </cfRule>
  </conditionalFormatting>
  <conditionalFormatting sqref="T789:U794">
    <cfRule type="cellIs" dxfId="6" priority="305" operator="equal">
      <formula>"rejected"</formula>
    </cfRule>
  </conditionalFormatting>
  <conditionalFormatting sqref="T796:U826">
    <cfRule type="cellIs" dxfId="5" priority="256" operator="equal">
      <formula>"rejected"</formula>
    </cfRule>
  </conditionalFormatting>
  <conditionalFormatting sqref="T829:U1066 T1070:U1070 T1072:U1072">
    <cfRule type="cellIs" dxfId="4" priority="10" operator="equal">
      <formula>"rejected"</formula>
    </cfRule>
  </conditionalFormatting>
  <conditionalFormatting sqref="T1078:U1114">
    <cfRule type="cellIs" dxfId="3" priority="1" operator="equal">
      <formula>"rejected"</formula>
    </cfRule>
  </conditionalFormatting>
  <conditionalFormatting sqref="U741:U742">
    <cfRule type="cellIs" dxfId="2" priority="715" operator="equal">
      <formula>"rejected"</formula>
    </cfRule>
  </conditionalFormatting>
  <conditionalFormatting sqref="U753:U754">
    <cfRule type="cellIs" dxfId="1" priority="721" operator="equal">
      <formula>"rejected"</formula>
    </cfRule>
  </conditionalFormatting>
  <conditionalFormatting sqref="U760:U770 U772:U773">
    <cfRule type="cellIs" dxfId="0" priority="362" operator="equal">
      <formula>"rejected"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5F0A-7966-4593-A253-1ABF3CE1DF5A}">
  <sheetPr codeName="Sheet8"/>
  <dimension ref="A1:E89"/>
  <sheetViews>
    <sheetView topLeftCell="A48" zoomScale="130" zoomScaleNormal="130" workbookViewId="0">
      <selection activeCell="B65" sqref="B65"/>
    </sheetView>
  </sheetViews>
  <sheetFormatPr defaultColWidth="8.7265625" defaultRowHeight="14.5"/>
  <cols>
    <col min="2" max="2" width="15.453125" bestFit="1" customWidth="1"/>
    <col min="3" max="3" width="23.54296875" bestFit="1" customWidth="1"/>
    <col min="4" max="5" width="14" bestFit="1" customWidth="1"/>
  </cols>
  <sheetData>
    <row r="1" spans="1:5" ht="15" thickBot="1">
      <c r="B1" s="3" t="s">
        <v>1</v>
      </c>
      <c r="C1" s="1" t="s">
        <v>5</v>
      </c>
      <c r="D1" s="1" t="s">
        <v>6</v>
      </c>
      <c r="E1" s="1" t="s">
        <v>3186</v>
      </c>
    </row>
    <row r="2" spans="1:5">
      <c r="B2" s="22" t="s">
        <v>3222</v>
      </c>
      <c r="C2" s="22" t="s">
        <v>1111</v>
      </c>
      <c r="D2" s="22" t="s">
        <v>34</v>
      </c>
      <c r="E2" s="31" t="s">
        <v>3188</v>
      </c>
    </row>
    <row r="3" spans="1:5">
      <c r="B3" s="22" t="s">
        <v>3264</v>
      </c>
      <c r="C3" s="22" t="s">
        <v>3265</v>
      </c>
      <c r="D3" s="22" t="s">
        <v>34</v>
      </c>
      <c r="E3" s="65" t="s">
        <v>3188</v>
      </c>
    </row>
    <row r="4" spans="1:5">
      <c r="B4" s="24" t="s">
        <v>3198</v>
      </c>
      <c r="C4" s="24" t="s">
        <v>174</v>
      </c>
      <c r="D4" s="24" t="s">
        <v>34</v>
      </c>
      <c r="E4" s="31" t="s">
        <v>3191</v>
      </c>
    </row>
    <row r="5" spans="1:5">
      <c r="B5" s="22" t="s">
        <v>3216</v>
      </c>
      <c r="C5" s="22" t="s">
        <v>301</v>
      </c>
      <c r="D5" s="22" t="s">
        <v>34</v>
      </c>
      <c r="E5" s="65" t="s">
        <v>3368</v>
      </c>
    </row>
    <row r="6" spans="1:5">
      <c r="B6" s="24" t="s">
        <v>3247</v>
      </c>
      <c r="C6" s="24" t="s">
        <v>301</v>
      </c>
      <c r="D6" s="24" t="s">
        <v>3184</v>
      </c>
      <c r="E6" s="31" t="s">
        <v>3188</v>
      </c>
    </row>
    <row r="7" spans="1:5">
      <c r="A7" s="64"/>
      <c r="B7" s="24" t="s">
        <v>3201</v>
      </c>
      <c r="C7" s="24" t="s">
        <v>626</v>
      </c>
      <c r="D7" s="24" t="s">
        <v>379</v>
      </c>
      <c r="E7" s="65" t="s">
        <v>3329</v>
      </c>
    </row>
    <row r="8" spans="1:5">
      <c r="B8" s="24" t="s">
        <v>3220</v>
      </c>
      <c r="C8" s="24" t="s">
        <v>1101</v>
      </c>
      <c r="D8" s="24" t="s">
        <v>34</v>
      </c>
      <c r="E8" s="31" t="s">
        <v>3395</v>
      </c>
    </row>
    <row r="9" spans="1:5">
      <c r="B9" s="24" t="s">
        <v>3204</v>
      </c>
      <c r="C9" s="24" t="s">
        <v>636</v>
      </c>
      <c r="D9" s="24"/>
      <c r="E9" s="65" t="s">
        <v>3356</v>
      </c>
    </row>
    <row r="10" spans="1:5">
      <c r="A10" s="64"/>
      <c r="B10" s="24" t="s">
        <v>3249</v>
      </c>
      <c r="C10" s="24" t="s">
        <v>2152</v>
      </c>
      <c r="D10" s="24" t="s">
        <v>146</v>
      </c>
      <c r="E10" s="31" t="s">
        <v>3199</v>
      </c>
    </row>
    <row r="11" spans="1:5">
      <c r="A11" s="64"/>
      <c r="B11" s="22" t="s">
        <v>3189</v>
      </c>
      <c r="C11" s="22" t="s">
        <v>133</v>
      </c>
      <c r="D11" s="22" t="s">
        <v>34</v>
      </c>
      <c r="E11" s="65" t="s">
        <v>3326</v>
      </c>
    </row>
    <row r="12" spans="1:5">
      <c r="B12" s="22" t="s">
        <v>3240</v>
      </c>
      <c r="C12" s="22" t="s">
        <v>1890</v>
      </c>
      <c r="D12" s="22" t="s">
        <v>34</v>
      </c>
      <c r="E12" s="31" t="s">
        <v>3202</v>
      </c>
    </row>
    <row r="13" spans="1:5">
      <c r="B13" s="22" t="s">
        <v>3205</v>
      </c>
      <c r="C13" s="22" t="s">
        <v>645</v>
      </c>
      <c r="D13" s="22" t="s">
        <v>34</v>
      </c>
      <c r="E13" s="65" t="s">
        <v>3196</v>
      </c>
    </row>
    <row r="14" spans="1:5">
      <c r="A14" s="64"/>
      <c r="B14" s="24" t="s">
        <v>3266</v>
      </c>
      <c r="C14" s="24" t="s">
        <v>3267</v>
      </c>
      <c r="D14" s="24" t="s">
        <v>3184</v>
      </c>
      <c r="E14" s="31" t="s">
        <v>3202</v>
      </c>
    </row>
    <row r="15" spans="1:5">
      <c r="B15" s="22" t="s">
        <v>3268</v>
      </c>
      <c r="C15" s="22" t="s">
        <v>3269</v>
      </c>
      <c r="D15" s="22" t="s">
        <v>3184</v>
      </c>
      <c r="E15" s="65" t="s">
        <v>3331</v>
      </c>
    </row>
    <row r="16" spans="1:5">
      <c r="B16" s="24" t="s">
        <v>3270</v>
      </c>
      <c r="C16" s="24" t="s">
        <v>3271</v>
      </c>
      <c r="D16" s="24" t="s">
        <v>34</v>
      </c>
      <c r="E16" s="31" t="s">
        <v>3207</v>
      </c>
    </row>
    <row r="17" spans="1:5">
      <c r="A17" s="64"/>
      <c r="B17" s="24" t="s">
        <v>3209</v>
      </c>
      <c r="C17" s="24" t="s">
        <v>702</v>
      </c>
      <c r="D17" s="24" t="s">
        <v>34</v>
      </c>
      <c r="E17" s="65" t="s">
        <v>3236</v>
      </c>
    </row>
    <row r="18" spans="1:5">
      <c r="A18" s="64"/>
      <c r="B18" s="22" t="s">
        <v>3272</v>
      </c>
      <c r="C18" s="63" t="s">
        <v>3273</v>
      </c>
      <c r="D18" s="62" t="s">
        <v>3184</v>
      </c>
      <c r="E18" s="31" t="s">
        <v>3202</v>
      </c>
    </row>
    <row r="19" spans="1:5">
      <c r="B19" s="24" t="s">
        <v>3254</v>
      </c>
      <c r="C19" s="24" t="s">
        <v>2411</v>
      </c>
      <c r="D19" s="24" t="s">
        <v>34</v>
      </c>
      <c r="E19" s="65" t="s">
        <v>3212</v>
      </c>
    </row>
    <row r="20" spans="1:5">
      <c r="B20" s="24" t="s">
        <v>3274</v>
      </c>
      <c r="C20" s="24" t="s">
        <v>3275</v>
      </c>
      <c r="D20" s="24" t="s">
        <v>3184</v>
      </c>
      <c r="E20" s="31" t="s">
        <v>3207</v>
      </c>
    </row>
    <row r="21" spans="1:5">
      <c r="B21" s="22" t="s">
        <v>3208</v>
      </c>
      <c r="C21" s="22" t="s">
        <v>158</v>
      </c>
      <c r="D21" s="22" t="s">
        <v>34</v>
      </c>
      <c r="E21" s="65" t="s">
        <v>3207</v>
      </c>
    </row>
    <row r="22" spans="1:5">
      <c r="B22" s="22" t="s">
        <v>3261</v>
      </c>
      <c r="C22" s="22" t="s">
        <v>158</v>
      </c>
      <c r="D22" s="22" t="s">
        <v>103</v>
      </c>
      <c r="E22" s="31" t="s">
        <v>3210</v>
      </c>
    </row>
    <row r="23" spans="1:5">
      <c r="B23" s="24" t="s">
        <v>3263</v>
      </c>
      <c r="C23" s="24" t="s">
        <v>158</v>
      </c>
      <c r="D23" s="24" t="s">
        <v>775</v>
      </c>
      <c r="E23" s="65" t="s">
        <v>3512</v>
      </c>
    </row>
    <row r="24" spans="1:5">
      <c r="B24" s="22" t="s">
        <v>3253</v>
      </c>
      <c r="C24" s="22" t="s">
        <v>2362</v>
      </c>
      <c r="D24" s="22" t="s">
        <v>34</v>
      </c>
      <c r="E24" s="31" t="s">
        <v>3218</v>
      </c>
    </row>
    <row r="25" spans="1:5">
      <c r="B25" s="24" t="s">
        <v>3439</v>
      </c>
      <c r="C25" s="24" t="s">
        <v>3440</v>
      </c>
      <c r="D25" s="24" t="s">
        <v>3184</v>
      </c>
      <c r="E25" s="65" t="s">
        <v>3207</v>
      </c>
    </row>
    <row r="26" spans="1:5">
      <c r="A26" s="64"/>
      <c r="B26" s="22" t="s">
        <v>3276</v>
      </c>
      <c r="C26" s="22" t="s">
        <v>3277</v>
      </c>
      <c r="D26" s="22" t="s">
        <v>3184</v>
      </c>
      <c r="E26" s="31" t="s">
        <v>3532</v>
      </c>
    </row>
    <row r="27" spans="1:5">
      <c r="B27" s="24" t="s">
        <v>3278</v>
      </c>
      <c r="C27" s="24" t="s">
        <v>3279</v>
      </c>
      <c r="D27" s="24" t="s">
        <v>34</v>
      </c>
      <c r="E27" s="65" t="s">
        <v>3210</v>
      </c>
    </row>
    <row r="28" spans="1:5">
      <c r="B28" s="22" t="s">
        <v>3659</v>
      </c>
      <c r="C28" s="22" t="s">
        <v>3661</v>
      </c>
      <c r="D28" s="22" t="s">
        <v>3184</v>
      </c>
      <c r="E28" s="31" t="s">
        <v>3224</v>
      </c>
    </row>
    <row r="29" spans="1:5">
      <c r="B29" s="22" t="s">
        <v>3280</v>
      </c>
      <c r="C29" s="22" t="s">
        <v>3281</v>
      </c>
      <c r="D29" s="22" t="s">
        <v>3184</v>
      </c>
      <c r="E29" s="65" t="s">
        <v>3210</v>
      </c>
    </row>
    <row r="30" spans="1:5">
      <c r="B30" s="22" t="s">
        <v>3227</v>
      </c>
      <c r="C30" s="22" t="s">
        <v>1409</v>
      </c>
      <c r="D30" s="22" t="s">
        <v>3184</v>
      </c>
      <c r="E30" s="31" t="s">
        <v>3191</v>
      </c>
    </row>
    <row r="31" spans="1:5">
      <c r="B31" s="22" t="s">
        <v>3200</v>
      </c>
      <c r="C31" s="22" t="s">
        <v>631</v>
      </c>
      <c r="D31" s="22" t="s">
        <v>34</v>
      </c>
      <c r="E31" s="65" t="s">
        <v>3212</v>
      </c>
    </row>
    <row r="32" spans="1:5">
      <c r="B32" s="22" t="s">
        <v>3255</v>
      </c>
      <c r="C32" s="22" t="s">
        <v>2677</v>
      </c>
      <c r="D32" s="22" t="s">
        <v>632</v>
      </c>
      <c r="E32" s="24"/>
    </row>
    <row r="33" spans="1:5">
      <c r="A33" s="64"/>
      <c r="B33" s="24" t="s">
        <v>3282</v>
      </c>
      <c r="C33" s="24" t="s">
        <v>3283</v>
      </c>
      <c r="D33" s="24" t="s">
        <v>3184</v>
      </c>
      <c r="E33" s="22"/>
    </row>
    <row r="34" spans="1:5">
      <c r="B34" s="24" t="s">
        <v>3190</v>
      </c>
      <c r="C34" s="24" t="s">
        <v>54</v>
      </c>
      <c r="D34" s="24" t="s">
        <v>146</v>
      </c>
      <c r="E34" s="31" t="s">
        <v>3233</v>
      </c>
    </row>
    <row r="35" spans="1:5">
      <c r="B35" s="22" t="s">
        <v>3284</v>
      </c>
      <c r="C35" s="22" t="s">
        <v>3285</v>
      </c>
      <c r="D35" s="22" t="s">
        <v>34</v>
      </c>
      <c r="E35" s="65" t="s">
        <v>3210</v>
      </c>
    </row>
    <row r="36" spans="1:5">
      <c r="B36" s="22" t="s">
        <v>3242</v>
      </c>
      <c r="C36" s="22" t="s">
        <v>1461</v>
      </c>
      <c r="D36" s="22" t="s">
        <v>3184</v>
      </c>
      <c r="E36" s="31" t="s">
        <v>3236</v>
      </c>
    </row>
    <row r="37" spans="1:5">
      <c r="B37" s="24" t="s">
        <v>3286</v>
      </c>
      <c r="C37" s="24" t="s">
        <v>3287</v>
      </c>
      <c r="D37" s="24" t="s">
        <v>34</v>
      </c>
      <c r="E37" s="65" t="s">
        <v>3422</v>
      </c>
    </row>
    <row r="38" spans="1:5">
      <c r="B38" s="22" t="s">
        <v>3288</v>
      </c>
      <c r="C38" s="22" t="s">
        <v>3289</v>
      </c>
      <c r="D38" s="22" t="s">
        <v>34</v>
      </c>
      <c r="E38" s="31" t="s">
        <v>3212</v>
      </c>
    </row>
    <row r="39" spans="1:5">
      <c r="B39" s="24" t="s">
        <v>3239</v>
      </c>
      <c r="C39" s="24" t="s">
        <v>1884</v>
      </c>
      <c r="D39" s="24" t="s">
        <v>3184</v>
      </c>
      <c r="E39" s="65" t="s">
        <v>3238</v>
      </c>
    </row>
    <row r="40" spans="1:5">
      <c r="B40" s="24" t="s">
        <v>3290</v>
      </c>
      <c r="C40" s="24" t="s">
        <v>3291</v>
      </c>
      <c r="D40" s="24" t="s">
        <v>3184</v>
      </c>
      <c r="E40" s="31" t="s">
        <v>3233</v>
      </c>
    </row>
    <row r="41" spans="1:5">
      <c r="B41" s="22" t="s">
        <v>3292</v>
      </c>
      <c r="C41" s="22" t="s">
        <v>3293</v>
      </c>
      <c r="D41" s="22" t="s">
        <v>34</v>
      </c>
      <c r="E41" s="65" t="s">
        <v>3243</v>
      </c>
    </row>
    <row r="42" spans="1:5">
      <c r="B42" s="24" t="s">
        <v>3294</v>
      </c>
      <c r="C42" s="24" t="s">
        <v>3295</v>
      </c>
      <c r="D42" s="24" t="s">
        <v>3184</v>
      </c>
      <c r="E42" s="31" t="s">
        <v>3245</v>
      </c>
    </row>
    <row r="43" spans="1:5">
      <c r="B43" s="22" t="s">
        <v>3296</v>
      </c>
      <c r="C43" s="22" t="s">
        <v>3297</v>
      </c>
      <c r="D43" s="22" t="s">
        <v>3184</v>
      </c>
      <c r="E43" s="65" t="s">
        <v>3212</v>
      </c>
    </row>
    <row r="44" spans="1:5">
      <c r="B44" s="24" t="s">
        <v>3298</v>
      </c>
      <c r="C44" s="24" t="s">
        <v>3299</v>
      </c>
      <c r="D44" s="24" t="s">
        <v>34</v>
      </c>
      <c r="E44" s="31" t="s">
        <v>3210</v>
      </c>
    </row>
    <row r="45" spans="1:5">
      <c r="B45" s="22" t="s">
        <v>3225</v>
      </c>
      <c r="C45" s="22" t="s">
        <v>1260</v>
      </c>
      <c r="D45" s="22" t="s">
        <v>146</v>
      </c>
      <c r="E45" s="65" t="s">
        <v>3212</v>
      </c>
    </row>
    <row r="46" spans="1:5">
      <c r="B46" s="22" t="s">
        <v>3197</v>
      </c>
      <c r="C46" s="22" t="s">
        <v>86</v>
      </c>
      <c r="D46" s="22" t="s">
        <v>165</v>
      </c>
      <c r="E46" s="31" t="s">
        <v>3207</v>
      </c>
    </row>
    <row r="47" spans="1:5">
      <c r="B47" s="22" t="s">
        <v>3203</v>
      </c>
      <c r="C47" s="22" t="s">
        <v>86</v>
      </c>
      <c r="D47" s="22" t="s">
        <v>565</v>
      </c>
      <c r="E47" s="65" t="s">
        <v>3191</v>
      </c>
    </row>
    <row r="48" spans="1:5">
      <c r="B48" s="24" t="s">
        <v>3217</v>
      </c>
      <c r="C48" s="24" t="s">
        <v>86</v>
      </c>
      <c r="D48" s="24" t="s">
        <v>926</v>
      </c>
      <c r="E48" s="31" t="s">
        <v>3252</v>
      </c>
    </row>
    <row r="49" spans="1:5">
      <c r="A49" s="64"/>
      <c r="B49" s="49" t="s">
        <v>3241</v>
      </c>
      <c r="C49" s="49" t="s">
        <v>86</v>
      </c>
      <c r="D49" s="49" t="s">
        <v>3185</v>
      </c>
      <c r="E49" s="65" t="s">
        <v>3212</v>
      </c>
    </row>
    <row r="50" spans="1:5">
      <c r="B50" s="22" t="s">
        <v>3192</v>
      </c>
      <c r="C50" s="22" t="s">
        <v>420</v>
      </c>
      <c r="D50" s="22" t="s">
        <v>3184</v>
      </c>
      <c r="E50" s="31" t="s">
        <v>3210</v>
      </c>
    </row>
    <row r="51" spans="1:5">
      <c r="A51" s="64"/>
      <c r="B51" s="24" t="s">
        <v>3226</v>
      </c>
      <c r="C51" s="24" t="s">
        <v>1297</v>
      </c>
      <c r="D51" s="24" t="s">
        <v>3184</v>
      </c>
      <c r="E51" s="65" t="s">
        <v>3212</v>
      </c>
    </row>
    <row r="52" spans="1:5">
      <c r="B52" s="22" t="s">
        <v>3250</v>
      </c>
      <c r="C52" s="22" t="s">
        <v>2223</v>
      </c>
      <c r="D52" s="22" t="s">
        <v>34</v>
      </c>
      <c r="E52" s="31" t="s">
        <v>3188</v>
      </c>
    </row>
    <row r="53" spans="1:5">
      <c r="B53" s="22" t="s">
        <v>3300</v>
      </c>
      <c r="C53" s="22" t="s">
        <v>3301</v>
      </c>
      <c r="D53" s="22" t="s">
        <v>34</v>
      </c>
      <c r="E53" s="65" t="s">
        <v>3258</v>
      </c>
    </row>
    <row r="54" spans="1:5">
      <c r="B54" s="24" t="s">
        <v>3302</v>
      </c>
      <c r="C54" s="24" t="s">
        <v>3303</v>
      </c>
      <c r="D54" s="24" t="s">
        <v>34</v>
      </c>
      <c r="E54" s="31" t="s">
        <v>3260</v>
      </c>
    </row>
    <row r="55" spans="1:5">
      <c r="B55" s="22" t="s">
        <v>3304</v>
      </c>
      <c r="C55" s="22" t="s">
        <v>3305</v>
      </c>
      <c r="D55" s="22" t="s">
        <v>34</v>
      </c>
      <c r="E55" s="65" t="s">
        <v>3262</v>
      </c>
    </row>
    <row r="56" spans="1:5">
      <c r="B56" s="24" t="s">
        <v>3306</v>
      </c>
      <c r="C56" s="24" t="s">
        <v>3307</v>
      </c>
      <c r="D56" s="24" t="s">
        <v>3184</v>
      </c>
      <c r="E56" s="31" t="s">
        <v>3221</v>
      </c>
    </row>
    <row r="57" spans="1:5">
      <c r="B57" s="24" t="s">
        <v>3206</v>
      </c>
      <c r="C57" s="24" t="s">
        <v>145</v>
      </c>
      <c r="D57" s="24" t="s">
        <v>146</v>
      </c>
      <c r="E57" s="22" t="s">
        <v>3210</v>
      </c>
    </row>
    <row r="58" spans="1:5">
      <c r="B58" s="24" t="s">
        <v>3223</v>
      </c>
      <c r="C58" s="24" t="s">
        <v>1364</v>
      </c>
      <c r="D58" s="24" t="s">
        <v>34</v>
      </c>
      <c r="E58" s="66" t="s">
        <v>3207</v>
      </c>
    </row>
    <row r="59" spans="1:5">
      <c r="B59" s="24" t="s">
        <v>3187</v>
      </c>
      <c r="C59" s="24" t="s">
        <v>33</v>
      </c>
      <c r="D59" s="24" t="s">
        <v>34</v>
      </c>
      <c r="E59" s="67" t="s">
        <v>3191</v>
      </c>
    </row>
    <row r="60" spans="1:5">
      <c r="B60" s="24" t="s">
        <v>3213</v>
      </c>
      <c r="C60" s="24" t="s">
        <v>774</v>
      </c>
      <c r="D60" s="24" t="s">
        <v>775</v>
      </c>
      <c r="E60" s="24" t="s">
        <v>3207</v>
      </c>
    </row>
    <row r="61" spans="1:5">
      <c r="B61" s="22" t="s">
        <v>3219</v>
      </c>
      <c r="C61" s="22" t="s">
        <v>1063</v>
      </c>
      <c r="D61" s="22" t="s">
        <v>146</v>
      </c>
      <c r="E61" s="22" t="s">
        <v>3207</v>
      </c>
    </row>
    <row r="62" spans="1:5">
      <c r="B62" s="24" t="s">
        <v>3215</v>
      </c>
      <c r="C62" s="24" t="s">
        <v>906</v>
      </c>
      <c r="D62" s="24" t="s">
        <v>907</v>
      </c>
      <c r="E62" s="24" t="s">
        <v>3207</v>
      </c>
    </row>
    <row r="63" spans="1:5">
      <c r="B63" s="22" t="s">
        <v>3308</v>
      </c>
      <c r="C63" s="22" t="s">
        <v>3309</v>
      </c>
      <c r="D63" s="22" t="s">
        <v>3184</v>
      </c>
      <c r="E63" s="65" t="s">
        <v>3245</v>
      </c>
    </row>
    <row r="64" spans="1:5">
      <c r="B64" s="24" t="s">
        <v>3195</v>
      </c>
      <c r="C64" s="24" t="s">
        <v>102</v>
      </c>
      <c r="D64" s="24" t="s">
        <v>3184</v>
      </c>
      <c r="E64" s="31" t="s">
        <v>3191</v>
      </c>
    </row>
    <row r="65" spans="2:5">
      <c r="B65" s="22" t="s">
        <v>3214</v>
      </c>
      <c r="C65" s="22" t="s">
        <v>102</v>
      </c>
      <c r="D65" s="22" t="s">
        <v>736</v>
      </c>
      <c r="E65" s="67" t="s">
        <v>3207</v>
      </c>
    </row>
    <row r="66" spans="2:5">
      <c r="B66" s="24" t="s">
        <v>3231</v>
      </c>
      <c r="C66" s="24" t="s">
        <v>3232</v>
      </c>
      <c r="D66" s="24" t="s">
        <v>34</v>
      </c>
      <c r="E66" s="31" t="s">
        <v>3210</v>
      </c>
    </row>
    <row r="67" spans="2:5">
      <c r="B67" s="24" t="s">
        <v>3310</v>
      </c>
      <c r="C67" s="24" t="s">
        <v>3311</v>
      </c>
      <c r="D67" s="24" t="s">
        <v>34</v>
      </c>
      <c r="E67" s="67" t="s">
        <v>3210</v>
      </c>
    </row>
    <row r="68" spans="2:5">
      <c r="B68" s="22" t="s">
        <v>3211</v>
      </c>
      <c r="C68" s="22" t="s">
        <v>751</v>
      </c>
      <c r="D68" s="22" t="s">
        <v>34</v>
      </c>
      <c r="E68" s="31" t="s">
        <v>3207</v>
      </c>
    </row>
    <row r="69" spans="2:5">
      <c r="B69" s="22" t="s">
        <v>3312</v>
      </c>
      <c r="C69" s="22" t="s">
        <v>3313</v>
      </c>
      <c r="D69" s="22" t="s">
        <v>34</v>
      </c>
      <c r="E69" s="67" t="s">
        <v>3207</v>
      </c>
    </row>
    <row r="70" spans="2:5">
      <c r="B70" s="24" t="s">
        <v>3314</v>
      </c>
      <c r="C70" s="24" t="s">
        <v>3315</v>
      </c>
      <c r="D70" s="24" t="s">
        <v>3184</v>
      </c>
      <c r="E70" s="31" t="s">
        <v>3207</v>
      </c>
    </row>
    <row r="71" spans="2:5">
      <c r="B71" s="24" t="s">
        <v>3251</v>
      </c>
      <c r="C71" s="24" t="s">
        <v>2251</v>
      </c>
      <c r="D71" s="24" t="s">
        <v>2252</v>
      </c>
      <c r="E71" s="67" t="s">
        <v>3191</v>
      </c>
    </row>
    <row r="72" spans="2:5">
      <c r="B72" s="22" t="s">
        <v>3237</v>
      </c>
      <c r="C72" s="22" t="s">
        <v>1857</v>
      </c>
      <c r="D72" s="22" t="s">
        <v>34</v>
      </c>
      <c r="E72" s="31" t="s">
        <v>3191</v>
      </c>
    </row>
    <row r="73" spans="2:5">
      <c r="B73" s="22" t="s">
        <v>3194</v>
      </c>
      <c r="C73" s="22" t="s">
        <v>505</v>
      </c>
      <c r="D73" s="22" t="s">
        <v>34</v>
      </c>
      <c r="E73" s="67" t="s">
        <v>3207</v>
      </c>
    </row>
    <row r="74" spans="2:5">
      <c r="B74" s="24" t="s">
        <v>3259</v>
      </c>
      <c r="C74" s="24" t="s">
        <v>505</v>
      </c>
      <c r="D74" s="24" t="s">
        <v>379</v>
      </c>
      <c r="E74" s="31" t="s">
        <v>3207</v>
      </c>
    </row>
    <row r="75" spans="2:5">
      <c r="B75" s="22" t="s">
        <v>3316</v>
      </c>
      <c r="C75" s="22" t="s">
        <v>3317</v>
      </c>
      <c r="D75" s="22" t="s">
        <v>3184</v>
      </c>
      <c r="E75" s="67" t="s">
        <v>3207</v>
      </c>
    </row>
    <row r="76" spans="2:5">
      <c r="B76" s="24" t="s">
        <v>3318</v>
      </c>
      <c r="C76" s="24" t="s">
        <v>3319</v>
      </c>
      <c r="D76" s="24" t="s">
        <v>3184</v>
      </c>
      <c r="E76" s="31" t="s">
        <v>3207</v>
      </c>
    </row>
    <row r="77" spans="2:5">
      <c r="B77" s="24" t="s">
        <v>3193</v>
      </c>
      <c r="C77" s="24" t="s">
        <v>438</v>
      </c>
      <c r="D77" s="24" t="s">
        <v>34</v>
      </c>
      <c r="E77" s="67" t="s">
        <v>3207</v>
      </c>
    </row>
    <row r="78" spans="2:5">
      <c r="B78" s="22" t="s">
        <v>3320</v>
      </c>
      <c r="C78" s="22" t="s">
        <v>3321</v>
      </c>
      <c r="D78" s="22" t="s">
        <v>3184</v>
      </c>
      <c r="E78" s="31" t="s">
        <v>3207</v>
      </c>
    </row>
    <row r="79" spans="2:5">
      <c r="B79" s="24" t="s">
        <v>3256</v>
      </c>
      <c r="C79" s="24" t="s">
        <v>2705</v>
      </c>
      <c r="D79" s="24" t="s">
        <v>2706</v>
      </c>
      <c r="E79" s="67" t="s">
        <v>3207</v>
      </c>
    </row>
    <row r="80" spans="2:5">
      <c r="B80" s="24" t="s">
        <v>3322</v>
      </c>
      <c r="C80" s="24" t="s">
        <v>3323</v>
      </c>
      <c r="D80" s="24" t="s">
        <v>34</v>
      </c>
      <c r="E80" s="31" t="s">
        <v>3207</v>
      </c>
    </row>
    <row r="81" spans="2:5">
      <c r="B81" s="22" t="s">
        <v>3230</v>
      </c>
      <c r="C81" s="22" t="s">
        <v>2160</v>
      </c>
      <c r="D81" s="22" t="s">
        <v>3184</v>
      </c>
      <c r="E81" s="67" t="s">
        <v>3191</v>
      </c>
    </row>
    <row r="82" spans="2:5">
      <c r="B82" s="22" t="s">
        <v>3248</v>
      </c>
      <c r="C82" s="22" t="s">
        <v>2160</v>
      </c>
      <c r="D82" s="22" t="s">
        <v>165</v>
      </c>
      <c r="E82" s="31" t="s">
        <v>3207</v>
      </c>
    </row>
    <row r="83" spans="2:5">
      <c r="B83" s="22" t="s">
        <v>3234</v>
      </c>
      <c r="C83" s="22" t="s">
        <v>1601</v>
      </c>
      <c r="D83" s="22" t="s">
        <v>34</v>
      </c>
      <c r="E83" s="67" t="s">
        <v>3238</v>
      </c>
    </row>
    <row r="84" spans="2:5">
      <c r="B84" s="22" t="s">
        <v>3324</v>
      </c>
      <c r="C84" s="22" t="s">
        <v>3325</v>
      </c>
      <c r="D84" s="22" t="s">
        <v>34</v>
      </c>
      <c r="E84" s="31" t="s">
        <v>3260</v>
      </c>
    </row>
    <row r="85" spans="2:5">
      <c r="B85" s="24" t="s">
        <v>3235</v>
      </c>
      <c r="C85" s="24" t="s">
        <v>1690</v>
      </c>
      <c r="D85" s="24" t="s">
        <v>1691</v>
      </c>
      <c r="E85" s="67" t="s">
        <v>3212</v>
      </c>
    </row>
    <row r="86" spans="2:5">
      <c r="B86" s="24" t="s">
        <v>3244</v>
      </c>
      <c r="C86" s="24" t="s">
        <v>1690</v>
      </c>
      <c r="D86" s="31" t="s">
        <v>165</v>
      </c>
      <c r="E86" s="31" t="s">
        <v>3191</v>
      </c>
    </row>
    <row r="87" spans="2:5">
      <c r="B87" s="22" t="s">
        <v>3246</v>
      </c>
      <c r="C87" s="22" t="s">
        <v>1690</v>
      </c>
      <c r="D87" s="22" t="s">
        <v>736</v>
      </c>
      <c r="E87" s="67" t="s">
        <v>3207</v>
      </c>
    </row>
    <row r="88" spans="2:5">
      <c r="B88" s="22" t="s">
        <v>3257</v>
      </c>
      <c r="C88" s="22" t="s">
        <v>1690</v>
      </c>
      <c r="D88" s="22" t="s">
        <v>379</v>
      </c>
      <c r="E88" s="31" t="s">
        <v>3191</v>
      </c>
    </row>
    <row r="89" spans="2:5">
      <c r="B89" s="24" t="s">
        <v>3228</v>
      </c>
      <c r="C89" s="24" t="s">
        <v>3229</v>
      </c>
      <c r="D89" s="24" t="s">
        <v>3184</v>
      </c>
      <c r="E89" s="103" t="s">
        <v>3207</v>
      </c>
    </row>
  </sheetData>
  <autoFilter ref="B1:D89" xr:uid="{762C5F0A-7966-4593-A253-1ABF3CE1DF5A}">
    <sortState xmlns:xlrd2="http://schemas.microsoft.com/office/spreadsheetml/2017/richdata2" ref="B2:D89">
      <sortCondition ref="C1:C89"/>
    </sortState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1C5C-017C-48DA-9FB3-655884824777}">
  <dimension ref="B1:H87"/>
  <sheetViews>
    <sheetView zoomScale="85" zoomScaleNormal="85" workbookViewId="0">
      <pane ySplit="7" topLeftCell="A60" activePane="bottomLeft" state="frozen"/>
      <selection pane="bottomLeft" activeCell="E67" sqref="E67"/>
    </sheetView>
  </sheetViews>
  <sheetFormatPr defaultColWidth="10.26953125" defaultRowHeight="14.5"/>
  <cols>
    <col min="1" max="1" width="10.26953125" style="71"/>
    <col min="2" max="2" width="10.26953125" style="84"/>
    <col min="3" max="3" width="51.453125" style="84" customWidth="1"/>
    <col min="4" max="4" width="38" style="84" customWidth="1"/>
    <col min="5" max="5" width="30" style="71" customWidth="1"/>
    <col min="6" max="6" width="40.7265625" style="84" customWidth="1"/>
    <col min="7" max="7" width="25.54296875" style="83" customWidth="1"/>
    <col min="8" max="8" width="25.54296875" style="85" customWidth="1"/>
    <col min="9" max="16384" width="10.26953125" style="71"/>
  </cols>
  <sheetData>
    <row r="1" spans="2:8">
      <c r="B1" s="109"/>
      <c r="C1" s="109"/>
      <c r="D1" s="109"/>
      <c r="E1" s="109"/>
      <c r="F1" s="109"/>
      <c r="G1" s="109"/>
      <c r="H1" s="109"/>
    </row>
    <row r="2" spans="2:8" ht="15" thickBot="1">
      <c r="B2" s="110"/>
      <c r="C2" s="110"/>
      <c r="D2" s="110"/>
      <c r="E2" s="110"/>
      <c r="F2" s="110"/>
      <c r="G2" s="110"/>
      <c r="H2" s="110"/>
    </row>
    <row r="3" spans="2:8" ht="29.25" customHeight="1" thickTop="1">
      <c r="B3" s="70"/>
      <c r="C3" s="70"/>
      <c r="D3" s="70"/>
      <c r="E3" s="70"/>
      <c r="F3" s="70"/>
      <c r="G3" s="72" t="s">
        <v>3568</v>
      </c>
      <c r="H3" s="70" t="s">
        <v>3569</v>
      </c>
    </row>
    <row r="4" spans="2:8" ht="24.75" customHeight="1">
      <c r="B4" s="70"/>
      <c r="C4" s="70"/>
      <c r="D4" s="70"/>
      <c r="E4" s="70"/>
      <c r="F4" s="70"/>
      <c r="G4" s="72" t="s">
        <v>3570</v>
      </c>
      <c r="H4" s="73" t="s">
        <v>3571</v>
      </c>
    </row>
    <row r="5" spans="2:8" ht="32.25" customHeight="1">
      <c r="B5" s="70"/>
      <c r="C5" s="70"/>
      <c r="D5" s="70"/>
      <c r="E5" s="70"/>
      <c r="F5" s="70"/>
      <c r="G5" s="72" t="s">
        <v>3572</v>
      </c>
      <c r="H5" s="70">
        <v>46000</v>
      </c>
    </row>
    <row r="6" spans="2:8" ht="14.25" customHeight="1" thickBot="1">
      <c r="B6" s="70"/>
      <c r="C6" s="70"/>
      <c r="D6" s="70"/>
      <c r="E6" s="70"/>
      <c r="F6" s="70"/>
      <c r="G6" s="74"/>
      <c r="H6" s="70"/>
    </row>
    <row r="7" spans="2:8" s="77" customFormat="1" ht="44" thickTop="1">
      <c r="B7" s="75" t="s">
        <v>3573</v>
      </c>
      <c r="C7" s="75" t="s">
        <v>3574</v>
      </c>
      <c r="D7" s="75" t="s">
        <v>3575</v>
      </c>
      <c r="E7" s="75" t="s">
        <v>3576</v>
      </c>
      <c r="F7" s="75" t="s">
        <v>3577</v>
      </c>
      <c r="G7" s="95" t="s">
        <v>3578</v>
      </c>
      <c r="H7" s="76" t="s">
        <v>3579</v>
      </c>
    </row>
    <row r="8" spans="2:8">
      <c r="B8" s="78" t="s">
        <v>1892</v>
      </c>
      <c r="C8" s="81" t="s">
        <v>3580</v>
      </c>
      <c r="D8" s="81" t="s">
        <v>3581</v>
      </c>
      <c r="E8" s="81" t="s">
        <v>3582</v>
      </c>
      <c r="F8" s="89" t="s">
        <v>3583</v>
      </c>
      <c r="G8" s="96">
        <v>46343</v>
      </c>
      <c r="H8" s="82" t="s">
        <v>3584</v>
      </c>
    </row>
    <row r="9" spans="2:8">
      <c r="B9" s="78" t="s">
        <v>928</v>
      </c>
      <c r="C9" s="90" t="s">
        <v>157</v>
      </c>
      <c r="D9" s="90" t="s">
        <v>3585</v>
      </c>
      <c r="E9" s="91" t="s">
        <v>436</v>
      </c>
      <c r="F9" s="90" t="s">
        <v>3583</v>
      </c>
      <c r="G9" s="97">
        <v>47020</v>
      </c>
      <c r="H9" s="92" t="s">
        <v>3445</v>
      </c>
    </row>
    <row r="10" spans="2:8">
      <c r="B10" s="78" t="s">
        <v>302</v>
      </c>
      <c r="C10" s="90" t="s">
        <v>157</v>
      </c>
      <c r="D10" s="90" t="s">
        <v>3585</v>
      </c>
      <c r="E10" s="91" t="s">
        <v>436</v>
      </c>
      <c r="F10" s="90" t="s">
        <v>3583</v>
      </c>
      <c r="G10" s="97">
        <v>47020</v>
      </c>
      <c r="H10" s="92" t="s">
        <v>3445</v>
      </c>
    </row>
    <row r="11" spans="2:8">
      <c r="B11" s="78" t="s">
        <v>3586</v>
      </c>
      <c r="C11" s="90" t="s">
        <v>157</v>
      </c>
      <c r="D11" s="90" t="s">
        <v>3585</v>
      </c>
      <c r="E11" s="91" t="s">
        <v>436</v>
      </c>
      <c r="F11" s="90" t="s">
        <v>3583</v>
      </c>
      <c r="G11" s="97">
        <v>47020</v>
      </c>
      <c r="H11" s="92" t="s">
        <v>3445</v>
      </c>
    </row>
    <row r="12" spans="2:8">
      <c r="B12" s="78" t="s">
        <v>3587</v>
      </c>
      <c r="C12" s="90" t="s">
        <v>157</v>
      </c>
      <c r="D12" s="90" t="s">
        <v>3585</v>
      </c>
      <c r="E12" s="91" t="s">
        <v>436</v>
      </c>
      <c r="F12" s="90" t="s">
        <v>3583</v>
      </c>
      <c r="G12" s="97">
        <v>47020</v>
      </c>
      <c r="H12" s="92" t="s">
        <v>3445</v>
      </c>
    </row>
    <row r="13" spans="2:8">
      <c r="B13" s="78" t="s">
        <v>955</v>
      </c>
      <c r="C13" s="90" t="s">
        <v>157</v>
      </c>
      <c r="D13" s="90" t="s">
        <v>3585</v>
      </c>
      <c r="E13" s="91" t="s">
        <v>436</v>
      </c>
      <c r="F13" s="90" t="s">
        <v>3583</v>
      </c>
      <c r="G13" s="97">
        <v>47020</v>
      </c>
      <c r="H13" s="92" t="s">
        <v>3445</v>
      </c>
    </row>
    <row r="14" spans="2:8">
      <c r="B14" s="78" t="s">
        <v>3588</v>
      </c>
      <c r="C14" s="90" t="s">
        <v>157</v>
      </c>
      <c r="D14" s="90" t="s">
        <v>3585</v>
      </c>
      <c r="E14" s="91" t="s">
        <v>436</v>
      </c>
      <c r="F14" s="90" t="s">
        <v>3583</v>
      </c>
      <c r="G14" s="97">
        <v>47020</v>
      </c>
      <c r="H14" s="92" t="s">
        <v>3445</v>
      </c>
    </row>
    <row r="15" spans="2:8">
      <c r="B15" s="78" t="s">
        <v>3589</v>
      </c>
      <c r="C15" s="90" t="s">
        <v>157</v>
      </c>
      <c r="D15" s="90" t="s">
        <v>3585</v>
      </c>
      <c r="E15" s="91" t="s">
        <v>436</v>
      </c>
      <c r="F15" s="90" t="s">
        <v>3583</v>
      </c>
      <c r="G15" s="97">
        <v>47020</v>
      </c>
      <c r="H15" s="92" t="s">
        <v>3445</v>
      </c>
    </row>
    <row r="16" spans="2:8">
      <c r="B16" s="78" t="s">
        <v>3590</v>
      </c>
      <c r="C16" s="90" t="s">
        <v>157</v>
      </c>
      <c r="D16" s="90" t="s">
        <v>3585</v>
      </c>
      <c r="E16" s="91" t="s">
        <v>436</v>
      </c>
      <c r="F16" s="90" t="s">
        <v>3583</v>
      </c>
      <c r="G16" s="97">
        <v>47020</v>
      </c>
      <c r="H16" s="92" t="s">
        <v>3445</v>
      </c>
    </row>
    <row r="17" spans="2:8">
      <c r="B17" s="78" t="s">
        <v>3591</v>
      </c>
      <c r="C17" s="90" t="s">
        <v>157</v>
      </c>
      <c r="D17" s="90" t="s">
        <v>3585</v>
      </c>
      <c r="E17" s="91" t="s">
        <v>436</v>
      </c>
      <c r="F17" s="90" t="s">
        <v>3583</v>
      </c>
      <c r="G17" s="97">
        <v>47020</v>
      </c>
      <c r="H17" s="92" t="s">
        <v>3445</v>
      </c>
    </row>
    <row r="18" spans="2:8">
      <c r="B18" s="78" t="s">
        <v>3592</v>
      </c>
      <c r="C18" s="90" t="s">
        <v>157</v>
      </c>
      <c r="D18" s="90" t="s">
        <v>3585</v>
      </c>
      <c r="E18" s="91" t="s">
        <v>436</v>
      </c>
      <c r="F18" s="90" t="s">
        <v>3583</v>
      </c>
      <c r="G18" s="97">
        <v>47020</v>
      </c>
      <c r="H18" s="92" t="s">
        <v>3445</v>
      </c>
    </row>
    <row r="19" spans="2:8">
      <c r="B19" s="78" t="s">
        <v>3593</v>
      </c>
      <c r="C19" s="90" t="s">
        <v>157</v>
      </c>
      <c r="D19" s="90" t="s">
        <v>3585</v>
      </c>
      <c r="E19" s="91" t="s">
        <v>436</v>
      </c>
      <c r="F19" s="90" t="s">
        <v>3583</v>
      </c>
      <c r="G19" s="97">
        <v>47020</v>
      </c>
      <c r="H19" s="92" t="s">
        <v>3445</v>
      </c>
    </row>
    <row r="20" spans="2:8">
      <c r="B20" s="78" t="s">
        <v>3594</v>
      </c>
      <c r="C20" s="90" t="s">
        <v>157</v>
      </c>
      <c r="D20" s="90" t="s">
        <v>3585</v>
      </c>
      <c r="E20" s="91" t="s">
        <v>436</v>
      </c>
      <c r="F20" s="90" t="s">
        <v>3583</v>
      </c>
      <c r="G20" s="97">
        <v>47020</v>
      </c>
      <c r="H20" s="92" t="s">
        <v>3445</v>
      </c>
    </row>
    <row r="21" spans="2:8">
      <c r="B21" s="78" t="s">
        <v>840</v>
      </c>
      <c r="C21" s="90" t="s">
        <v>157</v>
      </c>
      <c r="D21" s="90" t="s">
        <v>3585</v>
      </c>
      <c r="E21" s="91" t="s">
        <v>436</v>
      </c>
      <c r="F21" s="90" t="s">
        <v>3583</v>
      </c>
      <c r="G21" s="97">
        <v>47020</v>
      </c>
      <c r="H21" s="92" t="s">
        <v>3445</v>
      </c>
    </row>
    <row r="22" spans="2:8">
      <c r="B22" s="78" t="s">
        <v>3084</v>
      </c>
      <c r="C22" s="90" t="s">
        <v>157</v>
      </c>
      <c r="D22" s="90" t="s">
        <v>3585</v>
      </c>
      <c r="E22" s="91" t="s">
        <v>436</v>
      </c>
      <c r="F22" s="90" t="s">
        <v>3583</v>
      </c>
      <c r="G22" s="97">
        <v>47020</v>
      </c>
      <c r="H22" s="92" t="s">
        <v>3445</v>
      </c>
    </row>
    <row r="23" spans="2:8">
      <c r="B23" s="78" t="s">
        <v>1299</v>
      </c>
      <c r="C23" s="90" t="s">
        <v>157</v>
      </c>
      <c r="D23" s="90" t="s">
        <v>3585</v>
      </c>
      <c r="E23" s="91" t="s">
        <v>436</v>
      </c>
      <c r="F23" s="90" t="s">
        <v>3583</v>
      </c>
      <c r="G23" s="97">
        <v>47020</v>
      </c>
      <c r="H23" s="92" t="s">
        <v>3445</v>
      </c>
    </row>
    <row r="24" spans="2:8">
      <c r="B24" s="78" t="s">
        <v>531</v>
      </c>
      <c r="C24" s="90" t="s">
        <v>157</v>
      </c>
      <c r="D24" s="90" t="s">
        <v>3585</v>
      </c>
      <c r="E24" s="91" t="s">
        <v>436</v>
      </c>
      <c r="F24" s="90" t="s">
        <v>3583</v>
      </c>
      <c r="G24" s="97">
        <v>47020</v>
      </c>
      <c r="H24" s="92" t="s">
        <v>3445</v>
      </c>
    </row>
    <row r="25" spans="2:8">
      <c r="B25" s="78" t="s">
        <v>1020</v>
      </c>
      <c r="C25" s="90" t="s">
        <v>157</v>
      </c>
      <c r="D25" s="90" t="s">
        <v>3585</v>
      </c>
      <c r="E25" s="91" t="s">
        <v>436</v>
      </c>
      <c r="F25" s="90" t="s">
        <v>3583</v>
      </c>
      <c r="G25" s="97">
        <v>47020</v>
      </c>
      <c r="H25" s="92" t="s">
        <v>3445</v>
      </c>
    </row>
    <row r="26" spans="2:8">
      <c r="B26" s="78" t="s">
        <v>1253</v>
      </c>
      <c r="C26" s="90" t="s">
        <v>157</v>
      </c>
      <c r="D26" s="90" t="s">
        <v>3585</v>
      </c>
      <c r="E26" s="91" t="s">
        <v>436</v>
      </c>
      <c r="F26" s="90" t="s">
        <v>3583</v>
      </c>
      <c r="G26" s="97">
        <v>47020</v>
      </c>
      <c r="H26" s="92" t="s">
        <v>3445</v>
      </c>
    </row>
    <row r="27" spans="2:8">
      <c r="B27" s="78" t="s">
        <v>3069</v>
      </c>
      <c r="C27" s="90" t="s">
        <v>157</v>
      </c>
      <c r="D27" s="90" t="s">
        <v>3585</v>
      </c>
      <c r="E27" s="91" t="s">
        <v>436</v>
      </c>
      <c r="F27" s="90" t="s">
        <v>3583</v>
      </c>
      <c r="G27" s="97">
        <v>47020</v>
      </c>
      <c r="H27" s="92" t="s">
        <v>3445</v>
      </c>
    </row>
    <row r="28" spans="2:8">
      <c r="B28" s="78" t="s">
        <v>525</v>
      </c>
      <c r="C28" s="90" t="s">
        <v>157</v>
      </c>
      <c r="D28" s="90" t="s">
        <v>3585</v>
      </c>
      <c r="E28" s="91" t="s">
        <v>436</v>
      </c>
      <c r="F28" s="90" t="s">
        <v>3583</v>
      </c>
      <c r="G28" s="97">
        <v>47020</v>
      </c>
      <c r="H28" s="92" t="s">
        <v>3445</v>
      </c>
    </row>
    <row r="29" spans="2:8">
      <c r="B29" s="78" t="s">
        <v>2885</v>
      </c>
      <c r="C29" s="90" t="s">
        <v>157</v>
      </c>
      <c r="D29" s="90" t="s">
        <v>3585</v>
      </c>
      <c r="E29" s="91" t="s">
        <v>436</v>
      </c>
      <c r="F29" s="90" t="s">
        <v>3583</v>
      </c>
      <c r="G29" s="97">
        <v>47020</v>
      </c>
      <c r="H29" s="92" t="s">
        <v>3445</v>
      </c>
    </row>
    <row r="30" spans="2:8">
      <c r="B30" s="78" t="s">
        <v>222</v>
      </c>
      <c r="C30" s="90" t="s">
        <v>157</v>
      </c>
      <c r="D30" s="90" t="s">
        <v>3585</v>
      </c>
      <c r="E30" s="91" t="s">
        <v>436</v>
      </c>
      <c r="F30" s="90" t="s">
        <v>3583</v>
      </c>
      <c r="G30" s="97">
        <v>47020</v>
      </c>
      <c r="H30" s="92" t="s">
        <v>3445</v>
      </c>
    </row>
    <row r="31" spans="2:8">
      <c r="B31" s="78" t="s">
        <v>490</v>
      </c>
      <c r="C31" s="90" t="s">
        <v>157</v>
      </c>
      <c r="D31" s="90" t="s">
        <v>3585</v>
      </c>
      <c r="E31" s="91" t="s">
        <v>436</v>
      </c>
      <c r="F31" s="90" t="s">
        <v>3583</v>
      </c>
      <c r="G31" s="97">
        <v>47020</v>
      </c>
      <c r="H31" s="92" t="s">
        <v>3445</v>
      </c>
    </row>
    <row r="32" spans="2:8">
      <c r="B32" s="78" t="s">
        <v>3595</v>
      </c>
      <c r="C32" s="90" t="s">
        <v>157</v>
      </c>
      <c r="D32" s="90" t="s">
        <v>3585</v>
      </c>
      <c r="E32" s="91" t="s">
        <v>436</v>
      </c>
      <c r="F32" s="90" t="s">
        <v>3583</v>
      </c>
      <c r="G32" s="97">
        <v>47020</v>
      </c>
      <c r="H32" s="92" t="s">
        <v>3445</v>
      </c>
    </row>
    <row r="33" spans="2:8">
      <c r="B33" s="78" t="s">
        <v>3596</v>
      </c>
      <c r="C33" s="90" t="s">
        <v>157</v>
      </c>
      <c r="D33" s="90" t="s">
        <v>3585</v>
      </c>
      <c r="E33" s="91" t="s">
        <v>436</v>
      </c>
      <c r="F33" s="90" t="s">
        <v>3583</v>
      </c>
      <c r="G33" s="97">
        <v>47020</v>
      </c>
      <c r="H33" s="92" t="s">
        <v>3445</v>
      </c>
    </row>
    <row r="34" spans="2:8">
      <c r="B34" s="78" t="s">
        <v>3597</v>
      </c>
      <c r="C34" s="90" t="s">
        <v>157</v>
      </c>
      <c r="D34" s="90" t="s">
        <v>3585</v>
      </c>
      <c r="E34" s="91" t="s">
        <v>436</v>
      </c>
      <c r="F34" s="90" t="s">
        <v>3583</v>
      </c>
      <c r="G34" s="97">
        <v>47020</v>
      </c>
      <c r="H34" s="92" t="s">
        <v>3445</v>
      </c>
    </row>
    <row r="35" spans="2:8">
      <c r="B35" s="78" t="s">
        <v>2104</v>
      </c>
      <c r="C35" s="90" t="s">
        <v>157</v>
      </c>
      <c r="D35" s="90" t="s">
        <v>3585</v>
      </c>
      <c r="E35" s="91" t="s">
        <v>436</v>
      </c>
      <c r="F35" s="90" t="s">
        <v>3583</v>
      </c>
      <c r="G35" s="97">
        <v>47020</v>
      </c>
      <c r="H35" s="92" t="s">
        <v>3445</v>
      </c>
    </row>
    <row r="36" spans="2:8">
      <c r="B36" s="78" t="s">
        <v>2391</v>
      </c>
      <c r="C36" s="87" t="s">
        <v>3598</v>
      </c>
      <c r="D36" s="87" t="s">
        <v>3599</v>
      </c>
      <c r="E36" s="87" t="s">
        <v>3600</v>
      </c>
      <c r="F36" s="87" t="s">
        <v>3583</v>
      </c>
      <c r="G36" s="98">
        <v>45582</v>
      </c>
      <c r="H36" s="93" t="s">
        <v>3601</v>
      </c>
    </row>
    <row r="37" spans="2:8">
      <c r="B37" s="78" t="s">
        <v>3602</v>
      </c>
      <c r="C37" s="89" t="s">
        <v>3603</v>
      </c>
      <c r="D37" s="89" t="s">
        <v>3604</v>
      </c>
      <c r="E37" s="81" t="s">
        <v>3605</v>
      </c>
      <c r="F37" s="89" t="s">
        <v>3583</v>
      </c>
      <c r="G37" s="99">
        <v>46525</v>
      </c>
      <c r="H37" s="94" t="s">
        <v>3606</v>
      </c>
    </row>
    <row r="38" spans="2:8">
      <c r="B38" s="78" t="s">
        <v>3607</v>
      </c>
      <c r="C38" s="89" t="s">
        <v>3603</v>
      </c>
      <c r="D38" s="89" t="s">
        <v>3604</v>
      </c>
      <c r="E38" s="81" t="s">
        <v>3605</v>
      </c>
      <c r="F38" s="89" t="s">
        <v>3583</v>
      </c>
      <c r="G38" s="99">
        <v>46525</v>
      </c>
      <c r="H38" s="94" t="s">
        <v>3606</v>
      </c>
    </row>
    <row r="39" spans="2:8">
      <c r="B39" s="79" t="s">
        <v>1858</v>
      </c>
      <c r="C39" s="80" t="s">
        <v>3608</v>
      </c>
      <c r="D39" s="80" t="s">
        <v>3609</v>
      </c>
      <c r="E39" s="80" t="s">
        <v>3600</v>
      </c>
      <c r="F39" s="81" t="s">
        <v>3610</v>
      </c>
      <c r="G39" s="96">
        <v>46928</v>
      </c>
      <c r="H39" s="82" t="s">
        <v>3584</v>
      </c>
    </row>
    <row r="40" spans="2:8">
      <c r="B40" s="78" t="s">
        <v>3611</v>
      </c>
      <c r="C40" s="86" t="s">
        <v>568</v>
      </c>
      <c r="D40" s="86" t="s">
        <v>3612</v>
      </c>
      <c r="E40" s="86" t="s">
        <v>3613</v>
      </c>
      <c r="F40" s="86" t="s">
        <v>3583</v>
      </c>
      <c r="G40" s="100">
        <v>46761</v>
      </c>
      <c r="H40" s="88" t="s">
        <v>3584</v>
      </c>
    </row>
    <row r="41" spans="2:8">
      <c r="B41" s="78" t="s">
        <v>1261</v>
      </c>
      <c r="C41" s="86" t="s">
        <v>568</v>
      </c>
      <c r="D41" s="86" t="s">
        <v>3612</v>
      </c>
      <c r="E41" s="86" t="s">
        <v>3613</v>
      </c>
      <c r="F41" s="86" t="s">
        <v>3583</v>
      </c>
      <c r="G41" s="100">
        <v>46761</v>
      </c>
      <c r="H41" s="88" t="s">
        <v>3584</v>
      </c>
    </row>
    <row r="42" spans="2:8">
      <c r="B42" s="78" t="s">
        <v>3614</v>
      </c>
      <c r="C42" s="86" t="s">
        <v>568</v>
      </c>
      <c r="D42" s="86" t="s">
        <v>3612</v>
      </c>
      <c r="E42" s="86" t="s">
        <v>3613</v>
      </c>
      <c r="F42" s="86" t="s">
        <v>3583</v>
      </c>
      <c r="G42" s="100">
        <v>46761</v>
      </c>
      <c r="H42" s="88" t="s">
        <v>3584</v>
      </c>
    </row>
    <row r="43" spans="2:8">
      <c r="B43" s="78" t="s">
        <v>1948</v>
      </c>
      <c r="C43" s="86" t="s">
        <v>568</v>
      </c>
      <c r="D43" s="86" t="s">
        <v>3612</v>
      </c>
      <c r="E43" s="86" t="s">
        <v>3613</v>
      </c>
      <c r="F43" s="86" t="s">
        <v>3583</v>
      </c>
      <c r="G43" s="100">
        <v>46761</v>
      </c>
      <c r="H43" s="88" t="s">
        <v>3584</v>
      </c>
    </row>
    <row r="44" spans="2:8">
      <c r="B44" s="78" t="s">
        <v>3615</v>
      </c>
      <c r="C44" s="86" t="s">
        <v>568</v>
      </c>
      <c r="D44" s="86" t="s">
        <v>3612</v>
      </c>
      <c r="E44" s="86" t="s">
        <v>3613</v>
      </c>
      <c r="F44" s="86" t="s">
        <v>3583</v>
      </c>
      <c r="G44" s="100">
        <v>46761</v>
      </c>
      <c r="H44" s="88" t="s">
        <v>3584</v>
      </c>
    </row>
    <row r="45" spans="2:8">
      <c r="B45" s="78" t="s">
        <v>3616</v>
      </c>
      <c r="C45" s="86" t="s">
        <v>3617</v>
      </c>
      <c r="D45" s="86" t="s">
        <v>3581</v>
      </c>
      <c r="E45" s="86" t="s">
        <v>3618</v>
      </c>
      <c r="F45" s="86" t="s">
        <v>3583</v>
      </c>
      <c r="G45" s="100">
        <v>46343</v>
      </c>
      <c r="H45" s="88" t="s">
        <v>3584</v>
      </c>
    </row>
    <row r="46" spans="2:8">
      <c r="B46" s="78" t="s">
        <v>3619</v>
      </c>
      <c r="C46" s="86" t="s">
        <v>3617</v>
      </c>
      <c r="D46" s="86" t="s">
        <v>3581</v>
      </c>
      <c r="E46" s="86" t="s">
        <v>3618</v>
      </c>
      <c r="F46" s="86" t="s">
        <v>3583</v>
      </c>
      <c r="G46" s="100">
        <v>46343</v>
      </c>
      <c r="H46" s="88" t="s">
        <v>3584</v>
      </c>
    </row>
    <row r="47" spans="2:8">
      <c r="B47" s="78" t="s">
        <v>160</v>
      </c>
      <c r="C47" s="86" t="s">
        <v>3617</v>
      </c>
      <c r="D47" s="86" t="s">
        <v>3581</v>
      </c>
      <c r="E47" s="86" t="s">
        <v>3618</v>
      </c>
      <c r="F47" s="86" t="s">
        <v>3583</v>
      </c>
      <c r="G47" s="100">
        <v>46343</v>
      </c>
      <c r="H47" s="88" t="s">
        <v>3584</v>
      </c>
    </row>
    <row r="48" spans="2:8" ht="58">
      <c r="B48" s="78" t="s">
        <v>3620</v>
      </c>
      <c r="C48" s="86" t="s">
        <v>3621</v>
      </c>
      <c r="D48" s="86" t="s">
        <v>3622</v>
      </c>
      <c r="E48" s="86" t="s">
        <v>3618</v>
      </c>
      <c r="F48" s="86" t="s">
        <v>3623</v>
      </c>
      <c r="G48" s="100">
        <v>46268</v>
      </c>
      <c r="H48" s="88" t="s">
        <v>3624</v>
      </c>
    </row>
    <row r="49" spans="2:8" ht="58">
      <c r="B49" s="78" t="s">
        <v>3625</v>
      </c>
      <c r="C49" s="86" t="s">
        <v>3621</v>
      </c>
      <c r="D49" s="86" t="s">
        <v>3622</v>
      </c>
      <c r="E49" s="86" t="s">
        <v>3618</v>
      </c>
      <c r="F49" s="86" t="s">
        <v>3623</v>
      </c>
      <c r="G49" s="100">
        <v>46268</v>
      </c>
      <c r="H49" s="88" t="s">
        <v>3624</v>
      </c>
    </row>
    <row r="50" spans="2:8" ht="58">
      <c r="B50" s="78" t="s">
        <v>3626</v>
      </c>
      <c r="C50" s="86" t="s">
        <v>3621</v>
      </c>
      <c r="D50" s="86" t="s">
        <v>3622</v>
      </c>
      <c r="E50" s="86" t="s">
        <v>3618</v>
      </c>
      <c r="F50" s="86" t="s">
        <v>3623</v>
      </c>
      <c r="G50" s="100">
        <v>46268</v>
      </c>
      <c r="H50" s="88" t="s">
        <v>3624</v>
      </c>
    </row>
    <row r="51" spans="2:8" ht="58">
      <c r="B51" s="78" t="s">
        <v>777</v>
      </c>
      <c r="C51" s="86" t="s">
        <v>3621</v>
      </c>
      <c r="D51" s="86" t="s">
        <v>3622</v>
      </c>
      <c r="E51" s="86" t="s">
        <v>3618</v>
      </c>
      <c r="F51" s="86" t="s">
        <v>3623</v>
      </c>
      <c r="G51" s="100">
        <v>46268</v>
      </c>
      <c r="H51" s="88" t="s">
        <v>3624</v>
      </c>
    </row>
    <row r="52" spans="2:8">
      <c r="B52" s="78" t="s">
        <v>3627</v>
      </c>
      <c r="C52" s="86" t="s">
        <v>3628</v>
      </c>
      <c r="D52" s="86"/>
      <c r="E52" s="86"/>
      <c r="F52" s="86" t="s">
        <v>3583</v>
      </c>
      <c r="G52" s="100">
        <v>46170</v>
      </c>
      <c r="H52" s="88" t="s">
        <v>3584</v>
      </c>
    </row>
    <row r="53" spans="2:8">
      <c r="B53" s="78" t="s">
        <v>3629</v>
      </c>
      <c r="C53" s="86" t="s">
        <v>3628</v>
      </c>
      <c r="D53" s="86"/>
      <c r="E53" s="86"/>
      <c r="F53" s="86" t="s">
        <v>3583</v>
      </c>
      <c r="G53" s="100">
        <v>46170</v>
      </c>
      <c r="H53" s="88" t="s">
        <v>3584</v>
      </c>
    </row>
    <row r="54" spans="2:8">
      <c r="B54" s="78" t="s">
        <v>3630</v>
      </c>
      <c r="C54" s="86" t="s">
        <v>3631</v>
      </c>
      <c r="D54" s="86" t="s">
        <v>3581</v>
      </c>
      <c r="E54" s="86" t="s">
        <v>3618</v>
      </c>
      <c r="F54" s="86" t="s">
        <v>3583</v>
      </c>
      <c r="G54" s="100">
        <v>46197</v>
      </c>
      <c r="H54" s="88" t="s">
        <v>3584</v>
      </c>
    </row>
    <row r="55" spans="2:8">
      <c r="B55" s="78" t="s">
        <v>3632</v>
      </c>
      <c r="C55" s="86" t="s">
        <v>3631</v>
      </c>
      <c r="D55" s="86" t="s">
        <v>3581</v>
      </c>
      <c r="E55" s="86" t="s">
        <v>3618</v>
      </c>
      <c r="F55" s="86" t="s">
        <v>3583</v>
      </c>
      <c r="G55" s="100">
        <v>46197</v>
      </c>
      <c r="H55" s="88" t="s">
        <v>3584</v>
      </c>
    </row>
    <row r="56" spans="2:8">
      <c r="B56" s="78" t="s">
        <v>96</v>
      </c>
      <c r="C56" s="86" t="s">
        <v>3634</v>
      </c>
      <c r="D56" s="86" t="s">
        <v>3652</v>
      </c>
      <c r="E56" s="86"/>
      <c r="F56" s="86"/>
      <c r="G56" s="100">
        <v>46614</v>
      </c>
      <c r="H56" s="88"/>
    </row>
    <row r="57" spans="2:8">
      <c r="B57" s="102" t="s">
        <v>108</v>
      </c>
      <c r="C57" s="86" t="s">
        <v>85</v>
      </c>
      <c r="D57" s="86"/>
      <c r="E57" s="86"/>
      <c r="F57" s="86"/>
      <c r="G57" s="100">
        <v>46614</v>
      </c>
      <c r="H57" s="88"/>
    </row>
    <row r="58" spans="2:8">
      <c r="B58" s="78" t="s">
        <v>1892</v>
      </c>
      <c r="C58" s="86" t="s">
        <v>85</v>
      </c>
      <c r="D58" s="86"/>
      <c r="E58" s="86"/>
      <c r="F58" s="86"/>
      <c r="G58" s="100">
        <v>46614</v>
      </c>
      <c r="H58" s="88"/>
    </row>
    <row r="59" spans="2:8">
      <c r="B59" s="78" t="s">
        <v>3635</v>
      </c>
      <c r="C59" s="86" t="s">
        <v>85</v>
      </c>
      <c r="D59" s="86"/>
      <c r="E59" s="86"/>
      <c r="F59" s="86"/>
      <c r="G59" s="100">
        <v>46614</v>
      </c>
      <c r="H59" s="88"/>
    </row>
    <row r="60" spans="2:8">
      <c r="B60" s="78" t="s">
        <v>444</v>
      </c>
      <c r="C60" s="86" t="s">
        <v>85</v>
      </c>
      <c r="D60" s="86"/>
      <c r="E60" s="86"/>
      <c r="F60" s="86"/>
      <c r="G60" s="100">
        <v>46614</v>
      </c>
      <c r="H60" s="88"/>
    </row>
    <row r="61" spans="2:8">
      <c r="B61" s="78" t="s">
        <v>3636</v>
      </c>
      <c r="C61" s="86" t="s">
        <v>85</v>
      </c>
      <c r="D61" s="86"/>
      <c r="E61" s="86"/>
      <c r="F61" s="86"/>
      <c r="G61" s="100">
        <v>46614</v>
      </c>
      <c r="H61" s="88"/>
    </row>
    <row r="62" spans="2:8">
      <c r="B62" s="78" t="s">
        <v>3637</v>
      </c>
      <c r="C62" s="86" t="s">
        <v>3634</v>
      </c>
      <c r="D62" s="86" t="s">
        <v>3652</v>
      </c>
      <c r="E62" s="86"/>
      <c r="F62" s="86"/>
      <c r="G62" s="100">
        <v>46614</v>
      </c>
      <c r="H62" s="88"/>
    </row>
    <row r="63" spans="2:8">
      <c r="B63" s="78" t="s">
        <v>3638</v>
      </c>
      <c r="C63" s="86" t="s">
        <v>85</v>
      </c>
      <c r="D63" s="86"/>
      <c r="E63" s="86"/>
      <c r="F63" s="86"/>
      <c r="G63" s="100">
        <v>46614</v>
      </c>
      <c r="H63" s="88"/>
    </row>
    <row r="64" spans="2:8">
      <c r="B64" s="78" t="s">
        <v>3639</v>
      </c>
      <c r="C64" s="86" t="s">
        <v>85</v>
      </c>
      <c r="D64" s="86"/>
      <c r="E64" s="86"/>
      <c r="F64" s="86"/>
      <c r="G64" s="100">
        <v>46614</v>
      </c>
      <c r="H64" s="88"/>
    </row>
    <row r="65" spans="2:8">
      <c r="B65" s="102" t="s">
        <v>89</v>
      </c>
      <c r="C65" s="86" t="s">
        <v>85</v>
      </c>
      <c r="D65" s="86"/>
      <c r="E65" s="86"/>
      <c r="F65" s="86"/>
      <c r="G65" s="100">
        <v>46614</v>
      </c>
      <c r="H65" s="88"/>
    </row>
    <row r="66" spans="2:8">
      <c r="B66" s="102" t="s">
        <v>151</v>
      </c>
      <c r="C66" s="86" t="s">
        <v>85</v>
      </c>
      <c r="D66" s="86"/>
      <c r="E66" s="86"/>
      <c r="F66" s="86"/>
      <c r="G66" s="100">
        <v>46614</v>
      </c>
      <c r="H66" s="88"/>
    </row>
    <row r="67" spans="2:8">
      <c r="B67" s="102" t="s">
        <v>322</v>
      </c>
      <c r="C67" s="86" t="s">
        <v>85</v>
      </c>
      <c r="D67" s="86"/>
      <c r="E67" s="86"/>
      <c r="F67" s="86"/>
      <c r="G67" s="100">
        <v>46614</v>
      </c>
      <c r="H67" s="88"/>
    </row>
    <row r="68" spans="2:8">
      <c r="B68" s="102" t="s">
        <v>190</v>
      </c>
      <c r="C68" s="86" t="s">
        <v>85</v>
      </c>
      <c r="D68" s="86"/>
      <c r="E68" s="86"/>
      <c r="F68" s="86"/>
      <c r="G68" s="100">
        <v>46614</v>
      </c>
      <c r="H68" s="88"/>
    </row>
    <row r="69" spans="2:8">
      <c r="B69" s="102" t="s">
        <v>232</v>
      </c>
      <c r="C69" s="86" t="s">
        <v>85</v>
      </c>
      <c r="D69" s="86"/>
      <c r="E69" s="86"/>
      <c r="F69" s="86"/>
      <c r="G69" s="100">
        <v>46614</v>
      </c>
      <c r="H69" s="88"/>
    </row>
    <row r="70" spans="2:8">
      <c r="B70" s="102" t="s">
        <v>3640</v>
      </c>
      <c r="C70" s="86" t="s">
        <v>85</v>
      </c>
      <c r="D70" s="86"/>
      <c r="E70" s="86"/>
      <c r="F70" s="86"/>
      <c r="G70" s="100">
        <v>46614</v>
      </c>
      <c r="H70" s="88"/>
    </row>
    <row r="71" spans="2:8">
      <c r="B71" s="102" t="s">
        <v>212</v>
      </c>
      <c r="C71" s="86" t="s">
        <v>85</v>
      </c>
      <c r="D71" s="86"/>
      <c r="E71" s="86"/>
      <c r="F71" s="86"/>
      <c r="G71" s="100">
        <v>46614</v>
      </c>
      <c r="H71" s="88"/>
    </row>
    <row r="72" spans="2:8">
      <c r="B72" s="102" t="s">
        <v>394</v>
      </c>
      <c r="C72" s="86" t="s">
        <v>85</v>
      </c>
      <c r="D72" s="86"/>
      <c r="E72" s="86"/>
      <c r="F72" s="86"/>
      <c r="G72" s="100">
        <v>46614</v>
      </c>
      <c r="H72" s="88"/>
    </row>
    <row r="73" spans="2:8">
      <c r="B73" s="102" t="s">
        <v>2971</v>
      </c>
      <c r="C73" s="86" t="s">
        <v>85</v>
      </c>
      <c r="D73" s="86"/>
      <c r="E73" s="86"/>
      <c r="F73" s="86"/>
      <c r="G73" s="100">
        <v>46614</v>
      </c>
      <c r="H73" s="88"/>
    </row>
    <row r="74" spans="2:8">
      <c r="B74" s="102" t="s">
        <v>408</v>
      </c>
      <c r="C74" s="86" t="s">
        <v>85</v>
      </c>
      <c r="D74" s="86"/>
      <c r="E74" s="86"/>
      <c r="F74" s="86"/>
      <c r="G74" s="100">
        <v>46614</v>
      </c>
      <c r="H74" s="88"/>
    </row>
    <row r="75" spans="2:8">
      <c r="B75" s="102" t="s">
        <v>3641</v>
      </c>
      <c r="C75" s="86" t="s">
        <v>85</v>
      </c>
      <c r="D75" s="86"/>
      <c r="E75" s="86"/>
      <c r="F75" s="86"/>
      <c r="G75" s="100">
        <v>46614</v>
      </c>
      <c r="H75" s="88"/>
    </row>
    <row r="76" spans="2:8">
      <c r="B76" s="78" t="s">
        <v>3642</v>
      </c>
      <c r="C76" s="86" t="s">
        <v>85</v>
      </c>
      <c r="D76" s="86"/>
      <c r="E76" s="86"/>
      <c r="F76" s="86"/>
      <c r="G76" s="100">
        <v>46614</v>
      </c>
      <c r="H76" s="88"/>
    </row>
    <row r="77" spans="2:8">
      <c r="B77" s="78" t="s">
        <v>3643</v>
      </c>
      <c r="C77" s="86" t="s">
        <v>85</v>
      </c>
      <c r="D77" s="86"/>
      <c r="E77" s="86"/>
      <c r="F77" s="86"/>
      <c r="G77" s="100">
        <v>46614</v>
      </c>
      <c r="H77" s="88"/>
    </row>
    <row r="78" spans="2:8">
      <c r="B78" s="78" t="s">
        <v>1276</v>
      </c>
      <c r="C78" s="86" t="s">
        <v>85</v>
      </c>
      <c r="D78" s="86"/>
      <c r="E78" s="86"/>
      <c r="F78" s="86"/>
      <c r="G78" s="100">
        <v>46614</v>
      </c>
      <c r="H78" s="88"/>
    </row>
    <row r="79" spans="2:8">
      <c r="B79" s="78" t="s">
        <v>2272</v>
      </c>
      <c r="C79" s="86" t="s">
        <v>85</v>
      </c>
      <c r="D79" s="86"/>
      <c r="E79" s="86"/>
      <c r="F79" s="86"/>
      <c r="G79" s="100">
        <v>46614</v>
      </c>
      <c r="H79" s="88"/>
    </row>
    <row r="80" spans="2:8">
      <c r="B80" s="78" t="s">
        <v>3644</v>
      </c>
      <c r="C80" s="86" t="s">
        <v>85</v>
      </c>
      <c r="D80" s="86"/>
      <c r="E80" s="86"/>
      <c r="F80" s="86"/>
      <c r="G80" s="100">
        <v>46614</v>
      </c>
      <c r="H80" s="88"/>
    </row>
    <row r="81" spans="2:8">
      <c r="B81" s="78" t="s">
        <v>3645</v>
      </c>
      <c r="C81" s="86" t="s">
        <v>85</v>
      </c>
      <c r="D81" s="86"/>
      <c r="E81" s="86"/>
      <c r="F81" s="86"/>
      <c r="G81" s="100">
        <v>46614</v>
      </c>
      <c r="H81" s="88"/>
    </row>
    <row r="82" spans="2:8">
      <c r="B82" s="78" t="s">
        <v>114</v>
      </c>
      <c r="C82" s="86" t="s">
        <v>85</v>
      </c>
      <c r="D82" s="86"/>
      <c r="E82" s="86"/>
      <c r="F82" s="86"/>
      <c r="G82" s="100">
        <v>46614</v>
      </c>
      <c r="H82" s="88"/>
    </row>
    <row r="83" spans="2:8">
      <c r="B83" s="78" t="s">
        <v>703</v>
      </c>
      <c r="C83" s="86" t="s">
        <v>85</v>
      </c>
      <c r="D83" s="86"/>
      <c r="E83" s="86"/>
      <c r="F83" s="86"/>
      <c r="G83" s="100">
        <v>46614</v>
      </c>
      <c r="H83" s="88"/>
    </row>
    <row r="84" spans="2:8">
      <c r="B84" s="78" t="s">
        <v>3646</v>
      </c>
      <c r="C84" s="86" t="s">
        <v>85</v>
      </c>
      <c r="D84" s="86"/>
      <c r="E84" s="86"/>
      <c r="F84" s="86"/>
      <c r="G84" s="100">
        <v>46614</v>
      </c>
      <c r="H84" s="88"/>
    </row>
    <row r="85" spans="2:8">
      <c r="B85" s="78" t="s">
        <v>3145</v>
      </c>
      <c r="C85" s="86" t="s">
        <v>157</v>
      </c>
      <c r="D85" s="86"/>
      <c r="E85" s="86"/>
      <c r="F85" s="86"/>
      <c r="G85" s="100">
        <v>46614</v>
      </c>
      <c r="H85" s="88"/>
    </row>
    <row r="86" spans="2:8">
      <c r="B86" s="102" t="s">
        <v>3653</v>
      </c>
      <c r="C86" s="86" t="s">
        <v>85</v>
      </c>
      <c r="D86" s="86"/>
      <c r="E86" s="86"/>
      <c r="F86" s="86"/>
      <c r="G86" s="100">
        <v>46614</v>
      </c>
      <c r="H86" s="88"/>
    </row>
    <row r="87" spans="2:8">
      <c r="B87" s="102" t="s">
        <v>3654</v>
      </c>
      <c r="C87" s="86" t="s">
        <v>85</v>
      </c>
      <c r="D87" s="86"/>
      <c r="E87" s="86"/>
      <c r="F87" s="86"/>
      <c r="G87" s="100">
        <v>46614</v>
      </c>
      <c r="H87" s="88"/>
    </row>
  </sheetData>
  <mergeCells count="1">
    <mergeCell ref="B1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1DCF064A99D441887C557583945FE2" ma:contentTypeVersion="12" ma:contentTypeDescription="Create a new document." ma:contentTypeScope="" ma:versionID="1503b9b205337d75aa5f767cc62a7702">
  <xsd:schema xmlns:xsd="http://www.w3.org/2001/XMLSchema" xmlns:xs="http://www.w3.org/2001/XMLSchema" xmlns:p="http://schemas.microsoft.com/office/2006/metadata/properties" xmlns:ns2="b65375f3-1c6a-4efc-a0ff-b5cb5b57e446" xmlns:ns3="31bae7fc-a932-48d2-a4fd-52f4a9d31701" targetNamespace="http://schemas.microsoft.com/office/2006/metadata/properties" ma:root="true" ma:fieldsID="21ad5753573771d6f3ee7676f6ebd6fe" ns2:_="" ns3:_="">
    <xsd:import namespace="b65375f3-1c6a-4efc-a0ff-b5cb5b57e446"/>
    <xsd:import namespace="31bae7fc-a932-48d2-a4fd-52f4a9d31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375f3-1c6a-4efc-a0ff-b5cb5b57e4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d3a5857-6af6-4703-b05b-a237cc2ed3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ae7fc-a932-48d2-a4fd-52f4a9d3170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5f931b9-0e5f-48f3-a006-78b29223bd37}" ma:internalName="TaxCatchAll" ma:showField="CatchAllData" ma:web="31bae7fc-a932-48d2-a4fd-52f4a9d31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bae7fc-a932-48d2-a4fd-52f4a9d31701" xsi:nil="true"/>
    <lcf76f155ced4ddcb4097134ff3c332f xmlns="b65375f3-1c6a-4efc-a0ff-b5cb5b57e4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2A854F-E90C-42CB-BE91-91B55EB66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5375f3-1c6a-4efc-a0ff-b5cb5b57e446"/>
    <ds:schemaRef ds:uri="31bae7fc-a932-48d2-a4fd-52f4a9d31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213A31-2B31-43B0-886F-F2548DB22B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A19C15-9118-45F6-8F2F-41B49A074675}">
  <ds:schemaRefs>
    <ds:schemaRef ds:uri="http://schemas.microsoft.com/office/infopath/2007/PartnerControls"/>
    <ds:schemaRef ds:uri="http://schemas.openxmlformats.org/package/2006/metadata/core-properties"/>
    <ds:schemaRef ds:uri="b65375f3-1c6a-4efc-a0ff-b5cb5b57e446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31bae7fc-a932-48d2-a4fd-52f4a9d3170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STATUS</vt:lpstr>
      <vt:lpstr>MASTER LIST</vt:lpstr>
      <vt:lpstr>CODES OF CUSTOMERS</vt:lpstr>
      <vt:lpstr>list of outsource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Rolando Villarreal</dc:creator>
  <cp:keywords/>
  <dc:description/>
  <cp:lastModifiedBy>Santiago Garcia</cp:lastModifiedBy>
  <cp:revision/>
  <dcterms:created xsi:type="dcterms:W3CDTF">2021-08-24T21:53:57Z</dcterms:created>
  <dcterms:modified xsi:type="dcterms:W3CDTF">2025-12-17T22:39:07Z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0x010100151DCF064A99D441887C557583945FE2</vt:lpwstr>
  </property>
  <property fmtid="{D5CDD505-2E9C-101B-9397-08002B2CF9AE}" pid="3" name="Order">
    <vt:r8>6777800</vt:r8>
  </property>
  <property fmtid="{D5CDD505-2E9C-101B-9397-08002B2CF9AE}" pid="4" name="ComplianceAssetId">
    <vt:lpwstr/>
  </property>
  <property fmtid="{D5CDD505-2E9C-101B-9397-08002B2CF9AE}" pid="5" name="_activity">
    <vt:lpwstr>{"FileActivityType":"6","FileActivityTimeStamp":"2024-01-26T16:04:58.827Z","FileActivityUsersOnPage":[{"DisplayName":"Rolando Villarreal","Id":"rolando@eurotechdirect.com"}],"FileActivityNavigationId":null}</vt:lpwstr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