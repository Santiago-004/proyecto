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y\Downloads\"/>
    </mc:Choice>
  </mc:AlternateContent>
  <xr:revisionPtr revIDLastSave="0" documentId="13_ncr:1_{92332EF4-03C1-4329-B60F-C846608CB61E}" xr6:coauthVersionLast="47" xr6:coauthVersionMax="47" xr10:uidLastSave="{00000000-0000-0000-0000-000000000000}"/>
  <bookViews>
    <workbookView xWindow="-110" yWindow="-110" windowWidth="19420" windowHeight="11500" xr2:uid="{8FD47F59-1A62-435E-B308-072C3B0AEB4E}"/>
  </bookViews>
  <sheets>
    <sheet name="PPAPs 2024" sheetId="2" r:id="rId1"/>
  </sheets>
  <definedNames>
    <definedName name="_xlnm._FilterDatabase" localSheetId="0" hidden="1">'PPAPs 2024'!$A$2:$AF$168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1" i="2" l="1"/>
  <c r="T101" i="2" s="1"/>
  <c r="S162" i="2" l="1"/>
  <c r="T162" i="2" s="1"/>
  <c r="S163" i="2"/>
  <c r="T163" i="2" s="1"/>
  <c r="S164" i="2"/>
  <c r="T164" i="2" s="1"/>
  <c r="S144" i="2"/>
  <c r="T144" i="2" s="1"/>
  <c r="S145" i="2"/>
  <c r="T145" i="2" s="1"/>
  <c r="S148" i="2"/>
  <c r="T148" i="2" s="1"/>
  <c r="S149" i="2"/>
  <c r="T149" i="2" s="1"/>
  <c r="S150" i="2"/>
  <c r="T150" i="2" s="1"/>
  <c r="S151" i="2"/>
  <c r="T151" i="2" s="1"/>
  <c r="S152" i="2"/>
  <c r="T152" i="2" s="1"/>
  <c r="S153" i="2"/>
  <c r="T153" i="2" s="1"/>
  <c r="S154" i="2"/>
  <c r="T154" i="2" s="1"/>
  <c r="S155" i="2"/>
  <c r="T155" i="2" s="1"/>
  <c r="S156" i="2"/>
  <c r="T156" i="2" s="1"/>
  <c r="S157" i="2"/>
  <c r="T157" i="2" s="1"/>
  <c r="S158" i="2"/>
  <c r="T158" i="2" s="1"/>
  <c r="S159" i="2"/>
  <c r="T159" i="2" s="1"/>
  <c r="S160" i="2"/>
  <c r="T160" i="2" s="1"/>
  <c r="S161" i="2"/>
  <c r="T161" i="2" s="1"/>
  <c r="S138" i="2"/>
  <c r="T138" i="2" s="1"/>
  <c r="S130" i="2"/>
  <c r="T130" i="2" s="1"/>
  <c r="S131" i="2"/>
  <c r="T131" i="2" s="1"/>
  <c r="S132" i="2"/>
  <c r="T132" i="2" s="1"/>
  <c r="S133" i="2"/>
  <c r="T133" i="2" s="1"/>
  <c r="S134" i="2"/>
  <c r="T134" i="2" s="1"/>
  <c r="S135" i="2"/>
  <c r="T135" i="2" s="1"/>
  <c r="S136" i="2"/>
  <c r="T136" i="2" s="1"/>
  <c r="S137" i="2"/>
  <c r="T137" i="2" s="1"/>
  <c r="S129" i="2"/>
  <c r="T129" i="2" s="1"/>
  <c r="S118" i="2"/>
  <c r="T118" i="2" s="1"/>
  <c r="S119" i="2"/>
  <c r="T119" i="2" s="1"/>
  <c r="S120" i="2"/>
  <c r="T120" i="2" s="1"/>
  <c r="S121" i="2"/>
  <c r="T121" i="2" s="1"/>
  <c r="S122" i="2"/>
  <c r="T122" i="2" s="1"/>
  <c r="S123" i="2"/>
  <c r="T123" i="2" s="1"/>
  <c r="S124" i="2"/>
  <c r="T124" i="2" s="1"/>
  <c r="S125" i="2"/>
  <c r="T125" i="2" s="1"/>
  <c r="S126" i="2"/>
  <c r="T126" i="2" s="1"/>
  <c r="S127" i="2"/>
  <c r="T127" i="2" s="1"/>
  <c r="S128" i="2"/>
  <c r="T128" i="2" s="1"/>
  <c r="S117" i="2"/>
  <c r="T117" i="2" s="1"/>
  <c r="S115" i="2"/>
  <c r="T115" i="2" s="1"/>
  <c r="S113" i="2"/>
  <c r="T113" i="2" s="1"/>
  <c r="S114" i="2"/>
  <c r="T114" i="2" s="1"/>
  <c r="S112" i="2"/>
  <c r="T112" i="2" s="1"/>
  <c r="S111" i="2"/>
  <c r="T111" i="2" s="1"/>
  <c r="S108" i="2"/>
  <c r="T108" i="2" s="1"/>
  <c r="S107" i="2"/>
  <c r="T107" i="2" s="1"/>
  <c r="S106" i="2"/>
  <c r="T106" i="2" s="1"/>
  <c r="S103" i="2"/>
  <c r="T103" i="2" s="1"/>
  <c r="S104" i="2"/>
  <c r="T104" i="2" s="1"/>
  <c r="S105" i="2"/>
  <c r="T105" i="2" s="1"/>
  <c r="S102" i="2"/>
  <c r="T102" i="2" s="1"/>
  <c r="S98" i="2"/>
  <c r="T98" i="2" s="1"/>
  <c r="S99" i="2"/>
  <c r="T99" i="2" s="1"/>
  <c r="S100" i="2"/>
  <c r="T100" i="2" s="1"/>
  <c r="S97" i="2"/>
  <c r="T97" i="2" s="1"/>
  <c r="S95" i="2"/>
  <c r="T95" i="2" s="1"/>
  <c r="S87" i="2"/>
  <c r="T87" i="2" s="1"/>
  <c r="S88" i="2"/>
  <c r="T88" i="2" s="1"/>
  <c r="S89" i="2"/>
  <c r="T89" i="2" s="1"/>
  <c r="S90" i="2"/>
  <c r="T90" i="2" s="1"/>
  <c r="S91" i="2"/>
  <c r="T91" i="2" s="1"/>
  <c r="S93" i="2"/>
  <c r="T93" i="2" s="1"/>
  <c r="S94" i="2"/>
  <c r="T94" i="2" s="1"/>
  <c r="S84" i="2"/>
  <c r="T84" i="2" s="1"/>
  <c r="S78" i="2"/>
  <c r="T78" i="2" s="1"/>
  <c r="S71" i="2"/>
  <c r="T71" i="2" s="1"/>
  <c r="S72" i="2"/>
  <c r="T72" i="2" s="1"/>
  <c r="S73" i="2"/>
  <c r="T73" i="2" s="1"/>
  <c r="S74" i="2"/>
  <c r="T74" i="2" s="1"/>
  <c r="S75" i="2"/>
  <c r="T75" i="2" s="1"/>
  <c r="S76" i="2"/>
  <c r="T76" i="2" s="1"/>
  <c r="S70" i="2"/>
  <c r="T70" i="2" s="1"/>
  <c r="S69" i="2"/>
  <c r="T69" i="2" s="1"/>
  <c r="S68" i="2"/>
  <c r="T68" i="2" s="1"/>
  <c r="S67" i="2"/>
  <c r="T67" i="2" s="1"/>
  <c r="S63" i="2"/>
  <c r="T63" i="2" s="1"/>
  <c r="S64" i="2"/>
  <c r="T64" i="2" s="1"/>
  <c r="S65" i="2"/>
  <c r="T65" i="2" s="1"/>
  <c r="S66" i="2"/>
  <c r="T66" i="2" s="1"/>
  <c r="S62" i="2"/>
  <c r="T62" i="2" s="1"/>
  <c r="S59" i="2"/>
  <c r="T59" i="2" s="1"/>
  <c r="S60" i="2"/>
  <c r="T60" i="2" s="1"/>
  <c r="S61" i="2"/>
  <c r="T61" i="2" s="1"/>
  <c r="S55" i="2"/>
  <c r="T55" i="2" s="1"/>
  <c r="S54" i="2"/>
  <c r="T54" i="2" s="1"/>
  <c r="S39" i="2"/>
  <c r="T39" i="2" s="1"/>
  <c r="S37" i="2"/>
  <c r="T37" i="2" s="1"/>
  <c r="S41" i="2"/>
  <c r="T41" i="2" s="1"/>
  <c r="S42" i="2"/>
  <c r="T42" i="2" s="1"/>
  <c r="S43" i="2"/>
  <c r="T43" i="2" s="1"/>
  <c r="S44" i="2"/>
  <c r="T44" i="2" s="1"/>
  <c r="S45" i="2"/>
  <c r="T45" i="2" s="1"/>
  <c r="S46" i="2"/>
  <c r="T46" i="2" s="1"/>
  <c r="S47" i="2"/>
  <c r="T47" i="2" s="1"/>
  <c r="S48" i="2"/>
  <c r="T48" i="2" s="1"/>
  <c r="S49" i="2"/>
  <c r="T49" i="2" s="1"/>
  <c r="S50" i="2"/>
  <c r="T50" i="2" s="1"/>
  <c r="S51" i="2"/>
  <c r="T51" i="2" s="1"/>
  <c r="S52" i="2"/>
  <c r="T52" i="2" s="1"/>
  <c r="S30" i="2"/>
  <c r="T30" i="2" s="1"/>
  <c r="S31" i="2"/>
  <c r="T31" i="2" s="1"/>
  <c r="S29" i="2"/>
  <c r="T29" i="2" s="1"/>
  <c r="S24" i="2"/>
  <c r="T24" i="2" s="1"/>
  <c r="S23" i="2"/>
  <c r="T23" i="2" s="1"/>
  <c r="S22" i="2"/>
  <c r="T22" i="2" s="1"/>
  <c r="S21" i="2"/>
  <c r="T21" i="2" s="1"/>
  <c r="S19" i="2"/>
  <c r="T19" i="2" s="1"/>
  <c r="S10" i="2"/>
  <c r="T10" i="2" s="1"/>
  <c r="S11" i="2"/>
  <c r="T11" i="2" s="1"/>
  <c r="S12" i="2"/>
  <c r="T12" i="2" s="1"/>
  <c r="S13" i="2"/>
  <c r="T13" i="2" s="1"/>
  <c r="S14" i="2"/>
  <c r="T14" i="2" s="1"/>
  <c r="S15" i="2"/>
  <c r="T15" i="2" s="1"/>
  <c r="S16" i="2"/>
  <c r="T16" i="2" s="1"/>
  <c r="S17" i="2"/>
  <c r="T17" i="2" s="1"/>
  <c r="S18" i="2"/>
  <c r="T18" i="2" s="1"/>
  <c r="S9" i="2"/>
  <c r="T9" i="2" s="1"/>
  <c r="S6" i="2"/>
  <c r="T6" i="2" s="1"/>
  <c r="S5" i="2"/>
  <c r="T5" i="2" s="1"/>
  <c r="S3" i="2"/>
  <c r="T3" i="2" s="1"/>
  <c r="S4" i="2"/>
  <c r="T4" i="2" s="1"/>
</calcChain>
</file>

<file path=xl/sharedStrings.xml><?xml version="1.0" encoding="utf-8"?>
<sst xmlns="http://schemas.openxmlformats.org/spreadsheetml/2006/main" count="1211" uniqueCount="324">
  <si>
    <t>STATUS</t>
  </si>
  <si>
    <t>CUSTOMER</t>
  </si>
  <si>
    <t>Contact</t>
  </si>
  <si>
    <t>OEM</t>
  </si>
  <si>
    <t>Country</t>
  </si>
  <si>
    <t>PPAP Level</t>
  </si>
  <si>
    <t>SAP No.</t>
  </si>
  <si>
    <t>Customer Part No.</t>
  </si>
  <si>
    <t>TAPE</t>
  </si>
  <si>
    <t>Width (MM)</t>
  </si>
  <si>
    <t>Length (M)</t>
  </si>
  <si>
    <t>COLOR</t>
  </si>
  <si>
    <t>IMDS ID no.</t>
  </si>
  <si>
    <t>INITIAL</t>
  </si>
  <si>
    <t>1) Returned from CTC
2) Sent to Customer</t>
  </si>
  <si>
    <t>1) PSW returned from Customer signed
2) Sent to CTC</t>
  </si>
  <si>
    <t>Renewal 
Date</t>
  </si>
  <si>
    <t>Sent to 
Customer</t>
  </si>
  <si>
    <t>1) PSW returned from Customer signed</t>
  </si>
  <si>
    <t>When to send Request to CTC</t>
  </si>
  <si>
    <t>A&amp;A</t>
  </si>
  <si>
    <t>Mario Valero</t>
  </si>
  <si>
    <t>USA</t>
  </si>
  <si>
    <t>BLK</t>
  </si>
  <si>
    <t>AGM Automotive/Flex</t>
  </si>
  <si>
    <t>Hortencia Ferrer</t>
  </si>
  <si>
    <t>GM</t>
  </si>
  <si>
    <t>Costa Rica</t>
  </si>
  <si>
    <t>F-TPE-1184</t>
  </si>
  <si>
    <t>8555X</t>
  </si>
  <si>
    <t>PS</t>
  </si>
  <si>
    <t>Pendind Signature</t>
  </si>
  <si>
    <t>American Furukawa Inc.</t>
  </si>
  <si>
    <t>Flavio Romero</t>
  </si>
  <si>
    <t>Stelliantis</t>
  </si>
  <si>
    <t>MEX</t>
  </si>
  <si>
    <t>RA0564</t>
  </si>
  <si>
    <t>S</t>
  </si>
  <si>
    <t>Signed PSW</t>
  </si>
  <si>
    <t>Amphenol FCI/TCS</t>
  </si>
  <si>
    <t>Miguel Hernández</t>
  </si>
  <si>
    <t>Fluence</t>
  </si>
  <si>
    <t>10164237-001</t>
  </si>
  <si>
    <t>Asked CTC</t>
  </si>
  <si>
    <t>Rivian</t>
  </si>
  <si>
    <t>10173694-001</t>
  </si>
  <si>
    <t>837X</t>
  </si>
  <si>
    <t>ORG</t>
  </si>
  <si>
    <t>10173843-001</t>
  </si>
  <si>
    <t>ARaymond Manufacturing Center North America Inc.</t>
  </si>
  <si>
    <t>Mike Ryles</t>
  </si>
  <si>
    <t>BLU</t>
  </si>
  <si>
    <t>AutoKabel of North America</t>
  </si>
  <si>
    <t>Anahi Alcaraz</t>
  </si>
  <si>
    <t>839X</t>
  </si>
  <si>
    <t>MERCEDES</t>
  </si>
  <si>
    <t>1238X</t>
  </si>
  <si>
    <t>SLV</t>
  </si>
  <si>
    <t>8375X</t>
  </si>
  <si>
    <t>Cynthia Heras</t>
  </si>
  <si>
    <t>834MPX</t>
  </si>
  <si>
    <t>DTNA</t>
  </si>
  <si>
    <t>RED</t>
  </si>
  <si>
    <t>AUDI</t>
  </si>
  <si>
    <t>832MPX</t>
  </si>
  <si>
    <t>1288X</t>
  </si>
  <si>
    <t>FORD</t>
  </si>
  <si>
    <t>Emily Gray</t>
  </si>
  <si>
    <t>000686S101</t>
  </si>
  <si>
    <t>Claudia Estrada</t>
  </si>
  <si>
    <t>TF-CGD-BAA-BK / 57028</t>
  </si>
  <si>
    <t>AUDI/VW</t>
  </si>
  <si>
    <t>833MPX</t>
  </si>
  <si>
    <t>Bizlink</t>
  </si>
  <si>
    <t>Silvia Gonzalez</t>
  </si>
  <si>
    <t>Tesla</t>
  </si>
  <si>
    <t>122G0-003092-01</t>
  </si>
  <si>
    <t>835X</t>
  </si>
  <si>
    <t>Polaris</t>
  </si>
  <si>
    <t>122G0-000937-01</t>
  </si>
  <si>
    <t>122G0-003397-01</t>
  </si>
  <si>
    <t>837X RT</t>
  </si>
  <si>
    <t>Commercial Vehicle Group</t>
  </si>
  <si>
    <t>Itayetzy Vicentin</t>
  </si>
  <si>
    <t>CNH</t>
  </si>
  <si>
    <t>WHT</t>
  </si>
  <si>
    <t>CTS</t>
  </si>
  <si>
    <t>Pedro Hernandez</t>
  </si>
  <si>
    <t>8310SE</t>
  </si>
  <si>
    <t>Octavio Castillo</t>
  </si>
  <si>
    <t>810-88-008</t>
  </si>
  <si>
    <t>Stelliantis/GM</t>
  </si>
  <si>
    <t>810-88-004</t>
  </si>
  <si>
    <t>Dortec Industries</t>
  </si>
  <si>
    <t>Carrie Curry</t>
  </si>
  <si>
    <t>BMW</t>
  </si>
  <si>
    <t>3042004D</t>
  </si>
  <si>
    <t>E&amp;K</t>
  </si>
  <si>
    <t>Carlos Diaz</t>
  </si>
  <si>
    <t>834-MPX</t>
  </si>
  <si>
    <t>Electrical Components International</t>
  </si>
  <si>
    <t>Gabriela Talamantes</t>
  </si>
  <si>
    <t>HYSTER</t>
  </si>
  <si>
    <t>TAPE42</t>
  </si>
  <si>
    <t>Nancy Garcia</t>
  </si>
  <si>
    <t>Whirlpool</t>
  </si>
  <si>
    <t>856SLX</t>
  </si>
  <si>
    <t>TAPE19Y</t>
  </si>
  <si>
    <t>YEL</t>
  </si>
  <si>
    <t>TAPE252</t>
  </si>
  <si>
    <t>832MPX RT</t>
  </si>
  <si>
    <t>Empire Electronics</t>
  </si>
  <si>
    <t>Larry Enamorado</t>
  </si>
  <si>
    <t>FORD U540/GM R233</t>
  </si>
  <si>
    <t>839-9WHT</t>
  </si>
  <si>
    <t>NISSAN L02D</t>
  </si>
  <si>
    <t>8310SE-19-25-BLK</t>
  </si>
  <si>
    <t>VM/NISSAN/GM/FORD</t>
  </si>
  <si>
    <t>Coroplast 512</t>
  </si>
  <si>
    <t>FORD CD539</t>
  </si>
  <si>
    <t>8575X-19-5-BLK</t>
  </si>
  <si>
    <t>8575X</t>
  </si>
  <si>
    <t>FORD CX727/Toyota 780B</t>
  </si>
  <si>
    <t>Coroplast 839</t>
  </si>
  <si>
    <t>GM/FORD</t>
  </si>
  <si>
    <t>839-19-25-BLK</t>
  </si>
  <si>
    <t>Ford</t>
  </si>
  <si>
    <t>512-19-25-WHT</t>
  </si>
  <si>
    <t>GM/Honda R233</t>
  </si>
  <si>
    <t>832MPX-RT</t>
  </si>
  <si>
    <t>505-19-25-RED</t>
  </si>
  <si>
    <t>505-19-25-BLU</t>
  </si>
  <si>
    <t>Erich Jaeger</t>
  </si>
  <si>
    <t>José García</t>
  </si>
  <si>
    <t>057225</t>
  </si>
  <si>
    <t>651 MSX PVC</t>
  </si>
  <si>
    <t>053346</t>
  </si>
  <si>
    <t>Falcon Lakeside Manufacturing,Inc</t>
  </si>
  <si>
    <t>Jennifer Sill</t>
  </si>
  <si>
    <t>AVY47654</t>
  </si>
  <si>
    <t>Iris Terrazas</t>
  </si>
  <si>
    <t>ZRM-982368-09</t>
  </si>
  <si>
    <t>ZRM-982368-10</t>
  </si>
  <si>
    <t>FORD/GM</t>
  </si>
  <si>
    <t>ZRM-98855-10</t>
  </si>
  <si>
    <t>Flextronics</t>
  </si>
  <si>
    <t>Isidro Olea</t>
  </si>
  <si>
    <t>707597-19-00</t>
  </si>
  <si>
    <t>837X-19-BK</t>
  </si>
  <si>
    <t>648145 19 99</t>
  </si>
  <si>
    <t>648117 19 99</t>
  </si>
  <si>
    <t>642268 19 00</t>
  </si>
  <si>
    <t>701490 19 00</t>
  </si>
  <si>
    <t>651MSX</t>
  </si>
  <si>
    <t>703086 19 00</t>
  </si>
  <si>
    <t>880X</t>
  </si>
  <si>
    <t>710031-19-00</t>
  </si>
  <si>
    <t>Michael Montoya</t>
  </si>
  <si>
    <t>705492 12 99</t>
  </si>
  <si>
    <t>624279 25 00</t>
  </si>
  <si>
    <t>648145 19 00</t>
  </si>
  <si>
    <t>Stellantis</t>
  </si>
  <si>
    <t>709977-19-0016</t>
  </si>
  <si>
    <t>Fraenkische USA</t>
  </si>
  <si>
    <t>Bertie Baxter / Luis Peinado</t>
  </si>
  <si>
    <t>31/11/20</t>
  </si>
  <si>
    <t>Edgar Plascencia</t>
  </si>
  <si>
    <t>49070303AA</t>
  </si>
  <si>
    <t>49070304AA</t>
  </si>
  <si>
    <t>Hanon System</t>
  </si>
  <si>
    <t>Mia Hately</t>
  </si>
  <si>
    <t>Daimler/Mercedes</t>
  </si>
  <si>
    <t>RMTP00014</t>
  </si>
  <si>
    <t>Hollingsworth</t>
  </si>
  <si>
    <t>Fawaz Almaweri</t>
  </si>
  <si>
    <t>KB3T1A303BA</t>
  </si>
  <si>
    <t>Hutchinson</t>
  </si>
  <si>
    <t>Jose Gonzalez</t>
  </si>
  <si>
    <t>510199A</t>
  </si>
  <si>
    <t>Intercomp</t>
  </si>
  <si>
    <t>Jesus Romero</t>
  </si>
  <si>
    <t>TE Connectivity</t>
  </si>
  <si>
    <t>2308985-1</t>
  </si>
  <si>
    <t>ITW Automotive</t>
  </si>
  <si>
    <t>Alejandro Blanco</t>
  </si>
  <si>
    <t>M1600319A</t>
  </si>
  <si>
    <t>Julian Electric</t>
  </si>
  <si>
    <t>David Gutiérrez</t>
  </si>
  <si>
    <t>832-MPX</t>
  </si>
  <si>
    <t>Javier Garcia</t>
  </si>
  <si>
    <t>C16-00</t>
  </si>
  <si>
    <t>837X-25-25BLK</t>
  </si>
  <si>
    <t>Kongsberg Automotive</t>
  </si>
  <si>
    <t>Diana Lopez</t>
  </si>
  <si>
    <t>Volvo</t>
  </si>
  <si>
    <t>RA1001288734</t>
  </si>
  <si>
    <t>317 PVC</t>
  </si>
  <si>
    <t>GRN</t>
  </si>
  <si>
    <t>RA1001288735</t>
  </si>
  <si>
    <t>RA1001288736</t>
  </si>
  <si>
    <t>VIO</t>
  </si>
  <si>
    <t>RA1001288737</t>
  </si>
  <si>
    <t>Christopher Jackson</t>
  </si>
  <si>
    <t>Lisi Automotive</t>
  </si>
  <si>
    <t>Carlos de Lejia</t>
  </si>
  <si>
    <t>COMP-030</t>
  </si>
  <si>
    <t>8515X</t>
  </si>
  <si>
    <t>Littelfuse Inc, PVB</t>
  </si>
  <si>
    <t>Katia Perez</t>
  </si>
  <si>
    <t>H84847</t>
  </si>
  <si>
    <t>H38655</t>
  </si>
  <si>
    <t>Autoliv/Volvo</t>
  </si>
  <si>
    <t>A100300430</t>
  </si>
  <si>
    <t>Gerardo Ballesteros</t>
  </si>
  <si>
    <t>A100300440</t>
  </si>
  <si>
    <t>Tesla/K12A Highland</t>
  </si>
  <si>
    <t>24029-06-01</t>
  </si>
  <si>
    <t>Magna</t>
  </si>
  <si>
    <t>Marcos Soto</t>
  </si>
  <si>
    <t>8550X</t>
  </si>
  <si>
    <t>Pak-Rite Industries</t>
  </si>
  <si>
    <t>Krystal Watkins</t>
  </si>
  <si>
    <t>KB3T-1A303-BA</t>
  </si>
  <si>
    <t>PAS Appliance Systems SA de CV</t>
  </si>
  <si>
    <t>Saul Arellano</t>
  </si>
  <si>
    <t>PE 50112832</t>
  </si>
  <si>
    <t>Prettl</t>
  </si>
  <si>
    <t>Yajaira Jimenez</t>
  </si>
  <si>
    <t>Rosenberger Mexico</t>
  </si>
  <si>
    <t>Osvaldo Lopez</t>
  </si>
  <si>
    <t>Coroplast tape 8520</t>
  </si>
  <si>
    <t>Roush</t>
  </si>
  <si>
    <t>Lindsay Fisher</t>
  </si>
  <si>
    <t>13-396-0093</t>
  </si>
  <si>
    <t>SEWS</t>
  </si>
  <si>
    <t>Araceli Ortiz</t>
  </si>
  <si>
    <t>Ivette Delgado</t>
  </si>
  <si>
    <t>F/S</t>
  </si>
  <si>
    <t>837XRT</t>
  </si>
  <si>
    <t>Pablo Legorreta</t>
  </si>
  <si>
    <t>Cesar Javier</t>
  </si>
  <si>
    <t>David Gonzalez</t>
  </si>
  <si>
    <t>St. Clair Technologies</t>
  </si>
  <si>
    <t>Cinthya Perez</t>
  </si>
  <si>
    <t>M1185</t>
  </si>
  <si>
    <t>M1372-BE</t>
  </si>
  <si>
    <t>Caterpillar</t>
  </si>
  <si>
    <t>M1514</t>
  </si>
  <si>
    <t>Telamon</t>
  </si>
  <si>
    <t>AUDI/BMW</t>
  </si>
  <si>
    <t>839-12Black</t>
  </si>
  <si>
    <t>Holly Argast</t>
  </si>
  <si>
    <t>317-19BLACK</t>
  </si>
  <si>
    <t>835X-9-25BLK</t>
  </si>
  <si>
    <t>8550-19Black</t>
  </si>
  <si>
    <t>8550-19White</t>
  </si>
  <si>
    <t>HONDA</t>
  </si>
  <si>
    <t>8551-19BLACK</t>
  </si>
  <si>
    <t>835X-19BLACK</t>
  </si>
  <si>
    <t>880-19-15-BLK</t>
  </si>
  <si>
    <t>8551-9BLACK</t>
  </si>
  <si>
    <t>MAZDA</t>
  </si>
  <si>
    <t>8550-9WHITE</t>
  </si>
  <si>
    <t>837X-19-25-BLK</t>
  </si>
  <si>
    <t>837X-9-25-BLK</t>
  </si>
  <si>
    <t>NISSAN</t>
  </si>
  <si>
    <t>8551-15BLACK</t>
  </si>
  <si>
    <t>839-9Black</t>
  </si>
  <si>
    <t>Textape</t>
  </si>
  <si>
    <t>Lili Velazquez</t>
  </si>
  <si>
    <t>LANG-MEKRA</t>
  </si>
  <si>
    <t>CHT8551BK-750</t>
  </si>
  <si>
    <t>CHT8550X-25mm</t>
  </si>
  <si>
    <t>R</t>
  </si>
  <si>
    <t>CHT832MPXBK-750</t>
  </si>
  <si>
    <t>Tristone Flowtech Mexico</t>
  </si>
  <si>
    <t>Berenice Baca</t>
  </si>
  <si>
    <t>FCA</t>
  </si>
  <si>
    <t>1000021549A0</t>
  </si>
  <si>
    <t>Lucid Motors</t>
  </si>
  <si>
    <t>1000022195A0</t>
  </si>
  <si>
    <t>CP-TKB0924 / 837X</t>
  </si>
  <si>
    <t>5mm</t>
  </si>
  <si>
    <t>25mm</t>
  </si>
  <si>
    <t>CP-TKB0497 / 880 X-7215</t>
  </si>
  <si>
    <t>CP-TKB0660 / UBW 90760</t>
  </si>
  <si>
    <t>C13-00</t>
  </si>
  <si>
    <t>651 MSX</t>
  </si>
  <si>
    <t>704206OR</t>
  </si>
  <si>
    <t>704206BK</t>
  </si>
  <si>
    <t>Docs para diciembre</t>
  </si>
  <si>
    <t>ya en carpetas correspondiente</t>
  </si>
  <si>
    <t>(solo falta enviar)</t>
  </si>
  <si>
    <t>BRN</t>
  </si>
  <si>
    <t>810-88-003</t>
  </si>
  <si>
    <t>doc ene2025 ya en carpeta</t>
  </si>
  <si>
    <t>704206 25 33</t>
  </si>
  <si>
    <t>ZF</t>
  </si>
  <si>
    <t>34156840A</t>
  </si>
  <si>
    <t>Prysmian Group</t>
  </si>
  <si>
    <t>713349NG</t>
  </si>
  <si>
    <t>Scarleth Benitez</t>
  </si>
  <si>
    <t>8375X-ORANGE</t>
  </si>
  <si>
    <t>MFD</t>
  </si>
  <si>
    <t>F</t>
  </si>
  <si>
    <t>Form sent to CUS</t>
  </si>
  <si>
    <t>Angstrom</t>
  </si>
  <si>
    <t>Cooper Strand</t>
  </si>
  <si>
    <t>Luis Angel Torres</t>
  </si>
  <si>
    <t>110010645A</t>
  </si>
  <si>
    <t>Addair Arenas</t>
  </si>
  <si>
    <t>M1502</t>
  </si>
  <si>
    <t>Voltaira</t>
  </si>
  <si>
    <t>Nancy Dominguez</t>
  </si>
  <si>
    <t>gM</t>
  </si>
  <si>
    <t>Kent Manufacturing Company</t>
  </si>
  <si>
    <t>Cliente "A&amp;A" no esta en la base de datos</t>
  </si>
  <si>
    <t>Cliente "Dortec Industries" no esta en la base de datos</t>
  </si>
  <si>
    <t>Cual CUS es Bizlink - Mexico?</t>
  </si>
  <si>
    <t>No tiene fechas</t>
  </si>
  <si>
    <t>Solo esta el nombre del cliente</t>
  </si>
  <si>
    <t>No hay Customer PN para "317-9-33-WHT"</t>
  </si>
  <si>
    <t>Cliente "Littlefuse" no esta en la base de datos</t>
  </si>
  <si>
    <t>No hay Customer PN para "8550X-12-25-BLK"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</si>
</sst>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9C0006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74">
    <xf numFmtId="0" fontId="0" fillId="0" borderId="0" xfId="0"/>
    <xf numFmtId="0" fontId="0" fillId="0" borderId="0" xfId="0" applyAlignment="1">
      <alignment horizontal="left"/>
    </xf>
    <xf numFmtId="0" fontId="4" fillId="0" borderId="5" xfId="3" applyFont="1" applyFill="1" applyBorder="1" applyAlignment="1">
      <alignment horizontal="center"/>
    </xf>
    <xf numFmtId="0" fontId="5" fillId="0" borderId="0" xfId="0" applyFont="1"/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4" fontId="4" fillId="0" borderId="9" xfId="3" applyNumberFormat="1" applyFont="1" applyFill="1" applyBorder="1"/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1" applyNumberFormat="1" applyFont="1" applyFill="1" applyBorder="1" applyAlignment="1">
      <alignment horizontal="center"/>
    </xf>
    <xf numFmtId="14" fontId="4" fillId="0" borderId="6" xfId="1" applyNumberFormat="1" applyFont="1" applyFill="1" applyBorder="1" applyAlignment="1">
      <alignment horizontal="center"/>
    </xf>
    <xf numFmtId="14" fontId="4" fillId="0" borderId="5" xfId="0" applyNumberFormat="1" applyFont="1" applyBorder="1"/>
    <xf numFmtId="0" fontId="4" fillId="0" borderId="4" xfId="0" applyFont="1" applyBorder="1" applyAlignment="1">
      <alignment horizontal="left"/>
    </xf>
    <xf numFmtId="14" fontId="4" fillId="0" borderId="5" xfId="2" applyNumberFormat="1" applyFont="1" applyFill="1" applyBorder="1"/>
    <xf numFmtId="0" fontId="4" fillId="0" borderId="5" xfId="2" applyFont="1" applyFill="1" applyBorder="1"/>
    <xf numFmtId="0" fontId="4" fillId="0" borderId="8" xfId="0" applyFont="1" applyBorder="1" applyAlignment="1">
      <alignment horizontal="left" vertical="center"/>
    </xf>
    <xf numFmtId="0" fontId="2" fillId="3" borderId="5" xfId="2" applyBorder="1" applyAlignment="1">
      <alignment horizontal="left" vertical="center"/>
    </xf>
    <xf numFmtId="0" fontId="2" fillId="3" borderId="5" xfId="2" applyBorder="1" applyAlignment="1">
      <alignment horizontal="left"/>
    </xf>
    <xf numFmtId="0" fontId="2" fillId="3" borderId="5" xfId="2" applyBorder="1" applyAlignment="1">
      <alignment horizontal="center"/>
    </xf>
    <xf numFmtId="0" fontId="2" fillId="3" borderId="6" xfId="2" applyBorder="1" applyAlignment="1">
      <alignment horizontal="center"/>
    </xf>
    <xf numFmtId="14" fontId="2" fillId="3" borderId="5" xfId="2" applyNumberFormat="1" applyBorder="1" applyAlignment="1">
      <alignment horizontal="center"/>
    </xf>
    <xf numFmtId="14" fontId="2" fillId="3" borderId="9" xfId="2" applyNumberFormat="1" applyBorder="1"/>
    <xf numFmtId="0" fontId="2" fillId="3" borderId="5" xfId="2" applyBorder="1"/>
    <xf numFmtId="14" fontId="2" fillId="3" borderId="5" xfId="2" applyNumberFormat="1" applyBorder="1"/>
    <xf numFmtId="0" fontId="2" fillId="3" borderId="4" xfId="2" applyBorder="1" applyAlignment="1">
      <alignment horizontal="left"/>
    </xf>
    <xf numFmtId="0" fontId="4" fillId="0" borderId="7" xfId="0" applyFont="1" applyBorder="1" applyAlignment="1">
      <alignment horizontal="center"/>
    </xf>
    <xf numFmtId="0" fontId="2" fillId="3" borderId="7" xfId="2" applyBorder="1" applyAlignment="1">
      <alignment horizontal="center"/>
    </xf>
    <xf numFmtId="0" fontId="0" fillId="0" borderId="0" xfId="0" applyAlignment="1">
      <alignment horizontal="center"/>
    </xf>
    <xf numFmtId="14" fontId="2" fillId="3" borderId="6" xfId="2" applyNumberFormat="1" applyBorder="1" applyAlignment="1">
      <alignment horizontal="center"/>
    </xf>
    <xf numFmtId="0" fontId="1" fillId="2" borderId="5" xfId="1" applyBorder="1"/>
    <xf numFmtId="0" fontId="1" fillId="2" borderId="5" xfId="1" applyBorder="1" applyAlignment="1">
      <alignment horizontal="center"/>
    </xf>
    <xf numFmtId="0" fontId="1" fillId="2" borderId="5" xfId="1" applyBorder="1" applyAlignment="1">
      <alignment horizontal="left"/>
    </xf>
    <xf numFmtId="14" fontId="1" fillId="2" borderId="5" xfId="1" applyNumberFormat="1" applyBorder="1" applyAlignment="1">
      <alignment horizontal="center"/>
    </xf>
    <xf numFmtId="14" fontId="2" fillId="3" borderId="5" xfId="2" applyNumberFormat="1" applyBorder="1" applyAlignment="1">
      <alignment horizontal="left"/>
    </xf>
    <xf numFmtId="0" fontId="3" fillId="4" borderId="5" xfId="3" applyBorder="1" applyAlignment="1">
      <alignment horizontal="center"/>
    </xf>
    <xf numFmtId="0" fontId="1" fillId="2" borderId="7" xfId="1" applyBorder="1" applyAlignment="1">
      <alignment horizontal="center"/>
    </xf>
    <xf numFmtId="0" fontId="1" fillId="2" borderId="5" xfId="1" applyBorder="1" applyAlignment="1">
      <alignment horizontal="left" vertical="center"/>
    </xf>
    <xf numFmtId="0" fontId="1" fillId="2" borderId="6" xfId="1" applyBorder="1" applyAlignment="1">
      <alignment horizontal="center"/>
    </xf>
    <xf numFmtId="14" fontId="1" fillId="2" borderId="9" xfId="1" applyNumberFormat="1" applyBorder="1"/>
    <xf numFmtId="14" fontId="1" fillId="2" borderId="5" xfId="1" applyNumberFormat="1" applyBorder="1"/>
    <xf numFmtId="0" fontId="1" fillId="2" borderId="4" xfId="1" applyBorder="1" applyAlignment="1">
      <alignment horizontal="left"/>
    </xf>
    <xf numFmtId="14" fontId="1" fillId="2" borderId="6" xfId="1" applyNumberFormat="1" applyBorder="1" applyAlignment="1">
      <alignment horizontal="center"/>
    </xf>
    <xf numFmtId="0" fontId="0" fillId="0" borderId="5" xfId="0" applyBorder="1" applyAlignment="1">
      <alignment horizontal="center"/>
    </xf>
    <xf numFmtId="14" fontId="1" fillId="2" borderId="5" xfId="1" applyNumberFormat="1" applyBorder="1" applyAlignment="1">
      <alignment horizontal="left"/>
    </xf>
    <xf numFmtId="14" fontId="1" fillId="2" borderId="4" xfId="1" applyNumberFormat="1" applyBorder="1" applyAlignment="1">
      <alignment horizontal="left"/>
    </xf>
    <xf numFmtId="0" fontId="2" fillId="3" borderId="8" xfId="2" applyBorder="1" applyAlignment="1">
      <alignment horizontal="left" vertical="center"/>
    </xf>
    <xf numFmtId="0" fontId="1" fillId="2" borderId="0" xfId="1" applyBorder="1" applyAlignment="1">
      <alignment horizontal="center"/>
    </xf>
    <xf numFmtId="0" fontId="1" fillId="2" borderId="8" xfId="1" applyBorder="1" applyAlignment="1">
      <alignment horizontal="left" vertical="center"/>
    </xf>
    <xf numFmtId="49" fontId="0" fillId="0" borderId="0" xfId="0" applyNumberFormat="1"/>
    <xf numFmtId="0" fontId="1" fillId="2" borderId="5" xfId="1" applyBorder="1" applyAlignment="1">
      <alignment horizontal="center" vertical="center"/>
    </xf>
    <xf numFmtId="14" fontId="1" fillId="2" borderId="5" xfId="1" applyNumberFormat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2" fillId="3" borderId="8" xfId="2" applyBorder="1" applyAlignment="1">
      <alignment horizontal="center" vertical="center"/>
    </xf>
    <xf numFmtId="0" fontId="1" fillId="2" borderId="8" xfId="1" applyBorder="1" applyAlignment="1">
      <alignment horizontal="center" vertical="center"/>
    </xf>
    <xf numFmtId="14" fontId="2" fillId="3" borderId="5" xfId="2" applyNumberFormat="1" applyBorder="1" applyAlignment="1">
      <alignment horizontal="right"/>
    </xf>
    <xf numFmtId="0" fontId="2" fillId="3" borderId="5" xfId="2" applyBorder="1" applyAlignment="1">
      <alignment horizontal="left" vertical="center" wrapText="1"/>
    </xf>
    <xf numFmtId="0" fontId="1" fillId="2" borderId="8" xfId="1" applyBorder="1" applyAlignment="1">
      <alignment horizontal="center"/>
    </xf>
    <xf numFmtId="0" fontId="2" fillId="3" borderId="6" xfId="2" applyBorder="1" applyAlignment="1">
      <alignment horizontal="left"/>
    </xf>
    <xf numFmtId="0" fontId="8" fillId="3" borderId="6" xfId="2" applyFont="1" applyBorder="1" applyAlignment="1">
      <alignment horizontal="left"/>
    </xf>
    <xf numFmtId="0" fontId="1" fillId="2" borderId="6" xfId="1" applyBorder="1" applyAlignment="1">
      <alignment horizontal="left"/>
    </xf>
    <xf numFmtId="0" fontId="1" fillId="2" borderId="5" xfId="1" applyBorder="1" applyAlignment="1">
      <alignment horizontal="left" vertical="center" wrapText="1"/>
    </xf>
    <xf numFmtId="0" fontId="2" fillId="3" borderId="8" xfId="2" applyBorder="1" applyAlignment="1">
      <alignment horizontal="center"/>
    </xf>
    <xf numFmtId="0" fontId="2" fillId="3" borderId="9" xfId="2" applyBorder="1" applyAlignment="1">
      <alignment horizontal="center"/>
    </xf>
    <xf numFmtId="0" fontId="4" fillId="0" borderId="0" xfId="0" applyFont="1"/>
    <xf numFmtId="0" fontId="2" fillId="3" borderId="6" xfId="2" applyBorder="1" applyAlignment="1">
      <alignment horizontal="left" vertical="center"/>
    </xf>
    <xf numFmtId="0" fontId="2" fillId="3" borderId="12" xfId="2" applyBorder="1" applyAlignment="1">
      <alignment horizontal="center"/>
    </xf>
    <xf numFmtId="0" fontId="2" fillId="3" borderId="9" xfId="2" applyBorder="1" applyAlignment="1">
      <alignment horizontal="left" vertical="center"/>
    </xf>
    <xf numFmtId="0" fontId="2" fillId="3" borderId="9" xfId="2" applyBorder="1" applyAlignment="1">
      <alignment horizontal="left"/>
    </xf>
    <xf numFmtId="0" fontId="2" fillId="3" borderId="9" xfId="2" applyBorder="1" applyAlignment="1">
      <alignment horizontal="left" vertical="center" wrapText="1"/>
    </xf>
    <xf numFmtId="0" fontId="2" fillId="3" borderId="11" xfId="2" applyBorder="1" applyAlignment="1">
      <alignment horizontal="center"/>
    </xf>
    <xf numFmtId="14" fontId="2" fillId="3" borderId="9" xfId="2" applyNumberFormat="1" applyBorder="1" applyAlignment="1">
      <alignment horizontal="center"/>
    </xf>
    <xf numFmtId="14" fontId="2" fillId="3" borderId="9" xfId="2" applyNumberFormat="1" applyBorder="1" applyAlignment="1">
      <alignment horizontal="left"/>
    </xf>
    <xf numFmtId="0" fontId="2" fillId="3" borderId="10" xfId="2" applyBorder="1" applyAlignment="1">
      <alignment horizontal="left"/>
    </xf>
    <xf numFmtId="0" fontId="2" fillId="3" borderId="5" xfId="2" quotePrefix="1" applyBorder="1" applyAlignment="1">
      <alignment horizontal="left" vertical="center"/>
    </xf>
    <xf numFmtId="0" fontId="5" fillId="0" borderId="0" xfId="0" applyFont="1" applyAlignment="1">
      <alignment wrapText="1"/>
    </xf>
    <xf numFmtId="14" fontId="0" fillId="0" borderId="0" xfId="0" applyNumberFormat="1"/>
    <xf numFmtId="14" fontId="2" fillId="3" borderId="11" xfId="2" applyNumberFormat="1" applyBorder="1" applyAlignment="1">
      <alignment horizontal="center"/>
    </xf>
    <xf numFmtId="0" fontId="2" fillId="3" borderId="9" xfId="2" applyBorder="1"/>
    <xf numFmtId="0" fontId="2" fillId="3" borderId="11" xfId="2" applyBorder="1" applyAlignment="1">
      <alignment horizontal="left"/>
    </xf>
    <xf numFmtId="0" fontId="2" fillId="3" borderId="0" xfId="2" applyBorder="1" applyAlignment="1">
      <alignment horizontal="left"/>
    </xf>
    <xf numFmtId="14" fontId="1" fillId="2" borderId="0" xfId="1" applyNumberFormat="1" applyBorder="1" applyAlignment="1">
      <alignment horizontal="right"/>
    </xf>
    <xf numFmtId="0" fontId="2" fillId="3" borderId="5" xfId="2" applyBorder="1" applyAlignment="1">
      <alignment horizontal="center" wrapText="1"/>
    </xf>
    <xf numFmtId="14" fontId="2" fillId="3" borderId="5" xfId="2" applyNumberFormat="1" applyBorder="1" applyAlignment="1">
      <alignment horizontal="center" wrapText="1"/>
    </xf>
    <xf numFmtId="14" fontId="2" fillId="3" borderId="5" xfId="2" applyNumberFormat="1" applyBorder="1" applyAlignment="1">
      <alignment wrapText="1"/>
    </xf>
    <xf numFmtId="0" fontId="2" fillId="3" borderId="29" xfId="2" applyBorder="1" applyAlignment="1">
      <alignment horizontal="center"/>
    </xf>
    <xf numFmtId="0" fontId="2" fillId="3" borderId="25" xfId="2" applyBorder="1" applyAlignment="1">
      <alignment horizontal="center"/>
    </xf>
    <xf numFmtId="0" fontId="2" fillId="3" borderId="26" xfId="2" applyBorder="1" applyAlignment="1">
      <alignment horizontal="left" vertical="center"/>
    </xf>
    <xf numFmtId="0" fontId="2" fillId="3" borderId="26" xfId="2" applyBorder="1" applyAlignment="1">
      <alignment horizontal="left"/>
    </xf>
    <xf numFmtId="0" fontId="2" fillId="3" borderId="26" xfId="2" applyBorder="1" applyAlignment="1">
      <alignment horizontal="center"/>
    </xf>
    <xf numFmtId="14" fontId="2" fillId="3" borderId="26" xfId="2" applyNumberFormat="1" applyBorder="1" applyAlignment="1">
      <alignment horizontal="center"/>
    </xf>
    <xf numFmtId="0" fontId="2" fillId="3" borderId="27" xfId="2" applyBorder="1" applyAlignment="1">
      <alignment horizontal="center"/>
    </xf>
    <xf numFmtId="14" fontId="2" fillId="3" borderId="31" xfId="2" applyNumberFormat="1" applyBorder="1"/>
    <xf numFmtId="14" fontId="2" fillId="3" borderId="26" xfId="2" applyNumberFormat="1" applyBorder="1"/>
    <xf numFmtId="0" fontId="2" fillId="3" borderId="26" xfId="2" applyBorder="1"/>
    <xf numFmtId="14" fontId="2" fillId="3" borderId="26" xfId="2" applyNumberFormat="1" applyBorder="1" applyAlignment="1">
      <alignment horizontal="left"/>
    </xf>
    <xf numFmtId="0" fontId="2" fillId="3" borderId="28" xfId="2" applyBorder="1" applyAlignment="1">
      <alignment horizontal="left"/>
    </xf>
    <xf numFmtId="0" fontId="1" fillId="2" borderId="12" xfId="1" applyBorder="1" applyAlignment="1">
      <alignment horizontal="center"/>
    </xf>
    <xf numFmtId="0" fontId="1" fillId="2" borderId="9" xfId="1" applyBorder="1" applyAlignment="1">
      <alignment horizontal="left" vertical="center"/>
    </xf>
    <xf numFmtId="0" fontId="1" fillId="2" borderId="9" xfId="1" applyBorder="1" applyAlignment="1">
      <alignment horizontal="left"/>
    </xf>
    <xf numFmtId="0" fontId="1" fillId="2" borderId="9" xfId="1" applyBorder="1" applyAlignment="1">
      <alignment horizontal="center"/>
    </xf>
    <xf numFmtId="0" fontId="1" fillId="2" borderId="0" xfId="1" applyBorder="1" applyAlignment="1">
      <alignment horizontal="left"/>
    </xf>
    <xf numFmtId="14" fontId="1" fillId="2" borderId="9" xfId="1" applyNumberFormat="1" applyBorder="1" applyAlignment="1">
      <alignment horizontal="center"/>
    </xf>
    <xf numFmtId="14" fontId="1" fillId="2" borderId="11" xfId="1" applyNumberFormat="1" applyBorder="1" applyAlignment="1">
      <alignment horizontal="center"/>
    </xf>
    <xf numFmtId="0" fontId="1" fillId="2" borderId="9" xfId="1" applyBorder="1"/>
    <xf numFmtId="14" fontId="1" fillId="2" borderId="9" xfId="1" applyNumberFormat="1" applyBorder="1" applyAlignment="1">
      <alignment horizontal="left"/>
    </xf>
    <xf numFmtId="14" fontId="1" fillId="2" borderId="10" xfId="1" applyNumberFormat="1" applyBorder="1" applyAlignment="1">
      <alignment horizontal="left"/>
    </xf>
    <xf numFmtId="0" fontId="1" fillId="2" borderId="11" xfId="1" applyBorder="1" applyAlignment="1">
      <alignment horizontal="left" vertical="center"/>
    </xf>
    <xf numFmtId="0" fontId="1" fillId="2" borderId="29" xfId="1" applyBorder="1" applyAlignment="1">
      <alignment horizontal="center"/>
    </xf>
    <xf numFmtId="0" fontId="2" fillId="3" borderId="0" xfId="2" applyBorder="1" applyAlignment="1">
      <alignment horizontal="left" vertical="center"/>
    </xf>
    <xf numFmtId="0" fontId="2" fillId="3" borderId="22" xfId="2" applyBorder="1" applyAlignment="1">
      <alignment horizontal="left"/>
    </xf>
    <xf numFmtId="14" fontId="1" fillId="2" borderId="4" xfId="1" applyNumberFormat="1" applyBorder="1" applyAlignment="1">
      <alignment horizontal="center"/>
    </xf>
    <xf numFmtId="14" fontId="2" fillId="3" borderId="4" xfId="2" applyNumberFormat="1" applyBorder="1" applyAlignment="1">
      <alignment horizontal="left"/>
    </xf>
    <xf numFmtId="0" fontId="1" fillId="2" borderId="11" xfId="1" applyBorder="1" applyAlignment="1">
      <alignment horizontal="center"/>
    </xf>
    <xf numFmtId="0" fontId="1" fillId="2" borderId="10" xfId="1" applyBorder="1" applyAlignment="1">
      <alignment horizontal="left"/>
    </xf>
    <xf numFmtId="0" fontId="2" fillId="3" borderId="4" xfId="2" applyBorder="1" applyAlignment="1">
      <alignment horizontal="center"/>
    </xf>
    <xf numFmtId="14" fontId="1" fillId="2" borderId="5" xfId="1" applyNumberFormat="1" applyBorder="1" applyAlignment="1">
      <alignment horizontal="right"/>
    </xf>
    <xf numFmtId="0" fontId="2" fillId="3" borderId="11" xfId="2" applyBorder="1" applyAlignment="1">
      <alignment horizontal="left" vertical="center"/>
    </xf>
    <xf numFmtId="49" fontId="4" fillId="0" borderId="0" xfId="0" applyNumberFormat="1" applyFont="1"/>
    <xf numFmtId="0" fontId="2" fillId="3" borderId="0" xfId="2" applyBorder="1" applyAlignment="1">
      <alignment horizontal="center"/>
    </xf>
    <xf numFmtId="0" fontId="1" fillId="2" borderId="9" xfId="1" applyBorder="1" applyAlignment="1">
      <alignment horizontal="center" vertical="center"/>
    </xf>
    <xf numFmtId="14" fontId="1" fillId="2" borderId="9" xfId="1" applyNumberFormat="1" applyBorder="1" applyAlignment="1">
      <alignment horizontal="center" vertical="center"/>
    </xf>
    <xf numFmtId="14" fontId="1" fillId="2" borderId="11" xfId="1" applyNumberFormat="1" applyBorder="1" applyAlignment="1">
      <alignment horizontal="center" vertical="center"/>
    </xf>
    <xf numFmtId="0" fontId="1" fillId="2" borderId="10" xfId="1" applyBorder="1" applyAlignment="1">
      <alignment horizontal="center" vertical="center"/>
    </xf>
    <xf numFmtId="15" fontId="0" fillId="0" borderId="0" xfId="0" applyNumberFormat="1"/>
    <xf numFmtId="0" fontId="2" fillId="3" borderId="3" xfId="2" applyBorder="1" applyAlignment="1">
      <alignment horizontal="center"/>
    </xf>
    <xf numFmtId="0" fontId="2" fillId="3" borderId="1" xfId="2" applyBorder="1" applyAlignment="1">
      <alignment horizontal="left" vertical="center"/>
    </xf>
    <xf numFmtId="0" fontId="2" fillId="3" borderId="1" xfId="2" applyBorder="1" applyAlignment="1">
      <alignment horizontal="left"/>
    </xf>
    <xf numFmtId="0" fontId="2" fillId="3" borderId="1" xfId="2" applyBorder="1" applyAlignment="1">
      <alignment horizontal="center"/>
    </xf>
    <xf numFmtId="14" fontId="2" fillId="3" borderId="1" xfId="2" applyNumberFormat="1" applyBorder="1" applyAlignment="1">
      <alignment horizontal="left"/>
    </xf>
    <xf numFmtId="0" fontId="2" fillId="3" borderId="30" xfId="2" applyBorder="1" applyAlignment="1">
      <alignment horizontal="left"/>
    </xf>
    <xf numFmtId="0" fontId="1" fillId="2" borderId="11" xfId="1" applyBorder="1" applyAlignment="1">
      <alignment horizontal="left"/>
    </xf>
    <xf numFmtId="0" fontId="9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14" fontId="2" fillId="3" borderId="27" xfId="2" applyNumberFormat="1" applyBorder="1" applyAlignment="1">
      <alignment horizontal="center"/>
    </xf>
    <xf numFmtId="0" fontId="4" fillId="0" borderId="7" xfId="1" applyFont="1" applyFill="1" applyBorder="1" applyAlignment="1">
      <alignment horizontal="center"/>
    </xf>
    <xf numFmtId="0" fontId="4" fillId="0" borderId="5" xfId="1" applyFont="1" applyFill="1" applyBorder="1" applyAlignment="1">
      <alignment horizontal="left" vertical="center"/>
    </xf>
    <xf numFmtId="0" fontId="4" fillId="0" borderId="11" xfId="1" applyFont="1" applyFill="1" applyBorder="1" applyAlignment="1">
      <alignment horizontal="left" vertical="center"/>
    </xf>
    <xf numFmtId="0" fontId="4" fillId="0" borderId="9" xfId="1" applyFont="1" applyFill="1" applyBorder="1" applyAlignment="1">
      <alignment horizontal="left"/>
    </xf>
    <xf numFmtId="0" fontId="4" fillId="0" borderId="29" xfId="1" applyFont="1" applyFill="1" applyBorder="1" applyAlignment="1">
      <alignment horizontal="center"/>
    </xf>
    <xf numFmtId="0" fontId="4" fillId="0" borderId="5" xfId="1" applyFont="1" applyFill="1" applyBorder="1" applyAlignment="1">
      <alignment horizontal="center"/>
    </xf>
    <xf numFmtId="0" fontId="4" fillId="0" borderId="5" xfId="1" applyFont="1" applyFill="1" applyBorder="1" applyAlignment="1">
      <alignment horizontal="left"/>
    </xf>
    <xf numFmtId="14" fontId="4" fillId="0" borderId="9" xfId="1" applyNumberFormat="1" applyFont="1" applyFill="1" applyBorder="1"/>
    <xf numFmtId="0" fontId="4" fillId="0" borderId="6" xfId="1" applyFont="1" applyFill="1" applyBorder="1" applyAlignment="1">
      <alignment horizontal="center"/>
    </xf>
    <xf numFmtId="0" fontId="4" fillId="0" borderId="4" xfId="1" applyFont="1" applyFill="1" applyBorder="1" applyAlignment="1">
      <alignment horizontal="left"/>
    </xf>
    <xf numFmtId="0" fontId="1" fillId="2" borderId="0" xfId="1"/>
    <xf numFmtId="0" fontId="4" fillId="0" borderId="7" xfId="2" applyFont="1" applyFill="1" applyBorder="1" applyAlignment="1">
      <alignment horizontal="center"/>
    </xf>
    <xf numFmtId="0" fontId="4" fillId="0" borderId="5" xfId="2" applyFont="1" applyFill="1" applyBorder="1" applyAlignment="1">
      <alignment horizontal="left" vertical="center"/>
    </xf>
    <xf numFmtId="0" fontId="4" fillId="0" borderId="5" xfId="2" applyFont="1" applyFill="1" applyBorder="1" applyAlignment="1">
      <alignment horizontal="left"/>
    </xf>
    <xf numFmtId="0" fontId="4" fillId="0" borderId="5" xfId="2" applyFont="1" applyFill="1" applyBorder="1" applyAlignment="1">
      <alignment horizontal="center"/>
    </xf>
    <xf numFmtId="0" fontId="4" fillId="0" borderId="6" xfId="2" applyFont="1" applyFill="1" applyBorder="1" applyAlignment="1">
      <alignment horizontal="left"/>
    </xf>
    <xf numFmtId="14" fontId="4" fillId="0" borderId="5" xfId="2" applyNumberFormat="1" applyFont="1" applyFill="1" applyBorder="1" applyAlignment="1">
      <alignment horizontal="center"/>
    </xf>
    <xf numFmtId="14" fontId="4" fillId="0" borderId="6" xfId="2" applyNumberFormat="1" applyFont="1" applyFill="1" applyBorder="1" applyAlignment="1">
      <alignment horizontal="center"/>
    </xf>
    <xf numFmtId="14" fontId="4" fillId="0" borderId="9" xfId="2" applyNumberFormat="1" applyFont="1" applyFill="1" applyBorder="1"/>
    <xf numFmtId="14" fontId="4" fillId="0" borderId="5" xfId="2" applyNumberFormat="1" applyFont="1" applyFill="1" applyBorder="1" applyAlignment="1">
      <alignment horizontal="left"/>
    </xf>
    <xf numFmtId="0" fontId="4" fillId="0" borderId="4" xfId="2" applyFont="1" applyFill="1" applyBorder="1" applyAlignment="1">
      <alignment horizontal="left"/>
    </xf>
    <xf numFmtId="0" fontId="10" fillId="5" borderId="0" xfId="0" applyFont="1" applyFill="1"/>
    <xf numFmtId="0" fontId="0" fillId="6" borderId="0" xfId="0" applyFill="1"/>
    <xf numFmtId="0" fontId="4" fillId="6" borderId="0" xfId="0" applyFont="1" applyFill="1"/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90B7-AB1A-4E5B-A081-F96148B648F1}">
  <dimension ref="A1:AF168"/>
  <sheetViews>
    <sheetView tabSelected="1" topLeftCell="A130" zoomScale="57" zoomScaleNormal="73" workbookViewId="0">
      <selection activeCell="H131" sqref="H131"/>
    </sheetView>
  </sheetViews>
  <sheetFormatPr baseColWidth="10" defaultColWidth="8.7265625" defaultRowHeight="14.5" x14ac:dyDescent="0.35"/>
  <cols>
    <col min="1" max="1" width="8.984375E-2" style="30" customWidth="1"/>
    <col min="2" max="2" width="12.90625" style="1" customWidth="1"/>
    <col min="3" max="3" width="26.1796875" style="1" hidden="1" customWidth="1"/>
    <col min="4" max="4" width="23.7265625" style="1" bestFit="1" customWidth="1"/>
    <col min="5" max="5" width="10.54296875" style="30" bestFit="1" customWidth="1"/>
    <col min="6" max="6" width="8.7265625" style="30" customWidth="1"/>
    <col min="7" max="7" width="9.1796875" style="1" customWidth="1"/>
    <col min="8" max="8" width="15.81640625" style="1" customWidth="1"/>
    <col min="9" max="9" width="23.26953125" style="1" bestFit="1" customWidth="1"/>
    <col min="10" max="10" width="6.81640625" style="1" customWidth="1"/>
    <col min="11" max="11" width="7" style="1" customWidth="1"/>
    <col min="12" max="12" width="8" style="1" bestFit="1" customWidth="1"/>
    <col min="13" max="13" width="12" style="1" bestFit="1" customWidth="1"/>
    <col min="14" max="14" width="13.81640625" style="1" customWidth="1"/>
    <col min="15" max="15" width="17" style="1" customWidth="1"/>
    <col min="16" max="16" width="16" style="1" bestFit="1" customWidth="1"/>
    <col min="17" max="17" width="16.81640625" style="1" bestFit="1" customWidth="1"/>
    <col min="18" max="18" width="13" style="1" customWidth="1"/>
    <col min="19" max="19" width="15.54296875" style="1" bestFit="1" customWidth="1"/>
    <col min="20" max="20" width="15.1796875" style="1" bestFit="1" customWidth="1"/>
    <col min="21" max="21" width="16.81640625" style="1" bestFit="1" customWidth="1"/>
    <col min="22" max="22" width="13.1796875" style="1" customWidth="1"/>
    <col min="23" max="23" width="4.26953125" customWidth="1"/>
    <col min="24" max="24" width="3.26953125" customWidth="1"/>
    <col min="25" max="25" width="11.54296875" hidden="1" customWidth="1"/>
    <col min="26" max="26" width="19.453125" hidden="1" customWidth="1"/>
    <col min="27" max="27" width="62.1796875" customWidth="1"/>
    <col min="28" max="28" width="14.54296875" bestFit="1" customWidth="1"/>
    <col min="29" max="29" width="18.81640625" bestFit="1" customWidth="1"/>
    <col min="30" max="30" width="16.453125" bestFit="1" customWidth="1"/>
  </cols>
  <sheetData>
    <row r="1" spans="1:27" ht="15" thickBot="1" x14ac:dyDescent="0.4">
      <c r="A1" s="166" t="s">
        <v>0</v>
      </c>
      <c r="B1" s="168" t="s">
        <v>1</v>
      </c>
      <c r="C1" s="172" t="s">
        <v>2</v>
      </c>
      <c r="D1" s="168" t="s">
        <v>3</v>
      </c>
      <c r="E1" s="172" t="s">
        <v>4</v>
      </c>
      <c r="F1" s="172" t="s">
        <v>5</v>
      </c>
      <c r="G1" s="168" t="s">
        <v>6</v>
      </c>
      <c r="H1" s="168" t="s">
        <v>7</v>
      </c>
      <c r="I1" s="168" t="s">
        <v>8</v>
      </c>
      <c r="J1" s="168" t="s">
        <v>9</v>
      </c>
      <c r="K1" s="168" t="s">
        <v>10</v>
      </c>
      <c r="L1" s="168" t="s">
        <v>11</v>
      </c>
      <c r="M1" s="170" t="s">
        <v>12</v>
      </c>
      <c r="N1" s="162" t="s">
        <v>13</v>
      </c>
      <c r="O1" s="164"/>
      <c r="P1" s="162">
        <v>2023</v>
      </c>
      <c r="Q1" s="163"/>
      <c r="R1" s="164"/>
      <c r="S1" s="165">
        <v>2024</v>
      </c>
      <c r="T1" s="163"/>
      <c r="U1" s="163"/>
      <c r="V1" s="164"/>
    </row>
    <row r="2" spans="1:27" s="3" customFormat="1" ht="58.5" thickBot="1" x14ac:dyDescent="0.35">
      <c r="A2" s="167"/>
      <c r="B2" s="169"/>
      <c r="C2" s="173"/>
      <c r="D2" s="169"/>
      <c r="E2" s="173"/>
      <c r="F2" s="173"/>
      <c r="G2" s="169"/>
      <c r="H2" s="169"/>
      <c r="I2" s="169"/>
      <c r="J2" s="169"/>
      <c r="K2" s="169"/>
      <c r="L2" s="169"/>
      <c r="M2" s="171"/>
      <c r="N2" s="7" t="s">
        <v>14</v>
      </c>
      <c r="O2" s="4" t="s">
        <v>15</v>
      </c>
      <c r="P2" s="7" t="s">
        <v>16</v>
      </c>
      <c r="Q2" s="5" t="s">
        <v>17</v>
      </c>
      <c r="R2" s="4" t="s">
        <v>18</v>
      </c>
      <c r="S2" s="6" t="s">
        <v>16</v>
      </c>
      <c r="T2" s="5" t="s">
        <v>19</v>
      </c>
      <c r="U2" s="5" t="s">
        <v>17</v>
      </c>
      <c r="V2" s="4" t="s">
        <v>18</v>
      </c>
      <c r="X2" s="78"/>
    </row>
    <row r="3" spans="1:27" ht="15.75" customHeight="1" x14ac:dyDescent="0.35">
      <c r="A3" s="29" t="s">
        <v>30</v>
      </c>
      <c r="B3" s="19" t="s">
        <v>20</v>
      </c>
      <c r="C3" s="19" t="s">
        <v>21</v>
      </c>
      <c r="D3" s="20"/>
      <c r="E3" s="21" t="s">
        <v>22</v>
      </c>
      <c r="F3" s="21">
        <v>2</v>
      </c>
      <c r="G3" s="59">
        <v>105407</v>
      </c>
      <c r="H3" s="59">
        <v>8551</v>
      </c>
      <c r="I3" s="85">
        <v>8551</v>
      </c>
      <c r="J3" s="85">
        <v>19</v>
      </c>
      <c r="K3" s="85">
        <v>25</v>
      </c>
      <c r="L3" s="85" t="s">
        <v>23</v>
      </c>
      <c r="M3" s="113">
        <v>12417</v>
      </c>
      <c r="N3" s="86">
        <v>44126</v>
      </c>
      <c r="O3" s="22"/>
      <c r="P3" s="24">
        <v>45121</v>
      </c>
      <c r="Q3" s="87">
        <v>45181</v>
      </c>
      <c r="R3" s="25"/>
      <c r="S3" s="24">
        <f t="shared" ref="S3:S4" si="0">P3+365</f>
        <v>45486</v>
      </c>
      <c r="T3" s="24">
        <f t="shared" ref="T3:T69" si="1">S3-60</f>
        <v>45426</v>
      </c>
      <c r="U3" s="36">
        <v>45485</v>
      </c>
      <c r="V3" s="27"/>
      <c r="X3" s="79"/>
      <c r="AA3" s="159" t="s">
        <v>316</v>
      </c>
    </row>
    <row r="4" spans="1:27" ht="15.75" customHeight="1" x14ac:dyDescent="0.35">
      <c r="A4" s="29" t="s">
        <v>30</v>
      </c>
      <c r="B4" s="19" t="s">
        <v>24</v>
      </c>
      <c r="C4" s="19" t="s">
        <v>25</v>
      </c>
      <c r="D4" s="20" t="s">
        <v>26</v>
      </c>
      <c r="E4" s="21" t="s">
        <v>27</v>
      </c>
      <c r="F4" s="21">
        <v>2</v>
      </c>
      <c r="G4" s="19">
        <v>117852</v>
      </c>
      <c r="H4" s="19" t="s">
        <v>28</v>
      </c>
      <c r="I4" s="21" t="s">
        <v>29</v>
      </c>
      <c r="J4" s="21">
        <v>19</v>
      </c>
      <c r="K4" s="21">
        <v>20</v>
      </c>
      <c r="L4" s="21" t="s">
        <v>23</v>
      </c>
      <c r="M4" s="20">
        <v>21733</v>
      </c>
      <c r="N4" s="23">
        <v>44728</v>
      </c>
      <c r="O4" s="22"/>
      <c r="P4" s="24">
        <v>45093</v>
      </c>
      <c r="Q4" s="26">
        <v>45181</v>
      </c>
      <c r="R4" s="25"/>
      <c r="S4" s="24">
        <f t="shared" si="0"/>
        <v>45458</v>
      </c>
      <c r="T4" s="24">
        <f t="shared" si="1"/>
        <v>45398</v>
      </c>
      <c r="U4" s="36">
        <v>45485</v>
      </c>
      <c r="V4" s="27"/>
      <c r="X4" s="79"/>
      <c r="Y4" s="21" t="s">
        <v>30</v>
      </c>
      <c r="Z4" s="25" t="s">
        <v>31</v>
      </c>
      <c r="AA4" s="160"/>
    </row>
    <row r="5" spans="1:27" ht="15.75" customHeight="1" x14ac:dyDescent="0.35">
      <c r="A5" s="29" t="s">
        <v>30</v>
      </c>
      <c r="B5" s="19" t="s">
        <v>32</v>
      </c>
      <c r="C5" s="19" t="s">
        <v>33</v>
      </c>
      <c r="D5" s="20" t="s">
        <v>34</v>
      </c>
      <c r="E5" s="21" t="s">
        <v>35</v>
      </c>
      <c r="F5" s="21">
        <v>4</v>
      </c>
      <c r="G5" s="19">
        <v>165973</v>
      </c>
      <c r="H5" s="19" t="s">
        <v>36</v>
      </c>
      <c r="I5" s="21">
        <v>8571</v>
      </c>
      <c r="J5" s="21">
        <v>19</v>
      </c>
      <c r="K5" s="21">
        <v>7.5</v>
      </c>
      <c r="L5" s="21" t="s">
        <v>23</v>
      </c>
      <c r="M5" s="83">
        <v>23567</v>
      </c>
      <c r="N5" s="23">
        <v>45051</v>
      </c>
      <c r="O5" s="22"/>
      <c r="P5" s="24"/>
      <c r="Q5" s="25"/>
      <c r="R5" s="25"/>
      <c r="S5" s="24">
        <f>N5+365</f>
        <v>45416</v>
      </c>
      <c r="T5" s="24">
        <f t="shared" si="1"/>
        <v>45356</v>
      </c>
      <c r="U5" s="36">
        <v>45470</v>
      </c>
      <c r="V5" s="27"/>
      <c r="Y5" s="33" t="s">
        <v>37</v>
      </c>
      <c r="Z5" s="33" t="s">
        <v>38</v>
      </c>
      <c r="AA5" s="160"/>
    </row>
    <row r="6" spans="1:27" ht="15.75" customHeight="1" x14ac:dyDescent="0.35">
      <c r="A6" s="29" t="s">
        <v>30</v>
      </c>
      <c r="B6" s="19" t="s">
        <v>39</v>
      </c>
      <c r="C6" s="19" t="s">
        <v>40</v>
      </c>
      <c r="D6" s="20" t="s">
        <v>41</v>
      </c>
      <c r="E6" s="21" t="s">
        <v>35</v>
      </c>
      <c r="F6" s="21">
        <v>2</v>
      </c>
      <c r="G6" s="19">
        <v>177227</v>
      </c>
      <c r="H6" s="19" t="s">
        <v>42</v>
      </c>
      <c r="I6" s="21">
        <v>839</v>
      </c>
      <c r="J6" s="21">
        <v>19</v>
      </c>
      <c r="K6" s="21">
        <v>25</v>
      </c>
      <c r="L6" s="21" t="s">
        <v>23</v>
      </c>
      <c r="M6" s="20">
        <v>48001</v>
      </c>
      <c r="N6" s="23">
        <v>45162</v>
      </c>
      <c r="O6" s="31">
        <v>45202</v>
      </c>
      <c r="P6" s="24"/>
      <c r="Q6" s="25"/>
      <c r="R6" s="25"/>
      <c r="S6" s="24">
        <f>N6+365</f>
        <v>45527</v>
      </c>
      <c r="T6" s="24">
        <f t="shared" si="1"/>
        <v>45467</v>
      </c>
      <c r="U6" s="36">
        <v>45510</v>
      </c>
      <c r="V6" s="27"/>
      <c r="Y6" s="37" t="s">
        <v>273</v>
      </c>
      <c r="Z6" s="37" t="s">
        <v>43</v>
      </c>
      <c r="AA6" s="160"/>
    </row>
    <row r="7" spans="1:27" ht="15.75" customHeight="1" x14ac:dyDescent="0.35">
      <c r="A7" s="38" t="s">
        <v>37</v>
      </c>
      <c r="B7" s="34" t="s">
        <v>39</v>
      </c>
      <c r="C7" s="34" t="s">
        <v>40</v>
      </c>
      <c r="D7" s="34" t="s">
        <v>44</v>
      </c>
      <c r="E7" s="33" t="s">
        <v>35</v>
      </c>
      <c r="F7" s="33">
        <v>2</v>
      </c>
      <c r="G7" s="34">
        <v>147094</v>
      </c>
      <c r="H7" s="34" t="s">
        <v>45</v>
      </c>
      <c r="I7" s="33" t="s">
        <v>46</v>
      </c>
      <c r="J7" s="33">
        <v>19</v>
      </c>
      <c r="K7" s="33">
        <v>25</v>
      </c>
      <c r="L7" s="33" t="s">
        <v>47</v>
      </c>
      <c r="M7" s="34">
        <v>48001</v>
      </c>
      <c r="N7" s="35">
        <v>45302</v>
      </c>
      <c r="O7" s="35">
        <v>45302</v>
      </c>
      <c r="P7" s="33"/>
      <c r="Q7" s="33"/>
      <c r="R7" s="33"/>
      <c r="S7" s="33"/>
      <c r="T7" s="33"/>
      <c r="U7" s="46"/>
      <c r="V7" s="114"/>
      <c r="Y7" s="45" t="s">
        <v>304</v>
      </c>
      <c r="Z7" s="45" t="s">
        <v>305</v>
      </c>
      <c r="AA7" s="160"/>
    </row>
    <row r="8" spans="1:27" ht="15.75" customHeight="1" x14ac:dyDescent="0.35">
      <c r="A8" s="38" t="s">
        <v>37</v>
      </c>
      <c r="B8" s="32" t="s">
        <v>39</v>
      </c>
      <c r="C8" s="32" t="s">
        <v>40</v>
      </c>
      <c r="D8" s="32" t="s">
        <v>44</v>
      </c>
      <c r="E8" s="33" t="s">
        <v>35</v>
      </c>
      <c r="F8" s="33">
        <v>2</v>
      </c>
      <c r="G8" s="34">
        <v>99631</v>
      </c>
      <c r="H8" s="32" t="s">
        <v>48</v>
      </c>
      <c r="I8" s="33" t="s">
        <v>46</v>
      </c>
      <c r="J8" s="33">
        <v>19</v>
      </c>
      <c r="K8" s="33">
        <v>25</v>
      </c>
      <c r="L8" s="33" t="s">
        <v>23</v>
      </c>
      <c r="M8" s="34">
        <v>48001</v>
      </c>
      <c r="N8" s="35">
        <v>45299</v>
      </c>
      <c r="O8" s="35">
        <v>45313</v>
      </c>
      <c r="P8" s="33"/>
      <c r="Q8" s="33"/>
      <c r="R8" s="33"/>
      <c r="S8" s="33"/>
      <c r="T8" s="33"/>
      <c r="U8" s="46"/>
      <c r="V8" s="114"/>
      <c r="W8" t="s">
        <v>295</v>
      </c>
      <c r="AA8" s="160"/>
    </row>
    <row r="9" spans="1:27" ht="15.75" customHeight="1" x14ac:dyDescent="0.35">
      <c r="A9" s="69" t="s">
        <v>30</v>
      </c>
      <c r="B9" s="70" t="s">
        <v>49</v>
      </c>
      <c r="C9" s="70" t="s">
        <v>50</v>
      </c>
      <c r="D9" s="71" t="s">
        <v>44</v>
      </c>
      <c r="E9" s="66" t="s">
        <v>35</v>
      </c>
      <c r="F9" s="21">
        <v>2</v>
      </c>
      <c r="G9" s="70">
        <v>172993</v>
      </c>
      <c r="H9" s="70">
        <v>505035147</v>
      </c>
      <c r="I9" s="66">
        <v>8550</v>
      </c>
      <c r="J9" s="66">
        <v>9</v>
      </c>
      <c r="K9" s="66">
        <v>25</v>
      </c>
      <c r="L9" s="66" t="s">
        <v>23</v>
      </c>
      <c r="M9" s="82">
        <v>53774</v>
      </c>
      <c r="N9" s="74">
        <v>44382</v>
      </c>
      <c r="O9" s="73"/>
      <c r="P9" s="24">
        <v>45136</v>
      </c>
      <c r="Q9" s="24">
        <v>45020</v>
      </c>
      <c r="R9" s="24">
        <v>45028</v>
      </c>
      <c r="S9" s="24">
        <f>P9+365</f>
        <v>45501</v>
      </c>
      <c r="T9" s="24">
        <f t="shared" si="1"/>
        <v>45441</v>
      </c>
      <c r="U9" s="75">
        <v>45463</v>
      </c>
      <c r="V9" s="76"/>
      <c r="X9" s="79"/>
      <c r="AA9" s="160"/>
    </row>
    <row r="10" spans="1:27" ht="15.75" customHeight="1" x14ac:dyDescent="0.35">
      <c r="A10" s="29" t="s">
        <v>30</v>
      </c>
      <c r="B10" s="19" t="s">
        <v>49</v>
      </c>
      <c r="C10" s="70" t="s">
        <v>50</v>
      </c>
      <c r="D10" s="20" t="s">
        <v>44</v>
      </c>
      <c r="E10" s="21" t="s">
        <v>35</v>
      </c>
      <c r="F10" s="21">
        <v>2</v>
      </c>
      <c r="G10" s="19">
        <v>177127</v>
      </c>
      <c r="H10" s="19">
        <v>505035825</v>
      </c>
      <c r="I10" s="21">
        <v>8550</v>
      </c>
      <c r="J10" s="21">
        <v>9</v>
      </c>
      <c r="K10" s="21">
        <v>25</v>
      </c>
      <c r="L10" s="21" t="s">
        <v>51</v>
      </c>
      <c r="M10" s="61">
        <v>53774</v>
      </c>
      <c r="N10" s="23">
        <v>44370</v>
      </c>
      <c r="O10" s="22"/>
      <c r="P10" s="24">
        <v>45059</v>
      </c>
      <c r="Q10" s="26">
        <v>45183</v>
      </c>
      <c r="R10" s="26"/>
      <c r="S10" s="26">
        <f t="shared" ref="S10:S18" si="2">P10+365</f>
        <v>45424</v>
      </c>
      <c r="T10" s="24">
        <f t="shared" si="1"/>
        <v>45364</v>
      </c>
      <c r="U10" s="36">
        <v>45524</v>
      </c>
      <c r="V10" s="27"/>
      <c r="X10" s="79"/>
      <c r="AA10" s="160"/>
    </row>
    <row r="11" spans="1:27" ht="15.75" customHeight="1" x14ac:dyDescent="0.35">
      <c r="A11" s="29" t="s">
        <v>30</v>
      </c>
      <c r="B11" s="19" t="s">
        <v>52</v>
      </c>
      <c r="C11" s="19" t="s">
        <v>53</v>
      </c>
      <c r="D11" s="20" t="s">
        <v>26</v>
      </c>
      <c r="E11" s="21" t="s">
        <v>35</v>
      </c>
      <c r="F11" s="21">
        <v>2</v>
      </c>
      <c r="G11" s="19">
        <v>154505</v>
      </c>
      <c r="H11" s="19">
        <v>49997</v>
      </c>
      <c r="I11" s="21" t="s">
        <v>54</v>
      </c>
      <c r="J11" s="21">
        <v>19</v>
      </c>
      <c r="K11" s="21">
        <v>25</v>
      </c>
      <c r="L11" s="21" t="s">
        <v>23</v>
      </c>
      <c r="M11" s="20">
        <v>645</v>
      </c>
      <c r="N11" s="23">
        <v>44522</v>
      </c>
      <c r="O11" s="31">
        <v>44593</v>
      </c>
      <c r="P11" s="24">
        <v>44958</v>
      </c>
      <c r="Q11" s="26">
        <v>45075</v>
      </c>
      <c r="R11" s="58">
        <v>45112</v>
      </c>
      <c r="S11" s="26">
        <f t="shared" si="2"/>
        <v>45323</v>
      </c>
      <c r="T11" s="24">
        <f t="shared" si="1"/>
        <v>45263</v>
      </c>
      <c r="U11" s="36">
        <v>45362</v>
      </c>
      <c r="V11" s="27"/>
      <c r="AA11" s="160"/>
    </row>
    <row r="12" spans="1:27" ht="15.75" customHeight="1" x14ac:dyDescent="0.35">
      <c r="A12" s="29" t="s">
        <v>30</v>
      </c>
      <c r="B12" s="19" t="s">
        <v>52</v>
      </c>
      <c r="C12" s="19" t="s">
        <v>53</v>
      </c>
      <c r="D12" s="20" t="s">
        <v>55</v>
      </c>
      <c r="E12" s="21" t="s">
        <v>35</v>
      </c>
      <c r="F12" s="21">
        <v>2</v>
      </c>
      <c r="G12" s="19">
        <v>158015</v>
      </c>
      <c r="H12" s="19">
        <v>34908</v>
      </c>
      <c r="I12" s="21" t="s">
        <v>56</v>
      </c>
      <c r="J12" s="21">
        <v>19</v>
      </c>
      <c r="K12" s="21">
        <v>25</v>
      </c>
      <c r="L12" s="21" t="s">
        <v>57</v>
      </c>
      <c r="M12" s="20">
        <v>645</v>
      </c>
      <c r="N12" s="23">
        <v>43986</v>
      </c>
      <c r="O12" s="31">
        <v>43993</v>
      </c>
      <c r="P12" s="24">
        <v>45010</v>
      </c>
      <c r="Q12" s="26">
        <v>45075</v>
      </c>
      <c r="R12" s="58">
        <v>45112</v>
      </c>
      <c r="S12" s="26">
        <f t="shared" si="2"/>
        <v>45375</v>
      </c>
      <c r="T12" s="24">
        <f t="shared" si="1"/>
        <v>45315</v>
      </c>
      <c r="U12" s="36">
        <v>45363</v>
      </c>
      <c r="V12" s="27"/>
      <c r="AA12" s="160"/>
    </row>
    <row r="13" spans="1:27" ht="15.75" customHeight="1" x14ac:dyDescent="0.35">
      <c r="A13" s="29" t="s">
        <v>30</v>
      </c>
      <c r="B13" s="19" t="s">
        <v>52</v>
      </c>
      <c r="C13" s="19" t="s">
        <v>53</v>
      </c>
      <c r="D13" s="20" t="s">
        <v>26</v>
      </c>
      <c r="E13" s="21" t="s">
        <v>35</v>
      </c>
      <c r="F13" s="21">
        <v>2</v>
      </c>
      <c r="G13" s="19">
        <v>92184</v>
      </c>
      <c r="H13" s="19">
        <v>48254</v>
      </c>
      <c r="I13" s="21" t="s">
        <v>58</v>
      </c>
      <c r="J13" s="21">
        <v>19</v>
      </c>
      <c r="K13" s="21">
        <v>25</v>
      </c>
      <c r="L13" s="21" t="s">
        <v>23</v>
      </c>
      <c r="M13" s="20">
        <v>645</v>
      </c>
      <c r="N13" s="23">
        <v>44280</v>
      </c>
      <c r="O13" s="31"/>
      <c r="P13" s="24">
        <v>44980</v>
      </c>
      <c r="Q13" s="26">
        <v>45075</v>
      </c>
      <c r="R13" s="58">
        <v>45208</v>
      </c>
      <c r="S13" s="26">
        <f t="shared" si="2"/>
        <v>45345</v>
      </c>
      <c r="T13" s="24">
        <f t="shared" si="1"/>
        <v>45285</v>
      </c>
      <c r="U13" s="36">
        <v>45363</v>
      </c>
      <c r="V13" s="27"/>
      <c r="AA13" s="160"/>
    </row>
    <row r="14" spans="1:27" ht="15.75" customHeight="1" x14ac:dyDescent="0.35">
      <c r="A14" s="29" t="s">
        <v>30</v>
      </c>
      <c r="B14" s="19" t="s">
        <v>52</v>
      </c>
      <c r="C14" s="19" t="s">
        <v>59</v>
      </c>
      <c r="D14" s="20" t="s">
        <v>26</v>
      </c>
      <c r="E14" s="21" t="s">
        <v>35</v>
      </c>
      <c r="F14" s="21">
        <v>2</v>
      </c>
      <c r="G14" s="19">
        <v>147739</v>
      </c>
      <c r="H14" s="19">
        <v>20581</v>
      </c>
      <c r="I14" s="21">
        <v>317</v>
      </c>
      <c r="J14" s="21">
        <v>19</v>
      </c>
      <c r="K14" s="21">
        <v>33</v>
      </c>
      <c r="L14" s="21" t="s">
        <v>47</v>
      </c>
      <c r="M14" s="20">
        <v>645</v>
      </c>
      <c r="N14" s="23"/>
      <c r="O14" s="31">
        <v>44133</v>
      </c>
      <c r="P14" s="24">
        <v>45135</v>
      </c>
      <c r="Q14" s="26">
        <v>45183</v>
      </c>
      <c r="R14" s="25"/>
      <c r="S14" s="26">
        <f t="shared" si="2"/>
        <v>45500</v>
      </c>
      <c r="T14" s="24">
        <f t="shared" si="1"/>
        <v>45440</v>
      </c>
      <c r="U14" s="36">
        <v>45498</v>
      </c>
      <c r="V14" s="27"/>
      <c r="X14" s="79"/>
      <c r="AA14" s="160"/>
    </row>
    <row r="15" spans="1:27" ht="15.75" customHeight="1" x14ac:dyDescent="0.35">
      <c r="A15" s="38" t="s">
        <v>37</v>
      </c>
      <c r="B15" s="39" t="s">
        <v>52</v>
      </c>
      <c r="C15" s="39" t="s">
        <v>59</v>
      </c>
      <c r="D15" s="34" t="s">
        <v>26</v>
      </c>
      <c r="E15" s="33" t="s">
        <v>35</v>
      </c>
      <c r="F15" s="33">
        <v>2</v>
      </c>
      <c r="G15" s="39">
        <v>176660</v>
      </c>
      <c r="H15" s="39">
        <v>35175</v>
      </c>
      <c r="I15" s="33">
        <v>317</v>
      </c>
      <c r="J15" s="33">
        <v>19</v>
      </c>
      <c r="K15" s="33">
        <v>33</v>
      </c>
      <c r="L15" s="33" t="s">
        <v>23</v>
      </c>
      <c r="M15" s="34">
        <v>645</v>
      </c>
      <c r="N15" s="35"/>
      <c r="O15" s="44">
        <v>44133</v>
      </c>
      <c r="P15" s="41">
        <v>45135</v>
      </c>
      <c r="Q15" s="42">
        <v>45075</v>
      </c>
      <c r="R15" s="32"/>
      <c r="S15" s="42">
        <f t="shared" si="2"/>
        <v>45500</v>
      </c>
      <c r="T15" s="41">
        <f t="shared" si="1"/>
        <v>45440</v>
      </c>
      <c r="U15" s="46">
        <v>45492</v>
      </c>
      <c r="V15" s="47">
        <v>45502</v>
      </c>
      <c r="X15" s="79"/>
      <c r="AA15" s="160"/>
    </row>
    <row r="16" spans="1:27" ht="15.75" customHeight="1" x14ac:dyDescent="0.35">
      <c r="A16" s="38" t="s">
        <v>37</v>
      </c>
      <c r="B16" s="39" t="s">
        <v>52</v>
      </c>
      <c r="C16" s="39" t="s">
        <v>59</v>
      </c>
      <c r="D16" s="34" t="s">
        <v>26</v>
      </c>
      <c r="E16" s="33" t="s">
        <v>35</v>
      </c>
      <c r="F16" s="33">
        <v>2</v>
      </c>
      <c r="G16" s="39">
        <v>193234</v>
      </c>
      <c r="H16" s="39">
        <v>52239</v>
      </c>
      <c r="I16" s="33" t="s">
        <v>60</v>
      </c>
      <c r="J16" s="33">
        <v>19</v>
      </c>
      <c r="K16" s="33">
        <v>5</v>
      </c>
      <c r="L16" s="33" t="s">
        <v>47</v>
      </c>
      <c r="M16" s="34">
        <v>645</v>
      </c>
      <c r="N16" s="35">
        <v>44804</v>
      </c>
      <c r="O16" s="44">
        <v>44834</v>
      </c>
      <c r="P16" s="41">
        <v>45169</v>
      </c>
      <c r="Q16" s="42">
        <v>45183</v>
      </c>
      <c r="R16" s="119">
        <v>45208</v>
      </c>
      <c r="S16" s="42">
        <f t="shared" si="2"/>
        <v>45534</v>
      </c>
      <c r="T16" s="41">
        <f t="shared" si="1"/>
        <v>45474</v>
      </c>
      <c r="U16" s="46">
        <v>45526</v>
      </c>
      <c r="V16" s="47">
        <v>45530</v>
      </c>
      <c r="AA16" s="160"/>
    </row>
    <row r="17" spans="1:27" ht="15.75" customHeight="1" x14ac:dyDescent="0.35">
      <c r="A17" s="29" t="s">
        <v>30</v>
      </c>
      <c r="B17" s="19" t="s">
        <v>52</v>
      </c>
      <c r="C17" s="19" t="s">
        <v>59</v>
      </c>
      <c r="D17" s="20" t="s">
        <v>61</v>
      </c>
      <c r="E17" s="21" t="s">
        <v>35</v>
      </c>
      <c r="F17" s="21">
        <v>2</v>
      </c>
      <c r="G17" s="19">
        <v>223136</v>
      </c>
      <c r="H17" s="19">
        <v>52099</v>
      </c>
      <c r="I17" s="21">
        <v>317</v>
      </c>
      <c r="J17" s="21">
        <v>19</v>
      </c>
      <c r="K17" s="21">
        <v>33</v>
      </c>
      <c r="L17" s="21" t="s">
        <v>62</v>
      </c>
      <c r="M17" s="20">
        <v>645</v>
      </c>
      <c r="N17" s="23">
        <v>44804</v>
      </c>
      <c r="O17" s="22"/>
      <c r="P17" s="24">
        <v>45169</v>
      </c>
      <c r="Q17" s="26">
        <v>45183</v>
      </c>
      <c r="R17" s="25"/>
      <c r="S17" s="26">
        <f t="shared" si="2"/>
        <v>45534</v>
      </c>
      <c r="T17" s="24">
        <f t="shared" si="1"/>
        <v>45474</v>
      </c>
      <c r="U17" s="36">
        <v>45537</v>
      </c>
      <c r="V17" s="27"/>
      <c r="AA17" s="160"/>
    </row>
    <row r="18" spans="1:27" ht="15.75" customHeight="1" x14ac:dyDescent="0.35">
      <c r="A18" s="29" t="s">
        <v>30</v>
      </c>
      <c r="B18" s="19" t="s">
        <v>52</v>
      </c>
      <c r="C18" s="19" t="s">
        <v>59</v>
      </c>
      <c r="D18" s="20" t="s">
        <v>63</v>
      </c>
      <c r="E18" s="21" t="s">
        <v>35</v>
      </c>
      <c r="F18" s="21">
        <v>2</v>
      </c>
      <c r="G18" s="19">
        <v>174352</v>
      </c>
      <c r="H18" s="19">
        <v>30804</v>
      </c>
      <c r="I18" s="21" t="s">
        <v>64</v>
      </c>
      <c r="J18" s="21">
        <v>19</v>
      </c>
      <c r="K18" s="21">
        <v>15</v>
      </c>
      <c r="L18" s="21" t="s">
        <v>23</v>
      </c>
      <c r="M18" s="20">
        <v>645</v>
      </c>
      <c r="N18" s="23">
        <v>44823</v>
      </c>
      <c r="O18" s="31">
        <v>44881</v>
      </c>
      <c r="P18" s="24">
        <v>45188</v>
      </c>
      <c r="Q18" s="26">
        <v>45246</v>
      </c>
      <c r="R18" s="26">
        <v>45251</v>
      </c>
      <c r="S18" s="26">
        <f t="shared" si="2"/>
        <v>45553</v>
      </c>
      <c r="T18" s="24">
        <f t="shared" si="1"/>
        <v>45493</v>
      </c>
      <c r="U18" s="36">
        <v>45517</v>
      </c>
      <c r="V18" s="27"/>
      <c r="AA18" s="160"/>
    </row>
    <row r="19" spans="1:27" ht="15.75" customHeight="1" x14ac:dyDescent="0.35">
      <c r="A19" s="29" t="s">
        <v>30</v>
      </c>
      <c r="B19" s="19" t="s">
        <v>52</v>
      </c>
      <c r="C19" s="19" t="s">
        <v>53</v>
      </c>
      <c r="D19" s="20" t="s">
        <v>26</v>
      </c>
      <c r="E19" s="21" t="s">
        <v>35</v>
      </c>
      <c r="F19" s="21">
        <v>2</v>
      </c>
      <c r="G19" s="19">
        <v>231952</v>
      </c>
      <c r="H19" s="19">
        <v>53386</v>
      </c>
      <c r="I19" s="21" t="s">
        <v>58</v>
      </c>
      <c r="J19" s="21">
        <v>19</v>
      </c>
      <c r="K19" s="21">
        <v>66</v>
      </c>
      <c r="L19" s="21" t="s">
        <v>23</v>
      </c>
      <c r="M19" s="20">
        <v>645</v>
      </c>
      <c r="N19" s="23">
        <v>44942</v>
      </c>
      <c r="O19" s="31">
        <v>44950</v>
      </c>
      <c r="P19" s="24"/>
      <c r="Q19" s="25"/>
      <c r="R19" s="25"/>
      <c r="S19" s="26">
        <f>O19+365</f>
        <v>45315</v>
      </c>
      <c r="T19" s="24">
        <f t="shared" si="1"/>
        <v>45255</v>
      </c>
      <c r="U19" s="36">
        <v>45414</v>
      </c>
      <c r="V19" s="27"/>
      <c r="AA19" s="160"/>
    </row>
    <row r="20" spans="1:27" ht="15.75" customHeight="1" x14ac:dyDescent="0.35">
      <c r="A20" s="38" t="s">
        <v>37</v>
      </c>
      <c r="B20" s="39" t="s">
        <v>52</v>
      </c>
      <c r="C20" s="39" t="s">
        <v>53</v>
      </c>
      <c r="D20" s="34" t="s">
        <v>26</v>
      </c>
      <c r="E20" s="33" t="s">
        <v>35</v>
      </c>
      <c r="F20" s="33">
        <v>4</v>
      </c>
      <c r="G20" s="39">
        <v>148121</v>
      </c>
      <c r="H20" s="39">
        <v>58564</v>
      </c>
      <c r="I20" s="33">
        <v>512</v>
      </c>
      <c r="J20" s="33">
        <v>19</v>
      </c>
      <c r="K20" s="33">
        <v>25</v>
      </c>
      <c r="L20" s="33" t="s">
        <v>47</v>
      </c>
      <c r="M20" s="34">
        <v>645</v>
      </c>
      <c r="N20" s="35">
        <v>45624</v>
      </c>
      <c r="O20" s="44">
        <v>45638</v>
      </c>
      <c r="P20" s="41"/>
      <c r="Q20" s="32"/>
      <c r="R20" s="32"/>
      <c r="S20" s="42"/>
      <c r="T20" s="41"/>
      <c r="U20" s="46"/>
      <c r="V20" s="43"/>
      <c r="AA20" s="160"/>
    </row>
    <row r="21" spans="1:27" ht="15.75" customHeight="1" x14ac:dyDescent="0.35">
      <c r="A21" s="29" t="s">
        <v>30</v>
      </c>
      <c r="B21" s="19" t="s">
        <v>52</v>
      </c>
      <c r="C21" s="19" t="s">
        <v>53</v>
      </c>
      <c r="D21" s="20" t="s">
        <v>26</v>
      </c>
      <c r="E21" s="21" t="s">
        <v>35</v>
      </c>
      <c r="F21" s="21">
        <v>2</v>
      </c>
      <c r="G21" s="19">
        <v>231953</v>
      </c>
      <c r="H21" s="19">
        <v>53390</v>
      </c>
      <c r="I21" s="21" t="s">
        <v>58</v>
      </c>
      <c r="J21" s="21">
        <v>19</v>
      </c>
      <c r="K21" s="21">
        <v>66</v>
      </c>
      <c r="L21" s="21" t="s">
        <v>47</v>
      </c>
      <c r="M21" s="20">
        <v>645</v>
      </c>
      <c r="N21" s="23">
        <v>44942</v>
      </c>
      <c r="O21" s="31">
        <v>44950</v>
      </c>
      <c r="P21" s="24"/>
      <c r="Q21" s="25"/>
      <c r="R21" s="25"/>
      <c r="S21" s="26">
        <f t="shared" ref="S21:S23" si="3">O21+365</f>
        <v>45315</v>
      </c>
      <c r="T21" s="24">
        <f t="shared" si="1"/>
        <v>45255</v>
      </c>
      <c r="U21" s="36">
        <v>45406</v>
      </c>
      <c r="V21" s="27"/>
      <c r="AA21" s="160"/>
    </row>
    <row r="22" spans="1:27" ht="15.75" customHeight="1" x14ac:dyDescent="0.35">
      <c r="A22" s="38" t="s">
        <v>37</v>
      </c>
      <c r="B22" s="39" t="s">
        <v>52</v>
      </c>
      <c r="C22" s="39" t="s">
        <v>59</v>
      </c>
      <c r="D22" s="34" t="s">
        <v>63</v>
      </c>
      <c r="E22" s="33" t="s">
        <v>35</v>
      </c>
      <c r="F22" s="33">
        <v>2</v>
      </c>
      <c r="G22" s="39">
        <v>205138</v>
      </c>
      <c r="H22" s="39">
        <v>48452</v>
      </c>
      <c r="I22" s="33" t="s">
        <v>65</v>
      </c>
      <c r="J22" s="33">
        <v>19</v>
      </c>
      <c r="K22" s="33">
        <v>25</v>
      </c>
      <c r="L22" s="33" t="s">
        <v>57</v>
      </c>
      <c r="M22" s="34">
        <v>645</v>
      </c>
      <c r="N22" s="35">
        <v>44942</v>
      </c>
      <c r="O22" s="44">
        <v>45054</v>
      </c>
      <c r="P22" s="41"/>
      <c r="Q22" s="32"/>
      <c r="R22" s="32"/>
      <c r="S22" s="42">
        <f t="shared" si="3"/>
        <v>45419</v>
      </c>
      <c r="T22" s="41">
        <f t="shared" si="1"/>
        <v>45359</v>
      </c>
      <c r="U22" s="46">
        <v>45511</v>
      </c>
      <c r="V22" s="47">
        <v>45537</v>
      </c>
      <c r="X22" s="79"/>
      <c r="AA22" s="160"/>
    </row>
    <row r="23" spans="1:27" ht="15.75" customHeight="1" x14ac:dyDescent="0.35">
      <c r="A23" s="38" t="s">
        <v>37</v>
      </c>
      <c r="B23" s="39" t="s">
        <v>52</v>
      </c>
      <c r="C23" s="39" t="s">
        <v>59</v>
      </c>
      <c r="D23" s="34" t="s">
        <v>63</v>
      </c>
      <c r="E23" s="33" t="s">
        <v>35</v>
      </c>
      <c r="F23" s="33">
        <v>2</v>
      </c>
      <c r="G23" s="39">
        <v>141654</v>
      </c>
      <c r="H23" s="39">
        <v>38421</v>
      </c>
      <c r="I23" s="33" t="s">
        <v>60</v>
      </c>
      <c r="J23" s="33">
        <v>25</v>
      </c>
      <c r="K23" s="33">
        <v>5</v>
      </c>
      <c r="L23" s="33" t="s">
        <v>23</v>
      </c>
      <c r="M23" s="34">
        <v>645</v>
      </c>
      <c r="N23" s="35">
        <v>44942</v>
      </c>
      <c r="O23" s="44">
        <v>45054</v>
      </c>
      <c r="P23" s="41"/>
      <c r="Q23" s="32"/>
      <c r="R23" s="32"/>
      <c r="S23" s="42">
        <f t="shared" si="3"/>
        <v>45419</v>
      </c>
      <c r="T23" s="41">
        <f t="shared" si="1"/>
        <v>45359</v>
      </c>
      <c r="U23" s="46">
        <v>45488</v>
      </c>
      <c r="V23" s="47">
        <v>45502</v>
      </c>
      <c r="X23" s="79"/>
      <c r="AA23" s="160"/>
    </row>
    <row r="24" spans="1:27" ht="15.75" customHeight="1" x14ac:dyDescent="0.35">
      <c r="A24" s="29" t="s">
        <v>30</v>
      </c>
      <c r="B24" s="19" t="s">
        <v>52</v>
      </c>
      <c r="C24" s="19" t="s">
        <v>53</v>
      </c>
      <c r="D24" s="20" t="s">
        <v>66</v>
      </c>
      <c r="E24" s="21" t="s">
        <v>35</v>
      </c>
      <c r="F24" s="21">
        <v>2</v>
      </c>
      <c r="G24" s="19">
        <v>151210</v>
      </c>
      <c r="H24" s="19">
        <v>23464</v>
      </c>
      <c r="I24" s="21" t="s">
        <v>58</v>
      </c>
      <c r="J24" s="21">
        <v>19</v>
      </c>
      <c r="K24" s="21">
        <v>25</v>
      </c>
      <c r="L24" s="21" t="s">
        <v>47</v>
      </c>
      <c r="M24" s="20">
        <v>645</v>
      </c>
      <c r="N24" s="21"/>
      <c r="O24" s="31">
        <v>44133</v>
      </c>
      <c r="P24" s="24"/>
      <c r="Q24" s="26">
        <v>45198</v>
      </c>
      <c r="R24" s="26">
        <v>45208</v>
      </c>
      <c r="S24" s="26">
        <f>Q24+365</f>
        <v>45563</v>
      </c>
      <c r="T24" s="24">
        <f t="shared" si="1"/>
        <v>45503</v>
      </c>
      <c r="U24" s="36">
        <v>45547</v>
      </c>
      <c r="V24" s="115"/>
      <c r="AA24" s="160"/>
    </row>
    <row r="25" spans="1:27" ht="15.75" customHeight="1" x14ac:dyDescent="0.35">
      <c r="A25" s="38" t="s">
        <v>37</v>
      </c>
      <c r="B25" s="39" t="s">
        <v>52</v>
      </c>
      <c r="C25" s="39" t="s">
        <v>67</v>
      </c>
      <c r="D25" s="34" t="s">
        <v>26</v>
      </c>
      <c r="E25" s="33" t="s">
        <v>35</v>
      </c>
      <c r="F25" s="33">
        <v>2</v>
      </c>
      <c r="G25" s="39">
        <v>216708</v>
      </c>
      <c r="H25" s="39" t="s">
        <v>68</v>
      </c>
      <c r="I25" s="33" t="s">
        <v>64</v>
      </c>
      <c r="J25" s="33">
        <v>19</v>
      </c>
      <c r="K25" s="33">
        <v>15</v>
      </c>
      <c r="L25" s="33" t="s">
        <v>47</v>
      </c>
      <c r="M25" s="34">
        <v>645</v>
      </c>
      <c r="N25" s="35">
        <v>45366</v>
      </c>
      <c r="O25" s="44">
        <v>45373</v>
      </c>
      <c r="P25" s="41"/>
      <c r="Q25" s="42"/>
      <c r="R25" s="42"/>
      <c r="S25" s="42"/>
      <c r="T25" s="41"/>
      <c r="U25" s="46">
        <v>45357</v>
      </c>
      <c r="V25" s="47">
        <v>45366</v>
      </c>
      <c r="AA25" s="160"/>
    </row>
    <row r="26" spans="1:27" ht="15.75" customHeight="1" x14ac:dyDescent="0.35">
      <c r="A26" s="38" t="s">
        <v>37</v>
      </c>
      <c r="B26" s="39" t="s">
        <v>52</v>
      </c>
      <c r="C26" s="39" t="s">
        <v>69</v>
      </c>
      <c r="D26" s="34" t="s">
        <v>26</v>
      </c>
      <c r="E26" s="33" t="s">
        <v>35</v>
      </c>
      <c r="F26" s="33">
        <v>2</v>
      </c>
      <c r="G26" s="39">
        <v>141009</v>
      </c>
      <c r="H26" s="39" t="s">
        <v>70</v>
      </c>
      <c r="I26" s="33" t="s">
        <v>60</v>
      </c>
      <c r="J26" s="33">
        <v>19</v>
      </c>
      <c r="K26" s="33">
        <v>5</v>
      </c>
      <c r="L26" s="33" t="s">
        <v>23</v>
      </c>
      <c r="M26" s="34">
        <v>645</v>
      </c>
      <c r="N26" s="35">
        <v>45385</v>
      </c>
      <c r="O26" s="44">
        <v>45400</v>
      </c>
      <c r="P26" s="41"/>
      <c r="Q26" s="42"/>
      <c r="R26" s="42"/>
      <c r="S26" s="42"/>
      <c r="T26" s="41"/>
      <c r="U26" s="46">
        <v>45385</v>
      </c>
      <c r="V26" s="47">
        <v>45400</v>
      </c>
      <c r="AA26" s="160"/>
    </row>
    <row r="27" spans="1:27" ht="15.75" customHeight="1" x14ac:dyDescent="0.35">
      <c r="A27" s="38" t="s">
        <v>37</v>
      </c>
      <c r="B27" s="39" t="s">
        <v>52</v>
      </c>
      <c r="C27" s="39" t="s">
        <v>69</v>
      </c>
      <c r="D27" s="34" t="s">
        <v>63</v>
      </c>
      <c r="E27" s="33" t="s">
        <v>35</v>
      </c>
      <c r="F27" s="33">
        <v>2</v>
      </c>
      <c r="G27" s="39">
        <v>99631</v>
      </c>
      <c r="H27" s="39">
        <v>35376</v>
      </c>
      <c r="I27" s="33" t="s">
        <v>46</v>
      </c>
      <c r="J27" s="33">
        <v>19</v>
      </c>
      <c r="K27" s="33">
        <v>25</v>
      </c>
      <c r="L27" s="33" t="s">
        <v>23</v>
      </c>
      <c r="M27" s="34">
        <v>645</v>
      </c>
      <c r="N27" s="35">
        <v>44460</v>
      </c>
      <c r="O27" s="44"/>
      <c r="P27" s="41"/>
      <c r="Q27" s="42"/>
      <c r="R27" s="42"/>
      <c r="S27" s="42"/>
      <c r="T27" s="41"/>
      <c r="U27" s="46">
        <v>45393</v>
      </c>
      <c r="V27" s="47">
        <v>45441</v>
      </c>
      <c r="AA27" s="160"/>
    </row>
    <row r="28" spans="1:27" ht="15.75" customHeight="1" x14ac:dyDescent="0.35">
      <c r="A28" s="38" t="s">
        <v>37</v>
      </c>
      <c r="B28" s="39" t="s">
        <v>52</v>
      </c>
      <c r="C28" s="39" t="s">
        <v>69</v>
      </c>
      <c r="D28" s="34" t="s">
        <v>71</v>
      </c>
      <c r="E28" s="33" t="s">
        <v>35</v>
      </c>
      <c r="F28" s="33">
        <v>2</v>
      </c>
      <c r="G28" s="39">
        <v>174060</v>
      </c>
      <c r="H28" s="39">
        <v>21099</v>
      </c>
      <c r="I28" s="33" t="s">
        <v>72</v>
      </c>
      <c r="J28" s="33">
        <v>19</v>
      </c>
      <c r="K28" s="33">
        <v>5</v>
      </c>
      <c r="L28" s="33" t="s">
        <v>23</v>
      </c>
      <c r="M28" s="34">
        <v>645</v>
      </c>
      <c r="N28" s="35">
        <v>45385</v>
      </c>
      <c r="O28" s="44">
        <v>45420</v>
      </c>
      <c r="P28" s="41"/>
      <c r="Q28" s="42"/>
      <c r="R28" s="42"/>
      <c r="S28" s="42"/>
      <c r="T28" s="41"/>
      <c r="U28" s="46">
        <v>45385</v>
      </c>
      <c r="V28" s="47">
        <v>45420</v>
      </c>
      <c r="AA28" s="160"/>
    </row>
    <row r="29" spans="1:27" ht="15.75" customHeight="1" x14ac:dyDescent="0.35">
      <c r="A29" s="29" t="s">
        <v>30</v>
      </c>
      <c r="B29" s="19" t="s">
        <v>73</v>
      </c>
      <c r="C29" s="19" t="s">
        <v>74</v>
      </c>
      <c r="D29" s="20" t="s">
        <v>75</v>
      </c>
      <c r="E29" s="21" t="s">
        <v>35</v>
      </c>
      <c r="F29" s="21">
        <v>2</v>
      </c>
      <c r="G29" s="19">
        <v>156361</v>
      </c>
      <c r="H29" s="19" t="s">
        <v>76</v>
      </c>
      <c r="I29" s="21" t="s">
        <v>77</v>
      </c>
      <c r="J29" s="21">
        <v>19</v>
      </c>
      <c r="K29" s="21">
        <v>25</v>
      </c>
      <c r="L29" s="21" t="s">
        <v>23</v>
      </c>
      <c r="M29" s="62">
        <v>40429</v>
      </c>
      <c r="N29" s="23">
        <v>44202</v>
      </c>
      <c r="O29" s="31">
        <v>44216</v>
      </c>
      <c r="P29" s="24">
        <v>44959</v>
      </c>
      <c r="Q29" s="26">
        <v>45075</v>
      </c>
      <c r="R29" s="25"/>
      <c r="S29" s="26">
        <f>P29+365</f>
        <v>45324</v>
      </c>
      <c r="T29" s="24">
        <f t="shared" si="1"/>
        <v>45264</v>
      </c>
      <c r="U29" s="36">
        <v>45362</v>
      </c>
      <c r="V29" s="27"/>
      <c r="AA29" s="159" t="s">
        <v>318</v>
      </c>
    </row>
    <row r="30" spans="1:27" ht="15.75" customHeight="1" x14ac:dyDescent="0.35">
      <c r="A30" s="38" t="s">
        <v>37</v>
      </c>
      <c r="B30" s="39" t="s">
        <v>73</v>
      </c>
      <c r="C30" s="39" t="s">
        <v>74</v>
      </c>
      <c r="D30" s="34" t="s">
        <v>78</v>
      </c>
      <c r="E30" s="33" t="s">
        <v>35</v>
      </c>
      <c r="F30" s="33">
        <v>2</v>
      </c>
      <c r="G30" s="39">
        <v>99631</v>
      </c>
      <c r="H30" s="39" t="s">
        <v>79</v>
      </c>
      <c r="I30" s="33" t="s">
        <v>46</v>
      </c>
      <c r="J30" s="33">
        <v>19</v>
      </c>
      <c r="K30" s="33">
        <v>25</v>
      </c>
      <c r="L30" s="33" t="s">
        <v>23</v>
      </c>
      <c r="M30" s="63">
        <v>40429</v>
      </c>
      <c r="N30" s="35">
        <v>44266</v>
      </c>
      <c r="O30" s="44">
        <v>44275</v>
      </c>
      <c r="P30" s="41">
        <v>45001</v>
      </c>
      <c r="Q30" s="42">
        <v>45075</v>
      </c>
      <c r="R30" s="32"/>
      <c r="S30" s="42">
        <f t="shared" ref="S30:S31" si="4">P30+365</f>
        <v>45366</v>
      </c>
      <c r="T30" s="41">
        <f t="shared" si="1"/>
        <v>45306</v>
      </c>
      <c r="U30" s="46">
        <v>45359</v>
      </c>
      <c r="V30" s="47">
        <v>45414</v>
      </c>
      <c r="AA30" s="159" t="s">
        <v>318</v>
      </c>
    </row>
    <row r="31" spans="1:27" ht="15.75" customHeight="1" x14ac:dyDescent="0.35">
      <c r="A31" s="38" t="s">
        <v>37</v>
      </c>
      <c r="B31" s="39" t="s">
        <v>73</v>
      </c>
      <c r="C31" s="39" t="s">
        <v>74</v>
      </c>
      <c r="D31" s="34" t="s">
        <v>75</v>
      </c>
      <c r="E31" s="33" t="s">
        <v>35</v>
      </c>
      <c r="F31" s="33">
        <v>2</v>
      </c>
      <c r="G31" s="39">
        <v>172995</v>
      </c>
      <c r="H31" s="39" t="s">
        <v>80</v>
      </c>
      <c r="I31" s="33" t="s">
        <v>81</v>
      </c>
      <c r="J31" s="33">
        <v>35</v>
      </c>
      <c r="K31" s="33">
        <v>10</v>
      </c>
      <c r="L31" s="33" t="s">
        <v>23</v>
      </c>
      <c r="M31" s="63">
        <v>40429</v>
      </c>
      <c r="N31" s="35">
        <v>44623</v>
      </c>
      <c r="O31" s="40"/>
      <c r="P31" s="41">
        <v>44988</v>
      </c>
      <c r="Q31" s="42">
        <v>45075</v>
      </c>
      <c r="R31" s="32"/>
      <c r="S31" s="42">
        <f t="shared" si="4"/>
        <v>45353</v>
      </c>
      <c r="T31" s="41">
        <f t="shared" si="1"/>
        <v>45293</v>
      </c>
      <c r="U31" s="46">
        <v>45359</v>
      </c>
      <c r="V31" s="47">
        <v>45398</v>
      </c>
      <c r="AA31" s="159" t="s">
        <v>318</v>
      </c>
    </row>
    <row r="32" spans="1:27" ht="15.75" customHeight="1" x14ac:dyDescent="0.35">
      <c r="A32" s="29" t="s">
        <v>30</v>
      </c>
      <c r="B32" s="19" t="s">
        <v>82</v>
      </c>
      <c r="C32" s="68" t="s">
        <v>83</v>
      </c>
      <c r="D32" s="20"/>
      <c r="E32" s="65" t="s">
        <v>35</v>
      </c>
      <c r="F32" s="21">
        <v>2</v>
      </c>
      <c r="G32" s="19">
        <v>147094</v>
      </c>
      <c r="H32" s="19">
        <v>162339</v>
      </c>
      <c r="I32" s="21" t="s">
        <v>46</v>
      </c>
      <c r="J32" s="21">
        <v>19</v>
      </c>
      <c r="K32" s="21">
        <v>25</v>
      </c>
      <c r="L32" s="21" t="s">
        <v>47</v>
      </c>
      <c r="M32" s="20">
        <v>132984</v>
      </c>
      <c r="N32" s="31">
        <v>45302</v>
      </c>
      <c r="O32" s="22"/>
      <c r="P32" s="24"/>
      <c r="Q32" s="22"/>
      <c r="R32" s="22"/>
      <c r="S32" s="22"/>
      <c r="T32" s="24"/>
      <c r="U32" s="20"/>
      <c r="V32" s="27"/>
      <c r="AA32" s="160"/>
    </row>
    <row r="33" spans="1:27" ht="15.75" customHeight="1" x14ac:dyDescent="0.35">
      <c r="A33" s="29" t="s">
        <v>30</v>
      </c>
      <c r="B33" s="19" t="s">
        <v>82</v>
      </c>
      <c r="C33" s="120" t="s">
        <v>83</v>
      </c>
      <c r="D33" s="71"/>
      <c r="E33" s="88" t="s">
        <v>35</v>
      </c>
      <c r="F33" s="21">
        <v>2</v>
      </c>
      <c r="G33" s="19">
        <v>172994</v>
      </c>
      <c r="H33" s="19">
        <v>158154</v>
      </c>
      <c r="I33" s="21">
        <v>8550</v>
      </c>
      <c r="J33" s="21">
        <v>19</v>
      </c>
      <c r="K33" s="21">
        <v>25</v>
      </c>
      <c r="L33" s="21" t="s">
        <v>23</v>
      </c>
      <c r="M33" s="20">
        <v>132984</v>
      </c>
      <c r="N33" s="31">
        <v>45194</v>
      </c>
      <c r="O33" s="31">
        <v>45195</v>
      </c>
      <c r="P33" s="24"/>
      <c r="Q33" s="22"/>
      <c r="R33" s="22"/>
      <c r="S33" s="22"/>
      <c r="T33" s="24"/>
      <c r="U33" s="36">
        <v>45531</v>
      </c>
      <c r="V33" s="27"/>
      <c r="AA33" s="160"/>
    </row>
    <row r="34" spans="1:27" s="67" customFormat="1" ht="15.75" customHeight="1" x14ac:dyDescent="0.35">
      <c r="A34" s="38" t="s">
        <v>37</v>
      </c>
      <c r="B34" s="39" t="s">
        <v>82</v>
      </c>
      <c r="C34" s="110" t="s">
        <v>83</v>
      </c>
      <c r="D34" s="102" t="s">
        <v>84</v>
      </c>
      <c r="E34" s="111" t="s">
        <v>35</v>
      </c>
      <c r="F34" s="33">
        <v>4</v>
      </c>
      <c r="G34" s="39">
        <v>156317</v>
      </c>
      <c r="H34" s="39">
        <v>158182</v>
      </c>
      <c r="I34" s="33">
        <v>317</v>
      </c>
      <c r="J34" s="33">
        <v>19</v>
      </c>
      <c r="K34" s="33">
        <v>33</v>
      </c>
      <c r="L34" s="33" t="s">
        <v>85</v>
      </c>
      <c r="M34" s="34">
        <v>132984</v>
      </c>
      <c r="N34" s="44">
        <v>45504</v>
      </c>
      <c r="O34" s="44">
        <v>45512</v>
      </c>
      <c r="P34" s="41"/>
      <c r="Q34" s="40"/>
      <c r="R34" s="40"/>
      <c r="S34" s="40"/>
      <c r="T34" s="41"/>
      <c r="U34" s="34"/>
      <c r="V34" s="43"/>
      <c r="W34"/>
      <c r="AA34" s="161"/>
    </row>
    <row r="35" spans="1:27" s="67" customFormat="1" ht="15.75" customHeight="1" x14ac:dyDescent="0.35">
      <c r="A35" s="138" t="s">
        <v>304</v>
      </c>
      <c r="B35" s="139" t="s">
        <v>82</v>
      </c>
      <c r="C35" s="140" t="s">
        <v>83</v>
      </c>
      <c r="D35" s="141"/>
      <c r="E35" s="142" t="s">
        <v>35</v>
      </c>
      <c r="F35" s="143">
        <v>4</v>
      </c>
      <c r="G35" s="139"/>
      <c r="H35" s="139"/>
      <c r="I35" s="143" t="s">
        <v>46</v>
      </c>
      <c r="J35" s="143">
        <v>38</v>
      </c>
      <c r="K35" s="143">
        <v>25</v>
      </c>
      <c r="L35" s="143" t="s">
        <v>23</v>
      </c>
      <c r="M35" s="144"/>
      <c r="N35" s="13"/>
      <c r="O35" s="13"/>
      <c r="P35" s="145"/>
      <c r="Q35" s="146"/>
      <c r="R35" s="146"/>
      <c r="S35" s="146"/>
      <c r="T35" s="145"/>
      <c r="U35" s="144"/>
      <c r="V35" s="147"/>
      <c r="W35"/>
      <c r="AA35" s="159" t="s">
        <v>319</v>
      </c>
    </row>
    <row r="36" spans="1:27" s="67" customFormat="1" ht="15.75" customHeight="1" x14ac:dyDescent="0.35">
      <c r="A36" s="38" t="s">
        <v>30</v>
      </c>
      <c r="B36" s="39" t="s">
        <v>307</v>
      </c>
      <c r="C36" s="110" t="s">
        <v>308</v>
      </c>
      <c r="D36" s="102"/>
      <c r="E36" s="33" t="s">
        <v>22</v>
      </c>
      <c r="F36" s="33">
        <v>4</v>
      </c>
      <c r="G36" s="148">
        <v>99264</v>
      </c>
      <c r="H36" s="39" t="s">
        <v>309</v>
      </c>
      <c r="I36" s="33" t="s">
        <v>46</v>
      </c>
      <c r="J36" s="33">
        <v>38</v>
      </c>
      <c r="K36" s="33">
        <v>25</v>
      </c>
      <c r="L36" s="33" t="s">
        <v>23</v>
      </c>
      <c r="M36" s="39">
        <v>63372</v>
      </c>
      <c r="N36" s="44">
        <v>45593</v>
      </c>
      <c r="O36" s="44">
        <v>45617</v>
      </c>
      <c r="P36" s="41"/>
      <c r="Q36" s="40"/>
      <c r="R36" s="40"/>
      <c r="S36" s="40"/>
      <c r="T36" s="41"/>
      <c r="U36" s="34"/>
      <c r="V36" s="43"/>
      <c r="W36"/>
      <c r="AA36" s="161"/>
    </row>
    <row r="37" spans="1:27" ht="15.75" customHeight="1" x14ac:dyDescent="0.35">
      <c r="A37" s="28"/>
      <c r="B37" s="9" t="s">
        <v>86</v>
      </c>
      <c r="C37" s="9" t="s">
        <v>89</v>
      </c>
      <c r="D37" s="10"/>
      <c r="E37" s="11" t="s">
        <v>22</v>
      </c>
      <c r="F37" s="2">
        <v>2</v>
      </c>
      <c r="G37" s="9">
        <v>183452</v>
      </c>
      <c r="H37" s="9" t="s">
        <v>90</v>
      </c>
      <c r="I37" s="11" t="s">
        <v>88</v>
      </c>
      <c r="J37" s="11">
        <v>25</v>
      </c>
      <c r="K37" s="11">
        <v>25</v>
      </c>
      <c r="L37" s="11" t="s">
        <v>23</v>
      </c>
      <c r="M37" s="135">
        <v>25095</v>
      </c>
      <c r="N37" s="12">
        <v>44179</v>
      </c>
      <c r="O37" s="13">
        <v>44245</v>
      </c>
      <c r="P37" s="8">
        <v>45274</v>
      </c>
      <c r="Q37" s="14">
        <v>45246</v>
      </c>
      <c r="R37" s="14"/>
      <c r="S37" s="14">
        <f t="shared" ref="S37:S52" si="5">P37+365</f>
        <v>45639</v>
      </c>
      <c r="T37" s="8">
        <f t="shared" si="1"/>
        <v>45579</v>
      </c>
      <c r="U37" s="10"/>
      <c r="V37" s="15"/>
      <c r="W37" s="127"/>
      <c r="AA37" s="160"/>
    </row>
    <row r="38" spans="1:27" ht="15.75" customHeight="1" x14ac:dyDescent="0.35">
      <c r="A38" s="29" t="s">
        <v>30</v>
      </c>
      <c r="B38" s="19" t="s">
        <v>86</v>
      </c>
      <c r="C38" s="19" t="s">
        <v>89</v>
      </c>
      <c r="D38" s="20"/>
      <c r="E38" s="21"/>
      <c r="F38" s="21">
        <v>2</v>
      </c>
      <c r="G38" s="19">
        <v>156030</v>
      </c>
      <c r="H38" s="19" t="s">
        <v>294</v>
      </c>
      <c r="I38" s="21" t="s">
        <v>88</v>
      </c>
      <c r="J38" s="21">
        <v>19</v>
      </c>
      <c r="K38" s="21">
        <v>25</v>
      </c>
      <c r="L38" s="21" t="s">
        <v>23</v>
      </c>
      <c r="M38" s="20">
        <v>25095</v>
      </c>
      <c r="N38" s="23">
        <v>44968</v>
      </c>
      <c r="O38" s="31"/>
      <c r="P38" s="24"/>
      <c r="Q38" s="26"/>
      <c r="R38" s="26"/>
      <c r="S38" s="26"/>
      <c r="T38" s="24"/>
      <c r="U38" s="36">
        <v>45547</v>
      </c>
      <c r="V38" s="27"/>
      <c r="AA38" s="160"/>
    </row>
    <row r="39" spans="1:27" ht="15.75" customHeight="1" x14ac:dyDescent="0.35">
      <c r="A39" s="29" t="s">
        <v>30</v>
      </c>
      <c r="B39" s="19" t="s">
        <v>86</v>
      </c>
      <c r="C39" s="19" t="s">
        <v>87</v>
      </c>
      <c r="D39" s="20" t="s">
        <v>91</v>
      </c>
      <c r="E39" s="21" t="s">
        <v>35</v>
      </c>
      <c r="F39" s="21">
        <v>2</v>
      </c>
      <c r="G39" s="19">
        <v>105407</v>
      </c>
      <c r="H39" s="19" t="s">
        <v>92</v>
      </c>
      <c r="I39" s="21">
        <v>8551</v>
      </c>
      <c r="J39" s="21">
        <v>19</v>
      </c>
      <c r="K39" s="21">
        <v>25</v>
      </c>
      <c r="L39" s="21" t="s">
        <v>23</v>
      </c>
      <c r="M39" s="20">
        <v>208903</v>
      </c>
      <c r="N39" s="23">
        <v>44942</v>
      </c>
      <c r="O39" s="22"/>
      <c r="P39" s="24"/>
      <c r="Q39" s="25"/>
      <c r="R39" s="25"/>
      <c r="S39" s="26">
        <f>N39+365</f>
        <v>45307</v>
      </c>
      <c r="T39" s="24">
        <f t="shared" si="1"/>
        <v>45247</v>
      </c>
      <c r="U39" s="36">
        <v>45357</v>
      </c>
      <c r="V39" s="27"/>
      <c r="AA39" s="160"/>
    </row>
    <row r="40" spans="1:27" ht="15.75" customHeight="1" x14ac:dyDescent="0.35">
      <c r="A40" s="29" t="s">
        <v>30</v>
      </c>
      <c r="B40" s="19" t="s">
        <v>93</v>
      </c>
      <c r="C40" s="19" t="s">
        <v>94</v>
      </c>
      <c r="D40" s="20" t="s">
        <v>95</v>
      </c>
      <c r="E40" s="21" t="s">
        <v>22</v>
      </c>
      <c r="F40" s="21">
        <v>2</v>
      </c>
      <c r="G40" s="19">
        <v>99631</v>
      </c>
      <c r="H40" s="19" t="s">
        <v>96</v>
      </c>
      <c r="I40" s="21" t="s">
        <v>46</v>
      </c>
      <c r="J40" s="21">
        <v>19</v>
      </c>
      <c r="K40" s="21">
        <v>25</v>
      </c>
      <c r="L40" s="21" t="s">
        <v>23</v>
      </c>
      <c r="M40" s="20">
        <v>37054</v>
      </c>
      <c r="N40" s="23">
        <v>45356</v>
      </c>
      <c r="O40" s="22"/>
      <c r="P40" s="24"/>
      <c r="Q40" s="25"/>
      <c r="R40" s="25"/>
      <c r="S40" s="26"/>
      <c r="T40" s="24"/>
      <c r="U40" s="20"/>
      <c r="V40" s="27"/>
      <c r="AA40" s="159" t="s">
        <v>317</v>
      </c>
    </row>
    <row r="41" spans="1:27" ht="15.75" customHeight="1" x14ac:dyDescent="0.35">
      <c r="A41" s="29" t="s">
        <v>30</v>
      </c>
      <c r="B41" s="19" t="s">
        <v>97</v>
      </c>
      <c r="C41" s="19" t="s">
        <v>98</v>
      </c>
      <c r="D41" s="20" t="s">
        <v>66</v>
      </c>
      <c r="E41" s="21" t="s">
        <v>22</v>
      </c>
      <c r="F41" s="21">
        <v>2</v>
      </c>
      <c r="G41" s="19">
        <v>141009</v>
      </c>
      <c r="H41" s="19" t="s">
        <v>99</v>
      </c>
      <c r="I41" s="21" t="s">
        <v>60</v>
      </c>
      <c r="J41" s="21">
        <v>19</v>
      </c>
      <c r="K41" s="21">
        <v>5</v>
      </c>
      <c r="L41" s="21" t="s">
        <v>23</v>
      </c>
      <c r="M41" s="22"/>
      <c r="N41" s="23">
        <v>44202</v>
      </c>
      <c r="O41" s="31">
        <v>44203</v>
      </c>
      <c r="P41" s="24">
        <v>44936</v>
      </c>
      <c r="Q41" s="26">
        <v>45000</v>
      </c>
      <c r="R41" s="26">
        <v>45000</v>
      </c>
      <c r="S41" s="26">
        <f t="shared" si="5"/>
        <v>45301</v>
      </c>
      <c r="T41" s="24">
        <f t="shared" si="1"/>
        <v>45241</v>
      </c>
      <c r="U41" s="36">
        <v>45406</v>
      </c>
      <c r="V41" s="27"/>
      <c r="AA41" s="160"/>
    </row>
    <row r="42" spans="1:27" ht="15.75" customHeight="1" x14ac:dyDescent="0.35">
      <c r="A42" s="29" t="s">
        <v>30</v>
      </c>
      <c r="B42" s="19" t="s">
        <v>100</v>
      </c>
      <c r="C42" s="19" t="s">
        <v>101</v>
      </c>
      <c r="D42" s="20" t="s">
        <v>102</v>
      </c>
      <c r="E42" s="21" t="s">
        <v>22</v>
      </c>
      <c r="F42" s="21">
        <v>2</v>
      </c>
      <c r="G42" s="19">
        <v>172995</v>
      </c>
      <c r="H42" s="19" t="s">
        <v>103</v>
      </c>
      <c r="I42" s="21" t="s">
        <v>81</v>
      </c>
      <c r="J42" s="21">
        <v>35</v>
      </c>
      <c r="K42" s="21">
        <v>10</v>
      </c>
      <c r="L42" s="21" t="s">
        <v>23</v>
      </c>
      <c r="M42" s="61">
        <v>53381</v>
      </c>
      <c r="N42" s="23">
        <v>44223</v>
      </c>
      <c r="O42" s="31"/>
      <c r="P42" s="24">
        <v>44936</v>
      </c>
      <c r="Q42" s="26">
        <v>45075</v>
      </c>
      <c r="R42" s="26">
        <v>45173</v>
      </c>
      <c r="S42" s="26">
        <f t="shared" si="5"/>
        <v>45301</v>
      </c>
      <c r="T42" s="24">
        <f t="shared" si="1"/>
        <v>45241</v>
      </c>
      <c r="U42" s="36">
        <v>45359</v>
      </c>
      <c r="V42" s="27"/>
      <c r="AA42" s="160"/>
    </row>
    <row r="43" spans="1:27" ht="15.75" customHeight="1" x14ac:dyDescent="0.35">
      <c r="A43" s="29" t="s">
        <v>30</v>
      </c>
      <c r="B43" s="19" t="s">
        <v>100</v>
      </c>
      <c r="C43" s="19" t="s">
        <v>104</v>
      </c>
      <c r="D43" s="20"/>
      <c r="E43" s="21" t="s">
        <v>22</v>
      </c>
      <c r="F43" s="21">
        <v>2</v>
      </c>
      <c r="G43" s="19">
        <v>197514</v>
      </c>
      <c r="H43" s="19" t="s">
        <v>107</v>
      </c>
      <c r="I43" s="21">
        <v>505</v>
      </c>
      <c r="J43" s="21">
        <v>19</v>
      </c>
      <c r="K43" s="21">
        <v>25</v>
      </c>
      <c r="L43" s="21" t="s">
        <v>108</v>
      </c>
      <c r="M43" s="61">
        <v>53381</v>
      </c>
      <c r="N43" s="23">
        <v>43599</v>
      </c>
      <c r="O43" s="31"/>
      <c r="P43" s="24">
        <v>45040</v>
      </c>
      <c r="Q43" s="26">
        <v>45075</v>
      </c>
      <c r="R43" s="25"/>
      <c r="S43" s="26">
        <f t="shared" si="5"/>
        <v>45405</v>
      </c>
      <c r="T43" s="24">
        <f t="shared" si="1"/>
        <v>45345</v>
      </c>
      <c r="U43" s="36">
        <v>45497</v>
      </c>
      <c r="V43" s="27"/>
      <c r="AA43" s="160"/>
    </row>
    <row r="44" spans="1:27" ht="15.75" customHeight="1" x14ac:dyDescent="0.35">
      <c r="A44" s="29" t="s">
        <v>30</v>
      </c>
      <c r="B44" s="19" t="s">
        <v>100</v>
      </c>
      <c r="C44" s="19" t="s">
        <v>104</v>
      </c>
      <c r="D44" s="20" t="s">
        <v>102</v>
      </c>
      <c r="E44" s="21" t="s">
        <v>22</v>
      </c>
      <c r="F44" s="21">
        <v>2</v>
      </c>
      <c r="G44" s="19">
        <v>164194</v>
      </c>
      <c r="H44" s="19" t="s">
        <v>109</v>
      </c>
      <c r="I44" s="21" t="s">
        <v>110</v>
      </c>
      <c r="J44" s="21">
        <v>35</v>
      </c>
      <c r="K44" s="21">
        <v>10</v>
      </c>
      <c r="L44" s="21" t="s">
        <v>23</v>
      </c>
      <c r="M44" s="61">
        <v>53381</v>
      </c>
      <c r="N44" s="23">
        <v>44070</v>
      </c>
      <c r="O44" s="31">
        <v>44138</v>
      </c>
      <c r="P44" s="24">
        <v>45059</v>
      </c>
      <c r="Q44" s="26">
        <v>45060</v>
      </c>
      <c r="R44" s="25"/>
      <c r="S44" s="26">
        <f t="shared" si="5"/>
        <v>45424</v>
      </c>
      <c r="T44" s="24">
        <f t="shared" si="1"/>
        <v>45364</v>
      </c>
      <c r="U44" s="36">
        <v>45488</v>
      </c>
      <c r="V44" s="27"/>
      <c r="X44" s="79"/>
      <c r="AA44" s="160"/>
    </row>
    <row r="45" spans="1:27" ht="15.75" customHeight="1" x14ac:dyDescent="0.35">
      <c r="A45" s="29" t="s">
        <v>30</v>
      </c>
      <c r="B45" s="19" t="s">
        <v>111</v>
      </c>
      <c r="C45" s="19" t="s">
        <v>112</v>
      </c>
      <c r="D45" s="20" t="s">
        <v>113</v>
      </c>
      <c r="E45" s="21" t="s">
        <v>22</v>
      </c>
      <c r="F45" s="21">
        <v>2</v>
      </c>
      <c r="G45" s="19">
        <v>99631</v>
      </c>
      <c r="H45" s="19" t="s">
        <v>46</v>
      </c>
      <c r="I45" s="21" t="s">
        <v>46</v>
      </c>
      <c r="J45" s="21">
        <v>19</v>
      </c>
      <c r="K45" s="21">
        <v>25</v>
      </c>
      <c r="L45" s="21" t="s">
        <v>23</v>
      </c>
      <c r="M45" s="61">
        <v>6345</v>
      </c>
      <c r="N45" s="23">
        <v>43721</v>
      </c>
      <c r="O45" s="23">
        <v>43721</v>
      </c>
      <c r="P45" s="24">
        <v>45076</v>
      </c>
      <c r="Q45" s="26">
        <v>45077</v>
      </c>
      <c r="R45" s="26">
        <v>45077</v>
      </c>
      <c r="S45" s="26">
        <f t="shared" si="5"/>
        <v>45441</v>
      </c>
      <c r="T45" s="24">
        <f t="shared" si="1"/>
        <v>45381</v>
      </c>
      <c r="U45" s="36">
        <v>45463</v>
      </c>
      <c r="V45" s="27"/>
      <c r="AA45" s="160"/>
    </row>
    <row r="46" spans="1:27" ht="15.75" customHeight="1" x14ac:dyDescent="0.35">
      <c r="A46" s="29" t="s">
        <v>30</v>
      </c>
      <c r="B46" s="19" t="s">
        <v>111</v>
      </c>
      <c r="C46" s="19" t="s">
        <v>112</v>
      </c>
      <c r="D46" s="20" t="s">
        <v>75</v>
      </c>
      <c r="E46" s="21" t="s">
        <v>22</v>
      </c>
      <c r="F46" s="21">
        <v>2</v>
      </c>
      <c r="G46" s="19">
        <v>162216</v>
      </c>
      <c r="H46" s="19" t="s">
        <v>114</v>
      </c>
      <c r="I46" s="21">
        <v>839</v>
      </c>
      <c r="J46" s="21">
        <v>9</v>
      </c>
      <c r="K46" s="21">
        <v>25</v>
      </c>
      <c r="L46" s="21" t="s">
        <v>85</v>
      </c>
      <c r="M46" s="61">
        <v>6345</v>
      </c>
      <c r="N46" s="23">
        <v>43787</v>
      </c>
      <c r="O46" s="31">
        <v>43788</v>
      </c>
      <c r="P46" s="24">
        <v>45067</v>
      </c>
      <c r="Q46" s="26">
        <v>45034</v>
      </c>
      <c r="R46" s="26">
        <v>45035</v>
      </c>
      <c r="S46" s="26">
        <f t="shared" si="5"/>
        <v>45432</v>
      </c>
      <c r="T46" s="24">
        <f t="shared" si="1"/>
        <v>45372</v>
      </c>
      <c r="U46" s="36">
        <v>45422</v>
      </c>
      <c r="V46" s="27"/>
      <c r="AA46" s="160"/>
    </row>
    <row r="47" spans="1:27" ht="15.75" customHeight="1" x14ac:dyDescent="0.35">
      <c r="A47" s="38" t="s">
        <v>37</v>
      </c>
      <c r="B47" s="39" t="s">
        <v>111</v>
      </c>
      <c r="C47" s="39" t="s">
        <v>112</v>
      </c>
      <c r="D47" s="34" t="s">
        <v>115</v>
      </c>
      <c r="E47" s="33" t="s">
        <v>22</v>
      </c>
      <c r="F47" s="33">
        <v>2</v>
      </c>
      <c r="G47" s="39">
        <v>156030</v>
      </c>
      <c r="H47" s="39" t="s">
        <v>116</v>
      </c>
      <c r="I47" s="33" t="s">
        <v>88</v>
      </c>
      <c r="J47" s="33">
        <v>19</v>
      </c>
      <c r="K47" s="33">
        <v>25</v>
      </c>
      <c r="L47" s="33" t="s">
        <v>23</v>
      </c>
      <c r="M47" s="63">
        <v>6345</v>
      </c>
      <c r="N47" s="35">
        <v>43787</v>
      </c>
      <c r="O47" s="44">
        <v>43788</v>
      </c>
      <c r="P47" s="42">
        <v>45065</v>
      </c>
      <c r="Q47" s="42">
        <v>45077</v>
      </c>
      <c r="R47" s="42">
        <v>45077</v>
      </c>
      <c r="S47" s="42">
        <f t="shared" si="5"/>
        <v>45430</v>
      </c>
      <c r="T47" s="41">
        <f t="shared" si="1"/>
        <v>45370</v>
      </c>
      <c r="U47" s="46">
        <v>45463</v>
      </c>
      <c r="V47" s="47">
        <v>45476</v>
      </c>
      <c r="AA47" s="160"/>
    </row>
    <row r="48" spans="1:27" ht="15.75" customHeight="1" x14ac:dyDescent="0.35">
      <c r="A48" s="38" t="s">
        <v>37</v>
      </c>
      <c r="B48" s="39" t="s">
        <v>111</v>
      </c>
      <c r="C48" s="39" t="s">
        <v>112</v>
      </c>
      <c r="D48" s="34" t="s">
        <v>117</v>
      </c>
      <c r="E48" s="33" t="s">
        <v>22</v>
      </c>
      <c r="F48" s="33">
        <v>2</v>
      </c>
      <c r="G48" s="39">
        <v>173540</v>
      </c>
      <c r="H48" s="39" t="s">
        <v>118</v>
      </c>
      <c r="I48" s="33">
        <v>512</v>
      </c>
      <c r="J48" s="33">
        <v>19</v>
      </c>
      <c r="K48" s="33">
        <v>25</v>
      </c>
      <c r="L48" s="33" t="s">
        <v>23</v>
      </c>
      <c r="M48" s="63">
        <v>6345</v>
      </c>
      <c r="N48" s="35">
        <v>43549</v>
      </c>
      <c r="O48" s="44">
        <v>43549</v>
      </c>
      <c r="P48" s="41">
        <v>45040</v>
      </c>
      <c r="Q48" s="42">
        <v>45075</v>
      </c>
      <c r="R48" s="32"/>
      <c r="S48" s="42">
        <f t="shared" si="5"/>
        <v>45405</v>
      </c>
      <c r="T48" s="41">
        <f t="shared" si="1"/>
        <v>45345</v>
      </c>
      <c r="U48" s="46">
        <v>45400</v>
      </c>
      <c r="V48" s="47">
        <v>45405</v>
      </c>
      <c r="AA48" s="160"/>
    </row>
    <row r="49" spans="1:27" ht="15.75" customHeight="1" x14ac:dyDescent="0.35">
      <c r="A49" s="38" t="s">
        <v>37</v>
      </c>
      <c r="B49" s="39" t="s">
        <v>111</v>
      </c>
      <c r="C49" s="39" t="s">
        <v>112</v>
      </c>
      <c r="D49" s="34" t="s">
        <v>119</v>
      </c>
      <c r="E49" s="33" t="s">
        <v>22</v>
      </c>
      <c r="F49" s="33">
        <v>2</v>
      </c>
      <c r="G49" s="39">
        <v>53401</v>
      </c>
      <c r="H49" s="39" t="s">
        <v>120</v>
      </c>
      <c r="I49" s="33" t="s">
        <v>121</v>
      </c>
      <c r="J49" s="33">
        <v>19</v>
      </c>
      <c r="K49" s="33">
        <v>5</v>
      </c>
      <c r="L49" s="33" t="s">
        <v>23</v>
      </c>
      <c r="M49" s="63">
        <v>6345</v>
      </c>
      <c r="N49" s="35">
        <v>43697</v>
      </c>
      <c r="O49" s="40"/>
      <c r="P49" s="41">
        <v>45037</v>
      </c>
      <c r="Q49" s="42">
        <v>45075</v>
      </c>
      <c r="R49" s="42"/>
      <c r="S49" s="42">
        <f t="shared" si="5"/>
        <v>45402</v>
      </c>
      <c r="T49" s="41">
        <f t="shared" si="1"/>
        <v>45342</v>
      </c>
      <c r="U49" s="46">
        <v>45463</v>
      </c>
      <c r="V49" s="47">
        <v>45475</v>
      </c>
      <c r="AA49" s="160"/>
    </row>
    <row r="50" spans="1:27" ht="15.75" customHeight="1" x14ac:dyDescent="0.35">
      <c r="A50" s="38" t="s">
        <v>37</v>
      </c>
      <c r="B50" s="39" t="s">
        <v>111</v>
      </c>
      <c r="C50" s="39" t="s">
        <v>112</v>
      </c>
      <c r="D50" s="34" t="s">
        <v>122</v>
      </c>
      <c r="E50" s="33" t="s">
        <v>22</v>
      </c>
      <c r="F50" s="33">
        <v>2</v>
      </c>
      <c r="G50" s="39">
        <v>177184</v>
      </c>
      <c r="H50" s="39" t="s">
        <v>123</v>
      </c>
      <c r="I50" s="33">
        <v>839</v>
      </c>
      <c r="J50" s="33">
        <v>9</v>
      </c>
      <c r="K50" s="33">
        <v>25</v>
      </c>
      <c r="L50" s="33" t="s">
        <v>23</v>
      </c>
      <c r="M50" s="63">
        <v>6345</v>
      </c>
      <c r="N50" s="35">
        <v>44464</v>
      </c>
      <c r="O50" s="35"/>
      <c r="P50" s="41">
        <v>45034</v>
      </c>
      <c r="Q50" s="84">
        <v>45028</v>
      </c>
      <c r="R50" s="46">
        <v>45028</v>
      </c>
      <c r="S50" s="42">
        <f t="shared" si="5"/>
        <v>45399</v>
      </c>
      <c r="T50" s="41">
        <f t="shared" si="1"/>
        <v>45339</v>
      </c>
      <c r="U50" s="46">
        <v>45390</v>
      </c>
      <c r="V50" s="47">
        <v>45392</v>
      </c>
      <c r="AA50" s="160"/>
    </row>
    <row r="51" spans="1:27" ht="15.75" customHeight="1" x14ac:dyDescent="0.35">
      <c r="A51" s="29" t="s">
        <v>30</v>
      </c>
      <c r="B51" s="19" t="s">
        <v>111</v>
      </c>
      <c r="C51" s="19" t="s">
        <v>112</v>
      </c>
      <c r="D51" s="20" t="s">
        <v>66</v>
      </c>
      <c r="E51" s="21" t="s">
        <v>22</v>
      </c>
      <c r="F51" s="21">
        <v>2</v>
      </c>
      <c r="G51" s="19">
        <v>105407</v>
      </c>
      <c r="H51" s="19">
        <v>8551</v>
      </c>
      <c r="I51" s="21">
        <v>8551</v>
      </c>
      <c r="J51" s="21">
        <v>19</v>
      </c>
      <c r="K51" s="21">
        <v>25</v>
      </c>
      <c r="L51" s="21" t="s">
        <v>23</v>
      </c>
      <c r="M51" s="61">
        <v>6345</v>
      </c>
      <c r="N51" s="23">
        <v>43721</v>
      </c>
      <c r="O51" s="31">
        <v>43721</v>
      </c>
      <c r="P51" s="24">
        <v>45181</v>
      </c>
      <c r="Q51" s="26">
        <v>45133</v>
      </c>
      <c r="R51" s="25"/>
      <c r="S51" s="26">
        <f t="shared" si="5"/>
        <v>45546</v>
      </c>
      <c r="T51" s="24">
        <f t="shared" si="1"/>
        <v>45486</v>
      </c>
      <c r="U51" s="36">
        <v>45510</v>
      </c>
      <c r="V51" s="115"/>
      <c r="AA51" s="160"/>
    </row>
    <row r="52" spans="1:27" ht="15.75" customHeight="1" x14ac:dyDescent="0.35">
      <c r="A52" s="38" t="s">
        <v>37</v>
      </c>
      <c r="B52" s="39" t="s">
        <v>111</v>
      </c>
      <c r="C52" s="39" t="s">
        <v>112</v>
      </c>
      <c r="D52" s="34" t="s">
        <v>124</v>
      </c>
      <c r="E52" s="33" t="s">
        <v>22</v>
      </c>
      <c r="F52" s="33">
        <v>2</v>
      </c>
      <c r="G52" s="39">
        <v>177227</v>
      </c>
      <c r="H52" s="39" t="s">
        <v>125</v>
      </c>
      <c r="I52" s="33">
        <v>839</v>
      </c>
      <c r="J52" s="33">
        <v>19</v>
      </c>
      <c r="K52" s="33">
        <v>25</v>
      </c>
      <c r="L52" s="33" t="s">
        <v>23</v>
      </c>
      <c r="M52" s="63">
        <v>6345</v>
      </c>
      <c r="N52" s="35">
        <v>43787</v>
      </c>
      <c r="O52" s="44">
        <v>43788</v>
      </c>
      <c r="P52" s="41">
        <v>45190</v>
      </c>
      <c r="Q52" s="42">
        <v>45205</v>
      </c>
      <c r="R52" s="42"/>
      <c r="S52" s="42">
        <f t="shared" si="5"/>
        <v>45555</v>
      </c>
      <c r="T52" s="41">
        <f t="shared" si="1"/>
        <v>45495</v>
      </c>
      <c r="U52" s="46">
        <v>45526</v>
      </c>
      <c r="V52" s="47">
        <v>45546</v>
      </c>
      <c r="AA52" s="160"/>
    </row>
    <row r="53" spans="1:27" ht="15.75" customHeight="1" x14ac:dyDescent="0.35">
      <c r="A53" s="38" t="s">
        <v>37</v>
      </c>
      <c r="B53" s="39" t="s">
        <v>111</v>
      </c>
      <c r="C53" s="39" t="s">
        <v>112</v>
      </c>
      <c r="D53" s="34" t="s">
        <v>126</v>
      </c>
      <c r="E53" s="33" t="s">
        <v>22</v>
      </c>
      <c r="F53" s="33">
        <v>4</v>
      </c>
      <c r="G53" s="39">
        <v>146057</v>
      </c>
      <c r="H53" s="34" t="s">
        <v>127</v>
      </c>
      <c r="I53" s="33">
        <v>512</v>
      </c>
      <c r="J53" s="33">
        <v>19</v>
      </c>
      <c r="K53" s="33">
        <v>25</v>
      </c>
      <c r="L53" s="33" t="s">
        <v>85</v>
      </c>
      <c r="M53" s="63">
        <v>6345</v>
      </c>
      <c r="N53" s="35">
        <v>45422</v>
      </c>
      <c r="O53" s="44">
        <v>45433</v>
      </c>
      <c r="P53" s="41"/>
      <c r="Q53" s="42"/>
      <c r="R53" s="42"/>
      <c r="S53" s="42"/>
      <c r="T53" s="41"/>
      <c r="U53" s="34"/>
      <c r="V53" s="43"/>
      <c r="AA53" s="160"/>
    </row>
    <row r="54" spans="1:27" ht="15.75" customHeight="1" x14ac:dyDescent="0.35">
      <c r="A54" s="29" t="s">
        <v>30</v>
      </c>
      <c r="B54" s="19" t="s">
        <v>111</v>
      </c>
      <c r="C54" s="19" t="s">
        <v>112</v>
      </c>
      <c r="D54" s="20" t="s">
        <v>128</v>
      </c>
      <c r="E54" s="21" t="s">
        <v>22</v>
      </c>
      <c r="F54" s="21">
        <v>4</v>
      </c>
      <c r="G54" s="19">
        <v>172995</v>
      </c>
      <c r="H54" s="19" t="s">
        <v>81</v>
      </c>
      <c r="I54" s="21" t="s">
        <v>81</v>
      </c>
      <c r="J54" s="21">
        <v>35</v>
      </c>
      <c r="K54" s="21">
        <v>10</v>
      </c>
      <c r="L54" s="21" t="s">
        <v>23</v>
      </c>
      <c r="M54" s="61">
        <v>6345</v>
      </c>
      <c r="N54" s="23">
        <v>45071</v>
      </c>
      <c r="O54" s="22"/>
      <c r="P54" s="24"/>
      <c r="Q54" s="25"/>
      <c r="R54" s="25"/>
      <c r="S54" s="26">
        <f>N54+365</f>
        <v>45436</v>
      </c>
      <c r="T54" s="24">
        <f t="shared" si="1"/>
        <v>45376</v>
      </c>
      <c r="U54" s="36">
        <v>45463</v>
      </c>
      <c r="V54" s="27"/>
      <c r="AA54" s="160"/>
    </row>
    <row r="55" spans="1:27" ht="15.75" customHeight="1" x14ac:dyDescent="0.35">
      <c r="A55" s="29" t="s">
        <v>30</v>
      </c>
      <c r="B55" s="19" t="s">
        <v>111</v>
      </c>
      <c r="C55" s="19" t="s">
        <v>112</v>
      </c>
      <c r="D55" s="20" t="s">
        <v>128</v>
      </c>
      <c r="E55" s="21" t="s">
        <v>22</v>
      </c>
      <c r="F55" s="21">
        <v>4</v>
      </c>
      <c r="G55" s="19">
        <v>164194</v>
      </c>
      <c r="H55" s="19" t="s">
        <v>129</v>
      </c>
      <c r="I55" s="21" t="s">
        <v>129</v>
      </c>
      <c r="J55" s="21">
        <v>35</v>
      </c>
      <c r="K55" s="21">
        <v>10</v>
      </c>
      <c r="L55" s="21" t="s">
        <v>23</v>
      </c>
      <c r="M55" s="61">
        <v>6345</v>
      </c>
      <c r="N55" s="23">
        <v>45083</v>
      </c>
      <c r="O55" s="20"/>
      <c r="P55" s="24"/>
      <c r="Q55" s="25"/>
      <c r="R55" s="25"/>
      <c r="S55" s="26">
        <f>N55+365</f>
        <v>45448</v>
      </c>
      <c r="T55" s="24">
        <f t="shared" si="1"/>
        <v>45388</v>
      </c>
      <c r="U55" s="36">
        <v>45488</v>
      </c>
      <c r="V55" s="27"/>
      <c r="X55" s="79"/>
      <c r="AA55" s="160"/>
    </row>
    <row r="56" spans="1:27" ht="15.75" customHeight="1" x14ac:dyDescent="0.35">
      <c r="A56" s="29" t="s">
        <v>30</v>
      </c>
      <c r="B56" s="19" t="s">
        <v>111</v>
      </c>
      <c r="C56" s="19" t="s">
        <v>301</v>
      </c>
      <c r="D56" s="20"/>
      <c r="E56" s="21" t="s">
        <v>22</v>
      </c>
      <c r="F56" s="21">
        <v>4</v>
      </c>
      <c r="G56" s="19">
        <v>151210</v>
      </c>
      <c r="H56" s="19" t="s">
        <v>302</v>
      </c>
      <c r="I56" s="21" t="s">
        <v>58</v>
      </c>
      <c r="J56" s="21">
        <v>19</v>
      </c>
      <c r="K56" s="21">
        <v>25</v>
      </c>
      <c r="L56" s="21" t="s">
        <v>47</v>
      </c>
      <c r="M56" s="61">
        <v>6345</v>
      </c>
      <c r="N56" s="23">
        <v>45608</v>
      </c>
      <c r="O56" s="20"/>
      <c r="P56" s="24"/>
      <c r="Q56" s="25"/>
      <c r="R56" s="25"/>
      <c r="S56" s="26"/>
      <c r="T56" s="24"/>
      <c r="U56" s="36"/>
      <c r="V56" s="27"/>
      <c r="X56" s="79"/>
      <c r="AA56" s="160"/>
    </row>
    <row r="57" spans="1:27" ht="15.75" customHeight="1" x14ac:dyDescent="0.35">
      <c r="A57" s="29" t="s">
        <v>30</v>
      </c>
      <c r="B57" s="19" t="s">
        <v>111</v>
      </c>
      <c r="C57" s="19" t="s">
        <v>112</v>
      </c>
      <c r="D57" s="20" t="s">
        <v>66</v>
      </c>
      <c r="E57" s="21" t="s">
        <v>22</v>
      </c>
      <c r="F57" s="21">
        <v>2</v>
      </c>
      <c r="G57" s="19">
        <v>173024</v>
      </c>
      <c r="H57" s="19" t="s">
        <v>130</v>
      </c>
      <c r="I57" s="21">
        <v>505</v>
      </c>
      <c r="J57" s="21">
        <v>19</v>
      </c>
      <c r="K57" s="21">
        <v>25</v>
      </c>
      <c r="L57" s="21" t="s">
        <v>62</v>
      </c>
      <c r="M57" s="61">
        <v>6345</v>
      </c>
      <c r="N57" s="23">
        <v>45296</v>
      </c>
      <c r="O57" s="20"/>
      <c r="P57" s="24"/>
      <c r="Q57" s="25"/>
      <c r="R57" s="25"/>
      <c r="S57" s="26"/>
      <c r="T57" s="24"/>
      <c r="U57" s="36"/>
      <c r="V57" s="27"/>
      <c r="W57" t="s">
        <v>290</v>
      </c>
      <c r="X57" t="s">
        <v>292</v>
      </c>
      <c r="AA57" s="160"/>
    </row>
    <row r="58" spans="1:27" ht="15.75" customHeight="1" x14ac:dyDescent="0.35">
      <c r="A58" s="29" t="s">
        <v>30</v>
      </c>
      <c r="B58" s="19" t="s">
        <v>111</v>
      </c>
      <c r="C58" s="19" t="s">
        <v>112</v>
      </c>
      <c r="D58" s="20" t="s">
        <v>66</v>
      </c>
      <c r="E58" s="21" t="s">
        <v>22</v>
      </c>
      <c r="F58" s="21">
        <v>2</v>
      </c>
      <c r="G58" s="19">
        <v>197512</v>
      </c>
      <c r="H58" s="19" t="s">
        <v>131</v>
      </c>
      <c r="I58" s="21">
        <v>505</v>
      </c>
      <c r="J58" s="21">
        <v>19</v>
      </c>
      <c r="K58" s="21">
        <v>25</v>
      </c>
      <c r="L58" s="21" t="s">
        <v>51</v>
      </c>
      <c r="M58" s="61">
        <v>6345</v>
      </c>
      <c r="N58" s="23">
        <v>45296</v>
      </c>
      <c r="O58" s="20"/>
      <c r="P58" s="24"/>
      <c r="Q58" s="25"/>
      <c r="R58" s="25"/>
      <c r="S58" s="26"/>
      <c r="T58" s="24"/>
      <c r="U58" s="36"/>
      <c r="V58" s="27"/>
      <c r="W58" t="s">
        <v>291</v>
      </c>
      <c r="AA58" s="160"/>
    </row>
    <row r="59" spans="1:27" ht="15.75" customHeight="1" x14ac:dyDescent="0.35">
      <c r="A59" s="29" t="s">
        <v>30</v>
      </c>
      <c r="B59" s="19" t="s">
        <v>132</v>
      </c>
      <c r="C59" s="19" t="s">
        <v>133</v>
      </c>
      <c r="D59" s="20" t="s">
        <v>75</v>
      </c>
      <c r="E59" s="21" t="s">
        <v>35</v>
      </c>
      <c r="F59" s="21">
        <v>2</v>
      </c>
      <c r="G59" s="19">
        <v>146422</v>
      </c>
      <c r="H59" s="77" t="s">
        <v>134</v>
      </c>
      <c r="I59" s="21" t="s">
        <v>135</v>
      </c>
      <c r="J59" s="21">
        <v>19</v>
      </c>
      <c r="K59" s="21">
        <v>33</v>
      </c>
      <c r="L59" s="21" t="s">
        <v>23</v>
      </c>
      <c r="M59" s="83">
        <v>171837</v>
      </c>
      <c r="N59" s="23">
        <v>45083</v>
      </c>
      <c r="O59" s="31">
        <v>45085</v>
      </c>
      <c r="P59" s="24"/>
      <c r="Q59" s="25"/>
      <c r="R59" s="25"/>
      <c r="S59" s="26">
        <f t="shared" ref="S59:S61" si="6">N59+365</f>
        <v>45448</v>
      </c>
      <c r="T59" s="24">
        <f t="shared" si="1"/>
        <v>45388</v>
      </c>
      <c r="U59" s="36">
        <v>45488</v>
      </c>
      <c r="V59" s="27"/>
      <c r="X59" s="79"/>
      <c r="AA59" s="160"/>
    </row>
    <row r="60" spans="1:27" ht="15.75" customHeight="1" x14ac:dyDescent="0.35">
      <c r="A60" s="29" t="s">
        <v>30</v>
      </c>
      <c r="B60" s="19" t="s">
        <v>132</v>
      </c>
      <c r="C60" s="19" t="s">
        <v>133</v>
      </c>
      <c r="D60" s="20" t="s">
        <v>75</v>
      </c>
      <c r="E60" s="21" t="s">
        <v>35</v>
      </c>
      <c r="F60" s="21">
        <v>2</v>
      </c>
      <c r="G60" s="19">
        <v>177227</v>
      </c>
      <c r="H60" s="77" t="s">
        <v>136</v>
      </c>
      <c r="I60" s="21">
        <v>839</v>
      </c>
      <c r="J60" s="21">
        <v>19</v>
      </c>
      <c r="K60" s="21">
        <v>25</v>
      </c>
      <c r="L60" s="21" t="s">
        <v>23</v>
      </c>
      <c r="M60" s="20">
        <v>171837</v>
      </c>
      <c r="N60" s="23">
        <v>45079</v>
      </c>
      <c r="O60" s="31">
        <v>45085</v>
      </c>
      <c r="P60" s="24"/>
      <c r="Q60" s="25"/>
      <c r="R60" s="25"/>
      <c r="S60" s="26">
        <f t="shared" si="6"/>
        <v>45444</v>
      </c>
      <c r="T60" s="24">
        <f t="shared" si="1"/>
        <v>45384</v>
      </c>
      <c r="U60" s="36">
        <v>45463</v>
      </c>
      <c r="V60" s="27"/>
      <c r="AA60" s="160"/>
    </row>
    <row r="61" spans="1:27" ht="15.75" customHeight="1" x14ac:dyDescent="0.35">
      <c r="A61" s="29" t="s">
        <v>30</v>
      </c>
      <c r="B61" s="19" t="s">
        <v>137</v>
      </c>
      <c r="C61" s="19" t="s">
        <v>138</v>
      </c>
      <c r="D61" s="20" t="s">
        <v>26</v>
      </c>
      <c r="E61" s="21" t="s">
        <v>22</v>
      </c>
      <c r="F61" s="21">
        <v>2</v>
      </c>
      <c r="G61" s="19">
        <v>213803</v>
      </c>
      <c r="H61" s="19" t="s">
        <v>139</v>
      </c>
      <c r="I61" s="21" t="s">
        <v>284</v>
      </c>
      <c r="J61" s="21">
        <v>24.35</v>
      </c>
      <c r="K61" s="21">
        <v>102</v>
      </c>
      <c r="L61" s="21" t="s">
        <v>23</v>
      </c>
      <c r="M61" s="22"/>
      <c r="N61" s="23">
        <v>45012</v>
      </c>
      <c r="O61" s="31">
        <v>45040</v>
      </c>
      <c r="P61" s="24"/>
      <c r="Q61" s="25"/>
      <c r="R61" s="25"/>
      <c r="S61" s="26">
        <f t="shared" si="6"/>
        <v>45377</v>
      </c>
      <c r="T61" s="24">
        <f t="shared" si="1"/>
        <v>45317</v>
      </c>
      <c r="U61" s="36">
        <v>45355</v>
      </c>
      <c r="V61" s="27"/>
      <c r="AA61" s="160"/>
    </row>
    <row r="62" spans="1:27" ht="15.75" customHeight="1" x14ac:dyDescent="0.35">
      <c r="A62" s="38" t="s">
        <v>37</v>
      </c>
      <c r="B62" s="39" t="s">
        <v>306</v>
      </c>
      <c r="C62" s="39" t="s">
        <v>140</v>
      </c>
      <c r="D62" s="34" t="s">
        <v>66</v>
      </c>
      <c r="E62" s="33" t="s">
        <v>35</v>
      </c>
      <c r="F62" s="33">
        <v>2</v>
      </c>
      <c r="G62" s="39">
        <v>197512</v>
      </c>
      <c r="H62" s="39" t="s">
        <v>141</v>
      </c>
      <c r="I62" s="33">
        <v>505</v>
      </c>
      <c r="J62" s="33">
        <v>19</v>
      </c>
      <c r="K62" s="33">
        <v>25</v>
      </c>
      <c r="L62" s="33" t="s">
        <v>51</v>
      </c>
      <c r="M62" s="40"/>
      <c r="N62" s="35">
        <v>44902</v>
      </c>
      <c r="O62" s="44">
        <v>44907</v>
      </c>
      <c r="P62" s="35">
        <v>45267</v>
      </c>
      <c r="Q62" s="42">
        <v>45219</v>
      </c>
      <c r="R62" s="42"/>
      <c r="S62" s="42">
        <f>P62+365</f>
        <v>45632</v>
      </c>
      <c r="T62" s="41">
        <f t="shared" si="1"/>
        <v>45572</v>
      </c>
      <c r="U62" s="46">
        <v>45581</v>
      </c>
      <c r="V62" s="47">
        <v>45602</v>
      </c>
      <c r="AA62" s="160"/>
    </row>
    <row r="63" spans="1:27" ht="15.75" customHeight="1" x14ac:dyDescent="0.35">
      <c r="A63" s="38" t="s">
        <v>37</v>
      </c>
      <c r="B63" s="39" t="s">
        <v>306</v>
      </c>
      <c r="C63" s="39" t="s">
        <v>140</v>
      </c>
      <c r="D63" s="34" t="s">
        <v>66</v>
      </c>
      <c r="E63" s="33" t="s">
        <v>35</v>
      </c>
      <c r="F63" s="33">
        <v>2</v>
      </c>
      <c r="G63" s="39">
        <v>173024</v>
      </c>
      <c r="H63" s="39" t="s">
        <v>142</v>
      </c>
      <c r="I63" s="33">
        <v>505</v>
      </c>
      <c r="J63" s="33">
        <v>19</v>
      </c>
      <c r="K63" s="33">
        <v>25</v>
      </c>
      <c r="L63" s="33" t="s">
        <v>62</v>
      </c>
      <c r="M63" s="40"/>
      <c r="N63" s="35">
        <v>44902</v>
      </c>
      <c r="O63" s="44">
        <v>44907</v>
      </c>
      <c r="P63" s="35">
        <v>45267</v>
      </c>
      <c r="Q63" s="42">
        <v>45280</v>
      </c>
      <c r="R63" s="42"/>
      <c r="S63" s="42">
        <f t="shared" ref="S63:S66" si="7">P63+365</f>
        <v>45632</v>
      </c>
      <c r="T63" s="41">
        <f t="shared" si="1"/>
        <v>45572</v>
      </c>
      <c r="U63" s="46">
        <v>45581</v>
      </c>
      <c r="V63" s="47">
        <v>45602</v>
      </c>
      <c r="AA63" s="160"/>
    </row>
    <row r="64" spans="1:27" ht="15.75" customHeight="1" x14ac:dyDescent="0.35">
      <c r="A64" s="38" t="s">
        <v>37</v>
      </c>
      <c r="B64" s="39" t="s">
        <v>306</v>
      </c>
      <c r="C64" s="39" t="s">
        <v>140</v>
      </c>
      <c r="D64" s="34" t="s">
        <v>143</v>
      </c>
      <c r="E64" s="33" t="s">
        <v>35</v>
      </c>
      <c r="F64" s="33">
        <v>2</v>
      </c>
      <c r="G64" s="39">
        <v>173540</v>
      </c>
      <c r="H64" s="39" t="s">
        <v>144</v>
      </c>
      <c r="I64" s="33">
        <v>512</v>
      </c>
      <c r="J64" s="33">
        <v>19</v>
      </c>
      <c r="K64" s="33">
        <v>25</v>
      </c>
      <c r="L64" s="33" t="s">
        <v>23</v>
      </c>
      <c r="M64" s="40"/>
      <c r="N64" s="35">
        <v>44902</v>
      </c>
      <c r="O64" s="44">
        <v>44907</v>
      </c>
      <c r="P64" s="35">
        <v>45267</v>
      </c>
      <c r="Q64" s="42">
        <v>45219</v>
      </c>
      <c r="R64" s="42"/>
      <c r="S64" s="42">
        <f t="shared" si="7"/>
        <v>45632</v>
      </c>
      <c r="T64" s="41">
        <f t="shared" si="1"/>
        <v>45572</v>
      </c>
      <c r="U64" s="46">
        <v>45581</v>
      </c>
      <c r="V64" s="47">
        <v>45602</v>
      </c>
      <c r="AA64" s="160"/>
    </row>
    <row r="65" spans="1:27" ht="15.75" customHeight="1" x14ac:dyDescent="0.35">
      <c r="A65" s="29" t="s">
        <v>30</v>
      </c>
      <c r="B65" s="19" t="s">
        <v>145</v>
      </c>
      <c r="C65" s="19" t="s">
        <v>146</v>
      </c>
      <c r="D65" s="20" t="s">
        <v>66</v>
      </c>
      <c r="E65" s="21" t="s">
        <v>22</v>
      </c>
      <c r="F65" s="21">
        <v>2</v>
      </c>
      <c r="G65" s="20">
        <v>205138</v>
      </c>
      <c r="H65" s="20">
        <v>71076600</v>
      </c>
      <c r="I65" s="21" t="s">
        <v>65</v>
      </c>
      <c r="J65" s="21">
        <v>19</v>
      </c>
      <c r="K65" s="21">
        <v>25</v>
      </c>
      <c r="L65" s="21" t="s">
        <v>57</v>
      </c>
      <c r="M65" s="61">
        <v>21733</v>
      </c>
      <c r="N65" s="23">
        <v>44370</v>
      </c>
      <c r="O65" s="22"/>
      <c r="P65" s="24">
        <v>45059</v>
      </c>
      <c r="Q65" s="26">
        <v>45183</v>
      </c>
      <c r="R65" s="26">
        <v>45222</v>
      </c>
      <c r="S65" s="26">
        <f t="shared" si="7"/>
        <v>45424</v>
      </c>
      <c r="T65" s="24">
        <f t="shared" si="1"/>
        <v>45364</v>
      </c>
      <c r="U65" s="36">
        <v>45509</v>
      </c>
      <c r="V65" s="27"/>
      <c r="X65" s="79"/>
      <c r="AA65" s="160"/>
    </row>
    <row r="66" spans="1:27" ht="15.75" customHeight="1" x14ac:dyDescent="0.35">
      <c r="A66" s="29" t="s">
        <v>30</v>
      </c>
      <c r="B66" s="19" t="s">
        <v>145</v>
      </c>
      <c r="C66" s="19" t="s">
        <v>146</v>
      </c>
      <c r="D66" s="20" t="s">
        <v>66</v>
      </c>
      <c r="E66" s="21" t="s">
        <v>22</v>
      </c>
      <c r="F66" s="21">
        <v>4</v>
      </c>
      <c r="G66" s="20">
        <v>92184</v>
      </c>
      <c r="H66" s="20" t="s">
        <v>147</v>
      </c>
      <c r="I66" s="21" t="s">
        <v>58</v>
      </c>
      <c r="J66" s="21">
        <v>19</v>
      </c>
      <c r="K66" s="21">
        <v>25</v>
      </c>
      <c r="L66" s="21" t="s">
        <v>23</v>
      </c>
      <c r="M66" s="22">
        <v>21733</v>
      </c>
      <c r="N66" s="23">
        <v>43692</v>
      </c>
      <c r="O66" s="31">
        <v>43692</v>
      </c>
      <c r="P66" s="24">
        <v>45161</v>
      </c>
      <c r="Q66" s="26">
        <v>45133</v>
      </c>
      <c r="R66" s="25"/>
      <c r="S66" s="26">
        <f t="shared" si="7"/>
        <v>45526</v>
      </c>
      <c r="T66" s="24">
        <f t="shared" si="1"/>
        <v>45466</v>
      </c>
      <c r="U66" s="36">
        <v>45498</v>
      </c>
      <c r="V66" s="27"/>
      <c r="AA66" s="160"/>
    </row>
    <row r="67" spans="1:27" ht="15.75" customHeight="1" x14ac:dyDescent="0.35">
      <c r="A67" s="29" t="s">
        <v>30</v>
      </c>
      <c r="B67" s="19" t="s">
        <v>145</v>
      </c>
      <c r="C67" s="19" t="s">
        <v>146</v>
      </c>
      <c r="D67" s="20" t="s">
        <v>34</v>
      </c>
      <c r="E67" s="21" t="s">
        <v>22</v>
      </c>
      <c r="F67" s="21">
        <v>4</v>
      </c>
      <c r="G67" s="20">
        <v>99631</v>
      </c>
      <c r="H67" s="20" t="s">
        <v>148</v>
      </c>
      <c r="I67" s="21" t="s">
        <v>46</v>
      </c>
      <c r="J67" s="21">
        <v>19</v>
      </c>
      <c r="K67" s="21">
        <v>25</v>
      </c>
      <c r="L67" s="21" t="s">
        <v>23</v>
      </c>
      <c r="M67" s="61">
        <v>21733</v>
      </c>
      <c r="N67" s="23">
        <v>45020</v>
      </c>
      <c r="O67" s="31"/>
      <c r="P67" s="24"/>
      <c r="Q67" s="26"/>
      <c r="R67" s="26"/>
      <c r="S67" s="26">
        <f>N67+365</f>
        <v>45385</v>
      </c>
      <c r="T67" s="24">
        <f t="shared" si="1"/>
        <v>45325</v>
      </c>
      <c r="U67" s="36">
        <v>45435</v>
      </c>
      <c r="V67" s="27"/>
      <c r="AA67" s="160"/>
    </row>
    <row r="68" spans="1:27" ht="15.75" customHeight="1" x14ac:dyDescent="0.35">
      <c r="A68" s="38" t="s">
        <v>37</v>
      </c>
      <c r="B68" s="39" t="s">
        <v>145</v>
      </c>
      <c r="C68" s="39" t="s">
        <v>146</v>
      </c>
      <c r="D68" s="34" t="s">
        <v>34</v>
      </c>
      <c r="E68" s="33" t="s">
        <v>22</v>
      </c>
      <c r="F68" s="33">
        <v>2</v>
      </c>
      <c r="G68" s="34">
        <v>156317</v>
      </c>
      <c r="H68" s="34" t="s">
        <v>149</v>
      </c>
      <c r="I68" s="33">
        <v>317</v>
      </c>
      <c r="J68" s="33">
        <v>19</v>
      </c>
      <c r="K68" s="33">
        <v>33</v>
      </c>
      <c r="L68" s="33" t="s">
        <v>85</v>
      </c>
      <c r="M68" s="40">
        <v>21733</v>
      </c>
      <c r="N68" s="35">
        <v>43774</v>
      </c>
      <c r="O68" s="44">
        <v>43801</v>
      </c>
      <c r="P68" s="41"/>
      <c r="Q68" s="42">
        <v>45022</v>
      </c>
      <c r="R68" s="42">
        <v>45070</v>
      </c>
      <c r="S68" s="42">
        <f>Q68+365</f>
        <v>45387</v>
      </c>
      <c r="T68" s="41">
        <f t="shared" si="1"/>
        <v>45327</v>
      </c>
      <c r="U68" s="46">
        <v>45307</v>
      </c>
      <c r="V68" s="47">
        <v>45320</v>
      </c>
      <c r="AA68" s="160"/>
    </row>
    <row r="69" spans="1:27" ht="15.75" customHeight="1" x14ac:dyDescent="0.35">
      <c r="A69" s="38" t="s">
        <v>37</v>
      </c>
      <c r="B69" s="39" t="s">
        <v>145</v>
      </c>
      <c r="C69" s="39" t="s">
        <v>146</v>
      </c>
      <c r="D69" s="34" t="s">
        <v>34</v>
      </c>
      <c r="E69" s="33" t="s">
        <v>22</v>
      </c>
      <c r="F69" s="33">
        <v>2</v>
      </c>
      <c r="G69" s="34">
        <v>176658</v>
      </c>
      <c r="H69" s="34" t="s">
        <v>150</v>
      </c>
      <c r="I69" s="33">
        <v>8606</v>
      </c>
      <c r="J69" s="33">
        <v>19</v>
      </c>
      <c r="K69" s="33">
        <v>25</v>
      </c>
      <c r="L69" s="33" t="s">
        <v>85</v>
      </c>
      <c r="M69" s="40">
        <v>21733</v>
      </c>
      <c r="N69" s="35">
        <v>43774</v>
      </c>
      <c r="O69" s="44">
        <v>43801</v>
      </c>
      <c r="P69" s="41"/>
      <c r="Q69" s="42">
        <v>45022</v>
      </c>
      <c r="R69" s="42">
        <v>45070</v>
      </c>
      <c r="S69" s="42">
        <f>Q69+365</f>
        <v>45387</v>
      </c>
      <c r="T69" s="41">
        <f t="shared" si="1"/>
        <v>45327</v>
      </c>
      <c r="U69" s="46">
        <v>45306</v>
      </c>
      <c r="V69" s="47">
        <v>45320</v>
      </c>
      <c r="AA69" s="160"/>
    </row>
    <row r="70" spans="1:27" ht="15.75" customHeight="1" x14ac:dyDescent="0.35">
      <c r="A70" s="38" t="s">
        <v>37</v>
      </c>
      <c r="B70" s="39" t="s">
        <v>145</v>
      </c>
      <c r="C70" s="39" t="s">
        <v>146</v>
      </c>
      <c r="D70" s="34" t="s">
        <v>66</v>
      </c>
      <c r="E70" s="33" t="s">
        <v>22</v>
      </c>
      <c r="F70" s="33">
        <v>2</v>
      </c>
      <c r="G70" s="34">
        <v>158014</v>
      </c>
      <c r="H70" s="34">
        <v>63316302</v>
      </c>
      <c r="I70" s="33" t="s">
        <v>56</v>
      </c>
      <c r="J70" s="33">
        <v>25</v>
      </c>
      <c r="K70" s="33">
        <v>25</v>
      </c>
      <c r="L70" s="33" t="s">
        <v>57</v>
      </c>
      <c r="M70" s="40">
        <v>21733</v>
      </c>
      <c r="N70" s="35">
        <v>43747</v>
      </c>
      <c r="O70" s="44">
        <v>43801</v>
      </c>
      <c r="P70" s="41">
        <v>45073</v>
      </c>
      <c r="Q70" s="42">
        <v>44943</v>
      </c>
      <c r="R70" s="42">
        <v>45070</v>
      </c>
      <c r="S70" s="42">
        <f>P70+365</f>
        <v>45438</v>
      </c>
      <c r="T70" s="41">
        <f t="shared" ref="T70:T138" si="8">S70-60</f>
        <v>45378</v>
      </c>
      <c r="U70" s="46">
        <v>45300</v>
      </c>
      <c r="V70" s="47">
        <v>45320</v>
      </c>
      <c r="AA70" s="160"/>
    </row>
    <row r="71" spans="1:27" ht="15.75" customHeight="1" x14ac:dyDescent="0.35">
      <c r="A71" s="38" t="s">
        <v>37</v>
      </c>
      <c r="B71" s="39" t="s">
        <v>145</v>
      </c>
      <c r="C71" s="39" t="s">
        <v>146</v>
      </c>
      <c r="D71" s="34" t="s">
        <v>66</v>
      </c>
      <c r="E71" s="33" t="s">
        <v>22</v>
      </c>
      <c r="F71" s="33">
        <v>2</v>
      </c>
      <c r="G71" s="34">
        <v>154505</v>
      </c>
      <c r="H71" s="34" t="s">
        <v>151</v>
      </c>
      <c r="I71" s="33" t="s">
        <v>54</v>
      </c>
      <c r="J71" s="33">
        <v>19</v>
      </c>
      <c r="K71" s="33">
        <v>25</v>
      </c>
      <c r="L71" s="33" t="s">
        <v>23</v>
      </c>
      <c r="M71" s="40">
        <v>21733</v>
      </c>
      <c r="N71" s="35">
        <v>44848</v>
      </c>
      <c r="O71" s="35"/>
      <c r="P71" s="41">
        <v>45178</v>
      </c>
      <c r="Q71" s="42">
        <v>44943</v>
      </c>
      <c r="R71" s="42">
        <v>45070</v>
      </c>
      <c r="S71" s="42">
        <f t="shared" ref="S71:S76" si="9">P71+365</f>
        <v>45543</v>
      </c>
      <c r="T71" s="41">
        <f t="shared" si="8"/>
        <v>45483</v>
      </c>
      <c r="U71" s="46">
        <v>44813</v>
      </c>
      <c r="V71" s="47">
        <v>45320</v>
      </c>
      <c r="AA71" s="160"/>
    </row>
    <row r="72" spans="1:27" ht="15.75" customHeight="1" x14ac:dyDescent="0.35">
      <c r="A72" s="29" t="s">
        <v>30</v>
      </c>
      <c r="B72" s="19" t="s">
        <v>145</v>
      </c>
      <c r="C72" s="19" t="s">
        <v>146</v>
      </c>
      <c r="D72" s="20" t="s">
        <v>34</v>
      </c>
      <c r="E72" s="21" t="s">
        <v>22</v>
      </c>
      <c r="F72" s="21">
        <v>2</v>
      </c>
      <c r="G72" s="20">
        <v>174104</v>
      </c>
      <c r="H72" s="20" t="s">
        <v>152</v>
      </c>
      <c r="I72" s="21">
        <v>505</v>
      </c>
      <c r="J72" s="21">
        <v>19</v>
      </c>
      <c r="K72" s="21">
        <v>25</v>
      </c>
      <c r="L72" s="21" t="s">
        <v>23</v>
      </c>
      <c r="M72" s="61">
        <v>21733</v>
      </c>
      <c r="N72" s="23">
        <v>43747</v>
      </c>
      <c r="O72" s="31">
        <v>43801</v>
      </c>
      <c r="P72" s="24">
        <v>45175</v>
      </c>
      <c r="Q72" s="26">
        <v>45183</v>
      </c>
      <c r="R72" s="26">
        <v>45222</v>
      </c>
      <c r="S72" s="26">
        <f t="shared" si="9"/>
        <v>45540</v>
      </c>
      <c r="T72" s="24">
        <f t="shared" si="8"/>
        <v>45480</v>
      </c>
      <c r="U72" s="36">
        <v>45526</v>
      </c>
      <c r="V72" s="27"/>
      <c r="AA72" s="160"/>
    </row>
    <row r="73" spans="1:27" ht="15.75" customHeight="1" x14ac:dyDescent="0.35">
      <c r="A73" s="29" t="s">
        <v>30</v>
      </c>
      <c r="B73" s="19" t="s">
        <v>145</v>
      </c>
      <c r="C73" s="19" t="s">
        <v>146</v>
      </c>
      <c r="D73" s="20" t="s">
        <v>66</v>
      </c>
      <c r="E73" s="21" t="s">
        <v>22</v>
      </c>
      <c r="F73" s="21">
        <v>2</v>
      </c>
      <c r="G73" s="20">
        <v>146422</v>
      </c>
      <c r="H73" s="20">
        <v>63442100</v>
      </c>
      <c r="I73" s="21" t="s">
        <v>153</v>
      </c>
      <c r="J73" s="21">
        <v>19</v>
      </c>
      <c r="K73" s="21">
        <v>33</v>
      </c>
      <c r="L73" s="21" t="s">
        <v>23</v>
      </c>
      <c r="M73" s="61">
        <v>21733</v>
      </c>
      <c r="N73" s="23">
        <v>43747</v>
      </c>
      <c r="O73" s="31">
        <v>43801</v>
      </c>
      <c r="P73" s="24">
        <v>45175</v>
      </c>
      <c r="Q73" s="26">
        <v>45183</v>
      </c>
      <c r="R73" s="26">
        <v>45222</v>
      </c>
      <c r="S73" s="26">
        <f t="shared" si="9"/>
        <v>45540</v>
      </c>
      <c r="T73" s="24">
        <f t="shared" si="8"/>
        <v>45480</v>
      </c>
      <c r="U73" s="36">
        <v>45526</v>
      </c>
      <c r="V73" s="27"/>
      <c r="AA73" s="160"/>
    </row>
    <row r="74" spans="1:27" ht="15.75" customHeight="1" x14ac:dyDescent="0.35">
      <c r="A74" s="29" t="s">
        <v>30</v>
      </c>
      <c r="B74" s="19" t="s">
        <v>145</v>
      </c>
      <c r="C74" s="19" t="s">
        <v>146</v>
      </c>
      <c r="D74" s="20" t="s">
        <v>66</v>
      </c>
      <c r="E74" s="21" t="s">
        <v>22</v>
      </c>
      <c r="F74" s="21">
        <v>2</v>
      </c>
      <c r="G74" s="20">
        <v>74164</v>
      </c>
      <c r="H74" s="20" t="s">
        <v>154</v>
      </c>
      <c r="I74" s="21" t="s">
        <v>155</v>
      </c>
      <c r="J74" s="21">
        <v>19</v>
      </c>
      <c r="K74" s="21">
        <v>5</v>
      </c>
      <c r="L74" s="21" t="s">
        <v>23</v>
      </c>
      <c r="M74" s="61">
        <v>21733</v>
      </c>
      <c r="N74" s="23">
        <v>43747</v>
      </c>
      <c r="O74" s="31">
        <v>43801</v>
      </c>
      <c r="P74" s="24">
        <v>45175</v>
      </c>
      <c r="Q74" s="26">
        <v>45183</v>
      </c>
      <c r="R74" s="26">
        <v>45222</v>
      </c>
      <c r="S74" s="26">
        <f t="shared" si="9"/>
        <v>45540</v>
      </c>
      <c r="T74" s="24">
        <f t="shared" si="8"/>
        <v>45480</v>
      </c>
      <c r="U74" s="36">
        <v>45526</v>
      </c>
      <c r="V74" s="27"/>
      <c r="AA74" s="160"/>
    </row>
    <row r="75" spans="1:27" ht="15.75" customHeight="1" x14ac:dyDescent="0.35">
      <c r="A75" s="29" t="s">
        <v>30</v>
      </c>
      <c r="B75" s="19" t="s">
        <v>145</v>
      </c>
      <c r="C75" s="19" t="s">
        <v>146</v>
      </c>
      <c r="D75" s="20" t="s">
        <v>34</v>
      </c>
      <c r="E75" s="21" t="s">
        <v>22</v>
      </c>
      <c r="F75" s="21">
        <v>2</v>
      </c>
      <c r="G75" s="20">
        <v>172178</v>
      </c>
      <c r="H75" s="20" t="s">
        <v>156</v>
      </c>
      <c r="I75" s="21">
        <v>880</v>
      </c>
      <c r="J75" s="21">
        <v>19</v>
      </c>
      <c r="K75" s="21">
        <v>5</v>
      </c>
      <c r="L75" s="21" t="s">
        <v>23</v>
      </c>
      <c r="M75" s="61">
        <v>21733</v>
      </c>
      <c r="N75" s="23">
        <v>44410</v>
      </c>
      <c r="O75" s="31">
        <v>44420</v>
      </c>
      <c r="P75" s="24">
        <v>45175</v>
      </c>
      <c r="Q75" s="26">
        <v>45183</v>
      </c>
      <c r="R75" s="26">
        <v>45222</v>
      </c>
      <c r="S75" s="26">
        <f t="shared" si="9"/>
        <v>45540</v>
      </c>
      <c r="T75" s="24">
        <f t="shared" si="8"/>
        <v>45480</v>
      </c>
      <c r="U75" s="36">
        <v>45526</v>
      </c>
      <c r="V75" s="27"/>
      <c r="AA75" s="160"/>
    </row>
    <row r="76" spans="1:27" ht="15.75" customHeight="1" x14ac:dyDescent="0.35">
      <c r="A76" s="29" t="s">
        <v>30</v>
      </c>
      <c r="B76" s="19" t="s">
        <v>145</v>
      </c>
      <c r="C76" s="19" t="s">
        <v>146</v>
      </c>
      <c r="D76" s="20" t="s">
        <v>34</v>
      </c>
      <c r="E76" s="21" t="s">
        <v>22</v>
      </c>
      <c r="F76" s="21">
        <v>2</v>
      </c>
      <c r="G76" s="20">
        <v>177227</v>
      </c>
      <c r="H76" s="20">
        <v>7023911900</v>
      </c>
      <c r="I76" s="21">
        <v>839</v>
      </c>
      <c r="J76" s="21">
        <v>19</v>
      </c>
      <c r="K76" s="21">
        <v>25</v>
      </c>
      <c r="L76" s="21" t="s">
        <v>23</v>
      </c>
      <c r="M76" s="61">
        <v>21733</v>
      </c>
      <c r="N76" s="23">
        <v>44830</v>
      </c>
      <c r="O76" s="31">
        <v>44833</v>
      </c>
      <c r="P76" s="24">
        <v>45195</v>
      </c>
      <c r="Q76" s="26">
        <v>45245</v>
      </c>
      <c r="R76" s="25"/>
      <c r="S76" s="26">
        <f t="shared" si="9"/>
        <v>45560</v>
      </c>
      <c r="T76" s="24">
        <f t="shared" si="8"/>
        <v>45500</v>
      </c>
      <c r="U76" s="36">
        <v>45526</v>
      </c>
      <c r="V76" s="27"/>
      <c r="AA76" s="160"/>
    </row>
    <row r="77" spans="1:27" ht="15.75" customHeight="1" x14ac:dyDescent="0.35">
      <c r="A77" s="29" t="s">
        <v>30</v>
      </c>
      <c r="B77" s="19" t="s">
        <v>24</v>
      </c>
      <c r="C77" s="19" t="s">
        <v>157</v>
      </c>
      <c r="D77" s="20" t="s">
        <v>34</v>
      </c>
      <c r="E77" s="21" t="s">
        <v>27</v>
      </c>
      <c r="F77" s="21">
        <v>4</v>
      </c>
      <c r="G77" s="20">
        <v>99631</v>
      </c>
      <c r="H77" s="20" t="s">
        <v>289</v>
      </c>
      <c r="I77" s="21" t="s">
        <v>46</v>
      </c>
      <c r="J77" s="21">
        <v>19</v>
      </c>
      <c r="K77" s="21">
        <v>25</v>
      </c>
      <c r="L77" s="21" t="s">
        <v>23</v>
      </c>
      <c r="M77" s="61">
        <v>34118</v>
      </c>
      <c r="N77" s="23">
        <v>45000</v>
      </c>
      <c r="O77" s="22"/>
      <c r="P77" s="24"/>
      <c r="Q77" s="26"/>
      <c r="R77" s="25"/>
      <c r="S77" s="26"/>
      <c r="T77" s="24"/>
      <c r="U77" s="36">
        <v>45463</v>
      </c>
      <c r="V77" s="27"/>
      <c r="AA77" s="160"/>
    </row>
    <row r="78" spans="1:27" ht="15.75" customHeight="1" x14ac:dyDescent="0.35">
      <c r="A78" s="38" t="s">
        <v>37</v>
      </c>
      <c r="B78" s="39" t="s">
        <v>145</v>
      </c>
      <c r="C78" s="39" t="s">
        <v>146</v>
      </c>
      <c r="D78" s="34" t="s">
        <v>66</v>
      </c>
      <c r="E78" s="33" t="s">
        <v>22</v>
      </c>
      <c r="F78" s="33">
        <v>2</v>
      </c>
      <c r="G78" s="34">
        <v>107778</v>
      </c>
      <c r="H78" s="34" t="s">
        <v>158</v>
      </c>
      <c r="I78" s="33">
        <v>302</v>
      </c>
      <c r="J78" s="33">
        <v>12</v>
      </c>
      <c r="K78" s="33">
        <v>33</v>
      </c>
      <c r="L78" s="33" t="s">
        <v>85</v>
      </c>
      <c r="M78" s="40">
        <v>21733</v>
      </c>
      <c r="N78" s="35">
        <v>43774</v>
      </c>
      <c r="O78" s="44">
        <v>43801</v>
      </c>
      <c r="P78" s="41"/>
      <c r="Q78" s="42">
        <v>44992</v>
      </c>
      <c r="R78" s="42">
        <v>45085</v>
      </c>
      <c r="S78" s="42">
        <f>Q78+365</f>
        <v>45357</v>
      </c>
      <c r="T78" s="41">
        <f t="shared" si="8"/>
        <v>45297</v>
      </c>
      <c r="U78" s="46">
        <v>45390</v>
      </c>
      <c r="V78" s="47">
        <v>45442</v>
      </c>
      <c r="AA78" s="160"/>
    </row>
    <row r="79" spans="1:27" ht="15.75" customHeight="1" x14ac:dyDescent="0.35">
      <c r="A79" s="38" t="s">
        <v>37</v>
      </c>
      <c r="B79" s="39" t="s">
        <v>24</v>
      </c>
      <c r="C79" s="39" t="s">
        <v>157</v>
      </c>
      <c r="D79" s="34" t="s">
        <v>34</v>
      </c>
      <c r="E79" s="33" t="s">
        <v>27</v>
      </c>
      <c r="F79" s="33">
        <v>2</v>
      </c>
      <c r="G79" s="34">
        <v>147094</v>
      </c>
      <c r="H79" s="34" t="s">
        <v>288</v>
      </c>
      <c r="I79" s="33" t="s">
        <v>46</v>
      </c>
      <c r="J79" s="33">
        <v>19</v>
      </c>
      <c r="K79" s="33">
        <v>25</v>
      </c>
      <c r="L79" s="33" t="s">
        <v>47</v>
      </c>
      <c r="M79" s="40">
        <v>21733</v>
      </c>
      <c r="N79" s="35">
        <v>44998</v>
      </c>
      <c r="O79" s="44"/>
      <c r="P79" s="41"/>
      <c r="Q79" s="42"/>
      <c r="R79" s="42"/>
      <c r="S79" s="42"/>
      <c r="T79" s="41"/>
      <c r="U79" s="46"/>
      <c r="V79" s="47">
        <v>45520</v>
      </c>
      <c r="AA79" s="160"/>
    </row>
    <row r="80" spans="1:27" ht="15.75" customHeight="1" x14ac:dyDescent="0.35">
      <c r="A80" s="29" t="s">
        <v>30</v>
      </c>
      <c r="B80" s="20" t="s">
        <v>145</v>
      </c>
      <c r="C80" s="20" t="s">
        <v>146</v>
      </c>
      <c r="D80" s="20"/>
      <c r="E80" s="21" t="s">
        <v>22</v>
      </c>
      <c r="F80" s="21">
        <v>2</v>
      </c>
      <c r="G80" s="20">
        <v>163271</v>
      </c>
      <c r="H80" s="20" t="s">
        <v>296</v>
      </c>
      <c r="I80" s="21" t="s">
        <v>46</v>
      </c>
      <c r="J80" s="21">
        <v>25</v>
      </c>
      <c r="K80" s="21">
        <v>25</v>
      </c>
      <c r="L80" s="21" t="s">
        <v>47</v>
      </c>
      <c r="M80" s="21">
        <v>21733</v>
      </c>
      <c r="N80" s="23">
        <v>45212</v>
      </c>
      <c r="O80" s="31">
        <v>45251</v>
      </c>
      <c r="P80" s="20"/>
      <c r="Q80" s="20"/>
      <c r="R80" s="20"/>
      <c r="S80" s="20"/>
      <c r="T80" s="20"/>
      <c r="U80" s="36">
        <v>45547</v>
      </c>
      <c r="V80" s="27"/>
      <c r="AA80" s="160"/>
    </row>
    <row r="81" spans="1:27" ht="15.75" customHeight="1" x14ac:dyDescent="0.35">
      <c r="A81" s="100" t="s">
        <v>37</v>
      </c>
      <c r="B81" s="101" t="s">
        <v>145</v>
      </c>
      <c r="C81" s="101" t="s">
        <v>146</v>
      </c>
      <c r="D81" s="102"/>
      <c r="E81" s="103" t="s">
        <v>35</v>
      </c>
      <c r="F81" s="103">
        <v>2</v>
      </c>
      <c r="G81" s="102">
        <v>53402</v>
      </c>
      <c r="H81" s="102" t="s">
        <v>159</v>
      </c>
      <c r="I81" s="103" t="s">
        <v>121</v>
      </c>
      <c r="J81" s="103">
        <v>25</v>
      </c>
      <c r="K81" s="103">
        <v>5</v>
      </c>
      <c r="L81" s="103" t="s">
        <v>23</v>
      </c>
      <c r="M81" s="116">
        <v>21733</v>
      </c>
      <c r="N81" s="105">
        <v>45342</v>
      </c>
      <c r="O81" s="106">
        <v>45344</v>
      </c>
      <c r="P81" s="41"/>
      <c r="Q81" s="41"/>
      <c r="R81" s="41"/>
      <c r="S81" s="41"/>
      <c r="T81" s="41"/>
      <c r="U81" s="102"/>
      <c r="V81" s="117"/>
      <c r="AA81" s="160"/>
    </row>
    <row r="82" spans="1:27" ht="15.75" customHeight="1" x14ac:dyDescent="0.35">
      <c r="A82" s="29" t="s">
        <v>30</v>
      </c>
      <c r="B82" s="19" t="s">
        <v>145</v>
      </c>
      <c r="C82" s="19" t="s">
        <v>146</v>
      </c>
      <c r="D82" s="20"/>
      <c r="E82" s="21" t="s">
        <v>22</v>
      </c>
      <c r="F82" s="21">
        <v>2</v>
      </c>
      <c r="G82" s="20">
        <v>176660</v>
      </c>
      <c r="H82" s="20" t="s">
        <v>160</v>
      </c>
      <c r="I82" s="21">
        <v>317</v>
      </c>
      <c r="J82" s="21">
        <v>19</v>
      </c>
      <c r="K82" s="21">
        <v>33</v>
      </c>
      <c r="L82" s="21" t="s">
        <v>23</v>
      </c>
      <c r="M82" s="22">
        <v>21733</v>
      </c>
      <c r="N82" s="23">
        <v>44405</v>
      </c>
      <c r="O82" s="31">
        <v>44419</v>
      </c>
      <c r="P82" s="24"/>
      <c r="Q82" s="26"/>
      <c r="R82" s="26"/>
      <c r="S82" s="26"/>
      <c r="T82" s="24"/>
      <c r="U82" s="36">
        <v>45526</v>
      </c>
      <c r="V82" s="27"/>
      <c r="AA82" s="160"/>
    </row>
    <row r="83" spans="1:27" ht="15.75" customHeight="1" x14ac:dyDescent="0.35">
      <c r="A83" s="29" t="s">
        <v>30</v>
      </c>
      <c r="B83" s="19" t="s">
        <v>145</v>
      </c>
      <c r="C83" s="19" t="s">
        <v>146</v>
      </c>
      <c r="D83" s="20" t="s">
        <v>161</v>
      </c>
      <c r="E83" s="21" t="s">
        <v>22</v>
      </c>
      <c r="F83" s="21">
        <v>4</v>
      </c>
      <c r="G83" s="20">
        <v>222524</v>
      </c>
      <c r="H83" s="20" t="s">
        <v>162</v>
      </c>
      <c r="I83" s="21" t="s">
        <v>285</v>
      </c>
      <c r="J83" s="21">
        <v>19</v>
      </c>
      <c r="K83" s="21">
        <v>16</v>
      </c>
      <c r="L83" s="21" t="s">
        <v>51</v>
      </c>
      <c r="M83" s="22">
        <v>21733</v>
      </c>
      <c r="N83" s="23">
        <v>45101</v>
      </c>
      <c r="O83" s="31"/>
      <c r="P83" s="24"/>
      <c r="Q83" s="26"/>
      <c r="R83" s="26"/>
      <c r="S83" s="26"/>
      <c r="T83" s="24"/>
      <c r="U83" s="36">
        <v>45504</v>
      </c>
      <c r="V83" s="27"/>
      <c r="AA83" s="160"/>
    </row>
    <row r="84" spans="1:27" ht="15.75" customHeight="1" x14ac:dyDescent="0.35">
      <c r="A84" s="29" t="s">
        <v>30</v>
      </c>
      <c r="B84" s="19" t="s">
        <v>163</v>
      </c>
      <c r="C84" s="19" t="s">
        <v>164</v>
      </c>
      <c r="D84" s="20" t="s">
        <v>44</v>
      </c>
      <c r="E84" s="21" t="s">
        <v>22</v>
      </c>
      <c r="F84" s="21">
        <v>2</v>
      </c>
      <c r="G84" s="19">
        <v>153519</v>
      </c>
      <c r="H84" s="19">
        <v>49070172</v>
      </c>
      <c r="I84" s="21">
        <v>839</v>
      </c>
      <c r="J84" s="21">
        <v>19</v>
      </c>
      <c r="K84" s="21">
        <v>25</v>
      </c>
      <c r="L84" s="21" t="s">
        <v>85</v>
      </c>
      <c r="M84" s="21">
        <v>237925</v>
      </c>
      <c r="N84" s="23">
        <v>43647</v>
      </c>
      <c r="O84" s="23" t="s">
        <v>165</v>
      </c>
      <c r="P84" s="26">
        <v>45027</v>
      </c>
      <c r="Q84" s="26">
        <v>45075</v>
      </c>
      <c r="R84" s="25"/>
      <c r="S84" s="26">
        <f>P84+365</f>
        <v>45392</v>
      </c>
      <c r="T84" s="26">
        <f t="shared" si="8"/>
        <v>45332</v>
      </c>
      <c r="U84" s="36">
        <v>45497</v>
      </c>
      <c r="V84" s="27"/>
      <c r="X84" s="79"/>
      <c r="AA84" s="160"/>
    </row>
    <row r="85" spans="1:27" ht="15.75" customHeight="1" x14ac:dyDescent="0.35">
      <c r="A85" s="69" t="s">
        <v>30</v>
      </c>
      <c r="B85" s="70" t="s">
        <v>163</v>
      </c>
      <c r="C85" s="70" t="s">
        <v>166</v>
      </c>
      <c r="D85" s="71" t="s">
        <v>44</v>
      </c>
      <c r="E85" s="88" t="s">
        <v>22</v>
      </c>
      <c r="F85" s="66">
        <v>4</v>
      </c>
      <c r="G85" s="71">
        <v>219084</v>
      </c>
      <c r="H85" s="70" t="s">
        <v>167</v>
      </c>
      <c r="I85" s="66">
        <v>317</v>
      </c>
      <c r="J85" s="66">
        <v>19</v>
      </c>
      <c r="K85" s="66">
        <v>33</v>
      </c>
      <c r="L85" s="66" t="s">
        <v>51</v>
      </c>
      <c r="M85" s="66">
        <v>237925</v>
      </c>
      <c r="N85" s="74">
        <v>45435</v>
      </c>
      <c r="O85" s="80"/>
      <c r="P85" s="24"/>
      <c r="Q85" s="24"/>
      <c r="R85" s="81"/>
      <c r="S85" s="24"/>
      <c r="T85" s="24"/>
      <c r="U85" s="71"/>
      <c r="V85" s="76"/>
      <c r="AA85" s="160"/>
    </row>
    <row r="86" spans="1:27" ht="15.75" customHeight="1" x14ac:dyDescent="0.35">
      <c r="A86" s="29" t="s">
        <v>30</v>
      </c>
      <c r="B86" s="19" t="s">
        <v>163</v>
      </c>
      <c r="C86" s="19" t="s">
        <v>166</v>
      </c>
      <c r="D86" s="20" t="s">
        <v>44</v>
      </c>
      <c r="E86" s="65" t="s">
        <v>22</v>
      </c>
      <c r="F86" s="21">
        <v>4</v>
      </c>
      <c r="G86" s="20">
        <v>147739</v>
      </c>
      <c r="H86" s="19" t="s">
        <v>168</v>
      </c>
      <c r="I86" s="21">
        <v>317</v>
      </c>
      <c r="J86" s="21">
        <v>19</v>
      </c>
      <c r="K86" s="21">
        <v>33</v>
      </c>
      <c r="L86" s="21" t="s">
        <v>47</v>
      </c>
      <c r="M86" s="66">
        <v>237925</v>
      </c>
      <c r="N86" s="23">
        <v>45435</v>
      </c>
      <c r="O86" s="31"/>
      <c r="P86" s="24"/>
      <c r="Q86" s="26"/>
      <c r="R86" s="25"/>
      <c r="S86" s="26"/>
      <c r="T86" s="24"/>
      <c r="U86" s="20"/>
      <c r="V86" s="27"/>
      <c r="AA86" s="160"/>
    </row>
    <row r="87" spans="1:27" ht="15.75" customHeight="1" x14ac:dyDescent="0.35">
      <c r="A87" s="29" t="s">
        <v>30</v>
      </c>
      <c r="B87" s="19" t="s">
        <v>169</v>
      </c>
      <c r="C87" s="19" t="s">
        <v>170</v>
      </c>
      <c r="D87" s="20" t="s">
        <v>171</v>
      </c>
      <c r="E87" s="65" t="s">
        <v>35</v>
      </c>
      <c r="F87" s="21">
        <v>2</v>
      </c>
      <c r="G87" s="48">
        <v>177256</v>
      </c>
      <c r="H87" s="19" t="s">
        <v>172</v>
      </c>
      <c r="I87" s="21">
        <v>8302</v>
      </c>
      <c r="J87" s="21">
        <v>38</v>
      </c>
      <c r="K87" s="21">
        <v>25</v>
      </c>
      <c r="L87" s="21" t="s">
        <v>23</v>
      </c>
      <c r="M87" s="83">
        <v>131260</v>
      </c>
      <c r="N87" s="23">
        <v>44333</v>
      </c>
      <c r="O87" s="22"/>
      <c r="P87" s="24">
        <v>45034</v>
      </c>
      <c r="Q87" s="26">
        <v>45056</v>
      </c>
      <c r="R87" s="25"/>
      <c r="S87" s="26">
        <f t="shared" ref="S87:S94" si="10">P87+365</f>
        <v>45399</v>
      </c>
      <c r="T87" s="24">
        <f t="shared" si="8"/>
        <v>45339</v>
      </c>
      <c r="U87" s="36">
        <v>45463</v>
      </c>
      <c r="V87" s="27"/>
      <c r="AA87" s="160"/>
    </row>
    <row r="88" spans="1:27" ht="15.75" customHeight="1" x14ac:dyDescent="0.35">
      <c r="A88" s="38" t="s">
        <v>37</v>
      </c>
      <c r="B88" s="39" t="s">
        <v>173</v>
      </c>
      <c r="C88" s="39" t="s">
        <v>174</v>
      </c>
      <c r="D88" s="34" t="s">
        <v>66</v>
      </c>
      <c r="E88" s="60" t="s">
        <v>22</v>
      </c>
      <c r="F88" s="33">
        <v>2</v>
      </c>
      <c r="G88" s="50">
        <v>156361</v>
      </c>
      <c r="H88" s="39" t="s">
        <v>175</v>
      </c>
      <c r="I88" s="33" t="s">
        <v>77</v>
      </c>
      <c r="J88" s="33">
        <v>19</v>
      </c>
      <c r="K88" s="33">
        <v>25</v>
      </c>
      <c r="L88" s="33" t="s">
        <v>23</v>
      </c>
      <c r="M88" s="40">
        <v>13601</v>
      </c>
      <c r="N88" s="35">
        <v>44201</v>
      </c>
      <c r="O88" s="44">
        <v>44216</v>
      </c>
      <c r="P88" s="41">
        <v>44936</v>
      </c>
      <c r="Q88" s="42">
        <v>45075</v>
      </c>
      <c r="R88" s="42"/>
      <c r="S88" s="42">
        <f t="shared" si="10"/>
        <v>45301</v>
      </c>
      <c r="T88" s="41">
        <f t="shared" si="8"/>
        <v>45241</v>
      </c>
      <c r="U88" s="46">
        <v>45362</v>
      </c>
      <c r="V88" s="47">
        <v>45371</v>
      </c>
      <c r="AA88" s="160"/>
    </row>
    <row r="89" spans="1:27" ht="15.75" customHeight="1" x14ac:dyDescent="0.35">
      <c r="A89" s="28"/>
      <c r="B89" s="9" t="s">
        <v>176</v>
      </c>
      <c r="C89" s="9" t="s">
        <v>177</v>
      </c>
      <c r="D89" s="10"/>
      <c r="E89" s="55" t="s">
        <v>35</v>
      </c>
      <c r="F89" s="2">
        <v>2</v>
      </c>
      <c r="G89" s="18">
        <v>153519</v>
      </c>
      <c r="H89" s="9" t="s">
        <v>178</v>
      </c>
      <c r="I89" s="11">
        <v>839</v>
      </c>
      <c r="J89" s="11">
        <v>19</v>
      </c>
      <c r="K89" s="11">
        <v>25</v>
      </c>
      <c r="L89" s="11" t="s">
        <v>85</v>
      </c>
      <c r="M89" s="136">
        <v>7055</v>
      </c>
      <c r="N89" s="12">
        <v>44915</v>
      </c>
      <c r="O89" s="13">
        <v>44916</v>
      </c>
      <c r="P89" s="8">
        <v>45280</v>
      </c>
      <c r="Q89" s="16">
        <v>45224</v>
      </c>
      <c r="R89" s="17"/>
      <c r="S89" s="14">
        <f t="shared" si="10"/>
        <v>45645</v>
      </c>
      <c r="T89" s="8">
        <f t="shared" si="8"/>
        <v>45585</v>
      </c>
      <c r="U89" s="10"/>
      <c r="V89" s="15"/>
      <c r="AA89" s="160"/>
    </row>
    <row r="90" spans="1:27" ht="15.75" customHeight="1" x14ac:dyDescent="0.35">
      <c r="A90" s="29" t="s">
        <v>30</v>
      </c>
      <c r="B90" s="19" t="s">
        <v>179</v>
      </c>
      <c r="C90" s="19" t="s">
        <v>180</v>
      </c>
      <c r="D90" s="20" t="s">
        <v>181</v>
      </c>
      <c r="E90" s="65" t="s">
        <v>22</v>
      </c>
      <c r="F90" s="21">
        <v>2</v>
      </c>
      <c r="G90" s="48">
        <v>162216</v>
      </c>
      <c r="H90" s="59" t="s">
        <v>182</v>
      </c>
      <c r="I90" s="21">
        <v>839</v>
      </c>
      <c r="J90" s="21">
        <v>9</v>
      </c>
      <c r="K90" s="21">
        <v>25</v>
      </c>
      <c r="L90" s="21" t="s">
        <v>85</v>
      </c>
      <c r="M90" s="22"/>
      <c r="N90" s="23">
        <v>43635</v>
      </c>
      <c r="O90" s="22"/>
      <c r="P90" s="24">
        <v>44988</v>
      </c>
      <c r="Q90" s="26">
        <v>45000</v>
      </c>
      <c r="R90" s="25"/>
      <c r="S90" s="26">
        <f t="shared" si="10"/>
        <v>45353</v>
      </c>
      <c r="T90" s="24">
        <f t="shared" si="8"/>
        <v>45293</v>
      </c>
      <c r="U90" s="36">
        <v>45439</v>
      </c>
      <c r="V90" s="27"/>
      <c r="AA90" s="160"/>
    </row>
    <row r="91" spans="1:27" ht="15.75" customHeight="1" x14ac:dyDescent="0.35">
      <c r="A91" s="29" t="s">
        <v>30</v>
      </c>
      <c r="B91" s="19" t="s">
        <v>183</v>
      </c>
      <c r="C91" s="19" t="s">
        <v>184</v>
      </c>
      <c r="D91" s="20" t="s">
        <v>95</v>
      </c>
      <c r="E91" s="65" t="s">
        <v>35</v>
      </c>
      <c r="F91" s="21">
        <v>2</v>
      </c>
      <c r="G91" s="48">
        <v>176644</v>
      </c>
      <c r="H91" s="19" t="s">
        <v>185</v>
      </c>
      <c r="I91" s="21">
        <v>8551</v>
      </c>
      <c r="J91" s="21">
        <v>9</v>
      </c>
      <c r="K91" s="21">
        <v>25</v>
      </c>
      <c r="L91" s="21" t="s">
        <v>23</v>
      </c>
      <c r="M91" s="61">
        <v>170847</v>
      </c>
      <c r="N91" s="23">
        <v>44799</v>
      </c>
      <c r="O91" s="22"/>
      <c r="P91" s="24">
        <v>45164</v>
      </c>
      <c r="Q91" s="26">
        <v>45105</v>
      </c>
      <c r="R91" s="26">
        <v>45105</v>
      </c>
      <c r="S91" s="26">
        <f t="shared" si="10"/>
        <v>45529</v>
      </c>
      <c r="T91" s="24">
        <f t="shared" si="8"/>
        <v>45469</v>
      </c>
      <c r="U91" s="36">
        <v>45513</v>
      </c>
      <c r="V91" s="27"/>
      <c r="AA91" s="160"/>
    </row>
    <row r="92" spans="1:27" ht="15.75" customHeight="1" x14ac:dyDescent="0.35">
      <c r="A92" s="29" t="s">
        <v>30</v>
      </c>
      <c r="B92" s="19" t="s">
        <v>186</v>
      </c>
      <c r="C92" s="19" t="s">
        <v>187</v>
      </c>
      <c r="D92" s="20"/>
      <c r="E92" s="21" t="s">
        <v>22</v>
      </c>
      <c r="F92" s="21">
        <v>2</v>
      </c>
      <c r="G92" s="48">
        <v>191015</v>
      </c>
      <c r="H92" s="19" t="s">
        <v>286</v>
      </c>
      <c r="I92" s="21" t="s">
        <v>287</v>
      </c>
      <c r="J92" s="21">
        <v>19</v>
      </c>
      <c r="K92" s="21">
        <v>33</v>
      </c>
      <c r="L92" s="21" t="s">
        <v>47</v>
      </c>
      <c r="M92" s="61">
        <v>23248</v>
      </c>
      <c r="N92" s="23">
        <v>44763</v>
      </c>
      <c r="O92" s="22"/>
      <c r="P92" s="24"/>
      <c r="Q92" s="26"/>
      <c r="R92" s="26"/>
      <c r="S92" s="26"/>
      <c r="T92" s="24"/>
      <c r="U92" s="36">
        <v>45500</v>
      </c>
      <c r="V92" s="27"/>
      <c r="AA92" s="160"/>
    </row>
    <row r="93" spans="1:27" ht="15.75" customHeight="1" x14ac:dyDescent="0.35">
      <c r="A93" s="29" t="s">
        <v>30</v>
      </c>
      <c r="B93" s="19" t="s">
        <v>186</v>
      </c>
      <c r="C93" s="19" t="s">
        <v>187</v>
      </c>
      <c r="D93" s="20"/>
      <c r="E93" s="21" t="s">
        <v>22</v>
      </c>
      <c r="F93" s="21">
        <v>2</v>
      </c>
      <c r="G93" s="19">
        <v>174352</v>
      </c>
      <c r="H93" s="19" t="s">
        <v>188</v>
      </c>
      <c r="I93" s="21" t="s">
        <v>64</v>
      </c>
      <c r="J93" s="21">
        <v>19</v>
      </c>
      <c r="K93" s="21">
        <v>15</v>
      </c>
      <c r="L93" s="21" t="s">
        <v>23</v>
      </c>
      <c r="M93" s="61">
        <v>23248</v>
      </c>
      <c r="N93" s="23">
        <v>43647</v>
      </c>
      <c r="O93" s="22"/>
      <c r="P93" s="24">
        <v>45027</v>
      </c>
      <c r="Q93" s="26">
        <v>45075</v>
      </c>
      <c r="R93" s="26">
        <v>45117</v>
      </c>
      <c r="S93" s="26">
        <f t="shared" si="10"/>
        <v>45392</v>
      </c>
      <c r="T93" s="24">
        <f t="shared" si="8"/>
        <v>45332</v>
      </c>
      <c r="U93" s="36">
        <v>45463</v>
      </c>
      <c r="V93" s="27"/>
      <c r="AA93" s="160"/>
    </row>
    <row r="94" spans="1:27" ht="15.75" customHeight="1" x14ac:dyDescent="0.35">
      <c r="A94" s="29" t="s">
        <v>30</v>
      </c>
      <c r="B94" s="19" t="s">
        <v>186</v>
      </c>
      <c r="C94" s="19" t="s">
        <v>189</v>
      </c>
      <c r="D94" s="20"/>
      <c r="E94" s="21" t="s">
        <v>35</v>
      </c>
      <c r="F94" s="21">
        <v>2</v>
      </c>
      <c r="G94" s="19">
        <v>202913</v>
      </c>
      <c r="H94" s="19" t="s">
        <v>190</v>
      </c>
      <c r="I94" s="21" t="s">
        <v>153</v>
      </c>
      <c r="J94" s="21">
        <v>19</v>
      </c>
      <c r="K94" s="21">
        <v>33</v>
      </c>
      <c r="L94" s="21" t="s">
        <v>51</v>
      </c>
      <c r="M94" s="61">
        <v>23248</v>
      </c>
      <c r="N94" s="23">
        <v>44614</v>
      </c>
      <c r="O94" s="31">
        <v>44643</v>
      </c>
      <c r="P94" s="24">
        <v>44979</v>
      </c>
      <c r="Q94" s="26">
        <v>45075</v>
      </c>
      <c r="R94" s="26">
        <v>45117</v>
      </c>
      <c r="S94" s="26">
        <f t="shared" si="10"/>
        <v>45344</v>
      </c>
      <c r="T94" s="24">
        <f t="shared" si="8"/>
        <v>45284</v>
      </c>
      <c r="U94" s="36">
        <v>45406</v>
      </c>
      <c r="V94" s="27"/>
      <c r="AA94" s="160"/>
    </row>
    <row r="95" spans="1:27" ht="15.75" customHeight="1" x14ac:dyDescent="0.35">
      <c r="A95" s="29" t="s">
        <v>30</v>
      </c>
      <c r="B95" s="19" t="s">
        <v>186</v>
      </c>
      <c r="C95" s="19" t="s">
        <v>189</v>
      </c>
      <c r="D95" s="20"/>
      <c r="E95" s="21" t="s">
        <v>35</v>
      </c>
      <c r="F95" s="21">
        <v>2</v>
      </c>
      <c r="G95" s="19">
        <v>118710</v>
      </c>
      <c r="H95" s="19" t="s">
        <v>191</v>
      </c>
      <c r="I95" s="21" t="s">
        <v>46</v>
      </c>
      <c r="J95" s="21">
        <v>25</v>
      </c>
      <c r="K95" s="21">
        <v>25</v>
      </c>
      <c r="L95" s="21" t="s">
        <v>23</v>
      </c>
      <c r="M95" s="61">
        <v>23248</v>
      </c>
      <c r="N95" s="23">
        <v>45075</v>
      </c>
      <c r="O95" s="31">
        <v>45117</v>
      </c>
      <c r="P95" s="24"/>
      <c r="Q95" s="25"/>
      <c r="R95" s="26"/>
      <c r="S95" s="26">
        <f>O95+365</f>
        <v>45482</v>
      </c>
      <c r="T95" s="24">
        <f t="shared" si="8"/>
        <v>45422</v>
      </c>
      <c r="U95" s="36">
        <v>45485</v>
      </c>
      <c r="V95" s="27"/>
      <c r="X95" s="79"/>
      <c r="AA95" s="160"/>
    </row>
    <row r="96" spans="1:27" ht="15.75" customHeight="1" x14ac:dyDescent="0.35">
      <c r="A96" s="149"/>
      <c r="B96" s="150" t="s">
        <v>315</v>
      </c>
      <c r="C96" s="150"/>
      <c r="D96" s="151"/>
      <c r="E96" s="152"/>
      <c r="F96" s="152"/>
      <c r="G96" s="150"/>
      <c r="H96" s="150"/>
      <c r="I96" s="152"/>
      <c r="J96" s="152"/>
      <c r="K96" s="152"/>
      <c r="L96" s="152"/>
      <c r="M96" s="153"/>
      <c r="N96" s="154"/>
      <c r="O96" s="155"/>
      <c r="P96" s="156"/>
      <c r="Q96" s="17"/>
      <c r="R96" s="16"/>
      <c r="S96" s="16"/>
      <c r="T96" s="156"/>
      <c r="U96" s="157"/>
      <c r="V96" s="158"/>
      <c r="X96" s="79"/>
      <c r="AA96" s="159" t="s">
        <v>320</v>
      </c>
    </row>
    <row r="97" spans="1:27" ht="15.75" customHeight="1" x14ac:dyDescent="0.35">
      <c r="A97" s="29" t="s">
        <v>30</v>
      </c>
      <c r="B97" s="19" t="s">
        <v>192</v>
      </c>
      <c r="C97" s="19" t="s">
        <v>193</v>
      </c>
      <c r="D97" s="20" t="s">
        <v>194</v>
      </c>
      <c r="E97" s="21" t="s">
        <v>35</v>
      </c>
      <c r="F97" s="21">
        <v>4</v>
      </c>
      <c r="G97" s="19">
        <v>164369</v>
      </c>
      <c r="H97" s="19" t="s">
        <v>195</v>
      </c>
      <c r="I97" s="21" t="s">
        <v>196</v>
      </c>
      <c r="J97" s="21">
        <v>9</v>
      </c>
      <c r="K97" s="21">
        <v>33</v>
      </c>
      <c r="L97" s="21" t="s">
        <v>197</v>
      </c>
      <c r="M97" s="20">
        <v>175098</v>
      </c>
      <c r="N97" s="23">
        <v>45114</v>
      </c>
      <c r="O97" s="22"/>
      <c r="P97" s="24"/>
      <c r="Q97" s="25"/>
      <c r="R97" s="25"/>
      <c r="S97" s="26">
        <f>N97+365</f>
        <v>45479</v>
      </c>
      <c r="T97" s="24">
        <f t="shared" si="8"/>
        <v>45419</v>
      </c>
      <c r="U97" s="36">
        <v>45498</v>
      </c>
      <c r="V97" s="27"/>
      <c r="X97" s="79"/>
      <c r="AA97" s="160"/>
    </row>
    <row r="98" spans="1:27" ht="15.75" customHeight="1" x14ac:dyDescent="0.35">
      <c r="A98" s="29" t="s">
        <v>30</v>
      </c>
      <c r="B98" s="19" t="s">
        <v>192</v>
      </c>
      <c r="C98" s="19" t="s">
        <v>193</v>
      </c>
      <c r="D98" s="20" t="s">
        <v>194</v>
      </c>
      <c r="E98" s="21" t="s">
        <v>35</v>
      </c>
      <c r="F98" s="21">
        <v>4</v>
      </c>
      <c r="G98" s="19">
        <v>178330</v>
      </c>
      <c r="H98" s="19" t="s">
        <v>198</v>
      </c>
      <c r="I98" s="21" t="s">
        <v>196</v>
      </c>
      <c r="J98" s="21">
        <v>9</v>
      </c>
      <c r="K98" s="21">
        <v>33</v>
      </c>
      <c r="L98" s="21" t="s">
        <v>62</v>
      </c>
      <c r="M98" s="20">
        <v>175098</v>
      </c>
      <c r="N98" s="23">
        <v>45114</v>
      </c>
      <c r="O98" s="22"/>
      <c r="P98" s="24"/>
      <c r="Q98" s="25"/>
      <c r="R98" s="25"/>
      <c r="S98" s="26">
        <f t="shared" ref="S98:S100" si="11">N98+365</f>
        <v>45479</v>
      </c>
      <c r="T98" s="24">
        <f t="shared" si="8"/>
        <v>45419</v>
      </c>
      <c r="U98" s="36">
        <v>45498</v>
      </c>
      <c r="V98" s="27"/>
      <c r="X98" s="79"/>
      <c r="AA98" s="160"/>
    </row>
    <row r="99" spans="1:27" ht="15.75" customHeight="1" x14ac:dyDescent="0.35">
      <c r="A99" s="29" t="s">
        <v>30</v>
      </c>
      <c r="B99" s="19" t="s">
        <v>192</v>
      </c>
      <c r="C99" s="19" t="s">
        <v>193</v>
      </c>
      <c r="D99" s="20" t="s">
        <v>194</v>
      </c>
      <c r="E99" s="21" t="s">
        <v>35</v>
      </c>
      <c r="F99" s="21">
        <v>4</v>
      </c>
      <c r="G99" s="19">
        <v>222486</v>
      </c>
      <c r="H99" s="19" t="s">
        <v>199</v>
      </c>
      <c r="I99" s="21" t="s">
        <v>196</v>
      </c>
      <c r="J99" s="21">
        <v>9</v>
      </c>
      <c r="K99" s="21">
        <v>33</v>
      </c>
      <c r="L99" s="21" t="s">
        <v>200</v>
      </c>
      <c r="M99" s="20">
        <v>175098</v>
      </c>
      <c r="N99" s="23">
        <v>45114</v>
      </c>
      <c r="O99" s="22"/>
      <c r="P99" s="24"/>
      <c r="Q99" s="25"/>
      <c r="R99" s="25"/>
      <c r="S99" s="26">
        <f t="shared" si="11"/>
        <v>45479</v>
      </c>
      <c r="T99" s="24">
        <f t="shared" si="8"/>
        <v>45419</v>
      </c>
      <c r="U99" s="36">
        <v>45498</v>
      </c>
      <c r="V99" s="27"/>
      <c r="X99" s="79"/>
      <c r="AA99" s="160"/>
    </row>
    <row r="100" spans="1:27" ht="15.75" customHeight="1" x14ac:dyDescent="0.35">
      <c r="A100" s="29" t="s">
        <v>30</v>
      </c>
      <c r="B100" s="19" t="s">
        <v>192</v>
      </c>
      <c r="C100" s="19" t="s">
        <v>193</v>
      </c>
      <c r="D100" s="20" t="s">
        <v>194</v>
      </c>
      <c r="E100" s="21" t="s">
        <v>35</v>
      </c>
      <c r="F100" s="21">
        <v>4</v>
      </c>
      <c r="G100" s="19">
        <v>193308</v>
      </c>
      <c r="H100" s="19" t="s">
        <v>201</v>
      </c>
      <c r="I100" s="21" t="s">
        <v>196</v>
      </c>
      <c r="J100" s="21">
        <v>9</v>
      </c>
      <c r="K100" s="21">
        <v>33</v>
      </c>
      <c r="L100" s="21" t="s">
        <v>51</v>
      </c>
      <c r="M100" s="20">
        <v>175098</v>
      </c>
      <c r="N100" s="23">
        <v>45114</v>
      </c>
      <c r="O100" s="22"/>
      <c r="P100" s="24"/>
      <c r="Q100" s="25"/>
      <c r="R100" s="25"/>
      <c r="S100" s="26">
        <f t="shared" si="11"/>
        <v>45479</v>
      </c>
      <c r="T100" s="24">
        <f t="shared" si="8"/>
        <v>45419</v>
      </c>
      <c r="U100" s="36">
        <v>45498</v>
      </c>
      <c r="V100" s="27"/>
      <c r="X100" s="79"/>
      <c r="AA100" s="160"/>
    </row>
    <row r="101" spans="1:27" ht="15.75" customHeight="1" x14ac:dyDescent="0.35">
      <c r="A101" s="29" t="s">
        <v>30</v>
      </c>
      <c r="B101" s="19" t="s">
        <v>192</v>
      </c>
      <c r="C101" s="19" t="s">
        <v>202</v>
      </c>
      <c r="D101" s="20" t="s">
        <v>194</v>
      </c>
      <c r="E101" s="21" t="s">
        <v>35</v>
      </c>
      <c r="F101" s="21">
        <v>2</v>
      </c>
      <c r="G101" s="19"/>
      <c r="H101" s="19"/>
      <c r="I101" s="21" t="s">
        <v>196</v>
      </c>
      <c r="J101" s="21">
        <v>9</v>
      </c>
      <c r="K101" s="21">
        <v>33</v>
      </c>
      <c r="L101" s="21" t="s">
        <v>85</v>
      </c>
      <c r="M101" s="21">
        <v>175098</v>
      </c>
      <c r="N101" s="23">
        <v>45302</v>
      </c>
      <c r="O101" s="22"/>
      <c r="P101" s="24"/>
      <c r="Q101" s="25"/>
      <c r="R101" s="25"/>
      <c r="S101" s="26">
        <f>N101+365</f>
        <v>45667</v>
      </c>
      <c r="T101" s="24">
        <f t="shared" si="8"/>
        <v>45607</v>
      </c>
      <c r="U101" s="36">
        <v>45301</v>
      </c>
      <c r="V101" s="27"/>
      <c r="AA101" s="159" t="s">
        <v>321</v>
      </c>
    </row>
    <row r="102" spans="1:27" ht="15.75" customHeight="1" x14ac:dyDescent="0.35">
      <c r="A102" s="29" t="s">
        <v>30</v>
      </c>
      <c r="B102" s="19" t="s">
        <v>203</v>
      </c>
      <c r="C102" s="19" t="s">
        <v>204</v>
      </c>
      <c r="D102" s="20" t="s">
        <v>66</v>
      </c>
      <c r="E102" s="21" t="s">
        <v>22</v>
      </c>
      <c r="F102" s="21">
        <v>2</v>
      </c>
      <c r="G102" s="19">
        <v>53400</v>
      </c>
      <c r="H102" s="59" t="s">
        <v>205</v>
      </c>
      <c r="I102" s="21" t="s">
        <v>206</v>
      </c>
      <c r="J102" s="21">
        <v>19</v>
      </c>
      <c r="K102" s="21">
        <v>10</v>
      </c>
      <c r="L102" s="21" t="s">
        <v>23</v>
      </c>
      <c r="M102" s="22"/>
      <c r="N102" s="23">
        <v>44257</v>
      </c>
      <c r="O102" s="22"/>
      <c r="P102" s="24">
        <v>45021</v>
      </c>
      <c r="Q102" s="26">
        <v>45001</v>
      </c>
      <c r="R102" s="26">
        <v>45002</v>
      </c>
      <c r="S102" s="26">
        <f>P102+365</f>
        <v>45386</v>
      </c>
      <c r="T102" s="24">
        <f t="shared" si="8"/>
        <v>45326</v>
      </c>
      <c r="U102" s="36">
        <v>45393</v>
      </c>
      <c r="V102" s="115"/>
      <c r="AA102" s="160"/>
    </row>
    <row r="103" spans="1:27" ht="15.75" customHeight="1" x14ac:dyDescent="0.35">
      <c r="A103" s="29" t="s">
        <v>30</v>
      </c>
      <c r="B103" s="19" t="s">
        <v>207</v>
      </c>
      <c r="C103" s="19" t="s">
        <v>208</v>
      </c>
      <c r="D103" s="20"/>
      <c r="E103" s="21" t="s">
        <v>35</v>
      </c>
      <c r="F103" s="21">
        <v>2</v>
      </c>
      <c r="G103" s="19">
        <v>174352</v>
      </c>
      <c r="H103" s="19" t="s">
        <v>209</v>
      </c>
      <c r="I103" s="21" t="s">
        <v>64</v>
      </c>
      <c r="J103" s="21">
        <v>19</v>
      </c>
      <c r="K103" s="21">
        <v>15</v>
      </c>
      <c r="L103" s="21" t="s">
        <v>23</v>
      </c>
      <c r="M103" s="20">
        <v>2426</v>
      </c>
      <c r="N103" s="23">
        <v>44410</v>
      </c>
      <c r="O103" s="22"/>
      <c r="P103" s="24">
        <v>45135</v>
      </c>
      <c r="Q103" s="26">
        <v>45184</v>
      </c>
      <c r="R103" s="26"/>
      <c r="S103" s="26">
        <f t="shared" ref="S103:S105" si="12">P103+365</f>
        <v>45500</v>
      </c>
      <c r="T103" s="24">
        <f t="shared" si="8"/>
        <v>45440</v>
      </c>
      <c r="U103" s="36">
        <v>45485</v>
      </c>
      <c r="V103" s="27"/>
      <c r="X103" s="79"/>
      <c r="AA103" s="159" t="s">
        <v>322</v>
      </c>
    </row>
    <row r="104" spans="1:27" ht="15.75" customHeight="1" x14ac:dyDescent="0.35">
      <c r="A104" s="38" t="s">
        <v>37</v>
      </c>
      <c r="B104" s="39" t="s">
        <v>207</v>
      </c>
      <c r="C104" s="39" t="s">
        <v>208</v>
      </c>
      <c r="D104" s="34"/>
      <c r="E104" s="33" t="s">
        <v>35</v>
      </c>
      <c r="F104" s="33">
        <v>2</v>
      </c>
      <c r="G104" s="39">
        <v>157238</v>
      </c>
      <c r="H104" s="39" t="s">
        <v>210</v>
      </c>
      <c r="I104" s="33" t="s">
        <v>46</v>
      </c>
      <c r="J104" s="33">
        <v>9</v>
      </c>
      <c r="K104" s="33">
        <v>25</v>
      </c>
      <c r="L104" s="33" t="s">
        <v>23</v>
      </c>
      <c r="M104" s="34">
        <v>2426</v>
      </c>
      <c r="N104" s="35">
        <v>44410</v>
      </c>
      <c r="O104" s="40"/>
      <c r="P104" s="41">
        <v>45147</v>
      </c>
      <c r="Q104" s="42">
        <v>45184</v>
      </c>
      <c r="R104" s="42"/>
      <c r="S104" s="42">
        <f t="shared" si="12"/>
        <v>45512</v>
      </c>
      <c r="T104" s="41">
        <f t="shared" si="8"/>
        <v>45452</v>
      </c>
      <c r="U104" s="46">
        <v>45525</v>
      </c>
      <c r="V104" s="47">
        <v>45527</v>
      </c>
      <c r="AA104" s="159" t="s">
        <v>322</v>
      </c>
    </row>
    <row r="105" spans="1:27" ht="15.75" customHeight="1" x14ac:dyDescent="0.35">
      <c r="A105" s="29" t="s">
        <v>30</v>
      </c>
      <c r="B105" s="19" t="s">
        <v>207</v>
      </c>
      <c r="C105" s="19" t="s">
        <v>208</v>
      </c>
      <c r="D105" s="20" t="s">
        <v>211</v>
      </c>
      <c r="E105" s="21" t="s">
        <v>35</v>
      </c>
      <c r="F105" s="21">
        <v>2</v>
      </c>
      <c r="G105" s="19">
        <v>34005</v>
      </c>
      <c r="H105" s="19" t="s">
        <v>212</v>
      </c>
      <c r="I105" s="21">
        <v>8560</v>
      </c>
      <c r="J105" s="21">
        <v>9</v>
      </c>
      <c r="K105" s="21">
        <v>50</v>
      </c>
      <c r="L105" s="21" t="s">
        <v>23</v>
      </c>
      <c r="M105" s="20">
        <v>2426</v>
      </c>
      <c r="N105" s="23">
        <v>44306</v>
      </c>
      <c r="O105" s="22"/>
      <c r="P105" s="24">
        <v>45016</v>
      </c>
      <c r="Q105" s="26">
        <v>45075</v>
      </c>
      <c r="R105" s="26"/>
      <c r="S105" s="26">
        <f t="shared" si="12"/>
        <v>45381</v>
      </c>
      <c r="T105" s="24">
        <f t="shared" si="8"/>
        <v>45321</v>
      </c>
      <c r="U105" s="36">
        <v>45422</v>
      </c>
      <c r="V105" s="27"/>
      <c r="AA105" s="159" t="s">
        <v>322</v>
      </c>
    </row>
    <row r="106" spans="1:27" ht="15.75" customHeight="1" x14ac:dyDescent="0.35">
      <c r="A106" s="38" t="s">
        <v>37</v>
      </c>
      <c r="B106" s="39" t="s">
        <v>207</v>
      </c>
      <c r="C106" s="39" t="s">
        <v>213</v>
      </c>
      <c r="D106" s="34"/>
      <c r="E106" s="33" t="s">
        <v>35</v>
      </c>
      <c r="F106" s="33">
        <v>2</v>
      </c>
      <c r="G106" s="39">
        <v>164193</v>
      </c>
      <c r="H106" s="39" t="s">
        <v>214</v>
      </c>
      <c r="I106" s="33" t="s">
        <v>64</v>
      </c>
      <c r="J106" s="33">
        <v>32</v>
      </c>
      <c r="K106" s="33">
        <v>15</v>
      </c>
      <c r="L106" s="33" t="s">
        <v>23</v>
      </c>
      <c r="M106" s="34">
        <v>2426</v>
      </c>
      <c r="N106" s="35">
        <v>44364</v>
      </c>
      <c r="O106" s="40"/>
      <c r="P106" s="41">
        <v>45059</v>
      </c>
      <c r="Q106" s="42">
        <v>45060</v>
      </c>
      <c r="R106" s="32"/>
      <c r="S106" s="42">
        <f>P106+365</f>
        <v>45424</v>
      </c>
      <c r="T106" s="41">
        <f t="shared" si="8"/>
        <v>45364</v>
      </c>
      <c r="U106" s="46">
        <v>45488</v>
      </c>
      <c r="V106" s="47">
        <v>45496</v>
      </c>
      <c r="X106" s="79"/>
      <c r="AA106" s="159" t="s">
        <v>322</v>
      </c>
    </row>
    <row r="107" spans="1:27" ht="15.75" customHeight="1" x14ac:dyDescent="0.35">
      <c r="A107" s="38" t="s">
        <v>37</v>
      </c>
      <c r="B107" s="39" t="s">
        <v>207</v>
      </c>
      <c r="C107" s="39" t="s">
        <v>213</v>
      </c>
      <c r="D107" s="34" t="s">
        <v>215</v>
      </c>
      <c r="E107" s="33" t="s">
        <v>35</v>
      </c>
      <c r="F107" s="33">
        <v>4</v>
      </c>
      <c r="G107" s="39">
        <v>164187</v>
      </c>
      <c r="H107" s="39">
        <v>88130</v>
      </c>
      <c r="I107" s="33" t="s">
        <v>64</v>
      </c>
      <c r="J107" s="33">
        <v>25</v>
      </c>
      <c r="K107" s="33">
        <v>15</v>
      </c>
      <c r="L107" s="33" t="s">
        <v>23</v>
      </c>
      <c r="M107" s="34">
        <v>2426</v>
      </c>
      <c r="N107" s="35">
        <v>45181</v>
      </c>
      <c r="O107" s="40"/>
      <c r="P107" s="41"/>
      <c r="Q107" s="32"/>
      <c r="R107" s="32"/>
      <c r="S107" s="42">
        <f>N107+365</f>
        <v>45546</v>
      </c>
      <c r="T107" s="41">
        <f t="shared" si="8"/>
        <v>45486</v>
      </c>
      <c r="U107" s="46">
        <v>45526</v>
      </c>
      <c r="V107" s="47">
        <v>45530</v>
      </c>
      <c r="AA107" s="159" t="s">
        <v>322</v>
      </c>
    </row>
    <row r="108" spans="1:27" ht="15.75" customHeight="1" x14ac:dyDescent="0.35">
      <c r="A108" s="38" t="s">
        <v>30</v>
      </c>
      <c r="B108" s="39" t="s">
        <v>207</v>
      </c>
      <c r="C108" s="39" t="s">
        <v>213</v>
      </c>
      <c r="D108" s="34" t="s">
        <v>75</v>
      </c>
      <c r="E108" s="33" t="s">
        <v>35</v>
      </c>
      <c r="F108" s="33">
        <v>4</v>
      </c>
      <c r="G108" s="39">
        <v>105407</v>
      </c>
      <c r="H108" s="39" t="s">
        <v>216</v>
      </c>
      <c r="I108" s="33">
        <v>8551</v>
      </c>
      <c r="J108" s="33">
        <v>19</v>
      </c>
      <c r="K108" s="33">
        <v>25</v>
      </c>
      <c r="L108" s="33" t="s">
        <v>23</v>
      </c>
      <c r="M108" s="34">
        <v>2426</v>
      </c>
      <c r="N108" s="35">
        <v>45205</v>
      </c>
      <c r="O108" s="40"/>
      <c r="P108" s="41"/>
      <c r="Q108" s="42"/>
      <c r="R108" s="32"/>
      <c r="S108" s="42">
        <f>N108+365</f>
        <v>45570</v>
      </c>
      <c r="T108" s="41">
        <f t="shared" si="8"/>
        <v>45510</v>
      </c>
      <c r="U108" s="46">
        <v>45547</v>
      </c>
      <c r="V108" s="47">
        <v>45588</v>
      </c>
      <c r="AA108" s="159" t="s">
        <v>322</v>
      </c>
    </row>
    <row r="109" spans="1:27" ht="15.75" customHeight="1" x14ac:dyDescent="0.35">
      <c r="A109" s="29" t="s">
        <v>30</v>
      </c>
      <c r="B109" s="19" t="s">
        <v>217</v>
      </c>
      <c r="C109" s="19" t="s">
        <v>218</v>
      </c>
      <c r="D109" s="20" t="s">
        <v>34</v>
      </c>
      <c r="E109" s="21" t="s">
        <v>35</v>
      </c>
      <c r="F109" s="21">
        <v>4</v>
      </c>
      <c r="G109" s="19">
        <v>94557</v>
      </c>
      <c r="H109" s="19">
        <v>19507220000</v>
      </c>
      <c r="I109" s="21" t="s">
        <v>219</v>
      </c>
      <c r="J109" s="21">
        <v>12</v>
      </c>
      <c r="K109" s="21">
        <v>25</v>
      </c>
      <c r="L109" s="21" t="s">
        <v>23</v>
      </c>
      <c r="M109" s="61">
        <v>432</v>
      </c>
      <c r="N109" s="23">
        <v>45475</v>
      </c>
      <c r="O109" s="31"/>
      <c r="P109" s="24"/>
      <c r="Q109" s="26"/>
      <c r="R109" s="25"/>
      <c r="S109" s="26"/>
      <c r="T109" s="24"/>
      <c r="U109" s="20"/>
      <c r="V109" s="27"/>
      <c r="AA109" s="159" t="s">
        <v>323</v>
      </c>
    </row>
    <row r="110" spans="1:27" ht="15.75" customHeight="1" x14ac:dyDescent="0.35">
      <c r="A110" s="38" t="s">
        <v>37</v>
      </c>
      <c r="B110" s="101" t="s">
        <v>299</v>
      </c>
      <c r="C110" s="101"/>
      <c r="D110" s="102"/>
      <c r="E110" s="103"/>
      <c r="F110" s="103">
        <v>2</v>
      </c>
      <c r="G110" s="101"/>
      <c r="H110" s="101" t="s">
        <v>300</v>
      </c>
      <c r="I110" s="103" t="s">
        <v>46</v>
      </c>
      <c r="J110" s="103">
        <v>19</v>
      </c>
      <c r="K110" s="103">
        <v>25</v>
      </c>
      <c r="L110" s="103" t="s">
        <v>23</v>
      </c>
      <c r="M110" s="134"/>
      <c r="N110" s="105"/>
      <c r="O110" s="106"/>
      <c r="P110" s="41"/>
      <c r="Q110" s="41"/>
      <c r="R110" s="107"/>
      <c r="S110" s="41"/>
      <c r="T110" s="41"/>
      <c r="U110" s="108">
        <v>45547</v>
      </c>
      <c r="V110" s="109">
        <v>45565</v>
      </c>
      <c r="AA110" s="160"/>
    </row>
    <row r="111" spans="1:27" ht="15.75" customHeight="1" x14ac:dyDescent="0.35">
      <c r="A111" s="69" t="s">
        <v>30</v>
      </c>
      <c r="B111" s="70" t="s">
        <v>220</v>
      </c>
      <c r="C111" s="70" t="s">
        <v>221</v>
      </c>
      <c r="D111" s="71" t="s">
        <v>66</v>
      </c>
      <c r="E111" s="66" t="s">
        <v>22</v>
      </c>
      <c r="F111" s="66">
        <v>2</v>
      </c>
      <c r="G111" s="70">
        <v>156361</v>
      </c>
      <c r="H111" s="70" t="s">
        <v>222</v>
      </c>
      <c r="I111" s="66" t="s">
        <v>77</v>
      </c>
      <c r="J111" s="66">
        <v>19</v>
      </c>
      <c r="K111" s="66">
        <v>25</v>
      </c>
      <c r="L111" s="66" t="s">
        <v>23</v>
      </c>
      <c r="M111" s="82">
        <v>161440</v>
      </c>
      <c r="N111" s="74">
        <v>45127</v>
      </c>
      <c r="O111" s="74">
        <v>45127</v>
      </c>
      <c r="P111" s="24"/>
      <c r="Q111" s="81"/>
      <c r="R111" s="81"/>
      <c r="S111" s="24">
        <f>N111+365</f>
        <v>45492</v>
      </c>
      <c r="T111" s="24">
        <f t="shared" si="8"/>
        <v>45432</v>
      </c>
      <c r="U111" s="75">
        <v>45485</v>
      </c>
      <c r="V111" s="76"/>
      <c r="X111" s="79"/>
      <c r="AA111" s="160"/>
    </row>
    <row r="112" spans="1:27" ht="15.75" customHeight="1" x14ac:dyDescent="0.35">
      <c r="A112" s="29" t="s">
        <v>30</v>
      </c>
      <c r="B112" s="19" t="s">
        <v>223</v>
      </c>
      <c r="C112" s="19" t="s">
        <v>224</v>
      </c>
      <c r="D112" s="20" t="s">
        <v>105</v>
      </c>
      <c r="E112" s="21" t="s">
        <v>35</v>
      </c>
      <c r="F112" s="21">
        <v>2</v>
      </c>
      <c r="G112" s="19">
        <v>150420</v>
      </c>
      <c r="H112" s="19" t="s">
        <v>225</v>
      </c>
      <c r="I112" s="21" t="s">
        <v>106</v>
      </c>
      <c r="J112" s="21">
        <v>25</v>
      </c>
      <c r="K112" s="21">
        <v>25</v>
      </c>
      <c r="L112" s="21" t="s">
        <v>23</v>
      </c>
      <c r="M112" s="22">
        <v>95256</v>
      </c>
      <c r="N112" s="23">
        <v>44231</v>
      </c>
      <c r="O112" s="22"/>
      <c r="P112" s="24">
        <v>44968</v>
      </c>
      <c r="Q112" s="26">
        <v>45075</v>
      </c>
      <c r="R112" s="25"/>
      <c r="S112" s="26">
        <f>P112+365</f>
        <v>45333</v>
      </c>
      <c r="T112" s="24">
        <f t="shared" si="8"/>
        <v>45273</v>
      </c>
      <c r="U112" s="36">
        <v>45363</v>
      </c>
      <c r="V112" s="27"/>
      <c r="AA112" s="160"/>
    </row>
    <row r="113" spans="1:27" ht="15.75" customHeight="1" x14ac:dyDescent="0.35">
      <c r="A113" s="89" t="s">
        <v>30</v>
      </c>
      <c r="B113" s="90" t="s">
        <v>226</v>
      </c>
      <c r="C113" s="90" t="s">
        <v>227</v>
      </c>
      <c r="D113" s="91" t="s">
        <v>66</v>
      </c>
      <c r="E113" s="92" t="s">
        <v>22</v>
      </c>
      <c r="F113" s="92">
        <v>2</v>
      </c>
      <c r="G113" s="90">
        <v>176641</v>
      </c>
      <c r="H113" s="90">
        <v>10009932</v>
      </c>
      <c r="I113" s="92">
        <v>8550</v>
      </c>
      <c r="J113" s="92">
        <v>19</v>
      </c>
      <c r="K113" s="92">
        <v>25</v>
      </c>
      <c r="L113" s="92" t="s">
        <v>85</v>
      </c>
      <c r="M113" s="83">
        <v>260156</v>
      </c>
      <c r="N113" s="93">
        <v>43489</v>
      </c>
      <c r="O113" s="94"/>
      <c r="P113" s="95">
        <v>44961</v>
      </c>
      <c r="Q113" s="96">
        <v>45000</v>
      </c>
      <c r="R113" s="97"/>
      <c r="S113" s="96">
        <f t="shared" ref="S113:S114" si="13">P113+365</f>
        <v>45326</v>
      </c>
      <c r="T113" s="95">
        <f t="shared" si="8"/>
        <v>45266</v>
      </c>
      <c r="U113" s="98">
        <v>45406</v>
      </c>
      <c r="V113" s="99"/>
      <c r="AA113" s="160"/>
    </row>
    <row r="114" spans="1:27" ht="15.75" customHeight="1" x14ac:dyDescent="0.35">
      <c r="A114" s="29" t="s">
        <v>30</v>
      </c>
      <c r="B114" s="19" t="s">
        <v>226</v>
      </c>
      <c r="C114" s="19" t="s">
        <v>227</v>
      </c>
      <c r="D114" s="20" t="s">
        <v>66</v>
      </c>
      <c r="E114" s="21" t="s">
        <v>22</v>
      </c>
      <c r="F114" s="21">
        <v>2</v>
      </c>
      <c r="G114" s="19">
        <v>172994</v>
      </c>
      <c r="H114" s="19">
        <v>10009933</v>
      </c>
      <c r="I114" s="21">
        <v>8550</v>
      </c>
      <c r="J114" s="21">
        <v>19</v>
      </c>
      <c r="K114" s="21">
        <v>25</v>
      </c>
      <c r="L114" s="21" t="s">
        <v>23</v>
      </c>
      <c r="M114" s="20">
        <v>260156</v>
      </c>
      <c r="N114" s="23">
        <v>43489</v>
      </c>
      <c r="O114" s="21"/>
      <c r="P114" s="26">
        <v>44967</v>
      </c>
      <c r="Q114" s="26">
        <v>45075</v>
      </c>
      <c r="R114" s="25"/>
      <c r="S114" s="26">
        <f t="shared" si="13"/>
        <v>45332</v>
      </c>
      <c r="T114" s="26">
        <f t="shared" si="8"/>
        <v>45272</v>
      </c>
      <c r="U114" s="36">
        <v>45506</v>
      </c>
      <c r="V114" s="27"/>
      <c r="X114" s="79"/>
      <c r="AA114" s="160"/>
    </row>
    <row r="115" spans="1:27" ht="15.75" customHeight="1" x14ac:dyDescent="0.35">
      <c r="A115" s="29" t="s">
        <v>30</v>
      </c>
      <c r="B115" s="19" t="s">
        <v>228</v>
      </c>
      <c r="C115" s="19" t="s">
        <v>229</v>
      </c>
      <c r="D115" s="20" t="s">
        <v>66</v>
      </c>
      <c r="E115" s="21" t="s">
        <v>35</v>
      </c>
      <c r="F115" s="21">
        <v>4</v>
      </c>
      <c r="G115" s="19">
        <v>211245</v>
      </c>
      <c r="H115" s="19" t="s">
        <v>230</v>
      </c>
      <c r="I115" s="21">
        <v>8520</v>
      </c>
      <c r="J115" s="21">
        <v>19</v>
      </c>
      <c r="K115" s="21">
        <v>33</v>
      </c>
      <c r="L115" s="21" t="s">
        <v>23</v>
      </c>
      <c r="M115" s="22">
        <v>3093</v>
      </c>
      <c r="N115" s="23">
        <v>44998</v>
      </c>
      <c r="O115" s="22"/>
      <c r="P115" s="24"/>
      <c r="Q115" s="25"/>
      <c r="R115" s="25"/>
      <c r="S115" s="26">
        <f>N115+365</f>
        <v>45363</v>
      </c>
      <c r="T115" s="24">
        <f t="shared" si="8"/>
        <v>45303</v>
      </c>
      <c r="U115" s="36">
        <v>45363</v>
      </c>
      <c r="V115" s="27"/>
      <c r="AA115" s="160"/>
    </row>
    <row r="116" spans="1:27" ht="15.75" customHeight="1" x14ac:dyDescent="0.35">
      <c r="A116" s="29" t="s">
        <v>30</v>
      </c>
      <c r="B116" s="20" t="s">
        <v>228</v>
      </c>
      <c r="C116" s="20" t="s">
        <v>229</v>
      </c>
      <c r="D116" s="20" t="s">
        <v>26</v>
      </c>
      <c r="E116" s="21"/>
      <c r="F116" s="21">
        <v>4</v>
      </c>
      <c r="G116" s="20">
        <v>147094</v>
      </c>
      <c r="H116" s="20">
        <v>80001837</v>
      </c>
      <c r="I116" s="21" t="s">
        <v>46</v>
      </c>
      <c r="J116" s="21">
        <v>19</v>
      </c>
      <c r="K116" s="21">
        <v>25</v>
      </c>
      <c r="L116" s="21" t="s">
        <v>47</v>
      </c>
      <c r="M116" s="21">
        <v>3093</v>
      </c>
      <c r="N116" s="23">
        <v>45545</v>
      </c>
      <c r="O116" s="21"/>
      <c r="P116" s="21"/>
      <c r="Q116" s="21"/>
      <c r="R116" s="21"/>
      <c r="S116" s="21"/>
      <c r="T116" s="21"/>
      <c r="U116" s="20"/>
      <c r="V116" s="118"/>
      <c r="AA116" s="160"/>
    </row>
    <row r="117" spans="1:27" ht="15.75" customHeight="1" x14ac:dyDescent="0.35">
      <c r="A117" s="69" t="s">
        <v>30</v>
      </c>
      <c r="B117" s="70" t="s">
        <v>231</v>
      </c>
      <c r="C117" s="70" t="s">
        <v>232</v>
      </c>
      <c r="D117" s="71" t="s">
        <v>66</v>
      </c>
      <c r="E117" s="66" t="s">
        <v>22</v>
      </c>
      <c r="F117" s="66">
        <v>2</v>
      </c>
      <c r="G117" s="70">
        <v>99631</v>
      </c>
      <c r="H117" s="72" t="s">
        <v>233</v>
      </c>
      <c r="I117" s="66" t="s">
        <v>46</v>
      </c>
      <c r="J117" s="66">
        <v>19</v>
      </c>
      <c r="K117" s="66">
        <v>25</v>
      </c>
      <c r="L117" s="66" t="s">
        <v>23</v>
      </c>
      <c r="M117" s="73">
        <v>31384</v>
      </c>
      <c r="N117" s="74">
        <v>44223</v>
      </c>
      <c r="O117" s="73"/>
      <c r="P117" s="24">
        <v>44959</v>
      </c>
      <c r="Q117" s="24">
        <v>45075</v>
      </c>
      <c r="R117" s="24"/>
      <c r="S117" s="24">
        <f>P117+365</f>
        <v>45324</v>
      </c>
      <c r="T117" s="24">
        <f t="shared" si="8"/>
        <v>45264</v>
      </c>
      <c r="U117" s="75">
        <v>45359</v>
      </c>
      <c r="V117" s="76"/>
      <c r="AA117" s="160"/>
    </row>
    <row r="118" spans="1:27" ht="15.75" customHeight="1" x14ac:dyDescent="0.35">
      <c r="A118" s="29" t="s">
        <v>30</v>
      </c>
      <c r="B118" s="19" t="s">
        <v>234</v>
      </c>
      <c r="C118" s="48" t="s">
        <v>235</v>
      </c>
      <c r="D118" s="48" t="s">
        <v>66</v>
      </c>
      <c r="E118" s="56" t="s">
        <v>22</v>
      </c>
      <c r="F118" s="21">
        <v>2</v>
      </c>
      <c r="G118" s="19">
        <v>223238</v>
      </c>
      <c r="H118" s="19">
        <v>40021841</v>
      </c>
      <c r="I118" s="21" t="s">
        <v>77</v>
      </c>
      <c r="J118" s="21">
        <v>19</v>
      </c>
      <c r="K118" s="21">
        <v>15</v>
      </c>
      <c r="L118" s="21" t="s">
        <v>23</v>
      </c>
      <c r="M118" s="20">
        <v>56697</v>
      </c>
      <c r="N118" s="23">
        <v>44376</v>
      </c>
      <c r="O118" s="22"/>
      <c r="P118" s="24">
        <v>45063</v>
      </c>
      <c r="Q118" s="26">
        <v>45106</v>
      </c>
      <c r="R118" s="25"/>
      <c r="S118" s="26">
        <f t="shared" ref="S118:S128" si="14">P118+365</f>
        <v>45428</v>
      </c>
      <c r="T118" s="24">
        <f t="shared" si="8"/>
        <v>45368</v>
      </c>
      <c r="U118" s="36">
        <v>45327</v>
      </c>
      <c r="V118" s="115"/>
      <c r="AA118" s="160"/>
    </row>
    <row r="119" spans="1:27" ht="15.75" customHeight="1" x14ac:dyDescent="0.35">
      <c r="A119" s="29" t="s">
        <v>30</v>
      </c>
      <c r="B119" s="19" t="s">
        <v>234</v>
      </c>
      <c r="C119" s="48" t="s">
        <v>235</v>
      </c>
      <c r="D119" s="48" t="s">
        <v>66</v>
      </c>
      <c r="E119" s="56" t="s">
        <v>22</v>
      </c>
      <c r="F119" s="21">
        <v>2</v>
      </c>
      <c r="G119" s="19">
        <v>180814</v>
      </c>
      <c r="H119" s="19">
        <v>40021779</v>
      </c>
      <c r="I119" s="21" t="s">
        <v>77</v>
      </c>
      <c r="J119" s="21">
        <v>25</v>
      </c>
      <c r="K119" s="21">
        <v>25</v>
      </c>
      <c r="L119" s="21" t="s">
        <v>23</v>
      </c>
      <c r="M119" s="20">
        <v>56697</v>
      </c>
      <c r="N119" s="23">
        <v>43697</v>
      </c>
      <c r="O119" s="31">
        <v>43717</v>
      </c>
      <c r="P119" s="24">
        <v>45127</v>
      </c>
      <c r="Q119" s="26">
        <v>45184</v>
      </c>
      <c r="R119" s="25"/>
      <c r="S119" s="26">
        <f t="shared" si="14"/>
        <v>45492</v>
      </c>
      <c r="T119" s="24">
        <f t="shared" si="8"/>
        <v>45432</v>
      </c>
      <c r="U119" s="36">
        <v>45509</v>
      </c>
      <c r="V119" s="27"/>
      <c r="X119" s="79"/>
      <c r="AA119" s="160"/>
    </row>
    <row r="120" spans="1:27" ht="15.75" customHeight="1" x14ac:dyDescent="0.35">
      <c r="A120" s="38" t="s">
        <v>37</v>
      </c>
      <c r="B120" s="39" t="s">
        <v>234</v>
      </c>
      <c r="C120" s="50" t="s">
        <v>235</v>
      </c>
      <c r="D120" s="50" t="s">
        <v>66</v>
      </c>
      <c r="E120" s="57" t="s">
        <v>22</v>
      </c>
      <c r="F120" s="33">
        <v>2</v>
      </c>
      <c r="G120" s="39">
        <v>156361</v>
      </c>
      <c r="H120" s="39">
        <v>40021778</v>
      </c>
      <c r="I120" s="33" t="s">
        <v>77</v>
      </c>
      <c r="J120" s="33">
        <v>19</v>
      </c>
      <c r="K120" s="33">
        <v>25</v>
      </c>
      <c r="L120" s="33" t="s">
        <v>23</v>
      </c>
      <c r="M120" s="34">
        <v>56697</v>
      </c>
      <c r="N120" s="35">
        <v>43374</v>
      </c>
      <c r="O120" s="44">
        <v>43430</v>
      </c>
      <c r="P120" s="41">
        <v>45127</v>
      </c>
      <c r="Q120" s="42">
        <v>45184</v>
      </c>
      <c r="R120" s="32"/>
      <c r="S120" s="42">
        <f t="shared" si="14"/>
        <v>45492</v>
      </c>
      <c r="T120" s="41">
        <f t="shared" si="8"/>
        <v>45432</v>
      </c>
      <c r="U120" s="46">
        <v>45485</v>
      </c>
      <c r="V120" s="47">
        <v>45524</v>
      </c>
      <c r="X120" s="79"/>
      <c r="AA120" s="160"/>
    </row>
    <row r="121" spans="1:27" ht="15.75" customHeight="1" x14ac:dyDescent="0.35">
      <c r="A121" s="38" t="s">
        <v>37</v>
      </c>
      <c r="B121" s="39" t="s">
        <v>234</v>
      </c>
      <c r="C121" s="50" t="s">
        <v>235</v>
      </c>
      <c r="D121" s="50" t="s">
        <v>66</v>
      </c>
      <c r="E121" s="57" t="s">
        <v>22</v>
      </c>
      <c r="F121" s="33">
        <v>2</v>
      </c>
      <c r="G121" s="39">
        <v>176644</v>
      </c>
      <c r="H121" s="39">
        <v>40021804</v>
      </c>
      <c r="I121" s="33">
        <v>8551</v>
      </c>
      <c r="J121" s="33">
        <v>9</v>
      </c>
      <c r="K121" s="33">
        <v>25</v>
      </c>
      <c r="L121" s="33" t="s">
        <v>23</v>
      </c>
      <c r="M121" s="34">
        <v>56697</v>
      </c>
      <c r="N121" s="35">
        <v>43775</v>
      </c>
      <c r="O121" s="44">
        <v>43805</v>
      </c>
      <c r="P121" s="41">
        <v>45127</v>
      </c>
      <c r="Q121" s="42">
        <v>45184</v>
      </c>
      <c r="R121" s="42"/>
      <c r="S121" s="42">
        <f t="shared" si="14"/>
        <v>45492</v>
      </c>
      <c r="T121" s="41">
        <f t="shared" si="8"/>
        <v>45432</v>
      </c>
      <c r="U121" s="46">
        <v>45485</v>
      </c>
      <c r="V121" s="47">
        <v>45524</v>
      </c>
      <c r="X121" s="79"/>
      <c r="AA121" s="160"/>
    </row>
    <row r="122" spans="1:27" ht="15.75" customHeight="1" x14ac:dyDescent="0.35">
      <c r="A122" s="38" t="s">
        <v>37</v>
      </c>
      <c r="B122" s="39" t="s">
        <v>234</v>
      </c>
      <c r="C122" s="50" t="s">
        <v>236</v>
      </c>
      <c r="D122" s="50" t="s">
        <v>34</v>
      </c>
      <c r="E122" s="57" t="s">
        <v>35</v>
      </c>
      <c r="F122" s="33">
        <v>2</v>
      </c>
      <c r="G122" s="39">
        <v>147094</v>
      </c>
      <c r="H122" s="39">
        <v>40002433</v>
      </c>
      <c r="I122" s="33" t="s">
        <v>46</v>
      </c>
      <c r="J122" s="33">
        <v>19</v>
      </c>
      <c r="K122" s="33">
        <v>25</v>
      </c>
      <c r="L122" s="33" t="s">
        <v>47</v>
      </c>
      <c r="M122" s="34">
        <v>56697</v>
      </c>
      <c r="N122" s="35">
        <v>44830</v>
      </c>
      <c r="O122" s="40"/>
      <c r="P122" s="41">
        <v>45195</v>
      </c>
      <c r="Q122" s="42">
        <v>45246</v>
      </c>
      <c r="R122" s="32"/>
      <c r="S122" s="42">
        <f t="shared" si="14"/>
        <v>45560</v>
      </c>
      <c r="T122" s="41">
        <f t="shared" si="8"/>
        <v>45500</v>
      </c>
      <c r="U122" s="46">
        <v>45545</v>
      </c>
      <c r="V122" s="47">
        <v>45548</v>
      </c>
      <c r="AA122" s="160"/>
    </row>
    <row r="123" spans="1:27" ht="15.75" customHeight="1" x14ac:dyDescent="0.35">
      <c r="A123" s="38" t="s">
        <v>37</v>
      </c>
      <c r="B123" s="39" t="s">
        <v>234</v>
      </c>
      <c r="C123" s="50" t="s">
        <v>235</v>
      </c>
      <c r="D123" s="50" t="s">
        <v>66</v>
      </c>
      <c r="E123" s="57" t="s">
        <v>22</v>
      </c>
      <c r="F123" s="33">
        <v>2</v>
      </c>
      <c r="G123" s="39">
        <v>146422</v>
      </c>
      <c r="H123" s="39">
        <v>40191408</v>
      </c>
      <c r="I123" s="33" t="s">
        <v>153</v>
      </c>
      <c r="J123" s="33">
        <v>19</v>
      </c>
      <c r="K123" s="33">
        <v>33</v>
      </c>
      <c r="L123" s="33" t="s">
        <v>23</v>
      </c>
      <c r="M123" s="34">
        <v>56697</v>
      </c>
      <c r="N123" s="35">
        <v>43697</v>
      </c>
      <c r="O123" s="44">
        <v>43717</v>
      </c>
      <c r="P123" s="41">
        <v>45027</v>
      </c>
      <c r="Q123" s="42">
        <v>45075</v>
      </c>
      <c r="R123" s="32"/>
      <c r="S123" s="42">
        <f t="shared" si="14"/>
        <v>45392</v>
      </c>
      <c r="T123" s="41">
        <f t="shared" si="8"/>
        <v>45332</v>
      </c>
      <c r="U123" s="46">
        <v>45475</v>
      </c>
      <c r="V123" s="47">
        <v>45524</v>
      </c>
      <c r="AA123" s="160"/>
    </row>
    <row r="124" spans="1:27" ht="15.75" customHeight="1" x14ac:dyDescent="0.35">
      <c r="A124" s="29" t="s">
        <v>30</v>
      </c>
      <c r="B124" s="19" t="s">
        <v>234</v>
      </c>
      <c r="C124" s="48" t="s">
        <v>235</v>
      </c>
      <c r="D124" s="48" t="s">
        <v>34</v>
      </c>
      <c r="E124" s="56" t="s">
        <v>22</v>
      </c>
      <c r="F124" s="21">
        <v>2</v>
      </c>
      <c r="G124" s="19">
        <v>174060</v>
      </c>
      <c r="H124" s="19">
        <v>40002226</v>
      </c>
      <c r="I124" s="21" t="s">
        <v>72</v>
      </c>
      <c r="J124" s="21">
        <v>19</v>
      </c>
      <c r="K124" s="21">
        <v>5</v>
      </c>
      <c r="L124" s="21" t="s">
        <v>23</v>
      </c>
      <c r="M124" s="20">
        <v>56697</v>
      </c>
      <c r="N124" s="23">
        <v>43565</v>
      </c>
      <c r="O124" s="31">
        <v>43587</v>
      </c>
      <c r="P124" s="24">
        <v>44961</v>
      </c>
      <c r="Q124" s="26">
        <v>45000</v>
      </c>
      <c r="R124" s="25"/>
      <c r="S124" s="26">
        <f t="shared" si="14"/>
        <v>45326</v>
      </c>
      <c r="T124" s="24">
        <f t="shared" si="8"/>
        <v>45266</v>
      </c>
      <c r="U124" s="36">
        <v>45338</v>
      </c>
      <c r="V124" s="115"/>
      <c r="AA124" s="160"/>
    </row>
    <row r="125" spans="1:27" ht="15.75" customHeight="1" x14ac:dyDescent="0.35">
      <c r="A125" s="29" t="s">
        <v>30</v>
      </c>
      <c r="B125" s="19" t="s">
        <v>234</v>
      </c>
      <c r="C125" s="48" t="s">
        <v>235</v>
      </c>
      <c r="D125" s="48" t="s">
        <v>66</v>
      </c>
      <c r="E125" s="56" t="s">
        <v>22</v>
      </c>
      <c r="F125" s="21">
        <v>2</v>
      </c>
      <c r="G125" s="19">
        <v>180389</v>
      </c>
      <c r="H125" s="19">
        <v>40021815</v>
      </c>
      <c r="I125" s="21" t="s">
        <v>77</v>
      </c>
      <c r="J125" s="21">
        <v>9</v>
      </c>
      <c r="K125" s="21">
        <v>25</v>
      </c>
      <c r="L125" s="21" t="s">
        <v>23</v>
      </c>
      <c r="M125" s="20">
        <v>56697</v>
      </c>
      <c r="N125" s="23">
        <v>43892</v>
      </c>
      <c r="O125" s="22"/>
      <c r="P125" s="24">
        <v>44936</v>
      </c>
      <c r="Q125" s="26">
        <v>45075</v>
      </c>
      <c r="R125" s="26">
        <v>45083</v>
      </c>
      <c r="S125" s="26">
        <f t="shared" si="14"/>
        <v>45301</v>
      </c>
      <c r="T125" s="24">
        <f t="shared" si="8"/>
        <v>45241</v>
      </c>
      <c r="U125" s="36">
        <v>45362</v>
      </c>
      <c r="V125" s="27"/>
      <c r="AA125" s="160"/>
    </row>
    <row r="126" spans="1:27" ht="15.75" customHeight="1" x14ac:dyDescent="0.35">
      <c r="A126" s="29" t="s">
        <v>30</v>
      </c>
      <c r="B126" s="19" t="s">
        <v>234</v>
      </c>
      <c r="C126" s="48" t="s">
        <v>235</v>
      </c>
      <c r="D126" s="48" t="s">
        <v>237</v>
      </c>
      <c r="E126" s="56" t="s">
        <v>22</v>
      </c>
      <c r="F126" s="21">
        <v>2</v>
      </c>
      <c r="G126" s="19">
        <v>53400</v>
      </c>
      <c r="H126" s="19">
        <v>40021743</v>
      </c>
      <c r="I126" s="21" t="s">
        <v>206</v>
      </c>
      <c r="J126" s="21">
        <v>19</v>
      </c>
      <c r="K126" s="21">
        <v>10</v>
      </c>
      <c r="L126" s="21" t="s">
        <v>23</v>
      </c>
      <c r="M126" s="20">
        <v>56697</v>
      </c>
      <c r="N126" s="23">
        <v>43697</v>
      </c>
      <c r="O126" s="31">
        <v>43717</v>
      </c>
      <c r="P126" s="24">
        <v>45227</v>
      </c>
      <c r="Q126" s="26">
        <v>45246</v>
      </c>
      <c r="R126" s="25"/>
      <c r="S126" s="26">
        <f t="shared" si="14"/>
        <v>45592</v>
      </c>
      <c r="T126" s="24">
        <f t="shared" si="8"/>
        <v>45532</v>
      </c>
      <c r="U126" s="36">
        <v>45327</v>
      </c>
      <c r="V126" s="115"/>
      <c r="AA126" s="160"/>
    </row>
    <row r="127" spans="1:27" ht="15.75" customHeight="1" x14ac:dyDescent="0.35">
      <c r="A127" s="29" t="s">
        <v>30</v>
      </c>
      <c r="B127" s="19" t="s">
        <v>234</v>
      </c>
      <c r="C127" s="48" t="s">
        <v>235</v>
      </c>
      <c r="D127" s="48" t="s">
        <v>34</v>
      </c>
      <c r="E127" s="56" t="s">
        <v>22</v>
      </c>
      <c r="F127" s="21">
        <v>2</v>
      </c>
      <c r="G127" s="19">
        <v>174104</v>
      </c>
      <c r="H127" s="19">
        <v>40193540</v>
      </c>
      <c r="I127" s="21">
        <v>505</v>
      </c>
      <c r="J127" s="21">
        <v>19</v>
      </c>
      <c r="K127" s="21">
        <v>25</v>
      </c>
      <c r="L127" s="21" t="s">
        <v>23</v>
      </c>
      <c r="M127" s="20">
        <v>56697</v>
      </c>
      <c r="N127" s="23">
        <v>43745</v>
      </c>
      <c r="O127" s="31">
        <v>43769</v>
      </c>
      <c r="P127" s="24">
        <v>45227</v>
      </c>
      <c r="Q127" s="26">
        <v>45233</v>
      </c>
      <c r="R127" s="25"/>
      <c r="S127" s="26">
        <f t="shared" si="14"/>
        <v>45592</v>
      </c>
      <c r="T127" s="24">
        <f t="shared" si="8"/>
        <v>45532</v>
      </c>
      <c r="U127" s="36">
        <v>45338</v>
      </c>
      <c r="V127" s="115"/>
      <c r="AA127" s="160"/>
    </row>
    <row r="128" spans="1:27" ht="15.75" customHeight="1" x14ac:dyDescent="0.35">
      <c r="A128" s="29" t="s">
        <v>30</v>
      </c>
      <c r="B128" s="19" t="s">
        <v>234</v>
      </c>
      <c r="C128" s="48" t="s">
        <v>235</v>
      </c>
      <c r="D128" s="48" t="s">
        <v>66</v>
      </c>
      <c r="E128" s="56" t="s">
        <v>22</v>
      </c>
      <c r="F128" s="21">
        <v>2</v>
      </c>
      <c r="G128" s="19">
        <v>158014</v>
      </c>
      <c r="H128" s="19">
        <v>40193232</v>
      </c>
      <c r="I128" s="21" t="s">
        <v>56</v>
      </c>
      <c r="J128" s="21">
        <v>25</v>
      </c>
      <c r="K128" s="21">
        <v>25</v>
      </c>
      <c r="L128" s="21" t="s">
        <v>57</v>
      </c>
      <c r="M128" s="20">
        <v>56697</v>
      </c>
      <c r="N128" s="23">
        <v>43697</v>
      </c>
      <c r="O128" s="31">
        <v>43717</v>
      </c>
      <c r="P128" s="24">
        <v>45254</v>
      </c>
      <c r="Q128" s="26">
        <v>45246</v>
      </c>
      <c r="R128" s="25"/>
      <c r="S128" s="26">
        <f t="shared" si="14"/>
        <v>45619</v>
      </c>
      <c r="T128" s="24">
        <f t="shared" si="8"/>
        <v>45559</v>
      </c>
      <c r="U128" s="36">
        <v>45327</v>
      </c>
      <c r="V128" s="115"/>
      <c r="AA128" s="160"/>
    </row>
    <row r="129" spans="1:32" ht="15.75" customHeight="1" x14ac:dyDescent="0.35">
      <c r="A129" s="29" t="s">
        <v>30</v>
      </c>
      <c r="B129" s="19" t="s">
        <v>234</v>
      </c>
      <c r="C129" s="48" t="s">
        <v>236</v>
      </c>
      <c r="D129" s="48" t="s">
        <v>237</v>
      </c>
      <c r="E129" s="56" t="s">
        <v>35</v>
      </c>
      <c r="F129" s="21">
        <v>2</v>
      </c>
      <c r="G129" s="19">
        <v>174352</v>
      </c>
      <c r="H129" s="19">
        <v>40021860</v>
      </c>
      <c r="I129" s="21" t="s">
        <v>64</v>
      </c>
      <c r="J129" s="21">
        <v>19</v>
      </c>
      <c r="K129" s="21">
        <v>15</v>
      </c>
      <c r="L129" s="21" t="s">
        <v>23</v>
      </c>
      <c r="M129" s="20">
        <v>56697</v>
      </c>
      <c r="N129" s="23">
        <v>44963</v>
      </c>
      <c r="O129" s="31">
        <v>45051</v>
      </c>
      <c r="P129" s="24"/>
      <c r="Q129" s="25"/>
      <c r="R129" s="25"/>
      <c r="S129" s="26">
        <f>N129+365</f>
        <v>45328</v>
      </c>
      <c r="T129" s="24">
        <f t="shared" si="8"/>
        <v>45268</v>
      </c>
      <c r="U129" s="36">
        <v>45362</v>
      </c>
      <c r="V129" s="27"/>
      <c r="AA129" s="160"/>
    </row>
    <row r="130" spans="1:32" ht="15.75" customHeight="1" x14ac:dyDescent="0.35">
      <c r="A130" s="38" t="s">
        <v>37</v>
      </c>
      <c r="B130" s="39" t="s">
        <v>234</v>
      </c>
      <c r="C130" s="50" t="s">
        <v>236</v>
      </c>
      <c r="D130" s="50" t="s">
        <v>66</v>
      </c>
      <c r="E130" s="57" t="s">
        <v>35</v>
      </c>
      <c r="F130" s="33">
        <v>2</v>
      </c>
      <c r="G130" s="39">
        <v>141009</v>
      </c>
      <c r="H130" s="39">
        <v>40021861</v>
      </c>
      <c r="I130" s="33" t="s">
        <v>60</v>
      </c>
      <c r="J130" s="33">
        <v>19</v>
      </c>
      <c r="K130" s="33">
        <v>5</v>
      </c>
      <c r="L130" s="33" t="s">
        <v>23</v>
      </c>
      <c r="M130" s="34">
        <v>56697</v>
      </c>
      <c r="N130" s="35">
        <v>44950</v>
      </c>
      <c r="O130" s="44">
        <v>44977</v>
      </c>
      <c r="P130" s="41"/>
      <c r="Q130" s="32"/>
      <c r="R130" s="32"/>
      <c r="S130" s="42">
        <f t="shared" ref="S130:S137" si="15">N130+365</f>
        <v>45315</v>
      </c>
      <c r="T130" s="41">
        <f t="shared" si="8"/>
        <v>45255</v>
      </c>
      <c r="U130" s="46">
        <v>45406</v>
      </c>
      <c r="V130" s="47">
        <v>45414</v>
      </c>
      <c r="AA130" s="160"/>
    </row>
    <row r="131" spans="1:32" ht="15.75" customHeight="1" x14ac:dyDescent="0.35">
      <c r="A131" s="29" t="s">
        <v>30</v>
      </c>
      <c r="B131" s="19" t="s">
        <v>234</v>
      </c>
      <c r="C131" s="48" t="s">
        <v>236</v>
      </c>
      <c r="D131" s="48" t="s">
        <v>66</v>
      </c>
      <c r="E131" s="56" t="s">
        <v>35</v>
      </c>
      <c r="F131" s="21">
        <v>2</v>
      </c>
      <c r="G131" s="19">
        <v>205138</v>
      </c>
      <c r="H131" s="19">
        <v>40194871</v>
      </c>
      <c r="I131" s="21" t="s">
        <v>65</v>
      </c>
      <c r="J131" s="21">
        <v>19</v>
      </c>
      <c r="K131" s="21">
        <v>25</v>
      </c>
      <c r="L131" s="21" t="s">
        <v>23</v>
      </c>
      <c r="M131" s="20">
        <v>56697</v>
      </c>
      <c r="N131" s="23">
        <v>44963</v>
      </c>
      <c r="O131" s="31">
        <v>45051</v>
      </c>
      <c r="P131" s="24"/>
      <c r="Q131" s="25"/>
      <c r="R131" s="25"/>
      <c r="S131" s="26">
        <f t="shared" si="15"/>
        <v>45328</v>
      </c>
      <c r="T131" s="24">
        <f t="shared" si="8"/>
        <v>45268</v>
      </c>
      <c r="U131" s="36">
        <v>45362</v>
      </c>
      <c r="V131" s="27"/>
    </row>
    <row r="132" spans="1:32" ht="15.75" customHeight="1" x14ac:dyDescent="0.35">
      <c r="A132" s="38" t="s">
        <v>37</v>
      </c>
      <c r="B132" s="39" t="s">
        <v>234</v>
      </c>
      <c r="C132" s="50" t="s">
        <v>236</v>
      </c>
      <c r="D132" s="50" t="s">
        <v>34</v>
      </c>
      <c r="E132" s="57" t="s">
        <v>35</v>
      </c>
      <c r="F132" s="33">
        <v>2</v>
      </c>
      <c r="G132" s="39">
        <v>172995</v>
      </c>
      <c r="H132" s="39">
        <v>40021829</v>
      </c>
      <c r="I132" s="33" t="s">
        <v>238</v>
      </c>
      <c r="J132" s="33">
        <v>35</v>
      </c>
      <c r="K132" s="33">
        <v>10</v>
      </c>
      <c r="L132" s="33" t="s">
        <v>23</v>
      </c>
      <c r="M132" s="34">
        <v>56697</v>
      </c>
      <c r="N132" s="35">
        <v>45035</v>
      </c>
      <c r="O132" s="35">
        <v>45035</v>
      </c>
      <c r="P132" s="41"/>
      <c r="Q132" s="32"/>
      <c r="R132" s="32"/>
      <c r="S132" s="42">
        <f t="shared" si="15"/>
        <v>45400</v>
      </c>
      <c r="T132" s="41">
        <f t="shared" si="8"/>
        <v>45340</v>
      </c>
      <c r="U132" s="46">
        <v>45463</v>
      </c>
      <c r="V132" s="47">
        <v>45524</v>
      </c>
    </row>
    <row r="133" spans="1:32" ht="15.75" customHeight="1" x14ac:dyDescent="0.35">
      <c r="A133" s="29" t="s">
        <v>30</v>
      </c>
      <c r="B133" s="19" t="s">
        <v>234</v>
      </c>
      <c r="C133" s="48" t="s">
        <v>239</v>
      </c>
      <c r="D133" s="48" t="s">
        <v>34</v>
      </c>
      <c r="E133" s="56" t="s">
        <v>35</v>
      </c>
      <c r="F133" s="21">
        <v>2</v>
      </c>
      <c r="G133" s="19">
        <v>234350</v>
      </c>
      <c r="H133" s="19">
        <v>40194876</v>
      </c>
      <c r="I133" s="21" t="s">
        <v>281</v>
      </c>
      <c r="J133" s="21" t="s">
        <v>282</v>
      </c>
      <c r="K133" s="21" t="s">
        <v>283</v>
      </c>
      <c r="L133" s="21" t="s">
        <v>47</v>
      </c>
      <c r="M133" s="20">
        <v>56697</v>
      </c>
      <c r="N133" s="23">
        <v>45034</v>
      </c>
      <c r="O133" s="23">
        <v>45035</v>
      </c>
      <c r="P133" s="24"/>
      <c r="Q133" s="25"/>
      <c r="R133" s="25"/>
      <c r="S133" s="26">
        <f t="shared" si="15"/>
        <v>45399</v>
      </c>
      <c r="T133" s="24">
        <f t="shared" si="8"/>
        <v>45339</v>
      </c>
      <c r="U133" s="36">
        <v>45497</v>
      </c>
      <c r="V133" s="27"/>
      <c r="X133" s="79"/>
    </row>
    <row r="134" spans="1:32" ht="15.75" customHeight="1" x14ac:dyDescent="0.35">
      <c r="A134" s="38" t="s">
        <v>37</v>
      </c>
      <c r="B134" s="39" t="s">
        <v>234</v>
      </c>
      <c r="C134" s="50" t="s">
        <v>235</v>
      </c>
      <c r="D134" s="50" t="s">
        <v>34</v>
      </c>
      <c r="E134" s="57" t="s">
        <v>22</v>
      </c>
      <c r="F134" s="33">
        <v>2</v>
      </c>
      <c r="G134" s="39">
        <v>235687</v>
      </c>
      <c r="H134" s="39">
        <v>40002498</v>
      </c>
      <c r="I134" s="33" t="s">
        <v>153</v>
      </c>
      <c r="J134" s="33">
        <v>25</v>
      </c>
      <c r="K134" s="33">
        <v>33</v>
      </c>
      <c r="L134" s="33" t="s">
        <v>47</v>
      </c>
      <c r="M134" s="34">
        <v>56697</v>
      </c>
      <c r="N134" s="35">
        <v>45063</v>
      </c>
      <c r="O134" s="44">
        <v>45069</v>
      </c>
      <c r="P134" s="41"/>
      <c r="Q134" s="32"/>
      <c r="R134" s="32"/>
      <c r="S134" s="42">
        <f t="shared" si="15"/>
        <v>45428</v>
      </c>
      <c r="T134" s="41">
        <f t="shared" si="8"/>
        <v>45368</v>
      </c>
      <c r="U134" s="46">
        <v>45498</v>
      </c>
      <c r="V134" s="47">
        <v>45524</v>
      </c>
      <c r="X134" s="79"/>
    </row>
    <row r="135" spans="1:32" ht="15.75" customHeight="1" x14ac:dyDescent="0.35">
      <c r="A135" s="38" t="s">
        <v>37</v>
      </c>
      <c r="B135" s="39" t="s">
        <v>234</v>
      </c>
      <c r="C135" s="50" t="s">
        <v>239</v>
      </c>
      <c r="D135" s="50" t="s">
        <v>34</v>
      </c>
      <c r="E135" s="57" t="s">
        <v>22</v>
      </c>
      <c r="F135" s="33">
        <v>2</v>
      </c>
      <c r="G135" s="39">
        <v>191015</v>
      </c>
      <c r="H135" s="39">
        <v>40002497</v>
      </c>
      <c r="I135" s="33" t="s">
        <v>153</v>
      </c>
      <c r="J135" s="33">
        <v>19</v>
      </c>
      <c r="K135" s="33">
        <v>33</v>
      </c>
      <c r="L135" s="33" t="s">
        <v>47</v>
      </c>
      <c r="M135" s="34">
        <v>56697</v>
      </c>
      <c r="N135" s="35">
        <v>45047</v>
      </c>
      <c r="O135" s="44">
        <v>45068</v>
      </c>
      <c r="P135" s="41"/>
      <c r="Q135" s="32"/>
      <c r="R135" s="32"/>
      <c r="S135" s="42">
        <f t="shared" si="15"/>
        <v>45412</v>
      </c>
      <c r="T135" s="41">
        <f t="shared" si="8"/>
        <v>45352</v>
      </c>
      <c r="U135" s="46">
        <v>45497</v>
      </c>
      <c r="V135" s="47">
        <v>45524</v>
      </c>
      <c r="X135" s="79"/>
      <c r="AE135" s="51"/>
      <c r="AF135" s="51"/>
    </row>
    <row r="136" spans="1:32" ht="15.75" customHeight="1" x14ac:dyDescent="0.35">
      <c r="A136" s="29" t="s">
        <v>30</v>
      </c>
      <c r="B136" s="19" t="s">
        <v>234</v>
      </c>
      <c r="C136" s="48" t="s">
        <v>239</v>
      </c>
      <c r="D136" s="48" t="s">
        <v>34</v>
      </c>
      <c r="E136" s="56" t="s">
        <v>35</v>
      </c>
      <c r="F136" s="21">
        <v>4</v>
      </c>
      <c r="G136" s="19">
        <v>52296</v>
      </c>
      <c r="H136" s="19">
        <v>40194890</v>
      </c>
      <c r="I136" s="21">
        <v>512</v>
      </c>
      <c r="J136" s="21">
        <v>25</v>
      </c>
      <c r="K136" s="21">
        <v>25</v>
      </c>
      <c r="L136" s="21" t="s">
        <v>23</v>
      </c>
      <c r="M136" s="20">
        <v>56697</v>
      </c>
      <c r="N136" s="23">
        <v>45070</v>
      </c>
      <c r="O136" s="22"/>
      <c r="P136" s="24"/>
      <c r="Q136" s="25"/>
      <c r="R136" s="25"/>
      <c r="S136" s="26">
        <f t="shared" si="15"/>
        <v>45435</v>
      </c>
      <c r="T136" s="24">
        <f t="shared" si="8"/>
        <v>45375</v>
      </c>
      <c r="U136" s="36">
        <v>45489</v>
      </c>
      <c r="V136" s="27"/>
      <c r="X136" s="79"/>
      <c r="AE136" s="51"/>
      <c r="AF136" s="51"/>
    </row>
    <row r="137" spans="1:32" ht="15.75" customHeight="1" x14ac:dyDescent="0.35">
      <c r="A137" s="29" t="s">
        <v>30</v>
      </c>
      <c r="B137" s="19" t="s">
        <v>234</v>
      </c>
      <c r="C137" s="48" t="s">
        <v>236</v>
      </c>
      <c r="D137" s="48" t="s">
        <v>34</v>
      </c>
      <c r="E137" s="56" t="s">
        <v>35</v>
      </c>
      <c r="F137" s="21">
        <v>2</v>
      </c>
      <c r="G137" s="19">
        <v>173540</v>
      </c>
      <c r="H137" s="19">
        <v>40194891</v>
      </c>
      <c r="I137" s="21">
        <v>512</v>
      </c>
      <c r="J137" s="21">
        <v>19</v>
      </c>
      <c r="K137" s="21">
        <v>25</v>
      </c>
      <c r="L137" s="21" t="s">
        <v>23</v>
      </c>
      <c r="M137" s="20">
        <v>56697</v>
      </c>
      <c r="N137" s="23">
        <v>45051</v>
      </c>
      <c r="O137" s="31">
        <v>45071</v>
      </c>
      <c r="P137" s="24"/>
      <c r="Q137" s="25"/>
      <c r="R137" s="25"/>
      <c r="S137" s="26">
        <f t="shared" si="15"/>
        <v>45416</v>
      </c>
      <c r="T137" s="24">
        <f t="shared" si="8"/>
        <v>45356</v>
      </c>
      <c r="U137" s="36">
        <v>45475</v>
      </c>
      <c r="V137" s="27"/>
      <c r="AE137" s="51"/>
      <c r="AF137" s="51"/>
    </row>
    <row r="138" spans="1:32" ht="15.75" customHeight="1" x14ac:dyDescent="0.35">
      <c r="A138" s="29" t="s">
        <v>30</v>
      </c>
      <c r="B138" s="19" t="s">
        <v>234</v>
      </c>
      <c r="C138" s="112" t="s">
        <v>240</v>
      </c>
      <c r="D138" s="25" t="s">
        <v>66</v>
      </c>
      <c r="E138" s="122" t="s">
        <v>35</v>
      </c>
      <c r="F138" s="21">
        <v>2</v>
      </c>
      <c r="G138" s="20">
        <v>169355</v>
      </c>
      <c r="H138" s="20">
        <v>40021787</v>
      </c>
      <c r="I138" s="122">
        <v>8510</v>
      </c>
      <c r="J138" s="21">
        <v>19</v>
      </c>
      <c r="K138" s="21">
        <v>10</v>
      </c>
      <c r="L138" s="21" t="s">
        <v>23</v>
      </c>
      <c r="M138" s="20">
        <v>56697</v>
      </c>
      <c r="N138" s="21"/>
      <c r="O138" s="31">
        <v>45184</v>
      </c>
      <c r="P138" s="24"/>
      <c r="Q138" s="25"/>
      <c r="R138" s="25"/>
      <c r="S138" s="26">
        <f>O138+365</f>
        <v>45549</v>
      </c>
      <c r="T138" s="24">
        <f t="shared" si="8"/>
        <v>45489</v>
      </c>
      <c r="U138" s="36">
        <v>45510</v>
      </c>
      <c r="V138" s="27"/>
      <c r="AE138" s="51"/>
      <c r="AF138" s="51"/>
    </row>
    <row r="139" spans="1:32" ht="15.75" customHeight="1" x14ac:dyDescent="0.35">
      <c r="A139" s="29" t="s">
        <v>30</v>
      </c>
      <c r="B139" s="19" t="s">
        <v>234</v>
      </c>
      <c r="C139" s="48" t="s">
        <v>235</v>
      </c>
      <c r="D139" s="48" t="s">
        <v>34</v>
      </c>
      <c r="E139" s="56" t="s">
        <v>22</v>
      </c>
      <c r="F139" s="21">
        <v>2</v>
      </c>
      <c r="G139" s="19">
        <v>105407</v>
      </c>
      <c r="H139" s="19">
        <v>40021714</v>
      </c>
      <c r="I139" s="21">
        <v>8551</v>
      </c>
      <c r="J139" s="21">
        <v>19</v>
      </c>
      <c r="K139" s="21">
        <v>25</v>
      </c>
      <c r="L139" s="21" t="s">
        <v>23</v>
      </c>
      <c r="M139" s="20">
        <v>56697</v>
      </c>
      <c r="N139" s="23">
        <v>45327</v>
      </c>
      <c r="O139" s="31"/>
      <c r="P139" s="24"/>
      <c r="Q139" s="25"/>
      <c r="R139" s="25"/>
      <c r="S139" s="26"/>
      <c r="T139" s="24"/>
      <c r="U139" s="20"/>
      <c r="V139" s="27"/>
      <c r="AE139" s="51"/>
      <c r="AF139" s="51"/>
    </row>
    <row r="140" spans="1:32" s="67" customFormat="1" ht="15.75" customHeight="1" x14ac:dyDescent="0.35">
      <c r="A140" s="38" t="s">
        <v>37</v>
      </c>
      <c r="B140" s="39" t="s">
        <v>234</v>
      </c>
      <c r="C140" s="50" t="s">
        <v>235</v>
      </c>
      <c r="D140" s="50" t="s">
        <v>303</v>
      </c>
      <c r="E140" s="57" t="s">
        <v>22</v>
      </c>
      <c r="F140" s="33">
        <v>4</v>
      </c>
      <c r="G140" s="39">
        <v>223137</v>
      </c>
      <c r="H140" s="39">
        <v>40002527</v>
      </c>
      <c r="I140" s="33">
        <v>317</v>
      </c>
      <c r="J140" s="33">
        <v>19</v>
      </c>
      <c r="K140" s="33">
        <v>33</v>
      </c>
      <c r="L140" s="33" t="s">
        <v>293</v>
      </c>
      <c r="M140" s="34">
        <v>56697</v>
      </c>
      <c r="N140" s="35">
        <v>45643</v>
      </c>
      <c r="O140" s="44">
        <v>45645</v>
      </c>
      <c r="P140" s="41"/>
      <c r="Q140" s="32"/>
      <c r="R140" s="32"/>
      <c r="S140" s="42"/>
      <c r="T140" s="41"/>
      <c r="U140" s="34"/>
      <c r="V140" s="43"/>
      <c r="AE140" s="121"/>
      <c r="AF140" s="121"/>
    </row>
    <row r="141" spans="1:32" s="67" customFormat="1" ht="15.75" customHeight="1" x14ac:dyDescent="0.35">
      <c r="A141" s="38" t="s">
        <v>37</v>
      </c>
      <c r="B141" s="39" t="s">
        <v>234</v>
      </c>
      <c r="C141" s="50" t="s">
        <v>235</v>
      </c>
      <c r="D141" s="50"/>
      <c r="E141" s="57"/>
      <c r="F141" s="33">
        <v>2</v>
      </c>
      <c r="G141" s="39">
        <v>163271</v>
      </c>
      <c r="H141" s="39">
        <v>40194741</v>
      </c>
      <c r="I141" s="33" t="s">
        <v>46</v>
      </c>
      <c r="J141" s="33">
        <v>25</v>
      </c>
      <c r="K141" s="33">
        <v>25</v>
      </c>
      <c r="L141" s="33" t="s">
        <v>47</v>
      </c>
      <c r="M141" s="34">
        <v>56697</v>
      </c>
      <c r="N141" s="35">
        <v>45222</v>
      </c>
      <c r="O141" s="44"/>
      <c r="P141" s="41"/>
      <c r="Q141" s="32"/>
      <c r="R141" s="32"/>
      <c r="S141" s="42"/>
      <c r="T141" s="41"/>
      <c r="U141" s="46">
        <v>45547</v>
      </c>
      <c r="V141" s="47">
        <v>45553</v>
      </c>
      <c r="AE141" s="121"/>
      <c r="AF141" s="121"/>
    </row>
    <row r="142" spans="1:32" ht="15.75" customHeight="1" x14ac:dyDescent="0.35">
      <c r="A142" s="38" t="s">
        <v>37</v>
      </c>
      <c r="B142" s="39" t="s">
        <v>234</v>
      </c>
      <c r="C142" s="39" t="s">
        <v>241</v>
      </c>
      <c r="D142" s="39" t="s">
        <v>66</v>
      </c>
      <c r="E142" s="52" t="s">
        <v>22</v>
      </c>
      <c r="F142" s="33">
        <v>2</v>
      </c>
      <c r="G142" s="39">
        <v>169354</v>
      </c>
      <c r="H142" s="39">
        <v>40194975</v>
      </c>
      <c r="I142" s="52">
        <v>8550</v>
      </c>
      <c r="J142" s="52">
        <v>19</v>
      </c>
      <c r="K142" s="52">
        <v>25</v>
      </c>
      <c r="L142" s="52" t="s">
        <v>47</v>
      </c>
      <c r="M142" s="34">
        <v>56697</v>
      </c>
      <c r="N142" s="53">
        <v>45344</v>
      </c>
      <c r="O142" s="53">
        <v>45355</v>
      </c>
      <c r="P142" s="52"/>
      <c r="Q142" s="52"/>
      <c r="R142" s="52"/>
      <c r="S142" s="52"/>
      <c r="T142" s="52"/>
      <c r="U142" s="39"/>
      <c r="V142" s="54"/>
      <c r="AE142" s="51"/>
      <c r="AF142" s="51"/>
    </row>
    <row r="143" spans="1:32" ht="15.75" customHeight="1" x14ac:dyDescent="0.35">
      <c r="A143" s="38" t="s">
        <v>37</v>
      </c>
      <c r="B143" s="101" t="s">
        <v>234</v>
      </c>
      <c r="C143" s="50" t="s">
        <v>235</v>
      </c>
      <c r="D143" s="101" t="s">
        <v>66</v>
      </c>
      <c r="E143" s="123" t="s">
        <v>22</v>
      </c>
      <c r="F143" s="33">
        <v>4</v>
      </c>
      <c r="G143" s="101">
        <v>172412</v>
      </c>
      <c r="H143" s="101">
        <v>40021836</v>
      </c>
      <c r="I143" s="123">
        <v>835</v>
      </c>
      <c r="J143" s="123">
        <v>19</v>
      </c>
      <c r="K143" s="123">
        <v>25</v>
      </c>
      <c r="L143" s="123" t="s">
        <v>23</v>
      </c>
      <c r="M143" s="34">
        <v>56697</v>
      </c>
      <c r="N143" s="124">
        <v>45551</v>
      </c>
      <c r="O143" s="125">
        <v>45554</v>
      </c>
      <c r="P143" s="123"/>
      <c r="Q143" s="123"/>
      <c r="R143" s="123"/>
      <c r="S143" s="123"/>
      <c r="T143" s="123"/>
      <c r="U143" s="101"/>
      <c r="V143" s="126"/>
      <c r="AE143" s="51"/>
      <c r="AF143" s="51"/>
    </row>
    <row r="144" spans="1:32" ht="15.75" customHeight="1" x14ac:dyDescent="0.35">
      <c r="A144" s="100" t="s">
        <v>37</v>
      </c>
      <c r="B144" s="101" t="s">
        <v>242</v>
      </c>
      <c r="C144" s="101" t="s">
        <v>243</v>
      </c>
      <c r="D144" s="102" t="s">
        <v>34</v>
      </c>
      <c r="E144" s="103" t="s">
        <v>22</v>
      </c>
      <c r="F144" s="33">
        <v>2</v>
      </c>
      <c r="G144" s="101">
        <v>173540</v>
      </c>
      <c r="H144" s="101" t="s">
        <v>244</v>
      </c>
      <c r="I144" s="103">
        <v>512</v>
      </c>
      <c r="J144" s="103">
        <v>19</v>
      </c>
      <c r="K144" s="103">
        <v>25</v>
      </c>
      <c r="L144" s="103" t="s">
        <v>23</v>
      </c>
      <c r="M144" s="104">
        <v>20724</v>
      </c>
      <c r="N144" s="105">
        <v>44027</v>
      </c>
      <c r="O144" s="106">
        <v>44379</v>
      </c>
      <c r="P144" s="41">
        <v>45086</v>
      </c>
      <c r="Q144" s="41">
        <v>45184</v>
      </c>
      <c r="R144" s="107"/>
      <c r="S144" s="41">
        <f t="shared" ref="S144:S164" si="16">P144+365</f>
        <v>45451</v>
      </c>
      <c r="T144" s="41">
        <f t="shared" ref="T144:T164" si="17">S144-60</f>
        <v>45391</v>
      </c>
      <c r="U144" s="108">
        <v>45489</v>
      </c>
      <c r="V144" s="109">
        <v>45505</v>
      </c>
      <c r="X144" s="79"/>
      <c r="AB144" s="51"/>
      <c r="AC144" s="51"/>
      <c r="AD144" s="51"/>
      <c r="AE144" s="51"/>
      <c r="AF144" s="51"/>
    </row>
    <row r="145" spans="1:32" ht="15.75" customHeight="1" x14ac:dyDescent="0.35">
      <c r="A145" s="29" t="s">
        <v>30</v>
      </c>
      <c r="B145" s="19" t="s">
        <v>242</v>
      </c>
      <c r="C145" s="19" t="s">
        <v>243</v>
      </c>
      <c r="D145" s="20" t="s">
        <v>26</v>
      </c>
      <c r="E145" s="21" t="s">
        <v>35</v>
      </c>
      <c r="F145" s="21">
        <v>2</v>
      </c>
      <c r="G145" s="19">
        <v>202913</v>
      </c>
      <c r="H145" s="19" t="s">
        <v>245</v>
      </c>
      <c r="I145" s="21" t="s">
        <v>153</v>
      </c>
      <c r="J145" s="21">
        <v>19</v>
      </c>
      <c r="K145" s="21">
        <v>33</v>
      </c>
      <c r="L145" s="21" t="s">
        <v>51</v>
      </c>
      <c r="M145" s="20">
        <v>20724</v>
      </c>
      <c r="N145" s="23">
        <v>44830</v>
      </c>
      <c r="O145" s="22"/>
      <c r="P145" s="24">
        <v>45195</v>
      </c>
      <c r="Q145" s="26">
        <v>45184</v>
      </c>
      <c r="R145" s="25"/>
      <c r="S145" s="26">
        <f t="shared" si="16"/>
        <v>45560</v>
      </c>
      <c r="T145" s="24">
        <f t="shared" si="17"/>
        <v>45500</v>
      </c>
      <c r="U145" s="36">
        <v>45526</v>
      </c>
      <c r="V145" s="27"/>
      <c r="AB145" s="51"/>
      <c r="AC145" s="51"/>
      <c r="AD145" s="51"/>
      <c r="AE145" s="51"/>
      <c r="AF145" s="51"/>
    </row>
    <row r="146" spans="1:32" ht="15.75" customHeight="1" x14ac:dyDescent="0.35">
      <c r="A146" s="29" t="s">
        <v>30</v>
      </c>
      <c r="B146" s="19" t="s">
        <v>242</v>
      </c>
      <c r="C146" s="19" t="s">
        <v>243</v>
      </c>
      <c r="D146" s="20" t="s">
        <v>246</v>
      </c>
      <c r="E146" s="21" t="s">
        <v>22</v>
      </c>
      <c r="F146" s="21">
        <v>2</v>
      </c>
      <c r="G146" s="19">
        <v>174062</v>
      </c>
      <c r="H146" s="19" t="s">
        <v>247</v>
      </c>
      <c r="I146" s="21" t="s">
        <v>72</v>
      </c>
      <c r="J146" s="21">
        <v>38</v>
      </c>
      <c r="K146" s="21">
        <v>5</v>
      </c>
      <c r="L146" s="21" t="s">
        <v>23</v>
      </c>
      <c r="M146" s="20">
        <v>20724</v>
      </c>
      <c r="N146" s="23">
        <v>45504</v>
      </c>
      <c r="O146" s="22"/>
      <c r="P146" s="24"/>
      <c r="Q146" s="26"/>
      <c r="R146" s="25"/>
      <c r="S146" s="26"/>
      <c r="T146" s="24"/>
      <c r="U146" s="20"/>
      <c r="V146" s="27"/>
      <c r="AB146" s="51"/>
      <c r="AC146" s="51"/>
      <c r="AD146" s="51"/>
      <c r="AE146" s="51"/>
      <c r="AF146" s="51"/>
    </row>
    <row r="147" spans="1:32" ht="15.75" customHeight="1" x14ac:dyDescent="0.35">
      <c r="A147" s="29" t="s">
        <v>30</v>
      </c>
      <c r="B147" s="19" t="s">
        <v>242</v>
      </c>
      <c r="C147" s="19" t="s">
        <v>310</v>
      </c>
      <c r="D147" s="20" t="s">
        <v>277</v>
      </c>
      <c r="E147" s="21" t="s">
        <v>22</v>
      </c>
      <c r="F147" s="21">
        <v>4</v>
      </c>
      <c r="G147" s="19">
        <v>102792</v>
      </c>
      <c r="H147" s="19" t="s">
        <v>311</v>
      </c>
      <c r="I147" s="21" t="s">
        <v>219</v>
      </c>
      <c r="J147" s="21">
        <v>19</v>
      </c>
      <c r="K147" s="21">
        <v>25</v>
      </c>
      <c r="L147" s="21" t="s">
        <v>23</v>
      </c>
      <c r="M147" s="61">
        <v>20724</v>
      </c>
      <c r="N147" s="23">
        <v>45595</v>
      </c>
      <c r="O147" s="22"/>
      <c r="P147" s="24"/>
      <c r="Q147" s="26"/>
      <c r="R147" s="25"/>
      <c r="S147" s="26"/>
      <c r="T147" s="24"/>
      <c r="U147" s="20"/>
      <c r="V147" s="27"/>
      <c r="AB147" s="51"/>
      <c r="AC147" s="51"/>
      <c r="AD147" s="51"/>
      <c r="AE147" s="51"/>
      <c r="AF147" s="51"/>
    </row>
    <row r="148" spans="1:32" ht="15.75" customHeight="1" x14ac:dyDescent="0.35">
      <c r="A148" s="38" t="s">
        <v>37</v>
      </c>
      <c r="B148" s="39" t="s">
        <v>248</v>
      </c>
      <c r="C148" s="39" t="s">
        <v>251</v>
      </c>
      <c r="D148" s="34" t="s">
        <v>249</v>
      </c>
      <c r="E148" s="33" t="s">
        <v>22</v>
      </c>
      <c r="F148" s="33">
        <v>2</v>
      </c>
      <c r="G148" s="39">
        <v>137809</v>
      </c>
      <c r="H148" s="39" t="s">
        <v>250</v>
      </c>
      <c r="I148" s="33">
        <v>839</v>
      </c>
      <c r="J148" s="33">
        <v>12</v>
      </c>
      <c r="K148" s="33">
        <v>25</v>
      </c>
      <c r="L148" s="33" t="s">
        <v>23</v>
      </c>
      <c r="M148" s="63">
        <v>17349</v>
      </c>
      <c r="N148" s="35">
        <v>44762</v>
      </c>
      <c r="O148" s="35">
        <v>44763</v>
      </c>
      <c r="P148" s="41">
        <v>45127</v>
      </c>
      <c r="Q148" s="46">
        <v>45184</v>
      </c>
      <c r="R148" s="46">
        <v>45184</v>
      </c>
      <c r="S148" s="42">
        <f t="shared" si="16"/>
        <v>45492</v>
      </c>
      <c r="T148" s="41">
        <f t="shared" si="17"/>
        <v>45432</v>
      </c>
      <c r="U148" s="46">
        <v>45420</v>
      </c>
      <c r="V148" s="47">
        <v>45580</v>
      </c>
      <c r="X148" s="79"/>
    </row>
    <row r="149" spans="1:32" ht="15.75" customHeight="1" x14ac:dyDescent="0.35">
      <c r="A149" s="38" t="s">
        <v>37</v>
      </c>
      <c r="B149" s="39" t="s">
        <v>248</v>
      </c>
      <c r="C149" s="39" t="s">
        <v>251</v>
      </c>
      <c r="D149" s="34" t="s">
        <v>44</v>
      </c>
      <c r="E149" s="33" t="s">
        <v>22</v>
      </c>
      <c r="F149" s="33">
        <v>2</v>
      </c>
      <c r="G149" s="39">
        <v>176660</v>
      </c>
      <c r="H149" s="64" t="s">
        <v>252</v>
      </c>
      <c r="I149" s="33">
        <v>317</v>
      </c>
      <c r="J149" s="33">
        <v>19</v>
      </c>
      <c r="K149" s="33">
        <v>33</v>
      </c>
      <c r="L149" s="33" t="s">
        <v>23</v>
      </c>
      <c r="M149" s="63">
        <v>17349</v>
      </c>
      <c r="N149" s="35">
        <v>44138</v>
      </c>
      <c r="O149" s="44">
        <v>44159</v>
      </c>
      <c r="P149" s="41">
        <v>45135</v>
      </c>
      <c r="Q149" s="46">
        <v>45184</v>
      </c>
      <c r="R149" s="46">
        <v>45184</v>
      </c>
      <c r="S149" s="42">
        <f t="shared" si="16"/>
        <v>45500</v>
      </c>
      <c r="T149" s="41">
        <f t="shared" si="17"/>
        <v>45440</v>
      </c>
      <c r="U149" s="46">
        <v>45489</v>
      </c>
      <c r="V149" s="47">
        <v>45496</v>
      </c>
      <c r="X149" s="79"/>
    </row>
    <row r="150" spans="1:32" ht="15.75" customHeight="1" x14ac:dyDescent="0.35">
      <c r="A150" s="38" t="s">
        <v>37</v>
      </c>
      <c r="B150" s="39" t="s">
        <v>248</v>
      </c>
      <c r="C150" s="39" t="s">
        <v>251</v>
      </c>
      <c r="D150" s="34" t="s">
        <v>34</v>
      </c>
      <c r="E150" s="33" t="s">
        <v>22</v>
      </c>
      <c r="F150" s="33">
        <v>2</v>
      </c>
      <c r="G150" s="39">
        <v>180389</v>
      </c>
      <c r="H150" s="39" t="s">
        <v>253</v>
      </c>
      <c r="I150" s="33" t="s">
        <v>77</v>
      </c>
      <c r="J150" s="33">
        <v>9</v>
      </c>
      <c r="K150" s="33">
        <v>25</v>
      </c>
      <c r="L150" s="33" t="s">
        <v>23</v>
      </c>
      <c r="M150" s="63">
        <v>17349</v>
      </c>
      <c r="N150" s="35">
        <v>44208</v>
      </c>
      <c r="O150" s="44">
        <v>44216</v>
      </c>
      <c r="P150" s="41">
        <v>44959</v>
      </c>
      <c r="Q150" s="42">
        <v>45075</v>
      </c>
      <c r="R150" s="42">
        <v>45076</v>
      </c>
      <c r="S150" s="42">
        <f t="shared" si="16"/>
        <v>45324</v>
      </c>
      <c r="T150" s="41">
        <f t="shared" si="17"/>
        <v>45264</v>
      </c>
      <c r="U150" s="46">
        <v>45362</v>
      </c>
      <c r="V150" s="47">
        <v>45371</v>
      </c>
    </row>
    <row r="151" spans="1:32" ht="15.75" customHeight="1" x14ac:dyDescent="0.35">
      <c r="A151" s="38" t="s">
        <v>37</v>
      </c>
      <c r="B151" s="39" t="s">
        <v>248</v>
      </c>
      <c r="C151" s="39" t="s">
        <v>251</v>
      </c>
      <c r="D151" s="34" t="s">
        <v>95</v>
      </c>
      <c r="E151" s="33" t="s">
        <v>22</v>
      </c>
      <c r="F151" s="33">
        <v>2</v>
      </c>
      <c r="G151" s="39">
        <v>172994</v>
      </c>
      <c r="H151" s="39" t="s">
        <v>254</v>
      </c>
      <c r="I151" s="33">
        <v>8550</v>
      </c>
      <c r="J151" s="33">
        <v>19</v>
      </c>
      <c r="K151" s="33">
        <v>25</v>
      </c>
      <c r="L151" s="33" t="s">
        <v>23</v>
      </c>
      <c r="M151" s="63">
        <v>17349</v>
      </c>
      <c r="N151" s="35">
        <v>43865</v>
      </c>
      <c r="O151" s="44">
        <v>43886</v>
      </c>
      <c r="P151" s="41">
        <v>44960</v>
      </c>
      <c r="Q151" s="42">
        <v>44952</v>
      </c>
      <c r="R151" s="42">
        <v>44953</v>
      </c>
      <c r="S151" s="42">
        <f t="shared" si="16"/>
        <v>45325</v>
      </c>
      <c r="T151" s="41">
        <f t="shared" si="17"/>
        <v>45265</v>
      </c>
      <c r="U151" s="46">
        <v>45302</v>
      </c>
      <c r="V151" s="47">
        <v>45378</v>
      </c>
    </row>
    <row r="152" spans="1:32" ht="15.75" customHeight="1" x14ac:dyDescent="0.35">
      <c r="A152" s="38" t="s">
        <v>37</v>
      </c>
      <c r="B152" s="39" t="s">
        <v>248</v>
      </c>
      <c r="C152" s="39" t="s">
        <v>251</v>
      </c>
      <c r="D152" s="34" t="s">
        <v>26</v>
      </c>
      <c r="E152" s="33" t="s">
        <v>22</v>
      </c>
      <c r="F152" s="33">
        <v>2</v>
      </c>
      <c r="G152" s="39">
        <v>176641</v>
      </c>
      <c r="H152" s="39" t="s">
        <v>255</v>
      </c>
      <c r="I152" s="33">
        <v>8550</v>
      </c>
      <c r="J152" s="33">
        <v>19</v>
      </c>
      <c r="K152" s="33">
        <v>25</v>
      </c>
      <c r="L152" s="33" t="s">
        <v>85</v>
      </c>
      <c r="M152" s="63">
        <v>17349</v>
      </c>
      <c r="N152" s="35">
        <v>43865</v>
      </c>
      <c r="O152" s="44">
        <v>43886</v>
      </c>
      <c r="P152" s="41">
        <v>44960</v>
      </c>
      <c r="Q152" s="42">
        <v>44952</v>
      </c>
      <c r="R152" s="42">
        <v>44953</v>
      </c>
      <c r="S152" s="42">
        <f t="shared" si="16"/>
        <v>45325</v>
      </c>
      <c r="T152" s="41">
        <f t="shared" si="17"/>
        <v>45265</v>
      </c>
      <c r="U152" s="46">
        <v>45406</v>
      </c>
      <c r="V152" s="47">
        <v>45411</v>
      </c>
    </row>
    <row r="153" spans="1:32" ht="15.75" customHeight="1" x14ac:dyDescent="0.35">
      <c r="A153" s="38" t="s">
        <v>37</v>
      </c>
      <c r="B153" s="39" t="s">
        <v>248</v>
      </c>
      <c r="C153" s="39" t="s">
        <v>251</v>
      </c>
      <c r="D153" s="34" t="s">
        <v>256</v>
      </c>
      <c r="E153" s="33" t="s">
        <v>22</v>
      </c>
      <c r="F153" s="33">
        <v>2</v>
      </c>
      <c r="G153" s="39">
        <v>105407</v>
      </c>
      <c r="H153" s="39" t="s">
        <v>257</v>
      </c>
      <c r="I153" s="33">
        <v>8551</v>
      </c>
      <c r="J153" s="33">
        <v>19</v>
      </c>
      <c r="K153" s="33">
        <v>25</v>
      </c>
      <c r="L153" s="33" t="s">
        <v>23</v>
      </c>
      <c r="M153" s="63">
        <v>17349</v>
      </c>
      <c r="N153" s="35">
        <v>43865</v>
      </c>
      <c r="O153" s="44">
        <v>43886</v>
      </c>
      <c r="P153" s="41">
        <v>44960</v>
      </c>
      <c r="Q153" s="42">
        <v>44952</v>
      </c>
      <c r="R153" s="42">
        <v>45076</v>
      </c>
      <c r="S153" s="42">
        <f t="shared" si="16"/>
        <v>45325</v>
      </c>
      <c r="T153" s="41">
        <f t="shared" si="17"/>
        <v>45265</v>
      </c>
      <c r="U153" s="46">
        <v>45362</v>
      </c>
      <c r="V153" s="47">
        <v>45371</v>
      </c>
    </row>
    <row r="154" spans="1:32" ht="15.75" customHeight="1" x14ac:dyDescent="0.35">
      <c r="A154" s="29" t="s">
        <v>30</v>
      </c>
      <c r="B154" s="19" t="s">
        <v>248</v>
      </c>
      <c r="C154" s="19" t="s">
        <v>251</v>
      </c>
      <c r="D154" s="20" t="s">
        <v>75</v>
      </c>
      <c r="E154" s="21" t="s">
        <v>22</v>
      </c>
      <c r="F154" s="21">
        <v>2</v>
      </c>
      <c r="G154" s="19">
        <v>156361</v>
      </c>
      <c r="H154" s="19" t="s">
        <v>258</v>
      </c>
      <c r="I154" s="21" t="s">
        <v>77</v>
      </c>
      <c r="J154" s="21">
        <v>19</v>
      </c>
      <c r="K154" s="21">
        <v>25</v>
      </c>
      <c r="L154" s="21" t="s">
        <v>23</v>
      </c>
      <c r="M154" s="61">
        <v>17349</v>
      </c>
      <c r="N154" s="23">
        <v>43865</v>
      </c>
      <c r="O154" s="31">
        <v>43888</v>
      </c>
      <c r="P154" s="24">
        <v>44960</v>
      </c>
      <c r="Q154" s="26">
        <v>44993</v>
      </c>
      <c r="R154" s="26">
        <v>44994</v>
      </c>
      <c r="S154" s="26">
        <f t="shared" si="16"/>
        <v>45325</v>
      </c>
      <c r="T154" s="24">
        <f t="shared" si="17"/>
        <v>45265</v>
      </c>
      <c r="U154" s="36">
        <v>45362</v>
      </c>
      <c r="V154" s="27"/>
    </row>
    <row r="155" spans="1:32" ht="15.75" customHeight="1" x14ac:dyDescent="0.35">
      <c r="A155" s="38" t="s">
        <v>37</v>
      </c>
      <c r="B155" s="32" t="s">
        <v>248</v>
      </c>
      <c r="C155" s="32" t="s">
        <v>251</v>
      </c>
      <c r="D155" s="32"/>
      <c r="E155" s="49" t="s">
        <v>22</v>
      </c>
      <c r="F155" s="33">
        <v>2</v>
      </c>
      <c r="G155" s="34">
        <v>111200</v>
      </c>
      <c r="H155" s="32" t="s">
        <v>259</v>
      </c>
      <c r="I155" s="49">
        <v>880</v>
      </c>
      <c r="J155" s="33">
        <v>19</v>
      </c>
      <c r="K155" s="33">
        <v>15</v>
      </c>
      <c r="L155" s="33" t="s">
        <v>23</v>
      </c>
      <c r="M155" s="63">
        <v>17349</v>
      </c>
      <c r="N155" s="35">
        <v>43865</v>
      </c>
      <c r="O155" s="44">
        <v>43888</v>
      </c>
      <c r="P155" s="41">
        <v>44960</v>
      </c>
      <c r="Q155" s="42">
        <v>44952</v>
      </c>
      <c r="R155" s="42">
        <v>44953</v>
      </c>
      <c r="S155" s="42">
        <f t="shared" si="16"/>
        <v>45325</v>
      </c>
      <c r="T155" s="41">
        <f t="shared" si="17"/>
        <v>45265</v>
      </c>
      <c r="U155" s="46">
        <v>45341</v>
      </c>
      <c r="V155" s="47">
        <v>45371</v>
      </c>
    </row>
    <row r="156" spans="1:32" ht="15.75" customHeight="1" x14ac:dyDescent="0.35">
      <c r="A156" s="29" t="s">
        <v>30</v>
      </c>
      <c r="B156" s="19" t="s">
        <v>248</v>
      </c>
      <c r="C156" s="19" t="s">
        <v>251</v>
      </c>
      <c r="D156" s="20" t="s">
        <v>95</v>
      </c>
      <c r="E156" s="21" t="s">
        <v>22</v>
      </c>
      <c r="F156" s="21">
        <v>2</v>
      </c>
      <c r="G156" s="19">
        <v>176644</v>
      </c>
      <c r="H156" s="19" t="s">
        <v>260</v>
      </c>
      <c r="I156" s="21">
        <v>8551</v>
      </c>
      <c r="J156" s="21">
        <v>9</v>
      </c>
      <c r="K156" s="21">
        <v>25</v>
      </c>
      <c r="L156" s="21" t="s">
        <v>23</v>
      </c>
      <c r="M156" s="61">
        <v>17349</v>
      </c>
      <c r="N156" s="23">
        <v>43865</v>
      </c>
      <c r="O156" s="31">
        <v>43886</v>
      </c>
      <c r="P156" s="24">
        <v>44960</v>
      </c>
      <c r="Q156" s="26">
        <v>45075</v>
      </c>
      <c r="R156" s="26">
        <v>45076</v>
      </c>
      <c r="S156" s="26">
        <f t="shared" si="16"/>
        <v>45325</v>
      </c>
      <c r="T156" s="24">
        <f t="shared" si="17"/>
        <v>45265</v>
      </c>
      <c r="U156" s="36">
        <v>45362</v>
      </c>
      <c r="V156" s="115"/>
    </row>
    <row r="157" spans="1:32" ht="15.75" customHeight="1" x14ac:dyDescent="0.35">
      <c r="A157" s="38" t="s">
        <v>37</v>
      </c>
      <c r="B157" s="39" t="s">
        <v>248</v>
      </c>
      <c r="C157" s="39" t="s">
        <v>251</v>
      </c>
      <c r="D157" s="34" t="s">
        <v>261</v>
      </c>
      <c r="E157" s="33" t="s">
        <v>22</v>
      </c>
      <c r="F157" s="33">
        <v>2</v>
      </c>
      <c r="G157" s="39">
        <v>89570</v>
      </c>
      <c r="H157" s="39" t="s">
        <v>262</v>
      </c>
      <c r="I157" s="33">
        <v>8550</v>
      </c>
      <c r="J157" s="33">
        <v>9</v>
      </c>
      <c r="K157" s="33">
        <v>25</v>
      </c>
      <c r="L157" s="33" t="s">
        <v>85</v>
      </c>
      <c r="M157" s="63">
        <v>17349</v>
      </c>
      <c r="N157" s="35">
        <v>43865</v>
      </c>
      <c r="O157" s="44">
        <v>43886</v>
      </c>
      <c r="P157" s="41">
        <v>44960</v>
      </c>
      <c r="Q157" s="42">
        <v>44952</v>
      </c>
      <c r="R157" s="42">
        <v>44953</v>
      </c>
      <c r="S157" s="42">
        <f t="shared" si="16"/>
        <v>45325</v>
      </c>
      <c r="T157" s="41">
        <f t="shared" si="17"/>
        <v>45265</v>
      </c>
      <c r="U157" s="46">
        <v>45498</v>
      </c>
      <c r="V157" s="47">
        <v>45496</v>
      </c>
    </row>
    <row r="158" spans="1:32" ht="15.75" customHeight="1" x14ac:dyDescent="0.35">
      <c r="A158" s="38" t="s">
        <v>37</v>
      </c>
      <c r="B158" s="39" t="s">
        <v>248</v>
      </c>
      <c r="C158" s="39" t="s">
        <v>251</v>
      </c>
      <c r="D158" s="34" t="s">
        <v>34</v>
      </c>
      <c r="E158" s="33" t="s">
        <v>22</v>
      </c>
      <c r="F158" s="33">
        <v>2</v>
      </c>
      <c r="G158" s="39">
        <v>99631</v>
      </c>
      <c r="H158" s="39" t="s">
        <v>263</v>
      </c>
      <c r="I158" s="33" t="s">
        <v>46</v>
      </c>
      <c r="J158" s="33">
        <v>19</v>
      </c>
      <c r="K158" s="33">
        <v>25</v>
      </c>
      <c r="L158" s="33" t="s">
        <v>23</v>
      </c>
      <c r="M158" s="63">
        <v>17349</v>
      </c>
      <c r="N158" s="35">
        <v>44071</v>
      </c>
      <c r="O158" s="44">
        <v>44146</v>
      </c>
      <c r="P158" s="41">
        <v>45086</v>
      </c>
      <c r="Q158" s="41">
        <v>45086</v>
      </c>
      <c r="R158" s="41">
        <v>45086</v>
      </c>
      <c r="S158" s="42">
        <f t="shared" si="16"/>
        <v>45451</v>
      </c>
      <c r="T158" s="41">
        <f t="shared" si="17"/>
        <v>45391</v>
      </c>
      <c r="U158" s="46">
        <v>45485</v>
      </c>
      <c r="V158" s="47">
        <v>45495</v>
      </c>
      <c r="X158" s="79"/>
    </row>
    <row r="159" spans="1:32" ht="15.75" customHeight="1" x14ac:dyDescent="0.35">
      <c r="A159" s="38" t="s">
        <v>37</v>
      </c>
      <c r="B159" s="39" t="s">
        <v>248</v>
      </c>
      <c r="C159" s="39" t="s">
        <v>251</v>
      </c>
      <c r="D159" s="34" t="s">
        <v>34</v>
      </c>
      <c r="E159" s="33" t="s">
        <v>22</v>
      </c>
      <c r="F159" s="33">
        <v>2</v>
      </c>
      <c r="G159" s="39">
        <v>157238</v>
      </c>
      <c r="H159" s="39" t="s">
        <v>264</v>
      </c>
      <c r="I159" s="33" t="s">
        <v>46</v>
      </c>
      <c r="J159" s="33">
        <v>9</v>
      </c>
      <c r="K159" s="33">
        <v>25</v>
      </c>
      <c r="L159" s="33" t="s">
        <v>23</v>
      </c>
      <c r="M159" s="63">
        <v>17349</v>
      </c>
      <c r="N159" s="35">
        <v>44071</v>
      </c>
      <c r="O159" s="44">
        <v>44146</v>
      </c>
      <c r="P159" s="42">
        <v>45086</v>
      </c>
      <c r="Q159" s="42">
        <v>45086</v>
      </c>
      <c r="R159" s="42">
        <v>45086</v>
      </c>
      <c r="S159" s="42">
        <f t="shared" si="16"/>
        <v>45451</v>
      </c>
      <c r="T159" s="42">
        <f t="shared" si="17"/>
        <v>45391</v>
      </c>
      <c r="U159" s="46">
        <v>45485</v>
      </c>
      <c r="V159" s="47">
        <v>45495</v>
      </c>
      <c r="X159" s="79"/>
    </row>
    <row r="160" spans="1:32" ht="15.75" customHeight="1" x14ac:dyDescent="0.35">
      <c r="A160" s="38" t="s">
        <v>37</v>
      </c>
      <c r="B160" s="39" t="s">
        <v>248</v>
      </c>
      <c r="C160" s="39" t="s">
        <v>251</v>
      </c>
      <c r="D160" s="34" t="s">
        <v>265</v>
      </c>
      <c r="E160" s="33" t="s">
        <v>22</v>
      </c>
      <c r="F160" s="33">
        <v>2</v>
      </c>
      <c r="G160" s="39">
        <v>176642</v>
      </c>
      <c r="H160" s="39" t="s">
        <v>266</v>
      </c>
      <c r="I160" s="33">
        <v>8551</v>
      </c>
      <c r="J160" s="33">
        <v>15</v>
      </c>
      <c r="K160" s="33">
        <v>25</v>
      </c>
      <c r="L160" s="33" t="s">
        <v>23</v>
      </c>
      <c r="M160" s="63">
        <v>17349</v>
      </c>
      <c r="N160" s="35">
        <v>44693</v>
      </c>
      <c r="O160" s="35">
        <v>44697</v>
      </c>
      <c r="P160" s="41">
        <v>45058</v>
      </c>
      <c r="Q160" s="46">
        <v>45075</v>
      </c>
      <c r="R160" s="46">
        <v>45076</v>
      </c>
      <c r="S160" s="42">
        <f t="shared" si="16"/>
        <v>45423</v>
      </c>
      <c r="T160" s="41">
        <f t="shared" si="17"/>
        <v>45363</v>
      </c>
      <c r="U160" s="46">
        <v>45366</v>
      </c>
      <c r="V160" s="47">
        <v>45442</v>
      </c>
      <c r="X160" s="79"/>
    </row>
    <row r="161" spans="1:24" ht="15.75" customHeight="1" x14ac:dyDescent="0.35">
      <c r="A161" s="38" t="s">
        <v>37</v>
      </c>
      <c r="B161" s="39" t="s">
        <v>248</v>
      </c>
      <c r="C161" s="39" t="s">
        <v>251</v>
      </c>
      <c r="D161" s="34" t="s">
        <v>249</v>
      </c>
      <c r="E161" s="33" t="s">
        <v>22</v>
      </c>
      <c r="F161" s="33">
        <v>2</v>
      </c>
      <c r="G161" s="39">
        <v>177184</v>
      </c>
      <c r="H161" s="39" t="s">
        <v>267</v>
      </c>
      <c r="I161" s="33">
        <v>839</v>
      </c>
      <c r="J161" s="33">
        <v>9</v>
      </c>
      <c r="K161" s="33">
        <v>25</v>
      </c>
      <c r="L161" s="33" t="s">
        <v>23</v>
      </c>
      <c r="M161" s="63">
        <v>17349</v>
      </c>
      <c r="N161" s="35">
        <v>44693</v>
      </c>
      <c r="O161" s="35">
        <v>44694</v>
      </c>
      <c r="P161" s="41">
        <v>45058</v>
      </c>
      <c r="Q161" s="46">
        <v>45075</v>
      </c>
      <c r="R161" s="46">
        <v>45076</v>
      </c>
      <c r="S161" s="42">
        <f t="shared" si="16"/>
        <v>45423</v>
      </c>
      <c r="T161" s="41">
        <f t="shared" si="17"/>
        <v>45363</v>
      </c>
      <c r="U161" s="46">
        <v>45511</v>
      </c>
      <c r="V161" s="47">
        <v>45516</v>
      </c>
      <c r="X161" s="79"/>
    </row>
    <row r="162" spans="1:24" ht="15.75" customHeight="1" x14ac:dyDescent="0.35">
      <c r="A162" s="38" t="s">
        <v>37</v>
      </c>
      <c r="B162" s="39" t="s">
        <v>268</v>
      </c>
      <c r="C162" s="39" t="s">
        <v>269</v>
      </c>
      <c r="D162" s="34" t="s">
        <v>270</v>
      </c>
      <c r="E162" s="33" t="s">
        <v>22</v>
      </c>
      <c r="F162" s="33">
        <v>2</v>
      </c>
      <c r="G162" s="39">
        <v>105407</v>
      </c>
      <c r="H162" s="39" t="s">
        <v>271</v>
      </c>
      <c r="I162" s="33">
        <v>8551</v>
      </c>
      <c r="J162" s="33">
        <v>19</v>
      </c>
      <c r="K162" s="33">
        <v>25</v>
      </c>
      <c r="L162" s="33" t="s">
        <v>23</v>
      </c>
      <c r="M162" s="63">
        <v>46412</v>
      </c>
      <c r="N162" s="35">
        <v>44812</v>
      </c>
      <c r="O162" s="44">
        <v>44819</v>
      </c>
      <c r="P162" s="42">
        <v>45177</v>
      </c>
      <c r="Q162" s="44">
        <v>45184</v>
      </c>
      <c r="R162" s="44">
        <v>45188</v>
      </c>
      <c r="S162" s="42">
        <f t="shared" si="16"/>
        <v>45542</v>
      </c>
      <c r="T162" s="42">
        <f t="shared" si="17"/>
        <v>45482</v>
      </c>
      <c r="U162" s="46">
        <v>45510</v>
      </c>
      <c r="V162" s="47">
        <v>45513</v>
      </c>
    </row>
    <row r="163" spans="1:24" ht="15.75" customHeight="1" x14ac:dyDescent="0.35">
      <c r="A163" s="38" t="s">
        <v>37</v>
      </c>
      <c r="B163" s="39" t="s">
        <v>268</v>
      </c>
      <c r="C163" s="39" t="s">
        <v>269</v>
      </c>
      <c r="D163" s="34" t="s">
        <v>270</v>
      </c>
      <c r="E163" s="33" t="s">
        <v>22</v>
      </c>
      <c r="F163" s="33">
        <v>2</v>
      </c>
      <c r="G163" s="39">
        <v>176646</v>
      </c>
      <c r="H163" s="39" t="s">
        <v>272</v>
      </c>
      <c r="I163" s="33" t="s">
        <v>29</v>
      </c>
      <c r="J163" s="33">
        <v>25</v>
      </c>
      <c r="K163" s="33">
        <v>25</v>
      </c>
      <c r="L163" s="33" t="s">
        <v>23</v>
      </c>
      <c r="M163" s="40">
        <v>46412</v>
      </c>
      <c r="N163" s="35">
        <v>43892</v>
      </c>
      <c r="O163" s="44">
        <v>43892</v>
      </c>
      <c r="P163" s="41">
        <v>44968</v>
      </c>
      <c r="Q163" s="42">
        <v>45075</v>
      </c>
      <c r="R163" s="42">
        <v>45076</v>
      </c>
      <c r="S163" s="42">
        <f t="shared" si="16"/>
        <v>45333</v>
      </c>
      <c r="T163" s="41">
        <f t="shared" si="17"/>
        <v>45273</v>
      </c>
      <c r="U163" s="46">
        <v>45363</v>
      </c>
      <c r="V163" s="47">
        <v>45371</v>
      </c>
    </row>
    <row r="164" spans="1:24" ht="15.75" customHeight="1" x14ac:dyDescent="0.35">
      <c r="A164" s="38" t="s">
        <v>37</v>
      </c>
      <c r="B164" s="39" t="s">
        <v>268</v>
      </c>
      <c r="C164" s="39" t="s">
        <v>269</v>
      </c>
      <c r="D164" s="34" t="s">
        <v>270</v>
      </c>
      <c r="E164" s="33" t="s">
        <v>22</v>
      </c>
      <c r="F164" s="33">
        <v>2</v>
      </c>
      <c r="G164" s="39">
        <v>174352</v>
      </c>
      <c r="H164" s="39" t="s">
        <v>274</v>
      </c>
      <c r="I164" s="33" t="s">
        <v>64</v>
      </c>
      <c r="J164" s="33">
        <v>19</v>
      </c>
      <c r="K164" s="33">
        <v>15</v>
      </c>
      <c r="L164" s="33" t="s">
        <v>23</v>
      </c>
      <c r="M164" s="63">
        <v>46412</v>
      </c>
      <c r="N164" s="35">
        <v>44684</v>
      </c>
      <c r="O164" s="44">
        <v>44693</v>
      </c>
      <c r="P164" s="42">
        <v>45049</v>
      </c>
      <c r="Q164" s="42">
        <v>45075</v>
      </c>
      <c r="R164" s="42">
        <v>45076</v>
      </c>
      <c r="S164" s="42">
        <f t="shared" si="16"/>
        <v>45414</v>
      </c>
      <c r="T164" s="42">
        <f t="shared" si="17"/>
        <v>45354</v>
      </c>
      <c r="U164" s="46">
        <v>45463</v>
      </c>
      <c r="V164" s="47">
        <v>45513</v>
      </c>
    </row>
    <row r="165" spans="1:24" ht="15.75" customHeight="1" x14ac:dyDescent="0.35">
      <c r="A165" s="29" t="s">
        <v>30</v>
      </c>
      <c r="B165" s="20" t="s">
        <v>275</v>
      </c>
      <c r="C165" s="20" t="s">
        <v>276</v>
      </c>
      <c r="D165" s="20" t="s">
        <v>277</v>
      </c>
      <c r="E165" s="21" t="s">
        <v>35</v>
      </c>
      <c r="F165" s="21">
        <v>2</v>
      </c>
      <c r="G165" s="20">
        <v>176660</v>
      </c>
      <c r="H165" s="20" t="s">
        <v>278</v>
      </c>
      <c r="I165" s="21">
        <v>317</v>
      </c>
      <c r="J165" s="21">
        <v>19</v>
      </c>
      <c r="K165" s="21">
        <v>33</v>
      </c>
      <c r="L165" s="21" t="s">
        <v>23</v>
      </c>
      <c r="M165" s="21">
        <v>31461</v>
      </c>
      <c r="N165" s="23">
        <v>45223</v>
      </c>
      <c r="O165" s="21"/>
      <c r="P165" s="21"/>
      <c r="Q165" s="21"/>
      <c r="R165" s="21"/>
      <c r="S165" s="23">
        <v>45528</v>
      </c>
      <c r="T165" s="23">
        <v>45589</v>
      </c>
      <c r="U165" s="36">
        <v>45526</v>
      </c>
      <c r="V165" s="118"/>
    </row>
    <row r="166" spans="1:24" ht="15.75" customHeight="1" x14ac:dyDescent="0.35">
      <c r="A166" s="29" t="s">
        <v>30</v>
      </c>
      <c r="B166" s="19" t="s">
        <v>275</v>
      </c>
      <c r="C166" s="19" t="s">
        <v>276</v>
      </c>
      <c r="D166" s="20" t="s">
        <v>279</v>
      </c>
      <c r="E166" s="21" t="s">
        <v>35</v>
      </c>
      <c r="F166" s="21">
        <v>4</v>
      </c>
      <c r="G166" s="19">
        <v>155849</v>
      </c>
      <c r="H166" s="19" t="s">
        <v>280</v>
      </c>
      <c r="I166" s="21">
        <v>8571</v>
      </c>
      <c r="J166" s="21">
        <v>32</v>
      </c>
      <c r="K166" s="21">
        <v>7.5</v>
      </c>
      <c r="L166" s="21" t="s">
        <v>23</v>
      </c>
      <c r="M166" s="22">
        <v>31461</v>
      </c>
      <c r="N166" s="23">
        <v>45502</v>
      </c>
      <c r="O166" s="31"/>
      <c r="P166" s="26"/>
      <c r="Q166" s="26"/>
      <c r="R166" s="25"/>
      <c r="S166" s="26"/>
      <c r="T166" s="26"/>
      <c r="U166" s="20"/>
      <c r="V166" s="27"/>
    </row>
    <row r="167" spans="1:24" ht="15.75" customHeight="1" x14ac:dyDescent="0.35">
      <c r="A167" s="29" t="s">
        <v>30</v>
      </c>
      <c r="B167" s="90" t="s">
        <v>312</v>
      </c>
      <c r="C167" s="90" t="s">
        <v>313</v>
      </c>
      <c r="D167" s="91" t="s">
        <v>314</v>
      </c>
      <c r="E167" s="92" t="s">
        <v>35</v>
      </c>
      <c r="F167" s="92">
        <v>2</v>
      </c>
      <c r="G167" s="90">
        <v>156030</v>
      </c>
      <c r="H167" s="90">
        <v>10035139</v>
      </c>
      <c r="I167" s="92" t="s">
        <v>88</v>
      </c>
      <c r="J167" s="92">
        <v>19</v>
      </c>
      <c r="K167" s="92">
        <v>25</v>
      </c>
      <c r="L167" s="21" t="s">
        <v>23</v>
      </c>
      <c r="M167" s="94">
        <v>260156</v>
      </c>
      <c r="N167" s="93">
        <v>45589</v>
      </c>
      <c r="O167" s="137"/>
      <c r="P167" s="96"/>
      <c r="Q167" s="96"/>
      <c r="R167" s="97"/>
      <c r="S167" s="96"/>
      <c r="T167" s="96"/>
      <c r="U167" s="91"/>
      <c r="V167" s="99"/>
    </row>
    <row r="168" spans="1:24" ht="15" thickBot="1" x14ac:dyDescent="0.4">
      <c r="A168" s="128" t="s">
        <v>30</v>
      </c>
      <c r="B168" s="129" t="s">
        <v>297</v>
      </c>
      <c r="C168" s="130"/>
      <c r="D168" s="130"/>
      <c r="E168" s="131"/>
      <c r="F168" s="131">
        <v>2</v>
      </c>
      <c r="G168" s="130">
        <v>173008</v>
      </c>
      <c r="H168" s="130" t="s">
        <v>298</v>
      </c>
      <c r="I168" s="131">
        <v>8560</v>
      </c>
      <c r="J168" s="131">
        <v>19</v>
      </c>
      <c r="K168" s="131">
        <v>50</v>
      </c>
      <c r="L168" s="131" t="s">
        <v>23</v>
      </c>
      <c r="M168" s="130"/>
      <c r="N168" s="132">
        <v>45548</v>
      </c>
      <c r="O168" s="130"/>
      <c r="P168" s="130"/>
      <c r="Q168" s="130"/>
      <c r="R168" s="130"/>
      <c r="S168" s="130"/>
      <c r="T168" s="130"/>
      <c r="U168" s="132"/>
      <c r="V168" s="133"/>
    </row>
  </sheetData>
  <autoFilter ref="A2:AF168" xr:uid="{758B90B7-AB1A-4E5B-A081-F96148B648F1}"/>
  <mergeCells count="16">
    <mergeCell ref="P1:R1"/>
    <mergeCell ref="S1:V1"/>
    <mergeCell ref="A1:A2"/>
    <mergeCell ref="B1:B2"/>
    <mergeCell ref="D1:D2"/>
    <mergeCell ref="G1:G2"/>
    <mergeCell ref="H1:H2"/>
    <mergeCell ref="I1:I2"/>
    <mergeCell ref="J1:J2"/>
    <mergeCell ref="K1:K2"/>
    <mergeCell ref="L1:L2"/>
    <mergeCell ref="M1:M2"/>
    <mergeCell ref="N1:O1"/>
    <mergeCell ref="C1:C2"/>
    <mergeCell ref="E1:E2"/>
    <mergeCell ref="F1:F2"/>
  </mergeCells>
  <phoneticPr fontId="6" type="noConversion"/>
  <pageMargins left="0.7" right="0.7" top="0.75" bottom="0.75" header="0.3" footer="0.3"/>
  <pageSetup orientation="portrait" r:id="rId1"/>
  <ignoredErrors>
    <ignoredError sqref="S95 S39 S115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1DCF064A99D441887C557583945FE2" ma:contentTypeVersion="12" ma:contentTypeDescription="Create a new document." ma:contentTypeScope="" ma:versionID="e1edd86b3298984c2ebc542a2dec56f2">
  <xsd:schema xmlns:xsd="http://www.w3.org/2001/XMLSchema" xmlns:xs="http://www.w3.org/2001/XMLSchema" xmlns:p="http://schemas.microsoft.com/office/2006/metadata/properties" xmlns:ns2="b65375f3-1c6a-4efc-a0ff-b5cb5b57e446" xmlns:ns3="31bae7fc-a932-48d2-a4fd-52f4a9d31701" targetNamespace="http://schemas.microsoft.com/office/2006/metadata/properties" ma:root="true" ma:fieldsID="7136f63d02a27ce52c34527e5730e86e" ns2:_="" ns3:_="">
    <xsd:import namespace="b65375f3-1c6a-4efc-a0ff-b5cb5b57e446"/>
    <xsd:import namespace="31bae7fc-a932-48d2-a4fd-52f4a9d31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375f3-1c6a-4efc-a0ff-b5cb5b57e4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d3a5857-6af6-4703-b05b-a237cc2ed3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ae7fc-a932-48d2-a4fd-52f4a9d3170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5f931b9-0e5f-48f3-a006-78b29223bd37}" ma:internalName="TaxCatchAll" ma:showField="CatchAllData" ma:web="31bae7fc-a932-48d2-a4fd-52f4a9d31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bae7fc-a932-48d2-a4fd-52f4a9d31701" xsi:nil="true"/>
    <lcf76f155ced4ddcb4097134ff3c332f xmlns="b65375f3-1c6a-4efc-a0ff-b5cb5b57e4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72FA0E-498B-4865-98C8-1DBB7AD2CD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C19F8D-221A-4B17-8445-07B511D2B2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5375f3-1c6a-4efc-a0ff-b5cb5b57e446"/>
    <ds:schemaRef ds:uri="31bae7fc-a932-48d2-a4fd-52f4a9d31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5C83D7-69EC-43FE-9CD8-37EC45515CEE}">
  <ds:schemaRefs>
    <ds:schemaRef ds:uri="http://schemas.microsoft.com/office/2006/metadata/properties"/>
    <ds:schemaRef ds:uri="http://schemas.microsoft.com/office/infopath/2007/PartnerControls"/>
    <ds:schemaRef ds:uri="31bae7fc-a932-48d2-a4fd-52f4a9d31701"/>
    <ds:schemaRef ds:uri="b65375f3-1c6a-4efc-a0ff-b5cb5b57e4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PPAPs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Acosta</dc:creator>
  <cp:keywords/>
  <dc:description/>
  <cp:lastModifiedBy>Santiago Andrade</cp:lastModifiedBy>
  <cp:revision/>
  <dcterms:created xsi:type="dcterms:W3CDTF">2023-11-29T21:23:22Z</dcterms:created>
  <dcterms:modified xsi:type="dcterms:W3CDTF">2026-01-28T02:15:46Z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0x010100151DCF064A99D441887C557583945FE2</vt:lpwstr>
  </property>
  <property fmtid="{D5CDD505-2E9C-101B-9397-08002B2CF9AE}" pid="3" name="Order">
    <vt:r8>6647800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