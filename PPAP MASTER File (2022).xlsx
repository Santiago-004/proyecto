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ray\Downloads\"/>
    </mc:Choice>
  </mc:AlternateContent>
  <xr:revisionPtr revIDLastSave="0" documentId="13_ncr:1_{800D4F37-4EF6-4AAB-9BF9-FB34D1AD91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PAP 2022" sheetId="4" r:id="rId1"/>
    <sheet name="PPAP 2021" sheetId="7" r:id="rId2"/>
  </sheets>
  <definedNames>
    <definedName name="_xlnm._FilterDatabase" localSheetId="1" hidden="1">'PPAP 2021'!$A$2:$Z$114</definedName>
    <definedName name="_xlnm._FilterDatabase" localSheetId="0" hidden="1">'PPAP 2022'!$A$2:$AA$139</definedName>
    <definedName name="_xlnm.Print_Area" localSheetId="1">'PPAP 2021'!$B$1:$N$2</definedName>
    <definedName name="_xlnm.Print_Area" localSheetId="0">'PPAP 2022'!$B$1:$N$2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4" l="1"/>
  <c r="X22" i="4" s="1"/>
  <c r="Y22" i="4" s="1"/>
  <c r="U22" i="4" l="1"/>
  <c r="X32" i="4"/>
  <c r="Y32" i="4" s="1"/>
  <c r="P32" i="4"/>
  <c r="Q32" i="4" s="1"/>
  <c r="X89" i="4" l="1"/>
  <c r="X65" i="4"/>
  <c r="X114" i="7"/>
  <c r="Y114" i="7" s="1"/>
  <c r="X113" i="7"/>
  <c r="Y113" i="7" s="1"/>
  <c r="X112" i="7"/>
  <c r="Y112" i="7" s="1"/>
  <c r="X111" i="7"/>
  <c r="Y111" i="7" s="1"/>
  <c r="X110" i="7"/>
  <c r="Y110" i="7" s="1"/>
  <c r="X108" i="7"/>
  <c r="Y108" i="7" s="1"/>
  <c r="X107" i="7"/>
  <c r="Y107" i="7" s="1"/>
  <c r="X106" i="7"/>
  <c r="Y106" i="7" s="1"/>
  <c r="X105" i="7"/>
  <c r="Y105" i="7" s="1"/>
  <c r="X104" i="7"/>
  <c r="Y104" i="7" s="1"/>
  <c r="X103" i="7"/>
  <c r="Y103" i="7" s="1"/>
  <c r="X102" i="7"/>
  <c r="Y102" i="7" s="1"/>
  <c r="X101" i="7"/>
  <c r="Y101" i="7" s="1"/>
  <c r="X100" i="7"/>
  <c r="Y100" i="7" s="1"/>
  <c r="X99" i="7"/>
  <c r="Y99" i="7" s="1"/>
  <c r="X98" i="7"/>
  <c r="Y98" i="7" s="1"/>
  <c r="X97" i="7"/>
  <c r="Y97" i="7" s="1"/>
  <c r="X96" i="7"/>
  <c r="Y96" i="7" s="1"/>
  <c r="X95" i="7"/>
  <c r="Y95" i="7" s="1"/>
  <c r="X94" i="7"/>
  <c r="Y94" i="7" s="1"/>
  <c r="X93" i="7"/>
  <c r="Y93" i="7" s="1"/>
  <c r="X92" i="7"/>
  <c r="Y92" i="7" s="1"/>
  <c r="X91" i="7"/>
  <c r="Y91" i="7" s="1"/>
  <c r="T91" i="7"/>
  <c r="U91" i="7" s="1"/>
  <c r="T90" i="7"/>
  <c r="U90" i="7" s="1"/>
  <c r="T89" i="7"/>
  <c r="X89" i="7" s="1"/>
  <c r="Y89" i="7" s="1"/>
  <c r="T88" i="7"/>
  <c r="X88" i="7" s="1"/>
  <c r="Y88" i="7" s="1"/>
  <c r="T87" i="7"/>
  <c r="X87" i="7" s="1"/>
  <c r="Y87" i="7" s="1"/>
  <c r="T86" i="7"/>
  <c r="X86" i="7" s="1"/>
  <c r="Y86" i="7" s="1"/>
  <c r="T85" i="7"/>
  <c r="X85" i="7" s="1"/>
  <c r="Y85" i="7" s="1"/>
  <c r="T84" i="7"/>
  <c r="X84" i="7" s="1"/>
  <c r="Y84" i="7" s="1"/>
  <c r="X83" i="7"/>
  <c r="Y83" i="7" s="1"/>
  <c r="T83" i="7"/>
  <c r="U83" i="7" s="1"/>
  <c r="X82" i="7"/>
  <c r="Y82" i="7" s="1"/>
  <c r="P82" i="7"/>
  <c r="T82" i="7" s="1"/>
  <c r="U82" i="7" s="1"/>
  <c r="X81" i="7"/>
  <c r="Y81" i="7" s="1"/>
  <c r="P81" i="7"/>
  <c r="T81" i="7" s="1"/>
  <c r="U81" i="7" s="1"/>
  <c r="X80" i="7"/>
  <c r="Y80" i="7" s="1"/>
  <c r="P80" i="7"/>
  <c r="T80" i="7" s="1"/>
  <c r="U80" i="7" s="1"/>
  <c r="X79" i="7"/>
  <c r="Y79" i="7" s="1"/>
  <c r="P79" i="7"/>
  <c r="T79" i="7" s="1"/>
  <c r="U79" i="7" s="1"/>
  <c r="X78" i="7"/>
  <c r="Y78" i="7" s="1"/>
  <c r="P78" i="7"/>
  <c r="Q78" i="7" s="1"/>
  <c r="X77" i="7"/>
  <c r="Y77" i="7" s="1"/>
  <c r="X76" i="7"/>
  <c r="Y76" i="7" s="1"/>
  <c r="P76" i="7"/>
  <c r="Q76" i="7" s="1"/>
  <c r="T76" i="7" s="1"/>
  <c r="U76" i="7" s="1"/>
  <c r="P75" i="7"/>
  <c r="Q75" i="7" s="1"/>
  <c r="X74" i="7"/>
  <c r="Y74" i="7" s="1"/>
  <c r="P74" i="7"/>
  <c r="T74" i="7" s="1"/>
  <c r="U74" i="7" s="1"/>
  <c r="X73" i="7"/>
  <c r="Y73" i="7" s="1"/>
  <c r="P73" i="7"/>
  <c r="Q73" i="7" s="1"/>
  <c r="X72" i="7"/>
  <c r="Y72" i="7" s="1"/>
  <c r="P72" i="7"/>
  <c r="T72" i="7" s="1"/>
  <c r="U72" i="7" s="1"/>
  <c r="X71" i="7"/>
  <c r="Y71" i="7" s="1"/>
  <c r="X70" i="7"/>
  <c r="Y70" i="7" s="1"/>
  <c r="P70" i="7"/>
  <c r="T70" i="7" s="1"/>
  <c r="U70" i="7" s="1"/>
  <c r="X69" i="7"/>
  <c r="Y69" i="7" s="1"/>
  <c r="P69" i="7"/>
  <c r="T69" i="7" s="1"/>
  <c r="U69" i="7" s="1"/>
  <c r="X68" i="7"/>
  <c r="Y68" i="7" s="1"/>
  <c r="P68" i="7"/>
  <c r="Q68" i="7" s="1"/>
  <c r="X67" i="7"/>
  <c r="Y67" i="7" s="1"/>
  <c r="P67" i="7"/>
  <c r="Q67" i="7" s="1"/>
  <c r="X66" i="7"/>
  <c r="Y66" i="7" s="1"/>
  <c r="P66" i="7"/>
  <c r="T66" i="7" s="1"/>
  <c r="U66" i="7" s="1"/>
  <c r="X65" i="7"/>
  <c r="Y65" i="7" s="1"/>
  <c r="P65" i="7"/>
  <c r="Q65" i="7" s="1"/>
  <c r="X64" i="7"/>
  <c r="Y64" i="7" s="1"/>
  <c r="P63" i="7"/>
  <c r="Q63" i="7" s="1"/>
  <c r="X62" i="7"/>
  <c r="Y62" i="7" s="1"/>
  <c r="T62" i="7"/>
  <c r="X61" i="7"/>
  <c r="Y61" i="7" s="1"/>
  <c r="T61" i="7"/>
  <c r="P61" i="7"/>
  <c r="Q61" i="7" s="1"/>
  <c r="T60" i="7"/>
  <c r="U60" i="7" s="1"/>
  <c r="P60" i="7"/>
  <c r="Q60" i="7" s="1"/>
  <c r="X59" i="7"/>
  <c r="Y59" i="7" s="1"/>
  <c r="T59" i="7"/>
  <c r="U59" i="7" s="1"/>
  <c r="T58" i="7"/>
  <c r="U58" i="7" s="1"/>
  <c r="P58" i="7"/>
  <c r="Q58" i="7" s="1"/>
  <c r="T57" i="7"/>
  <c r="X57" i="7" s="1"/>
  <c r="Y57" i="7" s="1"/>
  <c r="P57" i="7"/>
  <c r="Q57" i="7" s="1"/>
  <c r="X56" i="7"/>
  <c r="Y56" i="7" s="1"/>
  <c r="T56" i="7"/>
  <c r="U56" i="7" s="1"/>
  <c r="P56" i="7"/>
  <c r="Q56" i="7" s="1"/>
  <c r="X55" i="7"/>
  <c r="Y55" i="7" s="1"/>
  <c r="X54" i="7"/>
  <c r="Y54" i="7" s="1"/>
  <c r="X53" i="7"/>
  <c r="Y53" i="7" s="1"/>
  <c r="T53" i="7"/>
  <c r="U53" i="7" s="1"/>
  <c r="X52" i="7"/>
  <c r="Y52" i="7" s="1"/>
  <c r="T52" i="7"/>
  <c r="U52" i="7" s="1"/>
  <c r="X51" i="7"/>
  <c r="Y51" i="7" s="1"/>
  <c r="X50" i="7"/>
  <c r="Y50" i="7" s="1"/>
  <c r="P50" i="7"/>
  <c r="Q50" i="7" s="1"/>
  <c r="X49" i="7"/>
  <c r="Y49" i="7" s="1"/>
  <c r="T49" i="7"/>
  <c r="U49" i="7" s="1"/>
  <c r="X48" i="7"/>
  <c r="Y48" i="7" s="1"/>
  <c r="T48" i="7"/>
  <c r="U48" i="7" s="1"/>
  <c r="X47" i="7"/>
  <c r="Y47" i="7" s="1"/>
  <c r="T47" i="7"/>
  <c r="U47" i="7" s="1"/>
  <c r="P47" i="7"/>
  <c r="Q47" i="7" s="1"/>
  <c r="X46" i="7"/>
  <c r="Y46" i="7" s="1"/>
  <c r="T46" i="7"/>
  <c r="U46" i="7" s="1"/>
  <c r="P46" i="7"/>
  <c r="Q46" i="7" s="1"/>
  <c r="X45" i="7"/>
  <c r="Y45" i="7" s="1"/>
  <c r="T45" i="7"/>
  <c r="U45" i="7" s="1"/>
  <c r="P45" i="7"/>
  <c r="Q45" i="7" s="1"/>
  <c r="X44" i="7"/>
  <c r="Y44" i="7" s="1"/>
  <c r="T44" i="7"/>
  <c r="U44" i="7" s="1"/>
  <c r="P44" i="7"/>
  <c r="Q44" i="7" s="1"/>
  <c r="X43" i="7"/>
  <c r="Y43" i="7" s="1"/>
  <c r="T43" i="7"/>
  <c r="U43" i="7" s="1"/>
  <c r="P43" i="7"/>
  <c r="Q43" i="7" s="1"/>
  <c r="X42" i="7"/>
  <c r="Y42" i="7" s="1"/>
  <c r="T42" i="7"/>
  <c r="U42" i="7" s="1"/>
  <c r="X41" i="7"/>
  <c r="Y41" i="7" s="1"/>
  <c r="X40" i="7"/>
  <c r="Y40" i="7" s="1"/>
  <c r="U40" i="7"/>
  <c r="X39" i="7"/>
  <c r="Y39" i="7" s="1"/>
  <c r="P39" i="7"/>
  <c r="Q39" i="7" s="1"/>
  <c r="X38" i="7"/>
  <c r="Y38" i="7" s="1"/>
  <c r="P38" i="7"/>
  <c r="T38" i="7" s="1"/>
  <c r="U38" i="7" s="1"/>
  <c r="X37" i="7"/>
  <c r="Y37" i="7" s="1"/>
  <c r="P37" i="7"/>
  <c r="Q37" i="7" s="1"/>
  <c r="X36" i="7"/>
  <c r="Y36" i="7" s="1"/>
  <c r="P36" i="7"/>
  <c r="T36" i="7" s="1"/>
  <c r="U36" i="7" s="1"/>
  <c r="P35" i="7"/>
  <c r="T35" i="7" s="1"/>
  <c r="U35" i="7" s="1"/>
  <c r="X34" i="7"/>
  <c r="Y34" i="7" s="1"/>
  <c r="P34" i="7"/>
  <c r="X32" i="7"/>
  <c r="Y32" i="7" s="1"/>
  <c r="T31" i="7"/>
  <c r="X31" i="7" s="1"/>
  <c r="Y31" i="7" s="1"/>
  <c r="X30" i="7"/>
  <c r="Y30" i="7" s="1"/>
  <c r="T30" i="7"/>
  <c r="U30" i="7" s="1"/>
  <c r="X29" i="7"/>
  <c r="Y29" i="7" s="1"/>
  <c r="X28" i="7"/>
  <c r="Y28" i="7" s="1"/>
  <c r="I28" i="7"/>
  <c r="X27" i="7"/>
  <c r="Y27" i="7" s="1"/>
  <c r="I27" i="7"/>
  <c r="X26" i="7"/>
  <c r="Y26" i="7" s="1"/>
  <c r="I26" i="7"/>
  <c r="X25" i="7"/>
  <c r="Y25" i="7" s="1"/>
  <c r="I25" i="7"/>
  <c r="X24" i="7"/>
  <c r="Y24" i="7" s="1"/>
  <c r="P24" i="7"/>
  <c r="Q24" i="7" s="1"/>
  <c r="X23" i="7"/>
  <c r="Y23" i="7" s="1"/>
  <c r="P23" i="7"/>
  <c r="Q23" i="7" s="1"/>
  <c r="X22" i="7"/>
  <c r="Y22" i="7" s="1"/>
  <c r="P22" i="7"/>
  <c r="T22" i="7" s="1"/>
  <c r="U22" i="7" s="1"/>
  <c r="X21" i="7"/>
  <c r="Y21" i="7" s="1"/>
  <c r="P21" i="7"/>
  <c r="Q21" i="7" s="1"/>
  <c r="X20" i="7"/>
  <c r="Y20" i="7" s="1"/>
  <c r="P20" i="7"/>
  <c r="Q20" i="7" s="1"/>
  <c r="X19" i="7"/>
  <c r="Y19" i="7" s="1"/>
  <c r="P19" i="7"/>
  <c r="Q19" i="7" s="1"/>
  <c r="X18" i="7"/>
  <c r="Y18" i="7" s="1"/>
  <c r="T18" i="7"/>
  <c r="U18" i="7" s="1"/>
  <c r="P18" i="7"/>
  <c r="Q18" i="7" s="1"/>
  <c r="X17" i="7"/>
  <c r="Y17" i="7" s="1"/>
  <c r="T17" i="7"/>
  <c r="U17" i="7" s="1"/>
  <c r="P17" i="7"/>
  <c r="Q17" i="7" s="1"/>
  <c r="X16" i="7"/>
  <c r="Y16" i="7" s="1"/>
  <c r="P16" i="7"/>
  <c r="Q16" i="7" s="1"/>
  <c r="X15" i="7"/>
  <c r="Y15" i="7" s="1"/>
  <c r="X14" i="7"/>
  <c r="Y14" i="7" s="1"/>
  <c r="X13" i="7"/>
  <c r="Y13" i="7" s="1"/>
  <c r="X11" i="7"/>
  <c r="Y11" i="7" s="1"/>
  <c r="X10" i="7"/>
  <c r="Y10" i="7" s="1"/>
  <c r="T10" i="7"/>
  <c r="U10" i="7" s="1"/>
  <c r="X9" i="7"/>
  <c r="Y9" i="7" s="1"/>
  <c r="T9" i="7"/>
  <c r="U9" i="7" s="1"/>
  <c r="X8" i="7"/>
  <c r="Y8" i="7" s="1"/>
  <c r="T8" i="7"/>
  <c r="U8" i="7" s="1"/>
  <c r="X7" i="7"/>
  <c r="Y7" i="7" s="1"/>
  <c r="T7" i="7"/>
  <c r="U7" i="7" s="1"/>
  <c r="P7" i="7"/>
  <c r="Q7" i="7" s="1"/>
  <c r="X6" i="7"/>
  <c r="Y6" i="7" s="1"/>
  <c r="T6" i="7"/>
  <c r="U6" i="7" s="1"/>
  <c r="P6" i="7"/>
  <c r="Q6" i="7" s="1"/>
  <c r="T5" i="7"/>
  <c r="U5" i="7" s="1"/>
  <c r="X4" i="7"/>
  <c r="Y4" i="7" s="1"/>
  <c r="T4" i="7"/>
  <c r="U4" i="7" s="1"/>
  <c r="X3" i="7"/>
  <c r="Y3" i="7" s="1"/>
  <c r="T3" i="7"/>
  <c r="U3" i="7" s="1"/>
  <c r="T37" i="7" l="1"/>
  <c r="U37" i="7" s="1"/>
  <c r="X90" i="7"/>
  <c r="Y90" i="7" s="1"/>
  <c r="T21" i="7"/>
  <c r="U21" i="7" s="1"/>
  <c r="U85" i="7"/>
  <c r="X60" i="7"/>
  <c r="Y60" i="7" s="1"/>
  <c r="T78" i="7"/>
  <c r="T39" i="7"/>
  <c r="U39" i="7" s="1"/>
  <c r="U84" i="7"/>
  <c r="T23" i="7"/>
  <c r="U23" i="7" s="1"/>
  <c r="T75" i="7"/>
  <c r="U75" i="7" s="1"/>
  <c r="T63" i="7"/>
  <c r="X63" i="7" s="1"/>
  <c r="Y63" i="7" s="1"/>
  <c r="T19" i="7"/>
  <c r="U19" i="7" s="1"/>
  <c r="U87" i="7"/>
  <c r="U88" i="7"/>
  <c r="T73" i="7"/>
  <c r="U73" i="7" s="1"/>
  <c r="Q66" i="7"/>
  <c r="Q70" i="7"/>
  <c r="Q35" i="7"/>
  <c r="T68" i="7"/>
  <c r="U68" i="7" s="1"/>
  <c r="Q80" i="7"/>
  <c r="Q82" i="7"/>
  <c r="T50" i="7"/>
  <c r="U50" i="7" s="1"/>
  <c r="Q22" i="7"/>
  <c r="Q36" i="7"/>
  <c r="U31" i="7"/>
  <c r="Q69" i="7"/>
  <c r="T65" i="7"/>
  <c r="U65" i="7" s="1"/>
  <c r="T67" i="7"/>
  <c r="U67" i="7" s="1"/>
  <c r="Q79" i="7"/>
  <c r="Q81" i="7"/>
  <c r="U86" i="7"/>
  <c r="U89" i="7"/>
  <c r="T20" i="7"/>
  <c r="U20" i="7" s="1"/>
  <c r="U57" i="7"/>
  <c r="Q72" i="7"/>
  <c r="Q74" i="7"/>
  <c r="T24" i="7"/>
  <c r="U24" i="7" s="1"/>
  <c r="Q38" i="7"/>
  <c r="U63" i="7" l="1"/>
  <c r="X40" i="4"/>
  <c r="Y40" i="4" s="1"/>
  <c r="X41" i="4"/>
  <c r="Y41" i="4" s="1"/>
  <c r="X42" i="4"/>
  <c r="Y42" i="4" s="1"/>
  <c r="X39" i="4"/>
  <c r="Y39" i="4" s="1"/>
  <c r="X15" i="4" l="1"/>
  <c r="Y15" i="4" s="1"/>
  <c r="X14" i="4"/>
  <c r="Y14" i="4" s="1"/>
  <c r="X104" i="4" l="1"/>
  <c r="X103" i="4"/>
  <c r="X105" i="4"/>
  <c r="Y105" i="4" s="1"/>
  <c r="X6" i="4"/>
  <c r="Y6" i="4" s="1"/>
  <c r="X46" i="4"/>
  <c r="Y46" i="4" s="1"/>
  <c r="Y65" i="4" l="1"/>
  <c r="X100" i="4" l="1"/>
  <c r="Y100" i="4" s="1"/>
  <c r="X86" i="4"/>
  <c r="X82" i="4"/>
  <c r="Y82" i="4" s="1"/>
  <c r="X68" i="4"/>
  <c r="Y68" i="4" s="1"/>
  <c r="X66" i="4"/>
  <c r="Y66" i="4" s="1"/>
  <c r="X31" i="4"/>
  <c r="Y31" i="4" s="1"/>
  <c r="X58" i="4"/>
  <c r="Y58" i="4" s="1"/>
  <c r="X83" i="4"/>
  <c r="Y83" i="4" s="1"/>
  <c r="X44" i="4"/>
  <c r="Y44" i="4" s="1"/>
  <c r="X34" i="4"/>
  <c r="Y34" i="4" s="1"/>
  <c r="X33" i="4"/>
  <c r="Y33" i="4" s="1"/>
  <c r="X27" i="4"/>
  <c r="Y27" i="4" s="1"/>
  <c r="X26" i="4"/>
  <c r="Y26" i="4" s="1"/>
  <c r="X38" i="4" l="1"/>
  <c r="Y38" i="4" s="1"/>
  <c r="X10" i="4"/>
  <c r="Y10" i="4" s="1"/>
  <c r="X9" i="4"/>
  <c r="Y9" i="4" s="1"/>
  <c r="X107" i="4" l="1"/>
  <c r="Y107" i="4" s="1"/>
  <c r="X19" i="4"/>
  <c r="Y19" i="4" s="1"/>
  <c r="X106" i="4" l="1"/>
  <c r="Y106" i="4" s="1"/>
  <c r="X13" i="4"/>
  <c r="Y13" i="4" s="1"/>
  <c r="X12" i="4"/>
  <c r="Y12" i="4" s="1"/>
  <c r="X11" i="4"/>
  <c r="Y11" i="4" s="1"/>
  <c r="X37" i="4"/>
  <c r="Y37" i="4" s="1"/>
  <c r="X36" i="4"/>
  <c r="Y36" i="4" s="1"/>
  <c r="X35" i="4"/>
  <c r="Y35" i="4" s="1"/>
  <c r="X85" i="4" l="1"/>
  <c r="Y85" i="4" s="1"/>
  <c r="X84" i="4"/>
  <c r="Y84" i="4" s="1"/>
  <c r="X64" i="4" l="1"/>
  <c r="Y64" i="4" s="1"/>
  <c r="X99" i="4" l="1"/>
  <c r="Y99" i="4" s="1"/>
  <c r="X4" i="4" l="1"/>
  <c r="Y4" i="4" s="1"/>
  <c r="X3" i="4"/>
  <c r="Y3" i="4" s="1"/>
  <c r="X80" i="4" l="1"/>
  <c r="Y80" i="4" s="1"/>
  <c r="X69" i="4" l="1"/>
  <c r="Y69" i="4" s="1"/>
  <c r="Y104" i="4" l="1"/>
  <c r="Y103" i="4"/>
  <c r="X62" i="4"/>
  <c r="Y62" i="4" s="1"/>
  <c r="X61" i="4"/>
  <c r="Y61" i="4" s="1"/>
  <c r="X60" i="4"/>
  <c r="Y60" i="4" s="1"/>
  <c r="X55" i="4"/>
  <c r="Y55" i="4" s="1"/>
  <c r="X76" i="4" l="1"/>
  <c r="Y76" i="4" s="1"/>
  <c r="X54" i="4" l="1"/>
  <c r="Y54" i="4" s="1"/>
  <c r="X53" i="4"/>
  <c r="Y53" i="4" s="1"/>
  <c r="X51" i="4"/>
  <c r="Y51" i="4" s="1"/>
  <c r="X50" i="4"/>
  <c r="Y50" i="4" s="1"/>
  <c r="X49" i="4"/>
  <c r="Y49" i="4" s="1"/>
  <c r="X48" i="4"/>
  <c r="Y48" i="4" s="1"/>
  <c r="X47" i="4"/>
  <c r="Y47" i="4" s="1"/>
  <c r="X98" i="4"/>
  <c r="X97" i="4"/>
  <c r="Y89" i="4"/>
  <c r="X88" i="4"/>
  <c r="Y88" i="4" s="1"/>
  <c r="X63" i="4"/>
  <c r="Y63" i="4" s="1"/>
  <c r="X74" i="4" l="1"/>
  <c r="Y74" i="4" s="1"/>
  <c r="X56" i="4"/>
  <c r="Y56" i="4" s="1"/>
  <c r="X81" i="4"/>
  <c r="Y81" i="4" s="1"/>
  <c r="X79" i="4"/>
  <c r="Y79" i="4" s="1"/>
  <c r="X78" i="4"/>
  <c r="Y78" i="4" s="1"/>
  <c r="X73" i="4" l="1"/>
  <c r="Y73" i="4" s="1"/>
  <c r="X72" i="4"/>
  <c r="Y72" i="4" s="1"/>
  <c r="X71" i="4"/>
  <c r="Y71" i="4" s="1"/>
  <c r="X57" i="4"/>
  <c r="Y57" i="4" s="1"/>
  <c r="X75" i="4" l="1"/>
  <c r="Y75" i="4" s="1"/>
  <c r="X87" i="4" l="1"/>
  <c r="Y87" i="4" s="1"/>
  <c r="X16" i="4" l="1"/>
  <c r="Y16" i="4" s="1"/>
  <c r="X59" i="4" l="1"/>
  <c r="Y59" i="4" s="1"/>
  <c r="X7" i="4" l="1"/>
  <c r="Y7" i="4" s="1"/>
  <c r="X5" i="4" l="1"/>
  <c r="Y5" i="4" s="1"/>
  <c r="X102" i="4" l="1"/>
  <c r="Y102" i="4" s="1"/>
  <c r="X101" i="4"/>
  <c r="Y101" i="4" s="1"/>
  <c r="X77" i="4" l="1"/>
  <c r="Y77" i="4" s="1"/>
  <c r="X45" i="4" l="1"/>
  <c r="Y45" i="4" s="1"/>
  <c r="X108" i="4" l="1"/>
  <c r="Y108" i="4" s="1"/>
  <c r="X18" i="4"/>
  <c r="Y18" i="4" s="1"/>
  <c r="X67" i="4" l="1"/>
  <c r="Y67" i="4" s="1"/>
  <c r="X28" i="4" l="1"/>
  <c r="Y28" i="4" s="1"/>
  <c r="X17" i="4" l="1"/>
  <c r="Y17" i="4" s="1"/>
  <c r="X21" i="4" l="1"/>
  <c r="Y21" i="4" s="1"/>
  <c r="U86" i="4" l="1"/>
  <c r="X20" i="4"/>
  <c r="Y20" i="4" s="1"/>
  <c r="X24" i="4"/>
  <c r="Y24" i="4" s="1"/>
  <c r="T17" i="4"/>
  <c r="U17" i="4" s="1"/>
  <c r="T8" i="4"/>
  <c r="P9" i="4"/>
  <c r="P10" i="4"/>
  <c r="T4" i="4"/>
  <c r="U4" i="4" s="1"/>
  <c r="T16" i="4"/>
  <c r="U16" i="4" s="1"/>
  <c r="T3" i="4"/>
  <c r="U3" i="4" s="1"/>
  <c r="U8" i="4" l="1"/>
  <c r="X8" i="4"/>
  <c r="Y8" i="4" s="1"/>
  <c r="Y86" i="4"/>
  <c r="I42" i="4"/>
  <c r="I41" i="4"/>
  <c r="I40" i="4"/>
  <c r="I39" i="4"/>
  <c r="X70" i="4" l="1"/>
  <c r="Y70" i="4" s="1"/>
  <c r="X23" i="4" l="1"/>
  <c r="Y23" i="4" s="1"/>
  <c r="X43" i="4"/>
  <c r="Y43" i="4" s="1"/>
  <c r="X25" i="4" l="1"/>
  <c r="Y25" i="4" s="1"/>
  <c r="P46" i="4" l="1"/>
  <c r="T26" i="4" l="1"/>
  <c r="U26" i="4" s="1"/>
  <c r="T30" i="4"/>
  <c r="X30" i="4" s="1"/>
  <c r="Y30" i="4" s="1"/>
  <c r="T44" i="4" l="1"/>
  <c r="U44" i="4" s="1"/>
  <c r="T27" i="4" l="1"/>
  <c r="U27" i="4" s="1"/>
  <c r="T10" i="4"/>
  <c r="U10" i="4" s="1"/>
  <c r="T9" i="4" l="1"/>
  <c r="U9" i="4" s="1"/>
  <c r="T99" i="4" l="1"/>
  <c r="U99" i="4" s="1"/>
  <c r="T13" i="4" l="1"/>
  <c r="U13" i="4" s="1"/>
  <c r="T11" i="4"/>
  <c r="U11" i="4" s="1"/>
  <c r="T12" i="4"/>
  <c r="U12" i="4" s="1"/>
  <c r="T53" i="4" l="1"/>
  <c r="T47" i="4"/>
  <c r="U47" i="4" s="1"/>
  <c r="T48" i="4"/>
  <c r="U48" i="4" s="1"/>
  <c r="T49" i="4"/>
  <c r="U49" i="4" s="1"/>
  <c r="T50" i="4"/>
  <c r="U50" i="4" s="1"/>
  <c r="T51" i="4"/>
  <c r="U51" i="4" s="1"/>
  <c r="T54" i="4"/>
  <c r="T98" i="4"/>
  <c r="T97" i="4"/>
  <c r="T31" i="4"/>
  <c r="U31" i="4" s="1"/>
  <c r="U98" i="4" l="1"/>
  <c r="Y98" i="4"/>
  <c r="U97" i="4"/>
  <c r="Y97" i="4"/>
  <c r="T28" i="4" l="1"/>
  <c r="U28" i="4" s="1"/>
  <c r="T29" i="4"/>
  <c r="U30" i="4"/>
  <c r="T52" i="4"/>
  <c r="U29" i="4" l="1"/>
  <c r="X29" i="4"/>
  <c r="Y29" i="4" s="1"/>
  <c r="U52" i="4"/>
  <c r="X52" i="4"/>
  <c r="Y52" i="4" s="1"/>
  <c r="P80" i="4"/>
  <c r="Q80" i="4" l="1"/>
  <c r="T80" i="4"/>
  <c r="P29" i="4"/>
  <c r="Q29" i="4" s="1"/>
  <c r="P50" i="4"/>
  <c r="Q50" i="4" s="1"/>
  <c r="P51" i="4"/>
  <c r="Q51" i="4" s="1"/>
  <c r="P48" i="4"/>
  <c r="Q48" i="4" s="1"/>
  <c r="P72" i="4"/>
  <c r="T100" i="4"/>
  <c r="U100" i="4" l="1"/>
  <c r="Q72" i="4"/>
  <c r="T72" i="4"/>
  <c r="U72" i="4" s="1"/>
  <c r="T96" i="4"/>
  <c r="T95" i="4"/>
  <c r="T94" i="4"/>
  <c r="T93" i="4"/>
  <c r="T92" i="4"/>
  <c r="T91" i="4"/>
  <c r="T90" i="4"/>
  <c r="Q9" i="4"/>
  <c r="P85" i="4"/>
  <c r="P84" i="4"/>
  <c r="P83" i="4"/>
  <c r="P81" i="4"/>
  <c r="P79" i="4"/>
  <c r="P78" i="4"/>
  <c r="P77" i="4"/>
  <c r="P88" i="4"/>
  <c r="T88" i="4" s="1"/>
  <c r="P82" i="4"/>
  <c r="P74" i="4"/>
  <c r="Q74" i="4" s="1"/>
  <c r="T74" i="4" s="1"/>
  <c r="U74" i="4" s="1"/>
  <c r="P73" i="4"/>
  <c r="P71" i="4"/>
  <c r="P68" i="4"/>
  <c r="P67" i="4"/>
  <c r="P66" i="4"/>
  <c r="P38" i="4"/>
  <c r="P37" i="4"/>
  <c r="P36" i="4"/>
  <c r="P35" i="4"/>
  <c r="P58" i="4"/>
  <c r="P34" i="4"/>
  <c r="P57" i="4"/>
  <c r="T57" i="4" s="1"/>
  <c r="P33" i="4"/>
  <c r="T33" i="4" s="1"/>
  <c r="P56" i="4"/>
  <c r="P49" i="4"/>
  <c r="Q49" i="4" s="1"/>
  <c r="P26" i="4"/>
  <c r="Q26" i="4" s="1"/>
  <c r="P27" i="4"/>
  <c r="Q27" i="4" s="1"/>
  <c r="P52" i="4"/>
  <c r="Q52" i="4" s="1"/>
  <c r="P53" i="4"/>
  <c r="Q53" i="4" s="1"/>
  <c r="P47" i="4"/>
  <c r="Q47" i="4" s="1"/>
  <c r="P30" i="4"/>
  <c r="Q30" i="4" s="1"/>
  <c r="P28" i="4"/>
  <c r="Q28" i="4" s="1"/>
  <c r="Q10" i="4"/>
  <c r="X96" i="4" l="1"/>
  <c r="Y96" i="4" s="1"/>
  <c r="X90" i="4"/>
  <c r="Y90" i="4" s="1"/>
  <c r="X91" i="4"/>
  <c r="Y91" i="4" s="1"/>
  <c r="X92" i="4"/>
  <c r="Y92" i="4" s="1"/>
  <c r="X93" i="4"/>
  <c r="Y93" i="4" s="1"/>
  <c r="X94" i="4"/>
  <c r="Y94" i="4" s="1"/>
  <c r="X95" i="4"/>
  <c r="Y95" i="4" s="1"/>
  <c r="U95" i="4"/>
  <c r="U96" i="4"/>
  <c r="Q68" i="4"/>
  <c r="T68" i="4"/>
  <c r="U68" i="4" s="1"/>
  <c r="U90" i="4"/>
  <c r="Q67" i="4"/>
  <c r="T67" i="4"/>
  <c r="U67" i="4" s="1"/>
  <c r="U91" i="4"/>
  <c r="Q73" i="4"/>
  <c r="T73" i="4"/>
  <c r="U73" i="4" s="1"/>
  <c r="U92" i="4"/>
  <c r="U93" i="4"/>
  <c r="Q66" i="4"/>
  <c r="T66" i="4"/>
  <c r="U66" i="4" s="1"/>
  <c r="U94" i="4"/>
  <c r="Q35" i="4"/>
  <c r="T35" i="4"/>
  <c r="U35" i="4" s="1"/>
  <c r="Q78" i="4"/>
  <c r="T78" i="4"/>
  <c r="U78" i="4" s="1"/>
  <c r="Q84" i="4"/>
  <c r="T84" i="4"/>
  <c r="U84" i="4" s="1"/>
  <c r="Q57" i="4"/>
  <c r="U57" i="4"/>
  <c r="Q79" i="4"/>
  <c r="T79" i="4"/>
  <c r="U79" i="4" s="1"/>
  <c r="Q85" i="4"/>
  <c r="T85" i="4"/>
  <c r="U85" i="4" s="1"/>
  <c r="Q34" i="4"/>
  <c r="T34" i="4"/>
  <c r="U34" i="4" s="1"/>
  <c r="Q88" i="4"/>
  <c r="U88" i="4"/>
  <c r="Q81" i="4"/>
  <c r="T81" i="4"/>
  <c r="U81" i="4" s="1"/>
  <c r="Q33" i="4"/>
  <c r="U33" i="4"/>
  <c r="Q36" i="4"/>
  <c r="T36" i="4"/>
  <c r="U36" i="4" s="1"/>
  <c r="Q37" i="4"/>
  <c r="T37" i="4"/>
  <c r="U37" i="4" s="1"/>
  <c r="Q56" i="4"/>
  <c r="T56" i="4"/>
  <c r="U56" i="4" s="1"/>
  <c r="Q58" i="4"/>
  <c r="T58" i="4"/>
  <c r="U58" i="4" s="1"/>
  <c r="Q38" i="4"/>
  <c r="T38" i="4"/>
  <c r="U38" i="4" s="1"/>
  <c r="Q77" i="4"/>
  <c r="T77" i="4"/>
  <c r="U77" i="4" s="1"/>
  <c r="Q83" i="4"/>
  <c r="T83" i="4"/>
  <c r="U83" i="4" s="1"/>
  <c r="Q71" i="4"/>
  <c r="T71" i="4"/>
  <c r="U71" i="4" s="1"/>
  <c r="Q82" i="4"/>
  <c r="T82" i="4"/>
  <c r="U8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</author>
  </authors>
  <commentList>
    <comment ref="O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Chris:</t>
        </r>
        <r>
          <rPr>
            <sz val="9"/>
            <color indexed="81"/>
            <rFont val="Tahoma"/>
            <family val="2"/>
          </rPr>
          <t xml:space="preserve">
Ask customer upon request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</author>
  </authors>
  <commentList>
    <comment ref="O2" authorId="0" shapeId="0" xr:uid="{19E97B95-095A-4BBA-BF30-1A5B90F30A1F}">
      <text>
        <r>
          <rPr>
            <b/>
            <sz val="9"/>
            <color indexed="81"/>
            <rFont val="Tahoma"/>
            <family val="2"/>
          </rPr>
          <t>Chris:</t>
        </r>
        <r>
          <rPr>
            <sz val="9"/>
            <color indexed="81"/>
            <rFont val="Tahoma"/>
            <family val="2"/>
          </rPr>
          <t xml:space="preserve">
Ask customer upon request</t>
        </r>
      </text>
    </comment>
  </commentList>
</comments>
</file>

<file path=xl/sharedStrings.xml><?xml version="1.0" encoding="utf-8"?>
<sst xmlns="http://schemas.openxmlformats.org/spreadsheetml/2006/main" count="2046" uniqueCount="251">
  <si>
    <t>Initial PPAP</t>
  </si>
  <si>
    <t>2019-2020</t>
  </si>
  <si>
    <t>Current Status / Next Step</t>
  </si>
  <si>
    <t>CUSTOMER</t>
  </si>
  <si>
    <t>Contact</t>
  </si>
  <si>
    <t>Country</t>
  </si>
  <si>
    <t>SAP #</t>
  </si>
  <si>
    <t>Cust. Part #</t>
  </si>
  <si>
    <t>TAPE</t>
  </si>
  <si>
    <t>Width (mm)</t>
  </si>
  <si>
    <t>Length (m)</t>
  </si>
  <si>
    <t>Color</t>
  </si>
  <si>
    <t>Level</t>
  </si>
  <si>
    <t>New or Requalifying</t>
  </si>
  <si>
    <t>1) Returned from CTC
2) Sent to Customer</t>
  </si>
  <si>
    <t>1) PSW returned from Customer signed
2) Sent to CTC</t>
  </si>
  <si>
    <t>Renewal Needed (Y/N)</t>
  </si>
  <si>
    <t>Renewal Date</t>
  </si>
  <si>
    <t>When to send Request to CTC</t>
  </si>
  <si>
    <t xml:space="preserve">Sent to Customer </t>
  </si>
  <si>
    <t>1) PSW returned from Customer signed</t>
  </si>
  <si>
    <t>Sent to Customer</t>
  </si>
  <si>
    <t>Renewal 
Date</t>
  </si>
  <si>
    <t>Sent to 
Customer</t>
  </si>
  <si>
    <t>A&amp;A</t>
  </si>
  <si>
    <t>Mario Valero</t>
  </si>
  <si>
    <t>USA</t>
  </si>
  <si>
    <t>837X</t>
  </si>
  <si>
    <t>BLK</t>
  </si>
  <si>
    <t>R</t>
  </si>
  <si>
    <t>Y</t>
  </si>
  <si>
    <t>Currently pending PSW signed</t>
  </si>
  <si>
    <t>839-12MM</t>
  </si>
  <si>
    <t>ARaymond Manufacturing Center North America Inc.</t>
  </si>
  <si>
    <t>Mike Ryles</t>
  </si>
  <si>
    <t>Mexico</t>
  </si>
  <si>
    <t>Approval received (2022)</t>
  </si>
  <si>
    <t>BLU</t>
  </si>
  <si>
    <t>AutoKabel of North America</t>
  </si>
  <si>
    <t>Anahi Alcaraz</t>
  </si>
  <si>
    <t>WHT</t>
  </si>
  <si>
    <t>ORG</t>
  </si>
  <si>
    <t>8375X</t>
  </si>
  <si>
    <t>839X</t>
  </si>
  <si>
    <t>8575X</t>
  </si>
  <si>
    <t>1238X</t>
  </si>
  <si>
    <t>SLV</t>
  </si>
  <si>
    <t>3/14/202</t>
  </si>
  <si>
    <t>Amphenol Adronics Inc.</t>
  </si>
  <si>
    <t>Natalie Luke</t>
  </si>
  <si>
    <t>Bizlink</t>
  </si>
  <si>
    <t>Silvia Gonzalez</t>
  </si>
  <si>
    <t>122G0-003092-01</t>
  </si>
  <si>
    <t>835X</t>
  </si>
  <si>
    <t>122G0-000937-01</t>
  </si>
  <si>
    <t>CTS</t>
  </si>
  <si>
    <t>Octavio Castillo</t>
  </si>
  <si>
    <t>810-88-008</t>
  </si>
  <si>
    <t>8310SE</t>
  </si>
  <si>
    <t>E&amp;K</t>
  </si>
  <si>
    <t>Carlos Diaz</t>
  </si>
  <si>
    <t>834-MPX</t>
  </si>
  <si>
    <t>834MPX</t>
  </si>
  <si>
    <t>Electrical Components International</t>
  </si>
  <si>
    <t>Gabriela Talamantes</t>
  </si>
  <si>
    <t>TAPE42</t>
  </si>
  <si>
    <t>837X RT</t>
  </si>
  <si>
    <t>Nancy Garcia</t>
  </si>
  <si>
    <t>TAPE25B-856</t>
  </si>
  <si>
    <t>856SLX</t>
  </si>
  <si>
    <t>TAPE1940X</t>
  </si>
  <si>
    <t>TAPET12BX</t>
  </si>
  <si>
    <t>832MPX</t>
  </si>
  <si>
    <t>TAPE191</t>
  </si>
  <si>
    <t>TAPEPL12B</t>
  </si>
  <si>
    <t>TAPE19Y</t>
  </si>
  <si>
    <t>YEL</t>
  </si>
  <si>
    <t>TAPE252</t>
  </si>
  <si>
    <t>832MPX RT</t>
  </si>
  <si>
    <t>TAPE139</t>
  </si>
  <si>
    <t>Flextronics</t>
  </si>
  <si>
    <t>Isidro Oleo</t>
  </si>
  <si>
    <t>701490 19 00</t>
  </si>
  <si>
    <t>651MSX</t>
  </si>
  <si>
    <t>648117 19 99</t>
  </si>
  <si>
    <t>705492 12 99</t>
  </si>
  <si>
    <t>706061 19 00</t>
  </si>
  <si>
    <t>Isidro Olea</t>
  </si>
  <si>
    <t>708517-19-0120</t>
  </si>
  <si>
    <t>UWB 90730</t>
  </si>
  <si>
    <t>708517-19-0075</t>
  </si>
  <si>
    <t>708517-10-0100</t>
  </si>
  <si>
    <t>UWB 90715</t>
  </si>
  <si>
    <t>708517 10 0075</t>
  </si>
  <si>
    <t>Hollingsworth</t>
  </si>
  <si>
    <t>Fawaz Almaweri</t>
  </si>
  <si>
    <t>KB3T1A303BA</t>
  </si>
  <si>
    <t>Hutchinson</t>
  </si>
  <si>
    <t>Carlos Feregrino</t>
  </si>
  <si>
    <t>510177A</t>
  </si>
  <si>
    <t>Hanon System</t>
  </si>
  <si>
    <t>Mia Hately</t>
  </si>
  <si>
    <t>RMTP00014</t>
  </si>
  <si>
    <t>Roush</t>
  </si>
  <si>
    <t>Lindsay Fisher</t>
  </si>
  <si>
    <t>13-396-0093</t>
  </si>
  <si>
    <t>Empire Electronics</t>
  </si>
  <si>
    <t>Katherine Calderon</t>
  </si>
  <si>
    <t>839-9WHT</t>
  </si>
  <si>
    <t>839-19-25-BLK</t>
  </si>
  <si>
    <t>8310SE-19BLK</t>
  </si>
  <si>
    <t>Coroplast 512</t>
  </si>
  <si>
    <t>8575X-19-5-BLK</t>
  </si>
  <si>
    <t>Coroplast 839</t>
  </si>
  <si>
    <t>703086 19 00</t>
  </si>
  <si>
    <t>880X</t>
  </si>
  <si>
    <t>1288X</t>
  </si>
  <si>
    <t>648145-19-00</t>
  </si>
  <si>
    <t>710031-19-00</t>
  </si>
  <si>
    <t>710065-19-00</t>
  </si>
  <si>
    <t>709977-19-0016</t>
  </si>
  <si>
    <t>UWB 90760</t>
  </si>
  <si>
    <t>642268 19 00</t>
  </si>
  <si>
    <t>Fraenkische USA</t>
  </si>
  <si>
    <t>Bertie Baxter / Luis Peinado</t>
  </si>
  <si>
    <t>Intercomp</t>
  </si>
  <si>
    <t>Jesus  Romero</t>
  </si>
  <si>
    <t>2308985-1</t>
  </si>
  <si>
    <t>Julian Electric</t>
  </si>
  <si>
    <t>Daniel Abustos</t>
  </si>
  <si>
    <t>832-MPX</t>
  </si>
  <si>
    <t>David Gutierrez</t>
  </si>
  <si>
    <t>C13-00</t>
  </si>
  <si>
    <t>Lisi Automotive</t>
  </si>
  <si>
    <t>Carlos de Leija</t>
  </si>
  <si>
    <t>COMP-030</t>
  </si>
  <si>
    <t>8515X</t>
  </si>
  <si>
    <t>Prettl</t>
  </si>
  <si>
    <t>Yajaira Jimenez</t>
  </si>
  <si>
    <t>St. Clair Technologies</t>
  </si>
  <si>
    <t>Cinthya Perez</t>
  </si>
  <si>
    <t>M0802</t>
  </si>
  <si>
    <t>M1185</t>
  </si>
  <si>
    <t>M1212</t>
  </si>
  <si>
    <t>SEWS</t>
  </si>
  <si>
    <t>Araceli Ortiz</t>
  </si>
  <si>
    <t>833MPX</t>
  </si>
  <si>
    <t>Telamon</t>
  </si>
  <si>
    <t>Holly Argast</t>
  </si>
  <si>
    <t>835X-9-25BLK</t>
  </si>
  <si>
    <t>8550-19Black</t>
  </si>
  <si>
    <t>8550-19White</t>
  </si>
  <si>
    <t>8551-19BLACK</t>
  </si>
  <si>
    <t>835X-19BLACK</t>
  </si>
  <si>
    <t>880-19-15-BLK</t>
  </si>
  <si>
    <t>8551-9BLACK</t>
  </si>
  <si>
    <t>8550-9WHITE</t>
  </si>
  <si>
    <t>837X-19-25-BLK</t>
  </si>
  <si>
    <t>837X-9-25-BLK</t>
  </si>
  <si>
    <t>317-19BLACK</t>
  </si>
  <si>
    <t>Textape</t>
  </si>
  <si>
    <t>Lili Velazquez</t>
  </si>
  <si>
    <t>CHT8550X-25mm</t>
  </si>
  <si>
    <t>8555X</t>
  </si>
  <si>
    <t>Littelfuse Inc, PVB</t>
  </si>
  <si>
    <t>Katia Perez</t>
  </si>
  <si>
    <t>A100300430</t>
  </si>
  <si>
    <t>A100300440</t>
  </si>
  <si>
    <t>H84847</t>
  </si>
  <si>
    <t>H38655</t>
  </si>
  <si>
    <t>Superior Trim</t>
  </si>
  <si>
    <t>Alberto Lozano</t>
  </si>
  <si>
    <t>3621471C1</t>
  </si>
  <si>
    <t>Die Cut PU+7211</t>
  </si>
  <si>
    <t>Dark Gray</t>
  </si>
  <si>
    <t>MIM Industrial Supplier</t>
  </si>
  <si>
    <t>Juan Garcia</t>
  </si>
  <si>
    <t>838X</t>
  </si>
  <si>
    <t>PAS Appliance Systems SA de CV</t>
  </si>
  <si>
    <t>Saul Arellano</t>
  </si>
  <si>
    <t>PE50112834</t>
  </si>
  <si>
    <t>8310 SE</t>
  </si>
  <si>
    <t>PE 50112832</t>
  </si>
  <si>
    <t>Javier Garcia</t>
  </si>
  <si>
    <t>C16-00</t>
  </si>
  <si>
    <t>N</t>
  </si>
  <si>
    <t>8551-15BLACK</t>
  </si>
  <si>
    <t>122G0-003397-01</t>
  </si>
  <si>
    <t>CHT832MPXBK-750</t>
  </si>
  <si>
    <t>Pamela Favors</t>
  </si>
  <si>
    <t>839-9Black</t>
  </si>
  <si>
    <t>Pedro Hernandez</t>
  </si>
  <si>
    <t>2003-0017</t>
  </si>
  <si>
    <t>AGM Automotive</t>
  </si>
  <si>
    <t>Hortencia Ferrer</t>
  </si>
  <si>
    <t>F-TPE-1184</t>
  </si>
  <si>
    <t>839-12Black</t>
  </si>
  <si>
    <t>Kent Manufacturing</t>
  </si>
  <si>
    <t>Carlos Coleman</t>
  </si>
  <si>
    <t>13.347.728</t>
  </si>
  <si>
    <t>ITW Automotive</t>
  </si>
  <si>
    <t>Alejandro Blanco</t>
  </si>
  <si>
    <t>M1600319A</t>
  </si>
  <si>
    <t>000294S100</t>
  </si>
  <si>
    <t>RED</t>
  </si>
  <si>
    <t>GREY</t>
  </si>
  <si>
    <t>GREEN</t>
  </si>
  <si>
    <t>BROWN</t>
  </si>
  <si>
    <t>BLUE</t>
  </si>
  <si>
    <t>YELLOW</t>
  </si>
  <si>
    <t>CHT8551BK-750</t>
  </si>
  <si>
    <t>M1372-BE</t>
  </si>
  <si>
    <t>Prysmian Cables &amp; Sys</t>
  </si>
  <si>
    <t>Dora Clemente</t>
  </si>
  <si>
    <t>713349NG</t>
  </si>
  <si>
    <t>Ivette Delgado</t>
  </si>
  <si>
    <t>ZF</t>
  </si>
  <si>
    <t>Alberto Valdes</t>
  </si>
  <si>
    <t>34156840A</t>
  </si>
  <si>
    <t>810-88-003</t>
  </si>
  <si>
    <t>Federal Mogul</t>
  </si>
  <si>
    <t>Iris Terrazas</t>
  </si>
  <si>
    <t>ZRM-982368-09</t>
  </si>
  <si>
    <t>ZRM-982368-10</t>
  </si>
  <si>
    <t>ZRM-98855-10</t>
  </si>
  <si>
    <t>Jose Gonzalez</t>
  </si>
  <si>
    <t>510199A</t>
  </si>
  <si>
    <t>Cyntia Robles</t>
  </si>
  <si>
    <t>Approval received (2021)</t>
  </si>
  <si>
    <t>Chief</t>
  </si>
  <si>
    <t>Sandi Serrato</t>
  </si>
  <si>
    <t>P390</t>
  </si>
  <si>
    <t>No</t>
  </si>
  <si>
    <t>XX</t>
  </si>
  <si>
    <t>Precision Cable</t>
  </si>
  <si>
    <t>P-0496-TP</t>
  </si>
  <si>
    <t>Stabilus</t>
  </si>
  <si>
    <t>Holerga Silviu</t>
  </si>
  <si>
    <t>Currently pending at CTC</t>
  </si>
  <si>
    <t>Julian</t>
  </si>
  <si>
    <t>SMR</t>
  </si>
  <si>
    <t>Luis Martinez</t>
  </si>
  <si>
    <t xml:space="preserve">2084.5012 at B level </t>
  </si>
  <si>
    <t>Littelfuse</t>
  </si>
  <si>
    <t>Jorge Luis Cruz</t>
  </si>
  <si>
    <t>Lorena Palacios</t>
  </si>
  <si>
    <t>Erick Melendez</t>
  </si>
  <si>
    <t>Falta Renewal Date 2020</t>
  </si>
  <si>
    <t>2021, 2022</t>
  </si>
  <si>
    <t>Falta Renewal Date 2022</t>
  </si>
  <si>
    <t>Cliente "Federal Mogul" no esta en la 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</si>
</sst>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i/>
      <sz val="11"/>
      <color rgb="FF000000"/>
      <name val="Arial"/>
      <family val="2"/>
    </font>
    <font>
      <sz val="1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left"/>
    </xf>
    <xf numFmtId="14" fontId="3" fillId="0" borderId="7" xfId="0" applyNumberFormat="1" applyFont="1" applyBorder="1"/>
    <xf numFmtId="0" fontId="3" fillId="0" borderId="8" xfId="0" applyFont="1" applyBorder="1"/>
    <xf numFmtId="14" fontId="3" fillId="2" borderId="7" xfId="0" applyNumberFormat="1" applyFont="1" applyFill="1" applyBorder="1"/>
    <xf numFmtId="14" fontId="3" fillId="2" borderId="0" xfId="0" applyNumberFormat="1" applyFont="1" applyFill="1"/>
    <xf numFmtId="0" fontId="3" fillId="0" borderId="7" xfId="0" applyFont="1" applyBorder="1"/>
    <xf numFmtId="14" fontId="3" fillId="3" borderId="7" xfId="0" applyNumberFormat="1" applyFont="1" applyFill="1" applyBorder="1"/>
    <xf numFmtId="14" fontId="3" fillId="3" borderId="0" xfId="0" applyNumberFormat="1" applyFont="1" applyFill="1"/>
    <xf numFmtId="14" fontId="3" fillId="0" borderId="9" xfId="0" applyNumberFormat="1" applyFont="1" applyBorder="1"/>
    <xf numFmtId="0" fontId="3" fillId="2" borderId="8" xfId="0" applyFont="1" applyFill="1" applyBorder="1"/>
    <xf numFmtId="0" fontId="3" fillId="0" borderId="2" xfId="0" applyFont="1" applyBorder="1"/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3" fillId="0" borderId="14" xfId="0" applyFont="1" applyBorder="1"/>
    <xf numFmtId="0" fontId="3" fillId="2" borderId="14" xfId="0" applyFont="1" applyFill="1" applyBorder="1"/>
    <xf numFmtId="14" fontId="3" fillId="0" borderId="0" xfId="0" quotePrefix="1" applyNumberFormat="1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3" fillId="0" borderId="0" xfId="0" applyFont="1" applyAlignment="1">
      <alignment horizontal="left" wrapText="1"/>
    </xf>
    <xf numFmtId="0" fontId="7" fillId="0" borderId="3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14" fontId="3" fillId="5" borderId="7" xfId="0" applyNumberFormat="1" applyFont="1" applyFill="1" applyBorder="1"/>
    <xf numFmtId="14" fontId="3" fillId="5" borderId="0" xfId="0" applyNumberFormat="1" applyFont="1" applyFill="1"/>
    <xf numFmtId="14" fontId="3" fillId="5" borderId="8" xfId="0" applyNumberFormat="1" applyFont="1" applyFill="1" applyBorder="1"/>
    <xf numFmtId="14" fontId="3" fillId="5" borderId="9" xfId="0" applyNumberFormat="1" applyFont="1" applyFill="1" applyBorder="1"/>
    <xf numFmtId="14" fontId="3" fillId="5" borderId="10" xfId="0" applyNumberFormat="1" applyFont="1" applyFill="1" applyBorder="1"/>
    <xf numFmtId="14" fontId="3" fillId="5" borderId="2" xfId="0" applyNumberFormat="1" applyFont="1" applyFill="1" applyBorder="1"/>
    <xf numFmtId="0" fontId="3" fillId="5" borderId="14" xfId="0" applyFont="1" applyFill="1" applyBorder="1"/>
    <xf numFmtId="0" fontId="3" fillId="5" borderId="1" xfId="0" applyFont="1" applyFill="1" applyBorder="1"/>
    <xf numFmtId="0" fontId="3" fillId="5" borderId="10" xfId="0" applyFont="1" applyFill="1" applyBorder="1"/>
    <xf numFmtId="14" fontId="3" fillId="2" borderId="8" xfId="0" applyNumberFormat="1" applyFont="1" applyFill="1" applyBorder="1"/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0" fontId="3" fillId="5" borderId="8" xfId="0" applyFont="1" applyFill="1" applyBorder="1" applyAlignment="1">
      <alignment horizontal="center"/>
    </xf>
    <xf numFmtId="0" fontId="3" fillId="5" borderId="8" xfId="0" applyFont="1" applyFill="1" applyBorder="1"/>
    <xf numFmtId="0" fontId="3" fillId="2" borderId="0" xfId="0" applyFont="1" applyFill="1" applyAlignment="1">
      <alignment horizontal="left" wrapText="1"/>
    </xf>
    <xf numFmtId="14" fontId="3" fillId="0" borderId="8" xfId="0" applyNumberFormat="1" applyFont="1" applyBorder="1" applyAlignment="1">
      <alignment horizontal="center"/>
    </xf>
    <xf numFmtId="14" fontId="3" fillId="2" borderId="0" xfId="0" applyNumberFormat="1" applyFont="1" applyFill="1" applyAlignment="1">
      <alignment horizontal="right"/>
    </xf>
    <xf numFmtId="14" fontId="3" fillId="0" borderId="0" xfId="0" applyNumberFormat="1" applyFont="1" applyAlignment="1">
      <alignment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14" fontId="3" fillId="2" borderId="7" xfId="0" applyNumberFormat="1" applyFont="1" applyFill="1" applyBorder="1" applyAlignment="1">
      <alignment wrapText="1"/>
    </xf>
    <xf numFmtId="0" fontId="3" fillId="2" borderId="8" xfId="0" applyFont="1" applyFill="1" applyBorder="1" applyAlignment="1">
      <alignment horizontal="center" wrapText="1"/>
    </xf>
    <xf numFmtId="0" fontId="3" fillId="2" borderId="7" xfId="0" applyFont="1" applyFill="1" applyBorder="1"/>
    <xf numFmtId="14" fontId="3" fillId="2" borderId="0" xfId="0" applyNumberFormat="1" applyFont="1" applyFill="1" applyAlignment="1">
      <alignment wrapText="1"/>
    </xf>
    <xf numFmtId="0" fontId="3" fillId="5" borderId="7" xfId="0" applyFont="1" applyFill="1" applyBorder="1"/>
    <xf numFmtId="0" fontId="3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center"/>
    </xf>
    <xf numFmtId="14" fontId="3" fillId="5" borderId="0" xfId="0" applyNumberFormat="1" applyFont="1" applyFill="1" applyAlignment="1">
      <alignment horizontal="right"/>
    </xf>
    <xf numFmtId="14" fontId="3" fillId="0" borderId="8" xfId="0" applyNumberFormat="1" applyFont="1" applyBorder="1"/>
    <xf numFmtId="0" fontId="3" fillId="3" borderId="7" xfId="0" applyFont="1" applyFill="1" applyBorder="1"/>
    <xf numFmtId="0" fontId="5" fillId="5" borderId="0" xfId="0" applyFont="1" applyFill="1" applyAlignment="1">
      <alignment horizontal="left"/>
    </xf>
    <xf numFmtId="14" fontId="3" fillId="5" borderId="0" xfId="0" applyNumberFormat="1" applyFont="1" applyFill="1" applyAlignment="1">
      <alignment wrapText="1"/>
    </xf>
    <xf numFmtId="0" fontId="3" fillId="5" borderId="2" xfId="0" applyFont="1" applyFill="1" applyBorder="1" applyAlignment="1">
      <alignment horizontal="center"/>
    </xf>
    <xf numFmtId="0" fontId="3" fillId="6" borderId="0" xfId="0" applyFont="1" applyFill="1" applyAlignment="1">
      <alignment horizontal="left"/>
    </xf>
    <xf numFmtId="0" fontId="3" fillId="6" borderId="0" xfId="0" applyFont="1" applyFill="1" applyAlignment="1">
      <alignment horizontal="center"/>
    </xf>
    <xf numFmtId="0" fontId="3" fillId="6" borderId="0" xfId="0" applyFont="1" applyFill="1"/>
    <xf numFmtId="14" fontId="3" fillId="6" borderId="7" xfId="0" applyNumberFormat="1" applyFont="1" applyFill="1" applyBorder="1"/>
    <xf numFmtId="14" fontId="3" fillId="6" borderId="0" xfId="0" applyNumberFormat="1" applyFont="1" applyFill="1"/>
    <xf numFmtId="0" fontId="3" fillId="6" borderId="8" xfId="0" applyFont="1" applyFill="1" applyBorder="1" applyAlignment="1">
      <alignment horizontal="center"/>
    </xf>
    <xf numFmtId="14" fontId="3" fillId="6" borderId="8" xfId="0" applyNumberFormat="1" applyFont="1" applyFill="1" applyBorder="1"/>
    <xf numFmtId="14" fontId="3" fillId="0" borderId="10" xfId="0" applyNumberFormat="1" applyFont="1" applyBorder="1"/>
    <xf numFmtId="0" fontId="7" fillId="0" borderId="5" xfId="0" applyFont="1" applyBorder="1" applyAlignment="1">
      <alignment horizontal="center"/>
    </xf>
    <xf numFmtId="0" fontId="3" fillId="0" borderId="10" xfId="0" applyFont="1" applyBorder="1"/>
    <xf numFmtId="14" fontId="3" fillId="0" borderId="2" xfId="0" applyNumberFormat="1" applyFont="1" applyBorder="1"/>
    <xf numFmtId="0" fontId="3" fillId="0" borderId="15" xfId="0" applyFont="1" applyBorder="1"/>
    <xf numFmtId="0" fontId="3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left"/>
    </xf>
    <xf numFmtId="14" fontId="3" fillId="0" borderId="4" xfId="0" applyNumberFormat="1" applyFont="1" applyBorder="1" applyAlignment="1">
      <alignment wrapText="1"/>
    </xf>
    <xf numFmtId="14" fontId="3" fillId="0" borderId="4" xfId="0" applyNumberFormat="1" applyFont="1" applyBorder="1"/>
    <xf numFmtId="14" fontId="3" fillId="0" borderId="5" xfId="0" applyNumberFormat="1" applyFont="1" applyBorder="1" applyAlignment="1">
      <alignment wrapText="1"/>
    </xf>
    <xf numFmtId="14" fontId="3" fillId="0" borderId="5" xfId="0" applyNumberFormat="1" applyFont="1" applyBorder="1"/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9" xfId="0" applyFont="1" applyBorder="1"/>
    <xf numFmtId="0" fontId="3" fillId="0" borderId="6" xfId="0" applyFont="1" applyBorder="1"/>
    <xf numFmtId="0" fontId="3" fillId="2" borderId="7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3" fillId="5" borderId="7" xfId="0" applyFont="1" applyFill="1" applyBorder="1" applyAlignment="1">
      <alignment horizontal="left"/>
    </xf>
    <xf numFmtId="0" fontId="3" fillId="6" borderId="7" xfId="0" applyFont="1" applyFill="1" applyBorder="1"/>
    <xf numFmtId="0" fontId="4" fillId="5" borderId="0" xfId="0" applyFont="1" applyFill="1" applyAlignment="1">
      <alignment horizontal="left"/>
    </xf>
    <xf numFmtId="0" fontId="3" fillId="2" borderId="1" xfId="0" applyFont="1" applyFill="1" applyBorder="1"/>
    <xf numFmtId="0" fontId="3" fillId="2" borderId="9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14" fontId="3" fillId="2" borderId="9" xfId="0" applyNumberFormat="1" applyFont="1" applyFill="1" applyBorder="1"/>
    <xf numFmtId="14" fontId="3" fillId="2" borderId="10" xfId="0" applyNumberFormat="1" applyFont="1" applyFill="1" applyBorder="1"/>
    <xf numFmtId="0" fontId="3" fillId="2" borderId="10" xfId="0" applyFont="1" applyFill="1" applyBorder="1"/>
    <xf numFmtId="14" fontId="3" fillId="2" borderId="2" xfId="0" applyNumberFormat="1" applyFont="1" applyFill="1" applyBorder="1"/>
    <xf numFmtId="0" fontId="3" fillId="2" borderId="2" xfId="0" applyFont="1" applyFill="1" applyBorder="1"/>
    <xf numFmtId="0" fontId="3" fillId="5" borderId="8" xfId="0" applyFont="1" applyFill="1" applyBorder="1" applyAlignment="1">
      <alignment horizontal="right"/>
    </xf>
    <xf numFmtId="0" fontId="5" fillId="2" borderId="7" xfId="0" applyFont="1" applyFill="1" applyBorder="1" applyAlignment="1">
      <alignment horizontal="left"/>
    </xf>
    <xf numFmtId="14" fontId="3" fillId="5" borderId="8" xfId="0" applyNumberFormat="1" applyFont="1" applyFill="1" applyBorder="1" applyAlignment="1">
      <alignment horizontal="center"/>
    </xf>
    <xf numFmtId="0" fontId="8" fillId="5" borderId="0" xfId="0" applyFont="1" applyFill="1" applyAlignment="1">
      <alignment horizontal="left"/>
    </xf>
    <xf numFmtId="14" fontId="3" fillId="5" borderId="7" xfId="0" applyNumberFormat="1" applyFont="1" applyFill="1" applyBorder="1" applyAlignment="1">
      <alignment horizontal="right"/>
    </xf>
    <xf numFmtId="0" fontId="3" fillId="5" borderId="0" xfId="0" applyFont="1" applyFill="1" applyAlignment="1">
      <alignment horizontal="left" wrapText="1"/>
    </xf>
    <xf numFmtId="14" fontId="3" fillId="2" borderId="0" xfId="0" quotePrefix="1" applyNumberFormat="1" applyFont="1" applyFill="1" applyAlignment="1">
      <alignment horizontal="center"/>
    </xf>
    <xf numFmtId="14" fontId="3" fillId="2" borderId="7" xfId="0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wrapText="1"/>
    </xf>
    <xf numFmtId="0" fontId="9" fillId="8" borderId="0" xfId="0" applyFont="1" applyFill="1"/>
    <xf numFmtId="0" fontId="3" fillId="9" borderId="0" xfId="0" applyFont="1" applyFill="1"/>
    <xf numFmtId="0" fontId="9" fillId="9" borderId="0" xfId="0" applyFont="1" applyFill="1"/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39"/>
  <sheetViews>
    <sheetView tabSelected="1" zoomScale="54" zoomScaleNormal="80" workbookViewId="0">
      <pane ySplit="2" topLeftCell="A135" activePane="bottomLeft" state="frozen"/>
      <selection pane="bottomLeft" activeCell="AC112" sqref="AC112"/>
    </sheetView>
  </sheetViews>
  <sheetFormatPr baseColWidth="10" defaultColWidth="9.1796875" defaultRowHeight="14" x14ac:dyDescent="0.3"/>
  <cols>
    <col min="1" max="1" width="30.1796875" style="2" customWidth="1"/>
    <col min="2" max="2" width="24" style="5" customWidth="1"/>
    <col min="3" max="3" width="8.984375E-2" style="1" customWidth="1"/>
    <col min="4" max="4" width="8.7265625" style="1" bestFit="1" customWidth="1"/>
    <col min="5" max="5" width="9.453125" style="1" customWidth="1"/>
    <col min="6" max="6" width="17.81640625" style="5" customWidth="1"/>
    <col min="7" max="7" width="12.81640625" style="2" customWidth="1"/>
    <col min="8" max="8" width="11.81640625" style="1" customWidth="1"/>
    <col min="9" max="9" width="11.54296875" style="1" bestFit="1" customWidth="1"/>
    <col min="10" max="10" width="10.26953125" style="1" bestFit="1" customWidth="1"/>
    <col min="11" max="11" width="6.453125" style="1" customWidth="1"/>
    <col min="12" max="12" width="13.54296875" style="1" hidden="1" customWidth="1"/>
    <col min="13" max="13" width="22.453125" style="2" bestFit="1" customWidth="1"/>
    <col min="14" max="14" width="18.1796875" style="2" customWidth="1"/>
    <col min="15" max="15" width="18.1796875" style="1" hidden="1" customWidth="1"/>
    <col min="16" max="17" width="14.90625" style="2" customWidth="1"/>
    <col min="18" max="18" width="13.6328125" style="2" customWidth="1"/>
    <col min="19" max="19" width="13.08984375" style="2" customWidth="1"/>
    <col min="20" max="20" width="12.1796875" style="2" bestFit="1" customWidth="1"/>
    <col min="21" max="21" width="14.81640625" style="2" customWidth="1"/>
    <col min="22" max="22" width="11.7265625" style="2" customWidth="1"/>
    <col min="23" max="23" width="15.81640625" style="2" bestFit="1" customWidth="1"/>
    <col min="24" max="24" width="14" style="2" customWidth="1"/>
    <col min="25" max="25" width="12.453125" style="2" bestFit="1" customWidth="1"/>
    <col min="26" max="26" width="12.453125" style="2" customWidth="1"/>
    <col min="27" max="27" width="15" style="2" customWidth="1"/>
    <col min="28" max="28" width="9.1796875" style="2"/>
    <col min="29" max="29" width="63.1796875" style="2" customWidth="1"/>
    <col min="30" max="30" width="11.54296875" style="2" bestFit="1" customWidth="1"/>
    <col min="31" max="16384" width="9.1796875" style="2"/>
  </cols>
  <sheetData>
    <row r="1" spans="1:29" ht="15" customHeight="1" thickBot="1" x14ac:dyDescent="0.35">
      <c r="B1" s="8"/>
      <c r="C1" s="8"/>
      <c r="D1" s="8"/>
      <c r="E1" s="8"/>
      <c r="F1" s="8"/>
      <c r="G1" s="7"/>
      <c r="H1" s="8"/>
      <c r="I1" s="8"/>
      <c r="J1" s="8"/>
      <c r="M1" s="136" t="s">
        <v>0</v>
      </c>
      <c r="N1" s="137"/>
      <c r="O1" s="138"/>
      <c r="P1" s="136" t="s">
        <v>1</v>
      </c>
      <c r="Q1" s="137"/>
      <c r="R1" s="137"/>
      <c r="S1" s="138"/>
      <c r="T1" s="139">
        <v>2021</v>
      </c>
      <c r="U1" s="140"/>
      <c r="V1" s="140"/>
      <c r="W1" s="141"/>
      <c r="X1" s="133">
        <v>2022</v>
      </c>
      <c r="Y1" s="134"/>
      <c r="Z1" s="134"/>
      <c r="AA1" s="135"/>
    </row>
    <row r="2" spans="1:29" s="9" customFormat="1" ht="70.5" thickBot="1" x14ac:dyDescent="0.35">
      <c r="A2" s="35" t="s">
        <v>2</v>
      </c>
      <c r="B2" s="22" t="s">
        <v>3</v>
      </c>
      <c r="C2" s="22" t="s">
        <v>4</v>
      </c>
      <c r="D2" s="22" t="s">
        <v>5</v>
      </c>
      <c r="E2" s="22" t="s">
        <v>6</v>
      </c>
      <c r="F2" s="22" t="s">
        <v>7</v>
      </c>
      <c r="G2" s="22" t="s">
        <v>8</v>
      </c>
      <c r="H2" s="22" t="s">
        <v>9</v>
      </c>
      <c r="I2" s="22" t="s">
        <v>10</v>
      </c>
      <c r="J2" s="22" t="s">
        <v>11</v>
      </c>
      <c r="K2" s="22" t="s">
        <v>12</v>
      </c>
      <c r="L2" s="22" t="s">
        <v>13</v>
      </c>
      <c r="M2" s="21" t="s">
        <v>14</v>
      </c>
      <c r="N2" s="22" t="s">
        <v>15</v>
      </c>
      <c r="O2" s="23" t="s">
        <v>16</v>
      </c>
      <c r="P2" s="21" t="s">
        <v>17</v>
      </c>
      <c r="Q2" s="22" t="s">
        <v>18</v>
      </c>
      <c r="R2" s="22" t="s">
        <v>19</v>
      </c>
      <c r="S2" s="22" t="s">
        <v>20</v>
      </c>
      <c r="T2" s="36" t="s">
        <v>17</v>
      </c>
      <c r="U2" s="37" t="s">
        <v>18</v>
      </c>
      <c r="V2" s="37" t="s">
        <v>21</v>
      </c>
      <c r="W2" s="37" t="s">
        <v>20</v>
      </c>
      <c r="X2" s="98" t="s">
        <v>22</v>
      </c>
      <c r="Y2" s="99" t="s">
        <v>18</v>
      </c>
      <c r="Z2" s="99" t="s">
        <v>23</v>
      </c>
      <c r="AA2" s="100" t="s">
        <v>20</v>
      </c>
    </row>
    <row r="3" spans="1:29" x14ac:dyDescent="0.3">
      <c r="A3" s="84"/>
      <c r="B3" s="85" t="s">
        <v>24</v>
      </c>
      <c r="C3" s="86" t="s">
        <v>25</v>
      </c>
      <c r="D3" s="87" t="s">
        <v>26</v>
      </c>
      <c r="E3" s="86">
        <v>176647</v>
      </c>
      <c r="F3" s="88" t="s">
        <v>27</v>
      </c>
      <c r="G3" s="88" t="s">
        <v>27</v>
      </c>
      <c r="H3" s="86">
        <v>12</v>
      </c>
      <c r="I3" s="86">
        <v>25</v>
      </c>
      <c r="J3" s="86" t="s">
        <v>28</v>
      </c>
      <c r="K3" s="86">
        <v>2</v>
      </c>
      <c r="L3" s="90" t="s">
        <v>29</v>
      </c>
      <c r="M3" s="92">
        <v>44126</v>
      </c>
      <c r="N3" s="89"/>
      <c r="O3" s="90" t="s">
        <v>30</v>
      </c>
      <c r="P3" s="101"/>
      <c r="Q3" s="89"/>
      <c r="R3" s="89"/>
      <c r="S3" s="96"/>
      <c r="T3" s="93">
        <f>$M3+365</f>
        <v>44491</v>
      </c>
      <c r="U3" s="94">
        <f>+T3-60</f>
        <v>44431</v>
      </c>
      <c r="V3" s="95">
        <v>44421</v>
      </c>
      <c r="W3" s="96"/>
      <c r="X3" s="93">
        <f>V3+365</f>
        <v>44786</v>
      </c>
      <c r="Y3" s="94">
        <f t="shared" ref="Y3:Y13" si="0">X3-60</f>
        <v>44726</v>
      </c>
      <c r="Z3" s="94"/>
      <c r="AA3" s="103"/>
      <c r="AC3" s="132"/>
    </row>
    <row r="4" spans="1:29" x14ac:dyDescent="0.3">
      <c r="A4" s="29" t="s">
        <v>31</v>
      </c>
      <c r="B4" s="128" t="s">
        <v>24</v>
      </c>
      <c r="C4" s="58" t="s">
        <v>25</v>
      </c>
      <c r="D4" s="32" t="s">
        <v>26</v>
      </c>
      <c r="E4" s="58">
        <v>105407</v>
      </c>
      <c r="F4" s="54">
        <v>8551</v>
      </c>
      <c r="G4" s="54">
        <v>8551</v>
      </c>
      <c r="H4" s="58">
        <v>19</v>
      </c>
      <c r="I4" s="58">
        <v>25</v>
      </c>
      <c r="J4" s="58" t="s">
        <v>28</v>
      </c>
      <c r="K4" s="58">
        <v>2</v>
      </c>
      <c r="L4" s="61" t="s">
        <v>29</v>
      </c>
      <c r="M4" s="60">
        <v>44126</v>
      </c>
      <c r="N4" s="59"/>
      <c r="O4" s="61" t="s">
        <v>30</v>
      </c>
      <c r="P4" s="15"/>
      <c r="Q4" s="4"/>
      <c r="R4" s="4"/>
      <c r="S4" s="97"/>
      <c r="T4" s="13">
        <f>$M4+365</f>
        <v>44491</v>
      </c>
      <c r="U4" s="63">
        <f>+T4-60</f>
        <v>44431</v>
      </c>
      <c r="V4" s="14">
        <v>44421</v>
      </c>
      <c r="W4" s="129"/>
      <c r="X4" s="13">
        <f>V4+365</f>
        <v>44786</v>
      </c>
      <c r="Y4" s="63">
        <f t="shared" si="0"/>
        <v>44726</v>
      </c>
      <c r="Z4" s="63">
        <v>44756</v>
      </c>
      <c r="AA4" s="19"/>
      <c r="AC4" s="132"/>
    </row>
    <row r="5" spans="1:29" x14ac:dyDescent="0.3">
      <c r="A5" s="29" t="s">
        <v>31</v>
      </c>
      <c r="B5" s="128" t="s">
        <v>24</v>
      </c>
      <c r="C5" s="58" t="s">
        <v>25</v>
      </c>
      <c r="D5" s="32" t="s">
        <v>26</v>
      </c>
      <c r="E5" s="58">
        <v>137809</v>
      </c>
      <c r="F5" s="54" t="s">
        <v>32</v>
      </c>
      <c r="G5" s="54">
        <v>839</v>
      </c>
      <c r="H5" s="58">
        <v>12</v>
      </c>
      <c r="I5" s="58">
        <v>25</v>
      </c>
      <c r="J5" s="58" t="s">
        <v>28</v>
      </c>
      <c r="K5" s="58">
        <v>2</v>
      </c>
      <c r="L5" s="61" t="s">
        <v>29</v>
      </c>
      <c r="M5" s="60">
        <v>44365</v>
      </c>
      <c r="N5" s="59"/>
      <c r="O5" s="61" t="s">
        <v>30</v>
      </c>
      <c r="P5" s="15"/>
      <c r="Q5" s="4"/>
      <c r="R5" s="4"/>
      <c r="S5" s="97"/>
      <c r="T5" s="13"/>
      <c r="U5" s="63"/>
      <c r="V5" s="26"/>
      <c r="W5" s="129"/>
      <c r="X5" s="13">
        <f>M5+365</f>
        <v>44730</v>
      </c>
      <c r="Y5" s="63">
        <f>X5-60</f>
        <v>44670</v>
      </c>
      <c r="Z5" s="63">
        <v>44698</v>
      </c>
      <c r="AA5" s="19"/>
      <c r="AC5" s="132"/>
    </row>
    <row r="6" spans="1:29" x14ac:dyDescent="0.3">
      <c r="A6" s="29" t="s">
        <v>31</v>
      </c>
      <c r="B6" s="104" t="s">
        <v>33</v>
      </c>
      <c r="C6" s="32" t="s">
        <v>34</v>
      </c>
      <c r="D6" s="32" t="s">
        <v>35</v>
      </c>
      <c r="E6" s="32">
        <v>172993</v>
      </c>
      <c r="F6" s="31">
        <v>505035147</v>
      </c>
      <c r="G6" s="31">
        <v>8550</v>
      </c>
      <c r="H6" s="32">
        <v>9</v>
      </c>
      <c r="I6" s="32">
        <v>25</v>
      </c>
      <c r="J6" s="32" t="s">
        <v>28</v>
      </c>
      <c r="K6" s="32">
        <v>4</v>
      </c>
      <c r="L6" s="25" t="s">
        <v>29</v>
      </c>
      <c r="M6" s="13">
        <v>44382</v>
      </c>
      <c r="N6" s="26"/>
      <c r="O6" s="25" t="s">
        <v>30</v>
      </c>
      <c r="P6" s="15"/>
      <c r="S6" s="12"/>
      <c r="T6" s="62"/>
      <c r="U6" s="26"/>
      <c r="V6" s="26"/>
      <c r="W6" s="48"/>
      <c r="X6" s="13">
        <f>365+M6</f>
        <v>44747</v>
      </c>
      <c r="Y6" s="14">
        <f>X6-60</f>
        <v>44687</v>
      </c>
      <c r="Z6" s="14">
        <v>44771</v>
      </c>
      <c r="AA6" s="19"/>
      <c r="AC6" s="131"/>
    </row>
    <row r="7" spans="1:29" x14ac:dyDescent="0.3">
      <c r="A7" s="45" t="s">
        <v>36</v>
      </c>
      <c r="B7" s="106" t="s">
        <v>33</v>
      </c>
      <c r="C7" s="50" t="s">
        <v>34</v>
      </c>
      <c r="D7" s="50" t="s">
        <v>35</v>
      </c>
      <c r="E7" s="50">
        <v>177127</v>
      </c>
      <c r="F7" s="49">
        <v>505035825</v>
      </c>
      <c r="G7" s="49">
        <v>8550</v>
      </c>
      <c r="H7" s="50">
        <v>9</v>
      </c>
      <c r="I7" s="50">
        <v>25</v>
      </c>
      <c r="J7" s="50" t="s">
        <v>37</v>
      </c>
      <c r="K7" s="50">
        <v>4</v>
      </c>
      <c r="L7" s="52" t="s">
        <v>29</v>
      </c>
      <c r="M7" s="39">
        <v>44370</v>
      </c>
      <c r="N7" s="51"/>
      <c r="O7" s="52" t="s">
        <v>30</v>
      </c>
      <c r="P7" s="15"/>
      <c r="S7" s="12"/>
      <c r="T7" s="64"/>
      <c r="U7" s="51"/>
      <c r="V7" s="51"/>
      <c r="W7" s="53"/>
      <c r="X7" s="39">
        <f>M7+365</f>
        <v>44735</v>
      </c>
      <c r="Y7" s="40">
        <f>X7-60</f>
        <v>44675</v>
      </c>
      <c r="Z7" s="40">
        <v>44694</v>
      </c>
      <c r="AA7" s="41">
        <v>44697</v>
      </c>
      <c r="AC7" s="131"/>
    </row>
    <row r="8" spans="1:29" x14ac:dyDescent="0.3">
      <c r="A8" s="29" t="s">
        <v>31</v>
      </c>
      <c r="B8" s="104" t="s">
        <v>38</v>
      </c>
      <c r="C8" s="32" t="s">
        <v>39</v>
      </c>
      <c r="D8" s="32" t="s">
        <v>26</v>
      </c>
      <c r="E8" s="32">
        <v>176644</v>
      </c>
      <c r="F8" s="31">
        <v>32071</v>
      </c>
      <c r="G8" s="31">
        <v>8551</v>
      </c>
      <c r="H8" s="32">
        <v>9</v>
      </c>
      <c r="I8" s="32">
        <v>25</v>
      </c>
      <c r="J8" s="126" t="s">
        <v>28</v>
      </c>
      <c r="K8" s="32">
        <v>2</v>
      </c>
      <c r="L8" s="25" t="s">
        <v>29</v>
      </c>
      <c r="M8" s="13">
        <v>43945</v>
      </c>
      <c r="N8" s="26"/>
      <c r="O8" s="25" t="s">
        <v>30</v>
      </c>
      <c r="P8" s="15"/>
      <c r="S8" s="12"/>
      <c r="T8" s="13">
        <f>M8+365</f>
        <v>44310</v>
      </c>
      <c r="U8" s="63">
        <f>+T8-60</f>
        <v>44250</v>
      </c>
      <c r="V8" s="26"/>
      <c r="W8" s="19"/>
      <c r="X8" s="13">
        <f>T8+365</f>
        <v>44675</v>
      </c>
      <c r="Y8" s="14">
        <f t="shared" si="0"/>
        <v>44615</v>
      </c>
      <c r="Z8" s="14">
        <v>44672</v>
      </c>
      <c r="AA8" s="19"/>
      <c r="AC8" s="132"/>
    </row>
    <row r="9" spans="1:29" x14ac:dyDescent="0.3">
      <c r="A9" s="28"/>
      <c r="B9" s="91" t="s">
        <v>38</v>
      </c>
      <c r="C9" s="1" t="s">
        <v>39</v>
      </c>
      <c r="D9" s="1" t="s">
        <v>26</v>
      </c>
      <c r="E9" s="1">
        <v>99631</v>
      </c>
      <c r="F9" s="5">
        <v>35376</v>
      </c>
      <c r="G9" s="5" t="s">
        <v>27</v>
      </c>
      <c r="H9" s="1">
        <v>19</v>
      </c>
      <c r="I9" s="1">
        <v>25</v>
      </c>
      <c r="J9" s="1" t="s">
        <v>28</v>
      </c>
      <c r="K9" s="1">
        <v>2</v>
      </c>
      <c r="L9" s="24" t="s">
        <v>29</v>
      </c>
      <c r="M9" s="11">
        <v>43692</v>
      </c>
      <c r="O9" s="24" t="s">
        <v>30</v>
      </c>
      <c r="P9" s="11">
        <f>M9+365</f>
        <v>44057</v>
      </c>
      <c r="Q9" s="3">
        <f>P9-60</f>
        <v>43997</v>
      </c>
      <c r="R9" s="3">
        <v>44146</v>
      </c>
      <c r="S9" s="68">
        <v>44148</v>
      </c>
      <c r="T9" s="11">
        <f>R9+365</f>
        <v>44511</v>
      </c>
      <c r="U9" s="3">
        <f>T9-60</f>
        <v>44451</v>
      </c>
      <c r="V9" s="3">
        <v>44475</v>
      </c>
      <c r="W9" s="68"/>
      <c r="X9" s="11">
        <f>365+V9</f>
        <v>44840</v>
      </c>
      <c r="Y9" s="3">
        <f t="shared" si="0"/>
        <v>44780</v>
      </c>
      <c r="Z9" s="3"/>
      <c r="AA9" s="12"/>
      <c r="AC9" s="131"/>
    </row>
    <row r="10" spans="1:29" x14ac:dyDescent="0.3">
      <c r="A10" s="28"/>
      <c r="B10" s="91" t="s">
        <v>38</v>
      </c>
      <c r="C10" s="1" t="s">
        <v>39</v>
      </c>
      <c r="D10" s="1" t="s">
        <v>26</v>
      </c>
      <c r="E10" s="1">
        <v>156317</v>
      </c>
      <c r="F10" s="5">
        <v>44660</v>
      </c>
      <c r="G10" s="5">
        <v>317</v>
      </c>
      <c r="H10" s="1">
        <v>19</v>
      </c>
      <c r="I10" s="1">
        <v>33</v>
      </c>
      <c r="J10" s="1" t="s">
        <v>40</v>
      </c>
      <c r="K10" s="1">
        <v>2</v>
      </c>
      <c r="L10" s="24" t="s">
        <v>29</v>
      </c>
      <c r="M10" s="11">
        <v>43698</v>
      </c>
      <c r="N10" s="3">
        <v>43717</v>
      </c>
      <c r="O10" s="24" t="s">
        <v>30</v>
      </c>
      <c r="P10" s="11">
        <f>M10+365</f>
        <v>44063</v>
      </c>
      <c r="Q10" s="3">
        <f>P10-60</f>
        <v>44003</v>
      </c>
      <c r="R10" s="3">
        <v>44147</v>
      </c>
      <c r="S10" s="68"/>
      <c r="T10" s="11">
        <f>R10+365</f>
        <v>44512</v>
      </c>
      <c r="U10" s="3">
        <f>T10-60</f>
        <v>44452</v>
      </c>
      <c r="V10" s="3">
        <v>44475</v>
      </c>
      <c r="W10" s="12"/>
      <c r="X10" s="11">
        <f>365+V10</f>
        <v>44840</v>
      </c>
      <c r="Y10" s="3">
        <f t="shared" si="0"/>
        <v>44780</v>
      </c>
      <c r="Z10" s="3"/>
      <c r="AA10" s="12"/>
      <c r="AC10" s="131"/>
    </row>
    <row r="11" spans="1:29" x14ac:dyDescent="0.3">
      <c r="A11" s="29" t="s">
        <v>31</v>
      </c>
      <c r="B11" s="104" t="s">
        <v>38</v>
      </c>
      <c r="C11" s="32" t="s">
        <v>39</v>
      </c>
      <c r="D11" s="32" t="s">
        <v>26</v>
      </c>
      <c r="E11" s="32">
        <v>147739</v>
      </c>
      <c r="F11" s="31">
        <v>20581</v>
      </c>
      <c r="G11" s="31">
        <v>317</v>
      </c>
      <c r="H11" s="32">
        <v>19</v>
      </c>
      <c r="I11" s="32">
        <v>33</v>
      </c>
      <c r="J11" s="32" t="s">
        <v>41</v>
      </c>
      <c r="K11" s="32">
        <v>4</v>
      </c>
      <c r="L11" s="25" t="s">
        <v>29</v>
      </c>
      <c r="M11" s="13"/>
      <c r="N11" s="14">
        <v>44133</v>
      </c>
      <c r="O11" s="25" t="s">
        <v>30</v>
      </c>
      <c r="P11" s="11">
        <v>44075</v>
      </c>
      <c r="Q11" s="3"/>
      <c r="R11" s="3">
        <v>44131</v>
      </c>
      <c r="S11" s="68"/>
      <c r="T11" s="13">
        <f>R11+365</f>
        <v>44496</v>
      </c>
      <c r="U11" s="14">
        <f>T11-60</f>
        <v>44436</v>
      </c>
      <c r="V11" s="14">
        <v>44432</v>
      </c>
      <c r="W11" s="48">
        <v>44440</v>
      </c>
      <c r="X11" s="13">
        <f>365+V11</f>
        <v>44797</v>
      </c>
      <c r="Y11" s="14">
        <f t="shared" si="0"/>
        <v>44737</v>
      </c>
      <c r="Z11" s="14">
        <v>44770</v>
      </c>
      <c r="AA11" s="19"/>
      <c r="AC11" s="131"/>
    </row>
    <row r="12" spans="1:29" x14ac:dyDescent="0.3">
      <c r="A12" s="28"/>
      <c r="B12" s="91" t="s">
        <v>38</v>
      </c>
      <c r="C12" s="1" t="s">
        <v>39</v>
      </c>
      <c r="D12" s="1" t="s">
        <v>26</v>
      </c>
      <c r="E12" s="1">
        <v>151210</v>
      </c>
      <c r="F12" s="5">
        <v>23464</v>
      </c>
      <c r="G12" s="2" t="s">
        <v>42</v>
      </c>
      <c r="H12" s="1">
        <v>19</v>
      </c>
      <c r="I12" s="1">
        <v>25</v>
      </c>
      <c r="J12" s="1" t="s">
        <v>41</v>
      </c>
      <c r="K12" s="1">
        <v>4</v>
      </c>
      <c r="L12" s="24" t="s">
        <v>29</v>
      </c>
      <c r="M12" s="11"/>
      <c r="N12" s="3">
        <v>44133</v>
      </c>
      <c r="O12" s="24" t="s">
        <v>30</v>
      </c>
      <c r="P12" s="11">
        <v>44075</v>
      </c>
      <c r="Q12" s="3"/>
      <c r="R12" s="3">
        <v>44131</v>
      </c>
      <c r="S12" s="68"/>
      <c r="T12" s="11">
        <f>R12+365</f>
        <v>44496</v>
      </c>
      <c r="U12" s="3">
        <f>T12-60</f>
        <v>44436</v>
      </c>
      <c r="V12" s="3">
        <v>44432</v>
      </c>
      <c r="W12" s="68">
        <v>44440</v>
      </c>
      <c r="X12" s="11">
        <f>365+V12</f>
        <v>44797</v>
      </c>
      <c r="Y12" s="3">
        <f t="shared" si="0"/>
        <v>44737</v>
      </c>
      <c r="Z12" s="3"/>
      <c r="AA12" s="12"/>
      <c r="AC12" s="131"/>
    </row>
    <row r="13" spans="1:29" x14ac:dyDescent="0.3">
      <c r="A13" s="29" t="s">
        <v>31</v>
      </c>
      <c r="B13" s="104" t="s">
        <v>38</v>
      </c>
      <c r="C13" s="32" t="s">
        <v>39</v>
      </c>
      <c r="D13" s="32" t="s">
        <v>26</v>
      </c>
      <c r="E13" s="32">
        <v>176660</v>
      </c>
      <c r="F13" s="31">
        <v>35175</v>
      </c>
      <c r="G13" s="31">
        <v>317</v>
      </c>
      <c r="H13" s="32">
        <v>19</v>
      </c>
      <c r="I13" s="32">
        <v>33</v>
      </c>
      <c r="J13" s="32" t="s">
        <v>28</v>
      </c>
      <c r="K13" s="32">
        <v>4</v>
      </c>
      <c r="L13" s="25" t="s">
        <v>29</v>
      </c>
      <c r="M13" s="13"/>
      <c r="N13" s="14">
        <v>44133</v>
      </c>
      <c r="O13" s="25" t="s">
        <v>30</v>
      </c>
      <c r="P13" s="11">
        <v>44075</v>
      </c>
      <c r="Q13" s="3"/>
      <c r="R13" s="3">
        <v>44131</v>
      </c>
      <c r="S13" s="68"/>
      <c r="T13" s="13">
        <f>R13+365</f>
        <v>44496</v>
      </c>
      <c r="U13" s="14">
        <f>T13-60</f>
        <v>44436</v>
      </c>
      <c r="V13" s="14">
        <v>44432</v>
      </c>
      <c r="W13" s="48">
        <v>44440</v>
      </c>
      <c r="X13" s="13">
        <f>365+V13</f>
        <v>44797</v>
      </c>
      <c r="Y13" s="14">
        <f t="shared" si="0"/>
        <v>44737</v>
      </c>
      <c r="Z13" s="14">
        <v>44770</v>
      </c>
      <c r="AA13" s="19"/>
      <c r="AC13" s="131"/>
    </row>
    <row r="14" spans="1:29" x14ac:dyDescent="0.3">
      <c r="A14" s="45" t="s">
        <v>36</v>
      </c>
      <c r="B14" s="106" t="s">
        <v>38</v>
      </c>
      <c r="C14" s="50" t="s">
        <v>39</v>
      </c>
      <c r="D14" s="50" t="s">
        <v>35</v>
      </c>
      <c r="E14" s="50">
        <v>154505</v>
      </c>
      <c r="F14" s="49">
        <v>49997</v>
      </c>
      <c r="G14" s="51" t="s">
        <v>43</v>
      </c>
      <c r="H14" s="50">
        <v>19</v>
      </c>
      <c r="I14" s="50">
        <v>25</v>
      </c>
      <c r="J14" s="50" t="s">
        <v>28</v>
      </c>
      <c r="K14" s="50">
        <v>2</v>
      </c>
      <c r="L14" s="52" t="s">
        <v>29</v>
      </c>
      <c r="M14" s="39">
        <v>44522</v>
      </c>
      <c r="N14" s="40">
        <v>44593</v>
      </c>
      <c r="O14" s="52" t="s">
        <v>30</v>
      </c>
      <c r="P14" s="15"/>
      <c r="S14" s="12"/>
      <c r="T14" s="64"/>
      <c r="U14" s="51"/>
      <c r="V14" s="51"/>
      <c r="W14" s="53"/>
      <c r="X14" s="39">
        <f>365+M14</f>
        <v>44887</v>
      </c>
      <c r="Y14" s="40">
        <f t="shared" ref="Y14:Y19" si="1">X14-60</f>
        <v>44827</v>
      </c>
      <c r="Z14" s="40"/>
      <c r="AA14" s="41"/>
      <c r="AC14" s="131"/>
    </row>
    <row r="15" spans="1:29" x14ac:dyDescent="0.3">
      <c r="A15" s="45" t="s">
        <v>36</v>
      </c>
      <c r="B15" s="106" t="s">
        <v>38</v>
      </c>
      <c r="C15" s="50" t="s">
        <v>39</v>
      </c>
      <c r="D15" s="50" t="s">
        <v>35</v>
      </c>
      <c r="E15" s="50">
        <v>53401</v>
      </c>
      <c r="F15" s="49">
        <v>50546</v>
      </c>
      <c r="G15" s="51" t="s">
        <v>44</v>
      </c>
      <c r="H15" s="50">
        <v>19</v>
      </c>
      <c r="I15" s="50">
        <v>5</v>
      </c>
      <c r="J15" s="50" t="s">
        <v>28</v>
      </c>
      <c r="K15" s="50">
        <v>2</v>
      </c>
      <c r="L15" s="52" t="s">
        <v>29</v>
      </c>
      <c r="M15" s="39">
        <v>44522</v>
      </c>
      <c r="N15" s="40">
        <v>44593</v>
      </c>
      <c r="O15" s="52" t="s">
        <v>30</v>
      </c>
      <c r="P15" s="15"/>
      <c r="S15" s="12"/>
      <c r="T15" s="64"/>
      <c r="U15" s="51"/>
      <c r="V15" s="51"/>
      <c r="W15" s="53"/>
      <c r="X15" s="39">
        <f>365+M15</f>
        <v>44887</v>
      </c>
      <c r="Y15" s="40">
        <f t="shared" si="1"/>
        <v>44827</v>
      </c>
      <c r="Z15" s="40"/>
      <c r="AA15" s="41"/>
      <c r="AC15" s="131"/>
    </row>
    <row r="16" spans="1:29" x14ac:dyDescent="0.3">
      <c r="A16" s="29" t="s">
        <v>31</v>
      </c>
      <c r="B16" s="104" t="s">
        <v>38</v>
      </c>
      <c r="C16" s="32" t="s">
        <v>39</v>
      </c>
      <c r="D16" s="32" t="s">
        <v>26</v>
      </c>
      <c r="E16" s="32">
        <v>179029</v>
      </c>
      <c r="F16" s="31">
        <v>19787</v>
      </c>
      <c r="G16" s="31">
        <v>317</v>
      </c>
      <c r="H16" s="32">
        <v>9</v>
      </c>
      <c r="I16" s="32">
        <v>33</v>
      </c>
      <c r="J16" s="32" t="s">
        <v>40</v>
      </c>
      <c r="K16" s="32">
        <v>2</v>
      </c>
      <c r="L16" s="25" t="s">
        <v>29</v>
      </c>
      <c r="M16" s="13">
        <v>43945</v>
      </c>
      <c r="N16" s="26"/>
      <c r="O16" s="25" t="s">
        <v>30</v>
      </c>
      <c r="P16" s="15"/>
      <c r="S16" s="12"/>
      <c r="T16" s="13">
        <f>$M16+365</f>
        <v>44310</v>
      </c>
      <c r="U16" s="63">
        <f>+T16-60</f>
        <v>44250</v>
      </c>
      <c r="V16" s="14">
        <v>44372</v>
      </c>
      <c r="W16" s="48">
        <v>44440</v>
      </c>
      <c r="X16" s="13">
        <f>V16+365</f>
        <v>44737</v>
      </c>
      <c r="Y16" s="14">
        <f t="shared" si="1"/>
        <v>44677</v>
      </c>
      <c r="Z16" s="14">
        <v>44694</v>
      </c>
      <c r="AA16" s="19"/>
      <c r="AC16" s="131"/>
    </row>
    <row r="17" spans="1:29" x14ac:dyDescent="0.3">
      <c r="A17" s="29" t="s">
        <v>31</v>
      </c>
      <c r="B17" s="104" t="s">
        <v>38</v>
      </c>
      <c r="C17" s="32" t="s">
        <v>39</v>
      </c>
      <c r="D17" s="32" t="s">
        <v>26</v>
      </c>
      <c r="E17" s="32">
        <v>158015</v>
      </c>
      <c r="F17" s="31">
        <v>34908</v>
      </c>
      <c r="G17" s="26" t="s">
        <v>45</v>
      </c>
      <c r="H17" s="32">
        <v>19</v>
      </c>
      <c r="I17" s="32">
        <v>25</v>
      </c>
      <c r="J17" s="32" t="s">
        <v>46</v>
      </c>
      <c r="K17" s="32">
        <v>2</v>
      </c>
      <c r="L17" s="25" t="s">
        <v>29</v>
      </c>
      <c r="M17" s="13">
        <v>43986</v>
      </c>
      <c r="N17" s="14">
        <v>43993</v>
      </c>
      <c r="O17" s="25" t="s">
        <v>30</v>
      </c>
      <c r="P17" s="15"/>
      <c r="Q17" s="3"/>
      <c r="S17" s="12"/>
      <c r="T17" s="13">
        <f>$M17+365</f>
        <v>44351</v>
      </c>
      <c r="U17" s="14">
        <f>T17-60</f>
        <v>44291</v>
      </c>
      <c r="V17" s="14">
        <v>44294</v>
      </c>
      <c r="W17" s="48"/>
      <c r="X17" s="13">
        <f>V17+365</f>
        <v>44659</v>
      </c>
      <c r="Y17" s="14">
        <f t="shared" si="1"/>
        <v>44599</v>
      </c>
      <c r="Z17" s="14">
        <v>44645</v>
      </c>
      <c r="AA17" s="19"/>
      <c r="AC17" s="131"/>
    </row>
    <row r="18" spans="1:29" x14ac:dyDescent="0.3">
      <c r="A18" s="45" t="s">
        <v>36</v>
      </c>
      <c r="B18" s="106" t="s">
        <v>38</v>
      </c>
      <c r="C18" s="50" t="s">
        <v>39</v>
      </c>
      <c r="D18" s="50" t="s">
        <v>26</v>
      </c>
      <c r="E18" s="50">
        <v>92184</v>
      </c>
      <c r="F18" s="49">
        <v>48254</v>
      </c>
      <c r="G18" s="49" t="s">
        <v>42</v>
      </c>
      <c r="H18" s="50">
        <v>19</v>
      </c>
      <c r="I18" s="50">
        <v>25</v>
      </c>
      <c r="J18" s="50" t="s">
        <v>28</v>
      </c>
      <c r="K18" s="50">
        <v>2</v>
      </c>
      <c r="L18" s="52" t="s">
        <v>29</v>
      </c>
      <c r="M18" s="39">
        <v>44280</v>
      </c>
      <c r="N18" s="40"/>
      <c r="O18" s="52" t="s">
        <v>30</v>
      </c>
      <c r="P18" s="11"/>
      <c r="Q18" s="3"/>
      <c r="R18" s="3"/>
      <c r="S18" s="68"/>
      <c r="T18" s="39"/>
      <c r="U18" s="40"/>
      <c r="V18" s="51"/>
      <c r="W18" s="41"/>
      <c r="X18" s="39">
        <f>M18+365</f>
        <v>44645</v>
      </c>
      <c r="Y18" s="40">
        <f t="shared" si="1"/>
        <v>44585</v>
      </c>
      <c r="Z18" s="40">
        <v>44615</v>
      </c>
      <c r="AA18" s="120" t="s">
        <v>47</v>
      </c>
      <c r="AC18" s="131"/>
    </row>
    <row r="19" spans="1:29" x14ac:dyDescent="0.3">
      <c r="A19" s="28"/>
      <c r="B19" s="91" t="s">
        <v>48</v>
      </c>
      <c r="C19" s="1" t="s">
        <v>49</v>
      </c>
      <c r="D19" s="1" t="s">
        <v>26</v>
      </c>
      <c r="E19" s="1">
        <v>53401</v>
      </c>
      <c r="F19" s="5">
        <v>5413</v>
      </c>
      <c r="G19" s="2" t="s">
        <v>44</v>
      </c>
      <c r="H19" s="1">
        <v>19</v>
      </c>
      <c r="I19" s="1">
        <v>5</v>
      </c>
      <c r="J19" s="1" t="s">
        <v>28</v>
      </c>
      <c r="K19" s="1">
        <v>2</v>
      </c>
      <c r="L19" s="24" t="s">
        <v>29</v>
      </c>
      <c r="M19" s="11">
        <v>44474</v>
      </c>
      <c r="O19" s="24" t="s">
        <v>30</v>
      </c>
      <c r="P19" s="15"/>
      <c r="S19" s="12"/>
      <c r="T19" s="15"/>
      <c r="W19" s="68"/>
      <c r="X19" s="11">
        <f>365+M19</f>
        <v>44839</v>
      </c>
      <c r="Y19" s="3">
        <f t="shared" si="1"/>
        <v>44779</v>
      </c>
      <c r="Z19" s="3"/>
      <c r="AA19" s="12"/>
      <c r="AC19" s="131"/>
    </row>
    <row r="20" spans="1:29" x14ac:dyDescent="0.3">
      <c r="A20" s="29" t="s">
        <v>31</v>
      </c>
      <c r="B20" s="104" t="s">
        <v>50</v>
      </c>
      <c r="C20" s="32" t="s">
        <v>51</v>
      </c>
      <c r="D20" s="32" t="s">
        <v>35</v>
      </c>
      <c r="E20" s="32">
        <v>156361</v>
      </c>
      <c r="F20" s="31" t="s">
        <v>52</v>
      </c>
      <c r="G20" s="31" t="s">
        <v>53</v>
      </c>
      <c r="H20" s="32">
        <v>19</v>
      </c>
      <c r="I20" s="32">
        <v>25</v>
      </c>
      <c r="J20" s="32" t="s">
        <v>28</v>
      </c>
      <c r="K20" s="32">
        <v>2</v>
      </c>
      <c r="L20" s="25" t="s">
        <v>29</v>
      </c>
      <c r="M20" s="13">
        <v>44202</v>
      </c>
      <c r="N20" s="14">
        <v>44216</v>
      </c>
      <c r="O20" s="25" t="s">
        <v>30</v>
      </c>
      <c r="P20" s="15"/>
      <c r="R20" s="3"/>
      <c r="S20" s="68"/>
      <c r="T20" s="13"/>
      <c r="U20" s="14"/>
      <c r="V20" s="26"/>
      <c r="W20" s="48"/>
      <c r="X20" s="13">
        <f>$M20+365</f>
        <v>44567</v>
      </c>
      <c r="Y20" s="14">
        <f>+X20-60</f>
        <v>44507</v>
      </c>
      <c r="Z20" s="14">
        <v>44594</v>
      </c>
      <c r="AA20" s="19"/>
      <c r="AC20" s="132"/>
    </row>
    <row r="21" spans="1:29" x14ac:dyDescent="0.3">
      <c r="A21" s="29" t="s">
        <v>31</v>
      </c>
      <c r="B21" s="104" t="s">
        <v>50</v>
      </c>
      <c r="C21" s="32" t="s">
        <v>51</v>
      </c>
      <c r="D21" s="32" t="s">
        <v>35</v>
      </c>
      <c r="E21" s="32">
        <v>99631</v>
      </c>
      <c r="F21" s="31" t="s">
        <v>54</v>
      </c>
      <c r="G21" s="31" t="s">
        <v>27</v>
      </c>
      <c r="H21" s="32">
        <v>19</v>
      </c>
      <c r="I21" s="32">
        <v>25</v>
      </c>
      <c r="J21" s="32" t="s">
        <v>28</v>
      </c>
      <c r="K21" s="32">
        <v>2</v>
      </c>
      <c r="L21" s="25" t="s">
        <v>29</v>
      </c>
      <c r="M21" s="13">
        <v>44266</v>
      </c>
      <c r="N21" s="14">
        <v>44275</v>
      </c>
      <c r="O21" s="25" t="s">
        <v>30</v>
      </c>
      <c r="P21" s="11"/>
      <c r="Q21" s="3"/>
      <c r="R21" s="3"/>
      <c r="S21" s="68"/>
      <c r="T21" s="13"/>
      <c r="U21" s="14"/>
      <c r="V21" s="26"/>
      <c r="W21" s="48"/>
      <c r="X21" s="13">
        <f>M21+365</f>
        <v>44631</v>
      </c>
      <c r="Y21" s="14">
        <f>X21-60</f>
        <v>44571</v>
      </c>
      <c r="Z21" s="14">
        <v>44636</v>
      </c>
      <c r="AA21" s="19"/>
      <c r="AC21" s="132"/>
    </row>
    <row r="22" spans="1:29" ht="14.5" x14ac:dyDescent="0.35">
      <c r="A22" s="45" t="s">
        <v>36</v>
      </c>
      <c r="B22" s="49" t="s">
        <v>55</v>
      </c>
      <c r="C22" s="50" t="s">
        <v>56</v>
      </c>
      <c r="D22" s="50" t="s">
        <v>26</v>
      </c>
      <c r="E22" s="50">
        <v>183452</v>
      </c>
      <c r="F22" s="108" t="s">
        <v>57</v>
      </c>
      <c r="G22" s="49" t="s">
        <v>58</v>
      </c>
      <c r="H22" s="50">
        <v>25</v>
      </c>
      <c r="I22" s="50">
        <v>25</v>
      </c>
      <c r="J22" s="50" t="s">
        <v>28</v>
      </c>
      <c r="K22" s="50">
        <v>2</v>
      </c>
      <c r="L22" s="50" t="s">
        <v>29</v>
      </c>
      <c r="M22" s="39">
        <v>44179</v>
      </c>
      <c r="N22" s="40">
        <v>44245</v>
      </c>
      <c r="O22" s="52" t="s">
        <v>30</v>
      </c>
      <c r="P22" s="107"/>
      <c r="Q22" s="75"/>
      <c r="R22" s="77"/>
      <c r="S22" s="77"/>
      <c r="T22" s="39">
        <f>$M22+365</f>
        <v>44544</v>
      </c>
      <c r="U22" s="40">
        <f>T22-60</f>
        <v>44484</v>
      </c>
      <c r="V22" s="40">
        <v>44594</v>
      </c>
      <c r="W22" s="40"/>
      <c r="X22" s="39">
        <f>T22+365</f>
        <v>44909</v>
      </c>
      <c r="Y22" s="40">
        <f>X22-60</f>
        <v>44849</v>
      </c>
      <c r="Z22" s="40">
        <v>44594</v>
      </c>
      <c r="AA22" s="41">
        <v>44594</v>
      </c>
      <c r="AC22" s="131"/>
    </row>
    <row r="23" spans="1:29" ht="14.15" customHeight="1" x14ac:dyDescent="0.35">
      <c r="A23" s="62" t="s">
        <v>31</v>
      </c>
      <c r="B23" s="104" t="s">
        <v>59</v>
      </c>
      <c r="C23" s="32" t="s">
        <v>60</v>
      </c>
      <c r="D23" s="32" t="s">
        <v>26</v>
      </c>
      <c r="E23" s="32">
        <v>141009</v>
      </c>
      <c r="F23" s="105" t="s">
        <v>61</v>
      </c>
      <c r="G23" s="31" t="s">
        <v>62</v>
      </c>
      <c r="H23" s="32">
        <v>19</v>
      </c>
      <c r="I23" s="32">
        <v>5</v>
      </c>
      <c r="J23" s="32" t="s">
        <v>28</v>
      </c>
      <c r="K23" s="32">
        <v>2</v>
      </c>
      <c r="L23" s="25" t="s">
        <v>29</v>
      </c>
      <c r="M23" s="13">
        <v>44202</v>
      </c>
      <c r="N23" s="14">
        <v>44203</v>
      </c>
      <c r="O23" s="25" t="s">
        <v>30</v>
      </c>
      <c r="P23" s="15"/>
      <c r="R23" s="3"/>
      <c r="S23" s="68"/>
      <c r="T23" s="62"/>
      <c r="U23" s="26"/>
      <c r="V23" s="26"/>
      <c r="W23" s="48"/>
      <c r="X23" s="13">
        <f>M23+365</f>
        <v>44567</v>
      </c>
      <c r="Y23" s="14">
        <f>X23-60</f>
        <v>44507</v>
      </c>
      <c r="Z23" s="14">
        <v>44571</v>
      </c>
      <c r="AA23" s="19"/>
      <c r="AC23" s="131"/>
    </row>
    <row r="24" spans="1:29" ht="14.15" customHeight="1" x14ac:dyDescent="0.35">
      <c r="A24" s="64" t="s">
        <v>36</v>
      </c>
      <c r="B24" s="106" t="s">
        <v>63</v>
      </c>
      <c r="C24" s="50" t="s">
        <v>64</v>
      </c>
      <c r="D24" s="50" t="s">
        <v>26</v>
      </c>
      <c r="E24" s="50">
        <v>172995</v>
      </c>
      <c r="F24" s="108" t="s">
        <v>65</v>
      </c>
      <c r="G24" s="49" t="s">
        <v>66</v>
      </c>
      <c r="H24" s="50">
        <v>35</v>
      </c>
      <c r="I24" s="50">
        <v>10</v>
      </c>
      <c r="J24" s="50" t="s">
        <v>28</v>
      </c>
      <c r="K24" s="50">
        <v>2</v>
      </c>
      <c r="L24" s="52" t="s">
        <v>29</v>
      </c>
      <c r="M24" s="39">
        <v>44223</v>
      </c>
      <c r="N24" s="40"/>
      <c r="O24" s="122" t="s">
        <v>30</v>
      </c>
      <c r="P24" s="15"/>
      <c r="R24" s="3"/>
      <c r="S24" s="68"/>
      <c r="T24" s="64"/>
      <c r="U24" s="51"/>
      <c r="V24" s="51"/>
      <c r="W24" s="41"/>
      <c r="X24" s="39">
        <f>M24+365</f>
        <v>44588</v>
      </c>
      <c r="Y24" s="40">
        <f>X24-60</f>
        <v>44528</v>
      </c>
      <c r="Z24" s="40">
        <v>44571</v>
      </c>
      <c r="AA24" s="41">
        <v>44645</v>
      </c>
      <c r="AC24" s="131"/>
    </row>
    <row r="25" spans="1:29" ht="14.15" customHeight="1" x14ac:dyDescent="0.35">
      <c r="A25" s="29" t="s">
        <v>31</v>
      </c>
      <c r="B25" s="104" t="s">
        <v>63</v>
      </c>
      <c r="C25" s="32" t="s">
        <v>67</v>
      </c>
      <c r="D25" s="32" t="s">
        <v>26</v>
      </c>
      <c r="E25" s="32">
        <v>150420</v>
      </c>
      <c r="F25" s="105" t="s">
        <v>68</v>
      </c>
      <c r="G25" s="31" t="s">
        <v>69</v>
      </c>
      <c r="H25" s="32">
        <v>25</v>
      </c>
      <c r="I25" s="32">
        <v>25</v>
      </c>
      <c r="J25" s="32" t="s">
        <v>28</v>
      </c>
      <c r="K25" s="32">
        <v>2</v>
      </c>
      <c r="L25" s="25" t="s">
        <v>29</v>
      </c>
      <c r="M25" s="13">
        <v>44231</v>
      </c>
      <c r="N25" s="14"/>
      <c r="O25" s="25" t="s">
        <v>30</v>
      </c>
      <c r="P25" s="15"/>
      <c r="R25" s="3"/>
      <c r="S25" s="68"/>
      <c r="T25" s="62"/>
      <c r="U25" s="26"/>
      <c r="V25" s="26"/>
      <c r="W25" s="48"/>
      <c r="X25" s="13">
        <f>M25+365</f>
        <v>44596</v>
      </c>
      <c r="Y25" s="14">
        <f>X25-60</f>
        <v>44536</v>
      </c>
      <c r="Z25" s="14">
        <v>44603</v>
      </c>
      <c r="AA25" s="19"/>
      <c r="AC25" s="131"/>
    </row>
    <row r="26" spans="1:29" ht="14.5" customHeight="1" x14ac:dyDescent="0.3">
      <c r="A26" s="28"/>
      <c r="B26" s="91" t="s">
        <v>63</v>
      </c>
      <c r="C26" s="1" t="s">
        <v>67</v>
      </c>
      <c r="D26" s="1" t="s">
        <v>26</v>
      </c>
      <c r="E26" s="1">
        <v>151210</v>
      </c>
      <c r="F26" s="5" t="s">
        <v>70</v>
      </c>
      <c r="G26" s="5" t="s">
        <v>42</v>
      </c>
      <c r="H26" s="1">
        <v>19</v>
      </c>
      <c r="I26" s="1">
        <v>25</v>
      </c>
      <c r="J26" s="1" t="s">
        <v>41</v>
      </c>
      <c r="K26" s="1">
        <v>4</v>
      </c>
      <c r="L26" s="24" t="s">
        <v>29</v>
      </c>
      <c r="M26" s="11">
        <v>43745</v>
      </c>
      <c r="O26" s="24" t="s">
        <v>30</v>
      </c>
      <c r="P26" s="11">
        <f t="shared" ref="P26:P38" si="2">M26+365</f>
        <v>44110</v>
      </c>
      <c r="Q26" s="3">
        <f t="shared" ref="Q26:Q38" si="3">P26-60</f>
        <v>44050</v>
      </c>
      <c r="R26" s="3">
        <v>44148</v>
      </c>
      <c r="S26" s="68">
        <v>44183</v>
      </c>
      <c r="T26" s="11">
        <f>R26+365</f>
        <v>44513</v>
      </c>
      <c r="U26" s="3">
        <f t="shared" ref="U26:U38" si="4">T26-60</f>
        <v>44453</v>
      </c>
      <c r="V26" s="3">
        <v>44475</v>
      </c>
      <c r="W26" s="68"/>
      <c r="X26" s="11">
        <f t="shared" ref="X26:X38" si="5">365+V26</f>
        <v>44840</v>
      </c>
      <c r="Y26" s="3">
        <f t="shared" ref="Y26:Y38" si="6">X26-60</f>
        <v>44780</v>
      </c>
      <c r="Z26" s="3"/>
      <c r="AA26" s="12"/>
      <c r="AC26" s="131"/>
    </row>
    <row r="27" spans="1:29" ht="14.5" customHeight="1" x14ac:dyDescent="0.3">
      <c r="A27" s="28"/>
      <c r="B27" s="91" t="s">
        <v>63</v>
      </c>
      <c r="C27" s="1" t="s">
        <v>67</v>
      </c>
      <c r="D27" s="1" t="s">
        <v>26</v>
      </c>
      <c r="E27" s="1">
        <v>174352</v>
      </c>
      <c r="F27" s="5" t="s">
        <v>71</v>
      </c>
      <c r="G27" s="5" t="s">
        <v>72</v>
      </c>
      <c r="H27" s="1">
        <v>19</v>
      </c>
      <c r="I27" s="1">
        <v>15</v>
      </c>
      <c r="J27" s="1" t="s">
        <v>28</v>
      </c>
      <c r="K27" s="1">
        <v>4</v>
      </c>
      <c r="L27" s="24" t="s">
        <v>29</v>
      </c>
      <c r="M27" s="11">
        <v>43801</v>
      </c>
      <c r="N27" s="3">
        <v>43809</v>
      </c>
      <c r="O27" s="24" t="s">
        <v>30</v>
      </c>
      <c r="P27" s="11">
        <f t="shared" si="2"/>
        <v>44166</v>
      </c>
      <c r="Q27" s="3">
        <f t="shared" si="3"/>
        <v>44106</v>
      </c>
      <c r="R27" s="3">
        <v>44147</v>
      </c>
      <c r="S27" s="68"/>
      <c r="T27" s="11">
        <f>R27+365</f>
        <v>44512</v>
      </c>
      <c r="U27" s="3">
        <f t="shared" si="4"/>
        <v>44452</v>
      </c>
      <c r="V27" s="3">
        <v>44475</v>
      </c>
      <c r="W27" s="12"/>
      <c r="X27" s="11">
        <f t="shared" si="5"/>
        <v>44840</v>
      </c>
      <c r="Y27" s="3">
        <f t="shared" si="6"/>
        <v>44780</v>
      </c>
      <c r="Z27" s="3"/>
      <c r="AA27" s="12"/>
      <c r="AC27" s="131"/>
    </row>
    <row r="28" spans="1:29" x14ac:dyDescent="0.3">
      <c r="A28" s="29" t="s">
        <v>31</v>
      </c>
      <c r="B28" s="104" t="s">
        <v>63</v>
      </c>
      <c r="C28" s="32" t="s">
        <v>67</v>
      </c>
      <c r="D28" s="32" t="s">
        <v>26</v>
      </c>
      <c r="E28" s="32">
        <v>201980</v>
      </c>
      <c r="F28" s="31" t="s">
        <v>73</v>
      </c>
      <c r="G28" s="31" t="s">
        <v>69</v>
      </c>
      <c r="H28" s="32">
        <v>12</v>
      </c>
      <c r="I28" s="32">
        <v>25</v>
      </c>
      <c r="J28" s="32" t="s">
        <v>28</v>
      </c>
      <c r="K28" s="32">
        <v>4</v>
      </c>
      <c r="L28" s="25" t="s">
        <v>29</v>
      </c>
      <c r="M28" s="13">
        <v>43489</v>
      </c>
      <c r="N28" s="26"/>
      <c r="O28" s="25" t="s">
        <v>30</v>
      </c>
      <c r="P28" s="11">
        <f>M28+365</f>
        <v>43854</v>
      </c>
      <c r="Q28" s="3">
        <f>P28-60</f>
        <v>43794</v>
      </c>
      <c r="R28" s="3">
        <v>43945</v>
      </c>
      <c r="S28" s="68"/>
      <c r="T28" s="13">
        <f>R28+365</f>
        <v>44310</v>
      </c>
      <c r="U28" s="14">
        <f>T28-60</f>
        <v>44250</v>
      </c>
      <c r="V28" s="14">
        <v>44294</v>
      </c>
      <c r="W28" s="19"/>
      <c r="X28" s="13">
        <f>V28+365</f>
        <v>44659</v>
      </c>
      <c r="Y28" s="14">
        <f>X28-60</f>
        <v>44599</v>
      </c>
      <c r="Z28" s="14">
        <v>44672</v>
      </c>
      <c r="AA28" s="19"/>
      <c r="AC28" s="132"/>
    </row>
    <row r="29" spans="1:29" ht="14.5" customHeight="1" x14ac:dyDescent="0.3">
      <c r="A29" s="29" t="s">
        <v>31</v>
      </c>
      <c r="B29" s="104" t="s">
        <v>63</v>
      </c>
      <c r="C29" s="32" t="s">
        <v>67</v>
      </c>
      <c r="D29" s="32" t="s">
        <v>26</v>
      </c>
      <c r="E29" s="32">
        <v>172994</v>
      </c>
      <c r="F29" s="31" t="s">
        <v>74</v>
      </c>
      <c r="G29" s="31">
        <v>8550</v>
      </c>
      <c r="H29" s="32">
        <v>19</v>
      </c>
      <c r="I29" s="32">
        <v>25</v>
      </c>
      <c r="J29" s="32" t="s">
        <v>28</v>
      </c>
      <c r="K29" s="32">
        <v>4</v>
      </c>
      <c r="L29" s="25" t="s">
        <v>29</v>
      </c>
      <c r="M29" s="13">
        <v>43489</v>
      </c>
      <c r="N29" s="26"/>
      <c r="O29" s="25" t="s">
        <v>30</v>
      </c>
      <c r="P29" s="11">
        <f>M29+365</f>
        <v>43854</v>
      </c>
      <c r="Q29" s="3">
        <f>P29-60</f>
        <v>43794</v>
      </c>
      <c r="R29" s="3">
        <v>43945</v>
      </c>
      <c r="S29" s="68"/>
      <c r="T29" s="13">
        <f>R29+365</f>
        <v>44310</v>
      </c>
      <c r="U29" s="14">
        <f>T29-60</f>
        <v>44250</v>
      </c>
      <c r="V29" s="14">
        <v>44271</v>
      </c>
      <c r="W29" s="19"/>
      <c r="X29" s="13">
        <f>T29+365</f>
        <v>44675</v>
      </c>
      <c r="Y29" s="14">
        <f>X29-60</f>
        <v>44615</v>
      </c>
      <c r="Z29" s="14">
        <v>44658</v>
      </c>
      <c r="AA29" s="19"/>
      <c r="AC29" s="132"/>
    </row>
    <row r="30" spans="1:29" ht="14.5" customHeight="1" x14ac:dyDescent="0.3">
      <c r="A30" s="29" t="s">
        <v>31</v>
      </c>
      <c r="B30" s="104" t="s">
        <v>63</v>
      </c>
      <c r="C30" s="32" t="s">
        <v>67</v>
      </c>
      <c r="D30" s="32" t="s">
        <v>26</v>
      </c>
      <c r="E30" s="32">
        <v>197514</v>
      </c>
      <c r="F30" s="31" t="s">
        <v>75</v>
      </c>
      <c r="G30" s="31">
        <v>505</v>
      </c>
      <c r="H30" s="32">
        <v>19</v>
      </c>
      <c r="I30" s="32">
        <v>25</v>
      </c>
      <c r="J30" s="32" t="s">
        <v>76</v>
      </c>
      <c r="K30" s="32">
        <v>4</v>
      </c>
      <c r="L30" s="25" t="s">
        <v>29</v>
      </c>
      <c r="M30" s="13">
        <v>43599</v>
      </c>
      <c r="N30" s="14">
        <v>43599</v>
      </c>
      <c r="O30" s="25" t="s">
        <v>30</v>
      </c>
      <c r="P30" s="11">
        <f>M30+365</f>
        <v>43964</v>
      </c>
      <c r="Q30" s="3">
        <f>P30-60</f>
        <v>43904</v>
      </c>
      <c r="R30" s="3">
        <v>43945</v>
      </c>
      <c r="S30" s="68"/>
      <c r="T30" s="13">
        <f>R30+365</f>
        <v>44310</v>
      </c>
      <c r="U30" s="14">
        <f>T30-60</f>
        <v>44250</v>
      </c>
      <c r="V30" s="26"/>
      <c r="W30" s="19"/>
      <c r="X30" s="13">
        <f>T30+365</f>
        <v>44675</v>
      </c>
      <c r="Y30" s="14">
        <f>X30-60</f>
        <v>44615</v>
      </c>
      <c r="Z30" s="56">
        <v>44623</v>
      </c>
      <c r="AA30" s="19"/>
      <c r="AC30" s="131"/>
    </row>
    <row r="31" spans="1:29" ht="14.15" customHeight="1" x14ac:dyDescent="0.3">
      <c r="A31" s="29" t="s">
        <v>31</v>
      </c>
      <c r="B31" s="104" t="s">
        <v>63</v>
      </c>
      <c r="C31" s="32" t="s">
        <v>67</v>
      </c>
      <c r="D31" s="32" t="s">
        <v>26</v>
      </c>
      <c r="E31" s="32">
        <v>164194</v>
      </c>
      <c r="F31" s="31" t="s">
        <v>77</v>
      </c>
      <c r="G31" s="31" t="s">
        <v>78</v>
      </c>
      <c r="H31" s="32">
        <v>35</v>
      </c>
      <c r="I31" s="32">
        <v>10</v>
      </c>
      <c r="J31" s="32" t="s">
        <v>28</v>
      </c>
      <c r="K31" s="32">
        <v>4</v>
      </c>
      <c r="L31" s="25" t="s">
        <v>29</v>
      </c>
      <c r="M31" s="13">
        <v>44070</v>
      </c>
      <c r="N31" s="14">
        <v>44138</v>
      </c>
      <c r="O31" s="25" t="s">
        <v>30</v>
      </c>
      <c r="P31" s="15"/>
      <c r="S31" s="12"/>
      <c r="T31" s="13">
        <f>M31+365</f>
        <v>44435</v>
      </c>
      <c r="U31" s="14">
        <f>T31-60</f>
        <v>44375</v>
      </c>
      <c r="V31" s="14">
        <v>44365</v>
      </c>
      <c r="W31" s="19"/>
      <c r="X31" s="13">
        <f>365+V31</f>
        <v>44730</v>
      </c>
      <c r="Y31" s="14">
        <f>X31-60</f>
        <v>44670</v>
      </c>
      <c r="Z31" s="14">
        <v>44694</v>
      </c>
      <c r="AA31" s="19"/>
      <c r="AC31" s="131"/>
    </row>
    <row r="32" spans="1:29" x14ac:dyDescent="0.3">
      <c r="A32" s="64" t="s">
        <v>36</v>
      </c>
      <c r="B32" s="106" t="s">
        <v>63</v>
      </c>
      <c r="C32" s="50" t="s">
        <v>67</v>
      </c>
      <c r="D32" s="50" t="s">
        <v>26</v>
      </c>
      <c r="E32" s="50">
        <v>176660</v>
      </c>
      <c r="F32" s="123" t="s">
        <v>79</v>
      </c>
      <c r="G32" s="49">
        <v>317</v>
      </c>
      <c r="H32" s="50">
        <v>19</v>
      </c>
      <c r="I32" s="50">
        <v>33</v>
      </c>
      <c r="J32" s="51" t="s">
        <v>40</v>
      </c>
      <c r="K32" s="50">
        <v>4</v>
      </c>
      <c r="L32" s="50" t="s">
        <v>29</v>
      </c>
      <c r="M32" s="39">
        <v>43489</v>
      </c>
      <c r="N32" s="51"/>
      <c r="O32" s="52" t="s">
        <v>30</v>
      </c>
      <c r="P32" s="11">
        <f t="shared" ref="P32" si="7">M32+365</f>
        <v>43854</v>
      </c>
      <c r="Q32" s="3">
        <f t="shared" ref="Q32" si="8">P32-60</f>
        <v>43794</v>
      </c>
      <c r="R32" s="3"/>
      <c r="S32" s="3"/>
      <c r="T32" s="39"/>
      <c r="U32" s="40"/>
      <c r="V32" s="51"/>
      <c r="W32" s="51"/>
      <c r="X32" s="39">
        <f>M32+365+365+365</f>
        <v>44584</v>
      </c>
      <c r="Y32" s="40">
        <f>X32-60</f>
        <v>44524</v>
      </c>
      <c r="Z32" s="40">
        <v>44578</v>
      </c>
      <c r="AA32" s="53"/>
      <c r="AC32" s="131"/>
    </row>
    <row r="33" spans="1:29" ht="14.5" customHeight="1" x14ac:dyDescent="0.3">
      <c r="A33" s="29" t="s">
        <v>31</v>
      </c>
      <c r="B33" s="104" t="s">
        <v>80</v>
      </c>
      <c r="C33" s="32" t="s">
        <v>81</v>
      </c>
      <c r="D33" s="32" t="s">
        <v>26</v>
      </c>
      <c r="E33" s="32">
        <v>174104</v>
      </c>
      <c r="F33" s="31" t="s">
        <v>82</v>
      </c>
      <c r="G33" s="31">
        <v>505</v>
      </c>
      <c r="H33" s="32">
        <v>19</v>
      </c>
      <c r="I33" s="32">
        <v>25</v>
      </c>
      <c r="J33" s="32" t="s">
        <v>28</v>
      </c>
      <c r="K33" s="32">
        <v>4</v>
      </c>
      <c r="L33" s="25" t="s">
        <v>29</v>
      </c>
      <c r="M33" s="13">
        <v>43747</v>
      </c>
      <c r="N33" s="14">
        <v>43801</v>
      </c>
      <c r="O33" s="25" t="s">
        <v>30</v>
      </c>
      <c r="P33" s="11">
        <f t="shared" si="2"/>
        <v>44112</v>
      </c>
      <c r="Q33" s="3">
        <f t="shared" si="3"/>
        <v>44052</v>
      </c>
      <c r="R33" s="3">
        <v>44132</v>
      </c>
      <c r="S33" s="68">
        <v>44250</v>
      </c>
      <c r="T33" s="13">
        <f t="shared" ref="T33:T38" si="9">P33+365</f>
        <v>44477</v>
      </c>
      <c r="U33" s="14">
        <f t="shared" si="4"/>
        <v>44417</v>
      </c>
      <c r="V33" s="14">
        <v>44405</v>
      </c>
      <c r="W33" s="48">
        <v>44426</v>
      </c>
      <c r="X33" s="13">
        <f t="shared" si="5"/>
        <v>44770</v>
      </c>
      <c r="Y33" s="14">
        <f t="shared" si="6"/>
        <v>44710</v>
      </c>
      <c r="Z33" s="14">
        <v>44810</v>
      </c>
      <c r="AA33" s="19"/>
      <c r="AC33" s="131"/>
    </row>
    <row r="34" spans="1:29" ht="14.5" customHeight="1" x14ac:dyDescent="0.3">
      <c r="A34" s="29" t="s">
        <v>31</v>
      </c>
      <c r="B34" s="104" t="s">
        <v>80</v>
      </c>
      <c r="C34" s="32" t="s">
        <v>81</v>
      </c>
      <c r="D34" s="32" t="s">
        <v>26</v>
      </c>
      <c r="E34" s="32">
        <v>146422</v>
      </c>
      <c r="F34" s="31">
        <v>63442100</v>
      </c>
      <c r="G34" s="26" t="s">
        <v>83</v>
      </c>
      <c r="H34" s="32">
        <v>19</v>
      </c>
      <c r="I34" s="32">
        <v>33</v>
      </c>
      <c r="J34" s="32" t="s">
        <v>28</v>
      </c>
      <c r="K34" s="32">
        <v>4</v>
      </c>
      <c r="L34" s="25" t="s">
        <v>29</v>
      </c>
      <c r="M34" s="13">
        <v>43747</v>
      </c>
      <c r="N34" s="14">
        <v>43801</v>
      </c>
      <c r="O34" s="25" t="s">
        <v>30</v>
      </c>
      <c r="P34" s="11">
        <f t="shared" si="2"/>
        <v>44112</v>
      </c>
      <c r="Q34" s="3">
        <f t="shared" si="3"/>
        <v>44052</v>
      </c>
      <c r="R34" s="3">
        <v>44132</v>
      </c>
      <c r="S34" s="68">
        <v>44250</v>
      </c>
      <c r="T34" s="13">
        <f t="shared" si="9"/>
        <v>44477</v>
      </c>
      <c r="U34" s="14">
        <f t="shared" si="4"/>
        <v>44417</v>
      </c>
      <c r="V34" s="14">
        <v>44405</v>
      </c>
      <c r="W34" s="48">
        <v>44426</v>
      </c>
      <c r="X34" s="13">
        <f t="shared" si="5"/>
        <v>44770</v>
      </c>
      <c r="Y34" s="14">
        <f t="shared" si="6"/>
        <v>44710</v>
      </c>
      <c r="Z34" s="14">
        <v>44810</v>
      </c>
      <c r="AA34" s="19"/>
      <c r="AC34" s="131"/>
    </row>
    <row r="35" spans="1:29" x14ac:dyDescent="0.3">
      <c r="A35" s="28"/>
      <c r="B35" s="91" t="s">
        <v>80</v>
      </c>
      <c r="C35" s="1" t="s">
        <v>81</v>
      </c>
      <c r="D35" s="1" t="s">
        <v>26</v>
      </c>
      <c r="E35" s="1">
        <v>156317</v>
      </c>
      <c r="F35" s="5">
        <v>6481451999</v>
      </c>
      <c r="G35" s="5">
        <v>317</v>
      </c>
      <c r="H35" s="1">
        <v>19</v>
      </c>
      <c r="I35" s="1">
        <v>33</v>
      </c>
      <c r="J35" s="1" t="s">
        <v>40</v>
      </c>
      <c r="K35" s="1">
        <v>4</v>
      </c>
      <c r="L35" s="24" t="s">
        <v>29</v>
      </c>
      <c r="M35" s="11">
        <v>43774</v>
      </c>
      <c r="N35" s="3">
        <v>43801</v>
      </c>
      <c r="O35" s="24" t="s">
        <v>30</v>
      </c>
      <c r="P35" s="11">
        <f t="shared" si="2"/>
        <v>44139</v>
      </c>
      <c r="Q35" s="3">
        <f t="shared" si="3"/>
        <v>44079</v>
      </c>
      <c r="R35" s="3">
        <v>44132</v>
      </c>
      <c r="S35" s="68">
        <v>44250</v>
      </c>
      <c r="T35" s="11">
        <f t="shared" si="9"/>
        <v>44504</v>
      </c>
      <c r="U35" s="3">
        <f t="shared" si="4"/>
        <v>44444</v>
      </c>
      <c r="V35" s="3">
        <v>44432</v>
      </c>
      <c r="W35" s="68"/>
      <c r="X35" s="11">
        <f t="shared" si="5"/>
        <v>44797</v>
      </c>
      <c r="Y35" s="3">
        <f t="shared" si="6"/>
        <v>44737</v>
      </c>
      <c r="Z35" s="3"/>
      <c r="AA35" s="12"/>
      <c r="AC35" s="131"/>
    </row>
    <row r="36" spans="1:29" x14ac:dyDescent="0.3">
      <c r="A36" s="28"/>
      <c r="B36" s="91" t="s">
        <v>80</v>
      </c>
      <c r="C36" s="1" t="s">
        <v>81</v>
      </c>
      <c r="D36" s="1" t="s">
        <v>26</v>
      </c>
      <c r="E36" s="1">
        <v>176658</v>
      </c>
      <c r="F36" s="5" t="s">
        <v>84</v>
      </c>
      <c r="G36" s="5">
        <v>8606</v>
      </c>
      <c r="H36" s="1">
        <v>19</v>
      </c>
      <c r="I36" s="1">
        <v>25</v>
      </c>
      <c r="J36" s="1" t="s">
        <v>40</v>
      </c>
      <c r="K36" s="1">
        <v>4</v>
      </c>
      <c r="L36" s="24" t="s">
        <v>29</v>
      </c>
      <c r="M36" s="11">
        <v>43774</v>
      </c>
      <c r="N36" s="3">
        <v>43801</v>
      </c>
      <c r="O36" s="24" t="s">
        <v>30</v>
      </c>
      <c r="P36" s="11">
        <f t="shared" si="2"/>
        <v>44139</v>
      </c>
      <c r="Q36" s="3">
        <f t="shared" si="3"/>
        <v>44079</v>
      </c>
      <c r="R36" s="3">
        <v>44132</v>
      </c>
      <c r="S36" s="68">
        <v>44250</v>
      </c>
      <c r="T36" s="11">
        <f t="shared" si="9"/>
        <v>44504</v>
      </c>
      <c r="U36" s="3">
        <f t="shared" si="4"/>
        <v>44444</v>
      </c>
      <c r="V36" s="3">
        <v>44432</v>
      </c>
      <c r="W36" s="68"/>
      <c r="X36" s="11">
        <f t="shared" si="5"/>
        <v>44797</v>
      </c>
      <c r="Y36" s="3">
        <f t="shared" si="6"/>
        <v>44737</v>
      </c>
      <c r="Z36" s="3"/>
      <c r="AA36" s="12"/>
      <c r="AC36" s="131"/>
    </row>
    <row r="37" spans="1:29" x14ac:dyDescent="0.3">
      <c r="A37" s="28"/>
      <c r="B37" s="91" t="s">
        <v>80</v>
      </c>
      <c r="C37" s="1" t="s">
        <v>81</v>
      </c>
      <c r="D37" s="1" t="s">
        <v>26</v>
      </c>
      <c r="E37" s="1">
        <v>107778</v>
      </c>
      <c r="F37" s="5" t="s">
        <v>85</v>
      </c>
      <c r="G37" s="5">
        <v>302</v>
      </c>
      <c r="H37" s="1">
        <v>12</v>
      </c>
      <c r="I37" s="1">
        <v>33</v>
      </c>
      <c r="J37" s="1" t="s">
        <v>40</v>
      </c>
      <c r="K37" s="1">
        <v>4</v>
      </c>
      <c r="L37" s="24" t="s">
        <v>29</v>
      </c>
      <c r="M37" s="11">
        <v>43774</v>
      </c>
      <c r="N37" s="3">
        <v>43801</v>
      </c>
      <c r="O37" s="24" t="s">
        <v>30</v>
      </c>
      <c r="P37" s="11">
        <f t="shared" si="2"/>
        <v>44139</v>
      </c>
      <c r="Q37" s="3">
        <f t="shared" si="3"/>
        <v>44079</v>
      </c>
      <c r="R37" s="3">
        <v>44132</v>
      </c>
      <c r="S37" s="68">
        <v>44250</v>
      </c>
      <c r="T37" s="11">
        <f t="shared" si="9"/>
        <v>44504</v>
      </c>
      <c r="U37" s="3">
        <f t="shared" si="4"/>
        <v>44444</v>
      </c>
      <c r="V37" s="3">
        <v>44432</v>
      </c>
      <c r="W37" s="68"/>
      <c r="X37" s="11">
        <f t="shared" si="5"/>
        <v>44797</v>
      </c>
      <c r="Y37" s="3">
        <f t="shared" si="6"/>
        <v>44737</v>
      </c>
      <c r="Z37" s="3"/>
      <c r="AA37" s="12"/>
      <c r="AC37" s="131"/>
    </row>
    <row r="38" spans="1:29" ht="14.15" customHeight="1" x14ac:dyDescent="0.3">
      <c r="A38" s="28"/>
      <c r="B38" s="91" t="s">
        <v>80</v>
      </c>
      <c r="C38" s="1" t="s">
        <v>81</v>
      </c>
      <c r="D38" s="1" t="s">
        <v>26</v>
      </c>
      <c r="E38" s="1">
        <v>172412</v>
      </c>
      <c r="F38" s="5" t="s">
        <v>86</v>
      </c>
      <c r="G38" s="5">
        <v>835</v>
      </c>
      <c r="H38" s="1">
        <v>19</v>
      </c>
      <c r="I38" s="1">
        <v>25</v>
      </c>
      <c r="J38" s="1" t="s">
        <v>28</v>
      </c>
      <c r="K38" s="1">
        <v>4</v>
      </c>
      <c r="L38" s="24" t="s">
        <v>29</v>
      </c>
      <c r="M38" s="11">
        <v>43777</v>
      </c>
      <c r="N38" s="3">
        <v>43782</v>
      </c>
      <c r="O38" s="24" t="s">
        <v>30</v>
      </c>
      <c r="P38" s="11">
        <f t="shared" si="2"/>
        <v>44142</v>
      </c>
      <c r="Q38" s="3">
        <f t="shared" si="3"/>
        <v>44082</v>
      </c>
      <c r="R38" s="3">
        <v>44140</v>
      </c>
      <c r="S38" s="68"/>
      <c r="T38" s="11">
        <f t="shared" si="9"/>
        <v>44507</v>
      </c>
      <c r="U38" s="3">
        <f t="shared" si="4"/>
        <v>44447</v>
      </c>
      <c r="V38" s="3">
        <v>44475</v>
      </c>
      <c r="W38" s="12"/>
      <c r="X38" s="11">
        <f t="shared" si="5"/>
        <v>44840</v>
      </c>
      <c r="Y38" s="3">
        <f t="shared" si="6"/>
        <v>44780</v>
      </c>
      <c r="Z38" s="3"/>
      <c r="AA38" s="12"/>
      <c r="AC38" s="131"/>
    </row>
    <row r="39" spans="1:29" ht="14.15" customHeight="1" x14ac:dyDescent="0.3">
      <c r="A39" s="28"/>
      <c r="B39" s="91" t="s">
        <v>80</v>
      </c>
      <c r="C39" s="1" t="s">
        <v>87</v>
      </c>
      <c r="D39" s="1" t="s">
        <v>26</v>
      </c>
      <c r="E39" s="1">
        <v>217977</v>
      </c>
      <c r="F39" s="5" t="s">
        <v>88</v>
      </c>
      <c r="G39" s="5" t="s">
        <v>89</v>
      </c>
      <c r="H39" s="1">
        <v>19</v>
      </c>
      <c r="I39" s="1">
        <f>120/1000</f>
        <v>0.12</v>
      </c>
      <c r="K39" s="1">
        <v>4</v>
      </c>
      <c r="L39" s="24" t="s">
        <v>29</v>
      </c>
      <c r="M39" s="11">
        <v>44098</v>
      </c>
      <c r="O39" s="24" t="s">
        <v>30</v>
      </c>
      <c r="P39" s="15"/>
      <c r="S39" s="12"/>
      <c r="T39" s="11">
        <v>44494</v>
      </c>
      <c r="U39" s="3">
        <v>44494</v>
      </c>
      <c r="V39" s="3">
        <v>44552</v>
      </c>
      <c r="W39" s="68">
        <v>44552</v>
      </c>
      <c r="X39" s="11">
        <f t="shared" ref="X39" si="10">365+V39</f>
        <v>44917</v>
      </c>
      <c r="Y39" s="3">
        <f t="shared" ref="Y39" si="11">X39-60</f>
        <v>44857</v>
      </c>
      <c r="Z39" s="3"/>
      <c r="AA39" s="12"/>
      <c r="AC39" s="131"/>
    </row>
    <row r="40" spans="1:29" ht="14.15" customHeight="1" x14ac:dyDescent="0.3">
      <c r="A40" s="28"/>
      <c r="B40" s="91" t="s">
        <v>80</v>
      </c>
      <c r="C40" s="1" t="s">
        <v>87</v>
      </c>
      <c r="D40" s="1" t="s">
        <v>26</v>
      </c>
      <c r="E40" s="1">
        <v>217976</v>
      </c>
      <c r="F40" s="5" t="s">
        <v>90</v>
      </c>
      <c r="G40" s="5" t="s">
        <v>89</v>
      </c>
      <c r="H40" s="1">
        <v>19</v>
      </c>
      <c r="I40" s="1">
        <f>75/1000</f>
        <v>7.4999999999999997E-2</v>
      </c>
      <c r="K40" s="1">
        <v>4</v>
      </c>
      <c r="L40" s="24" t="s">
        <v>29</v>
      </c>
      <c r="M40" s="11">
        <v>44019</v>
      </c>
      <c r="O40" s="24" t="s">
        <v>30</v>
      </c>
      <c r="P40" s="15"/>
      <c r="S40" s="12"/>
      <c r="T40" s="11">
        <v>44494</v>
      </c>
      <c r="U40" s="3">
        <v>44494</v>
      </c>
      <c r="V40" s="3">
        <v>44552</v>
      </c>
      <c r="W40" s="68">
        <v>44552</v>
      </c>
      <c r="X40" s="11">
        <f t="shared" ref="X40:X42" si="12">365+V40</f>
        <v>44917</v>
      </c>
      <c r="Y40" s="3">
        <f t="shared" ref="Y40:Y42" si="13">X40-60</f>
        <v>44857</v>
      </c>
      <c r="Z40" s="3"/>
      <c r="AA40" s="12"/>
      <c r="AC40" s="131"/>
    </row>
    <row r="41" spans="1:29" ht="14.15" customHeight="1" x14ac:dyDescent="0.3">
      <c r="A41" s="28"/>
      <c r="B41" s="91" t="s">
        <v>80</v>
      </c>
      <c r="C41" s="1" t="s">
        <v>87</v>
      </c>
      <c r="D41" s="1" t="s">
        <v>26</v>
      </c>
      <c r="E41" s="1">
        <v>217973</v>
      </c>
      <c r="F41" s="5" t="s">
        <v>91</v>
      </c>
      <c r="G41" s="5" t="s">
        <v>92</v>
      </c>
      <c r="H41" s="1">
        <v>10</v>
      </c>
      <c r="I41" s="1">
        <f>100/1000</f>
        <v>0.1</v>
      </c>
      <c r="K41" s="1">
        <v>4</v>
      </c>
      <c r="L41" s="24" t="s">
        <v>29</v>
      </c>
      <c r="M41" s="11">
        <v>44020</v>
      </c>
      <c r="O41" s="24" t="s">
        <v>30</v>
      </c>
      <c r="P41" s="15"/>
      <c r="S41" s="12"/>
      <c r="T41" s="11">
        <v>44494</v>
      </c>
      <c r="U41" s="3">
        <v>44494</v>
      </c>
      <c r="V41" s="3">
        <v>44552</v>
      </c>
      <c r="W41" s="68">
        <v>44552</v>
      </c>
      <c r="X41" s="11">
        <f t="shared" si="12"/>
        <v>44917</v>
      </c>
      <c r="Y41" s="3">
        <f t="shared" si="13"/>
        <v>44857</v>
      </c>
      <c r="Z41" s="3"/>
      <c r="AA41" s="12"/>
      <c r="AC41" s="131"/>
    </row>
    <row r="42" spans="1:29" ht="14.15" customHeight="1" x14ac:dyDescent="0.3">
      <c r="A42" s="28"/>
      <c r="B42" s="91" t="s">
        <v>80</v>
      </c>
      <c r="C42" s="1" t="s">
        <v>87</v>
      </c>
      <c r="D42" s="1" t="s">
        <v>26</v>
      </c>
      <c r="E42" s="1">
        <v>215150</v>
      </c>
      <c r="F42" s="5" t="s">
        <v>93</v>
      </c>
      <c r="G42" s="5" t="s">
        <v>92</v>
      </c>
      <c r="H42" s="1">
        <v>10</v>
      </c>
      <c r="I42" s="1">
        <f>75/1000</f>
        <v>7.4999999999999997E-2</v>
      </c>
      <c r="K42" s="1">
        <v>4</v>
      </c>
      <c r="L42" s="24" t="s">
        <v>29</v>
      </c>
      <c r="M42" s="15"/>
      <c r="O42" s="24" t="s">
        <v>30</v>
      </c>
      <c r="P42" s="15"/>
      <c r="S42" s="12"/>
      <c r="T42" s="11">
        <v>44494</v>
      </c>
      <c r="U42" s="3">
        <v>44494</v>
      </c>
      <c r="V42" s="3">
        <v>44552</v>
      </c>
      <c r="W42" s="68">
        <v>44552</v>
      </c>
      <c r="X42" s="11">
        <f t="shared" si="12"/>
        <v>44917</v>
      </c>
      <c r="Y42" s="3">
        <f t="shared" si="13"/>
        <v>44857</v>
      </c>
      <c r="Z42" s="3"/>
      <c r="AA42" s="12"/>
      <c r="AC42" s="131"/>
    </row>
    <row r="43" spans="1:29" x14ac:dyDescent="0.3">
      <c r="A43" s="64" t="s">
        <v>36</v>
      </c>
      <c r="B43" s="106" t="s">
        <v>94</v>
      </c>
      <c r="C43" s="50" t="s">
        <v>95</v>
      </c>
      <c r="D43" s="50" t="s">
        <v>26</v>
      </c>
      <c r="E43" s="50">
        <v>156361</v>
      </c>
      <c r="F43" s="49" t="s">
        <v>96</v>
      </c>
      <c r="G43" s="49" t="s">
        <v>53</v>
      </c>
      <c r="H43" s="50">
        <v>19</v>
      </c>
      <c r="I43" s="50">
        <v>25</v>
      </c>
      <c r="J43" s="50" t="s">
        <v>28</v>
      </c>
      <c r="K43" s="50">
        <v>1</v>
      </c>
      <c r="L43" s="52" t="s">
        <v>29</v>
      </c>
      <c r="M43" s="39">
        <v>44201</v>
      </c>
      <c r="N43" s="40">
        <v>44216</v>
      </c>
      <c r="O43" s="52" t="s">
        <v>30</v>
      </c>
      <c r="P43" s="15"/>
      <c r="R43" s="3"/>
      <c r="S43" s="68"/>
      <c r="T43" s="39"/>
      <c r="U43" s="40"/>
      <c r="V43" s="51"/>
      <c r="W43" s="41"/>
      <c r="X43" s="39">
        <f>M43+365</f>
        <v>44566</v>
      </c>
      <c r="Y43" s="40">
        <f t="shared" ref="Y43:Y46" si="14">X43-60</f>
        <v>44506</v>
      </c>
      <c r="Z43" s="40">
        <v>44571</v>
      </c>
      <c r="AA43" s="41">
        <v>44574</v>
      </c>
      <c r="AC43" s="131"/>
    </row>
    <row r="44" spans="1:29" x14ac:dyDescent="0.3">
      <c r="A44" s="28"/>
      <c r="B44" s="91" t="s">
        <v>97</v>
      </c>
      <c r="C44" s="1" t="s">
        <v>98</v>
      </c>
      <c r="D44" s="1" t="s">
        <v>26</v>
      </c>
      <c r="E44" s="1">
        <v>155849</v>
      </c>
      <c r="F44" s="5" t="s">
        <v>99</v>
      </c>
      <c r="G44" s="5">
        <v>8571</v>
      </c>
      <c r="H44" s="1">
        <v>32</v>
      </c>
      <c r="I44" s="1">
        <v>7.5</v>
      </c>
      <c r="J44" s="1" t="s">
        <v>28</v>
      </c>
      <c r="K44" s="1">
        <v>2</v>
      </c>
      <c r="L44" s="24" t="s">
        <v>29</v>
      </c>
      <c r="M44" s="11">
        <v>44148</v>
      </c>
      <c r="O44" s="24" t="s">
        <v>30</v>
      </c>
      <c r="P44" s="15"/>
      <c r="S44" s="12"/>
      <c r="T44" s="11">
        <f>M44+365</f>
        <v>44513</v>
      </c>
      <c r="U44" s="3">
        <f>T44-60</f>
        <v>44453</v>
      </c>
      <c r="V44" s="3">
        <v>44475</v>
      </c>
      <c r="W44" s="12"/>
      <c r="X44" s="11">
        <f>365+V44</f>
        <v>44840</v>
      </c>
      <c r="Y44" s="3">
        <f t="shared" si="14"/>
        <v>44780</v>
      </c>
      <c r="Z44" s="3"/>
      <c r="AA44" s="12"/>
      <c r="AC44" s="131"/>
    </row>
    <row r="45" spans="1:29" x14ac:dyDescent="0.3">
      <c r="A45" s="29" t="s">
        <v>31</v>
      </c>
      <c r="B45" s="104" t="s">
        <v>100</v>
      </c>
      <c r="C45" s="32" t="s">
        <v>101</v>
      </c>
      <c r="D45" s="32" t="s">
        <v>35</v>
      </c>
      <c r="E45" s="32">
        <v>177256</v>
      </c>
      <c r="F45" s="31" t="s">
        <v>102</v>
      </c>
      <c r="G45" s="31">
        <v>8302</v>
      </c>
      <c r="H45" s="32">
        <v>38</v>
      </c>
      <c r="I45" s="32">
        <v>50</v>
      </c>
      <c r="J45" s="32" t="s">
        <v>28</v>
      </c>
      <c r="K45" s="32">
        <v>2</v>
      </c>
      <c r="L45" s="25" t="s">
        <v>29</v>
      </c>
      <c r="M45" s="13">
        <v>44333</v>
      </c>
      <c r="N45" s="26"/>
      <c r="O45" s="25" t="s">
        <v>30</v>
      </c>
      <c r="P45" s="15"/>
      <c r="S45" s="12"/>
      <c r="T45" s="62"/>
      <c r="U45" s="26"/>
      <c r="V45" s="26"/>
      <c r="W45" s="48">
        <v>44530</v>
      </c>
      <c r="X45" s="13">
        <f>M45+365</f>
        <v>44698</v>
      </c>
      <c r="Y45" s="14">
        <f>X45-60</f>
        <v>44638</v>
      </c>
      <c r="Z45" s="14">
        <v>44669</v>
      </c>
      <c r="AA45" s="19"/>
      <c r="AC45" s="131"/>
    </row>
    <row r="46" spans="1:29" x14ac:dyDescent="0.3">
      <c r="A46" s="45" t="s">
        <v>36</v>
      </c>
      <c r="B46" s="106" t="s">
        <v>103</v>
      </c>
      <c r="C46" s="50" t="s">
        <v>104</v>
      </c>
      <c r="D46" s="50" t="s">
        <v>26</v>
      </c>
      <c r="E46" s="50">
        <v>99631</v>
      </c>
      <c r="F46" s="125" t="s">
        <v>105</v>
      </c>
      <c r="G46" s="49" t="s">
        <v>27</v>
      </c>
      <c r="H46" s="50">
        <v>19</v>
      </c>
      <c r="I46" s="50">
        <v>25</v>
      </c>
      <c r="J46" s="50" t="s">
        <v>28</v>
      </c>
      <c r="K46" s="50">
        <v>2</v>
      </c>
      <c r="L46" s="52" t="s">
        <v>29</v>
      </c>
      <c r="M46" s="39">
        <v>44223</v>
      </c>
      <c r="N46" s="40"/>
      <c r="O46" s="52" t="s">
        <v>30</v>
      </c>
      <c r="P46" s="11">
        <f t="shared" ref="P46" si="15">M46+365</f>
        <v>44588</v>
      </c>
      <c r="Q46" s="3"/>
      <c r="R46" s="3"/>
      <c r="S46" s="68"/>
      <c r="T46" s="64"/>
      <c r="U46" s="51"/>
      <c r="V46" s="51"/>
      <c r="W46" s="41"/>
      <c r="X46" s="39">
        <f>365+M46</f>
        <v>44588</v>
      </c>
      <c r="Y46" s="40">
        <f t="shared" si="14"/>
        <v>44528</v>
      </c>
      <c r="Z46" s="40">
        <v>44594</v>
      </c>
      <c r="AA46" s="41">
        <v>44657</v>
      </c>
      <c r="AC46" s="131"/>
    </row>
    <row r="47" spans="1:29" x14ac:dyDescent="0.3">
      <c r="A47" s="26" t="s">
        <v>31</v>
      </c>
      <c r="B47" s="104" t="s">
        <v>106</v>
      </c>
      <c r="C47" s="32" t="s">
        <v>107</v>
      </c>
      <c r="D47" s="32" t="s">
        <v>26</v>
      </c>
      <c r="E47" s="32">
        <v>105407</v>
      </c>
      <c r="F47" s="31">
        <v>8551</v>
      </c>
      <c r="G47" s="31">
        <v>8551</v>
      </c>
      <c r="H47" s="32">
        <v>19</v>
      </c>
      <c r="I47" s="32">
        <v>25</v>
      </c>
      <c r="J47" s="32" t="s">
        <v>28</v>
      </c>
      <c r="K47" s="32">
        <v>4</v>
      </c>
      <c r="L47" s="25" t="s">
        <v>29</v>
      </c>
      <c r="M47" s="13">
        <v>43721</v>
      </c>
      <c r="N47" s="14">
        <v>43721</v>
      </c>
      <c r="O47" s="25" t="s">
        <v>30</v>
      </c>
      <c r="P47" s="11">
        <f t="shared" ref="P47:P53" si="16">M47+365</f>
        <v>44086</v>
      </c>
      <c r="Q47" s="3">
        <f t="shared" ref="Q47:Q53" si="17">P47-60</f>
        <v>44026</v>
      </c>
      <c r="R47" s="3">
        <v>44099</v>
      </c>
      <c r="S47" s="68"/>
      <c r="T47" s="13">
        <f t="shared" ref="T47:T54" si="18">R47+365</f>
        <v>44464</v>
      </c>
      <c r="U47" s="14">
        <f t="shared" ref="U47:U51" si="19">T47-60</f>
        <v>44404</v>
      </c>
      <c r="V47" s="14">
        <v>44397</v>
      </c>
      <c r="W47" s="19"/>
      <c r="X47" s="13">
        <f t="shared" ref="X47:X51" si="20">365+V47</f>
        <v>44762</v>
      </c>
      <c r="Y47" s="14">
        <f t="shared" ref="Y47:Y51" si="21">X47-60</f>
        <v>44702</v>
      </c>
      <c r="Z47" s="14">
        <v>44816</v>
      </c>
      <c r="AA47" s="19"/>
      <c r="AC47" s="131"/>
    </row>
    <row r="48" spans="1:29" x14ac:dyDescent="0.3">
      <c r="A48" s="51" t="s">
        <v>36</v>
      </c>
      <c r="B48" s="106" t="s">
        <v>106</v>
      </c>
      <c r="C48" s="50" t="s">
        <v>107</v>
      </c>
      <c r="D48" s="50" t="s">
        <v>26</v>
      </c>
      <c r="E48" s="50">
        <v>99631</v>
      </c>
      <c r="F48" s="49" t="s">
        <v>27</v>
      </c>
      <c r="G48" s="49" t="s">
        <v>27</v>
      </c>
      <c r="H48" s="50">
        <v>19</v>
      </c>
      <c r="I48" s="50">
        <v>25</v>
      </c>
      <c r="J48" s="50" t="s">
        <v>28</v>
      </c>
      <c r="K48" s="50">
        <v>4</v>
      </c>
      <c r="L48" s="52" t="s">
        <v>29</v>
      </c>
      <c r="M48" s="39">
        <v>43721</v>
      </c>
      <c r="N48" s="40">
        <v>43721</v>
      </c>
      <c r="O48" s="52" t="s">
        <v>30</v>
      </c>
      <c r="P48" s="11">
        <f t="shared" si="16"/>
        <v>44086</v>
      </c>
      <c r="Q48" s="3">
        <f t="shared" si="17"/>
        <v>44026</v>
      </c>
      <c r="R48" s="3">
        <v>44099</v>
      </c>
      <c r="S48" s="68"/>
      <c r="T48" s="39">
        <f t="shared" si="18"/>
        <v>44464</v>
      </c>
      <c r="U48" s="40">
        <f t="shared" si="19"/>
        <v>44404</v>
      </c>
      <c r="V48" s="40">
        <v>44397</v>
      </c>
      <c r="W48" s="41">
        <v>44421</v>
      </c>
      <c r="X48" s="39">
        <f t="shared" si="20"/>
        <v>44762</v>
      </c>
      <c r="Y48" s="40">
        <f t="shared" si="21"/>
        <v>44702</v>
      </c>
      <c r="Z48" s="40">
        <v>44711</v>
      </c>
      <c r="AA48" s="41">
        <v>44742</v>
      </c>
      <c r="AC48" s="131"/>
    </row>
    <row r="49" spans="1:30" x14ac:dyDescent="0.3">
      <c r="A49" s="28"/>
      <c r="B49" s="91" t="s">
        <v>106</v>
      </c>
      <c r="C49" s="1" t="s">
        <v>107</v>
      </c>
      <c r="D49" s="1" t="s">
        <v>26</v>
      </c>
      <c r="E49" s="1">
        <v>162216</v>
      </c>
      <c r="F49" s="5" t="s">
        <v>108</v>
      </c>
      <c r="G49" s="5">
        <v>839</v>
      </c>
      <c r="H49" s="1">
        <v>9</v>
      </c>
      <c r="I49" s="1">
        <v>25</v>
      </c>
      <c r="J49" s="1" t="s">
        <v>40</v>
      </c>
      <c r="K49" s="1">
        <v>2</v>
      </c>
      <c r="L49" s="24" t="s">
        <v>29</v>
      </c>
      <c r="M49" s="11">
        <v>43787</v>
      </c>
      <c r="N49" s="3">
        <v>43788</v>
      </c>
      <c r="O49" s="24" t="s">
        <v>30</v>
      </c>
      <c r="P49" s="11">
        <f t="shared" si="16"/>
        <v>44152</v>
      </c>
      <c r="Q49" s="3">
        <f t="shared" si="17"/>
        <v>44092</v>
      </c>
      <c r="R49" s="3">
        <v>44099</v>
      </c>
      <c r="S49" s="68"/>
      <c r="T49" s="11">
        <f t="shared" si="18"/>
        <v>44464</v>
      </c>
      <c r="U49" s="3">
        <f t="shared" si="19"/>
        <v>44404</v>
      </c>
      <c r="V49" s="3">
        <v>44397</v>
      </c>
      <c r="W49" s="12"/>
      <c r="X49" s="11">
        <f t="shared" si="20"/>
        <v>44762</v>
      </c>
      <c r="Y49" s="3">
        <f t="shared" si="21"/>
        <v>44702</v>
      </c>
      <c r="Z49" s="3"/>
      <c r="AA49" s="12"/>
      <c r="AC49" s="131"/>
    </row>
    <row r="50" spans="1:30" x14ac:dyDescent="0.3">
      <c r="A50" s="51" t="s">
        <v>36</v>
      </c>
      <c r="B50" s="106" t="s">
        <v>106</v>
      </c>
      <c r="C50" s="50" t="s">
        <v>107</v>
      </c>
      <c r="D50" s="50" t="s">
        <v>26</v>
      </c>
      <c r="E50" s="50">
        <v>177227</v>
      </c>
      <c r="F50" s="49" t="s">
        <v>109</v>
      </c>
      <c r="G50" s="49">
        <v>839</v>
      </c>
      <c r="H50" s="50">
        <v>19</v>
      </c>
      <c r="I50" s="50">
        <v>25</v>
      </c>
      <c r="J50" s="50" t="s">
        <v>28</v>
      </c>
      <c r="K50" s="50">
        <v>4</v>
      </c>
      <c r="L50" s="52" t="s">
        <v>29</v>
      </c>
      <c r="M50" s="39">
        <v>43787</v>
      </c>
      <c r="N50" s="40">
        <v>43788</v>
      </c>
      <c r="O50" s="52" t="s">
        <v>30</v>
      </c>
      <c r="P50" s="11">
        <f t="shared" si="16"/>
        <v>44152</v>
      </c>
      <c r="Q50" s="3">
        <f t="shared" si="17"/>
        <v>44092</v>
      </c>
      <c r="R50" s="3">
        <v>44099</v>
      </c>
      <c r="S50" s="68"/>
      <c r="T50" s="39">
        <f t="shared" si="18"/>
        <v>44464</v>
      </c>
      <c r="U50" s="40">
        <f t="shared" si="19"/>
        <v>44404</v>
      </c>
      <c r="V50" s="40">
        <v>44473</v>
      </c>
      <c r="W50" s="41">
        <v>44473</v>
      </c>
      <c r="X50" s="39">
        <f t="shared" si="20"/>
        <v>44838</v>
      </c>
      <c r="Y50" s="40">
        <f t="shared" si="21"/>
        <v>44778</v>
      </c>
      <c r="Z50" s="40">
        <v>44825</v>
      </c>
      <c r="AA50" s="40">
        <v>44825</v>
      </c>
      <c r="AC50" s="131"/>
    </row>
    <row r="51" spans="1:30" x14ac:dyDescent="0.3">
      <c r="A51" s="26" t="s">
        <v>31</v>
      </c>
      <c r="B51" s="104" t="s">
        <v>106</v>
      </c>
      <c r="C51" s="32" t="s">
        <v>107</v>
      </c>
      <c r="D51" s="32" t="s">
        <v>26</v>
      </c>
      <c r="E51" s="32">
        <v>156030</v>
      </c>
      <c r="F51" s="31" t="s">
        <v>110</v>
      </c>
      <c r="G51" s="31" t="s">
        <v>58</v>
      </c>
      <c r="H51" s="32">
        <v>19</v>
      </c>
      <c r="I51" s="32">
        <v>25</v>
      </c>
      <c r="J51" s="32" t="s">
        <v>28</v>
      </c>
      <c r="K51" s="32">
        <v>2</v>
      </c>
      <c r="L51" s="25" t="s">
        <v>29</v>
      </c>
      <c r="M51" s="13">
        <v>43787</v>
      </c>
      <c r="N51" s="14">
        <v>43788</v>
      </c>
      <c r="O51" s="25" t="s">
        <v>30</v>
      </c>
      <c r="P51" s="11">
        <f t="shared" si="16"/>
        <v>44152</v>
      </c>
      <c r="Q51" s="3">
        <f t="shared" si="17"/>
        <v>44092</v>
      </c>
      <c r="R51" s="3">
        <v>44099</v>
      </c>
      <c r="S51" s="68"/>
      <c r="T51" s="13">
        <f t="shared" si="18"/>
        <v>44464</v>
      </c>
      <c r="U51" s="14">
        <f t="shared" si="19"/>
        <v>44404</v>
      </c>
      <c r="V51" s="14">
        <v>44397</v>
      </c>
      <c r="W51" s="19"/>
      <c r="X51" s="13">
        <f t="shared" si="20"/>
        <v>44762</v>
      </c>
      <c r="Y51" s="14">
        <f t="shared" si="21"/>
        <v>44702</v>
      </c>
      <c r="Z51" s="14">
        <v>44700</v>
      </c>
      <c r="AA51" s="19"/>
      <c r="AC51" s="131"/>
    </row>
    <row r="52" spans="1:30" ht="14.15" customHeight="1" x14ac:dyDescent="0.3">
      <c r="A52" s="26" t="s">
        <v>31</v>
      </c>
      <c r="B52" s="104" t="s">
        <v>106</v>
      </c>
      <c r="C52" s="32" t="s">
        <v>107</v>
      </c>
      <c r="D52" s="32" t="s">
        <v>26</v>
      </c>
      <c r="E52" s="32">
        <v>173540</v>
      </c>
      <c r="F52" s="31" t="s">
        <v>111</v>
      </c>
      <c r="G52" s="31">
        <v>512</v>
      </c>
      <c r="H52" s="32">
        <v>19</v>
      </c>
      <c r="I52" s="32">
        <v>25</v>
      </c>
      <c r="J52" s="32" t="s">
        <v>28</v>
      </c>
      <c r="K52" s="32">
        <v>4</v>
      </c>
      <c r="L52" s="25" t="s">
        <v>29</v>
      </c>
      <c r="M52" s="13">
        <v>43549</v>
      </c>
      <c r="N52" s="14">
        <v>43549</v>
      </c>
      <c r="O52" s="25" t="s">
        <v>30</v>
      </c>
      <c r="P52" s="11">
        <f t="shared" si="16"/>
        <v>43914</v>
      </c>
      <c r="Q52" s="3">
        <f t="shared" si="17"/>
        <v>43854</v>
      </c>
      <c r="R52" s="3">
        <v>43945</v>
      </c>
      <c r="S52" s="68"/>
      <c r="T52" s="13">
        <f t="shared" si="18"/>
        <v>44310</v>
      </c>
      <c r="U52" s="14">
        <f>T52-60</f>
        <v>44250</v>
      </c>
      <c r="V52" s="14">
        <v>44271</v>
      </c>
      <c r="W52" s="19"/>
      <c r="X52" s="13">
        <f>T52+365</f>
        <v>44675</v>
      </c>
      <c r="Y52" s="14">
        <f t="shared" ref="Y52:Y58" si="22">X52-60</f>
        <v>44615</v>
      </c>
      <c r="Z52" s="14">
        <v>44714</v>
      </c>
      <c r="AA52" s="19"/>
      <c r="AC52" s="131"/>
    </row>
    <row r="53" spans="1:30" ht="14.15" customHeight="1" x14ac:dyDescent="0.3">
      <c r="A53" s="51" t="s">
        <v>36</v>
      </c>
      <c r="B53" s="106" t="s">
        <v>106</v>
      </c>
      <c r="C53" s="50" t="s">
        <v>107</v>
      </c>
      <c r="D53" s="50" t="s">
        <v>26</v>
      </c>
      <c r="E53" s="50">
        <v>53401</v>
      </c>
      <c r="F53" s="70" t="s">
        <v>112</v>
      </c>
      <c r="G53" s="51" t="s">
        <v>44</v>
      </c>
      <c r="H53" s="50">
        <v>19</v>
      </c>
      <c r="I53" s="50">
        <v>5</v>
      </c>
      <c r="J53" s="50" t="s">
        <v>28</v>
      </c>
      <c r="K53" s="50">
        <v>4</v>
      </c>
      <c r="L53" s="52" t="s">
        <v>29</v>
      </c>
      <c r="M53" s="39">
        <v>43697</v>
      </c>
      <c r="N53" s="51"/>
      <c r="O53" s="52" t="s">
        <v>30</v>
      </c>
      <c r="P53" s="11">
        <f t="shared" si="16"/>
        <v>44062</v>
      </c>
      <c r="Q53" s="3">
        <f t="shared" si="17"/>
        <v>44002</v>
      </c>
      <c r="R53" s="3">
        <v>44099</v>
      </c>
      <c r="S53" s="68"/>
      <c r="T53" s="39">
        <f t="shared" si="18"/>
        <v>44464</v>
      </c>
      <c r="U53" s="40">
        <v>44285</v>
      </c>
      <c r="V53" s="40">
        <v>44316</v>
      </c>
      <c r="W53" s="53"/>
      <c r="X53" s="39">
        <f>365+V53</f>
        <v>44681</v>
      </c>
      <c r="Y53" s="40">
        <f t="shared" si="22"/>
        <v>44621</v>
      </c>
      <c r="Z53" s="40">
        <v>44672</v>
      </c>
      <c r="AA53" s="41">
        <v>44672</v>
      </c>
      <c r="AC53" s="131"/>
    </row>
    <row r="54" spans="1:30" x14ac:dyDescent="0.3">
      <c r="A54" s="51" t="s">
        <v>36</v>
      </c>
      <c r="B54" s="106" t="s">
        <v>106</v>
      </c>
      <c r="C54" s="50" t="s">
        <v>107</v>
      </c>
      <c r="D54" s="50" t="s">
        <v>26</v>
      </c>
      <c r="E54" s="50">
        <v>177184</v>
      </c>
      <c r="F54" s="49" t="s">
        <v>113</v>
      </c>
      <c r="G54" s="49">
        <v>839</v>
      </c>
      <c r="H54" s="50">
        <v>9</v>
      </c>
      <c r="I54" s="50">
        <v>25</v>
      </c>
      <c r="J54" s="50" t="s">
        <v>28</v>
      </c>
      <c r="K54" s="50">
        <v>2</v>
      </c>
      <c r="L54" s="52" t="s">
        <v>29</v>
      </c>
      <c r="M54" s="39"/>
      <c r="N54" s="40"/>
      <c r="O54" s="52" t="s">
        <v>30</v>
      </c>
      <c r="P54" s="11"/>
      <c r="Q54" s="3">
        <v>44092</v>
      </c>
      <c r="R54" s="3">
        <v>44099</v>
      </c>
      <c r="S54" s="68"/>
      <c r="T54" s="39">
        <f t="shared" si="18"/>
        <v>44464</v>
      </c>
      <c r="U54" s="40">
        <v>44285</v>
      </c>
      <c r="V54" s="40">
        <v>44316</v>
      </c>
      <c r="W54" s="53"/>
      <c r="X54" s="39">
        <f>365+V54</f>
        <v>44681</v>
      </c>
      <c r="Y54" s="40">
        <f t="shared" si="22"/>
        <v>44621</v>
      </c>
      <c r="Z54" s="40">
        <v>44669</v>
      </c>
      <c r="AA54" s="41">
        <v>44670</v>
      </c>
      <c r="AC54" s="130" t="s">
        <v>247</v>
      </c>
      <c r="AD54" s="132" t="s">
        <v>248</v>
      </c>
    </row>
    <row r="55" spans="1:30" x14ac:dyDescent="0.3">
      <c r="A55" s="29" t="s">
        <v>31</v>
      </c>
      <c r="B55" s="121" t="s">
        <v>80</v>
      </c>
      <c r="C55" s="32" t="s">
        <v>87</v>
      </c>
      <c r="D55" s="32" t="s">
        <v>26</v>
      </c>
      <c r="E55" s="32">
        <v>99631</v>
      </c>
      <c r="F55" s="31" t="s">
        <v>27</v>
      </c>
      <c r="G55" s="31" t="s">
        <v>27</v>
      </c>
      <c r="H55" s="32">
        <v>19</v>
      </c>
      <c r="I55" s="32">
        <v>25</v>
      </c>
      <c r="J55" s="32" t="s">
        <v>28</v>
      </c>
      <c r="K55" s="32">
        <v>4</v>
      </c>
      <c r="L55" s="25" t="s">
        <v>29</v>
      </c>
      <c r="M55" s="13">
        <v>44410</v>
      </c>
      <c r="N55" s="14">
        <v>44420</v>
      </c>
      <c r="O55" s="25" t="s">
        <v>30</v>
      </c>
      <c r="P55" s="11"/>
      <c r="Q55" s="3"/>
      <c r="R55" s="3"/>
      <c r="S55" s="68"/>
      <c r="T55" s="13"/>
      <c r="U55" s="14"/>
      <c r="V55" s="14"/>
      <c r="W55" s="14"/>
      <c r="X55" s="13">
        <f>365+M55</f>
        <v>44775</v>
      </c>
      <c r="Y55" s="14">
        <f t="shared" si="22"/>
        <v>44715</v>
      </c>
      <c r="Z55" s="14">
        <v>44645</v>
      </c>
      <c r="AA55" s="19"/>
      <c r="AC55" s="131"/>
    </row>
    <row r="56" spans="1:30" x14ac:dyDescent="0.3">
      <c r="A56" s="29" t="s">
        <v>31</v>
      </c>
      <c r="B56" s="121" t="s">
        <v>80</v>
      </c>
      <c r="C56" s="32" t="s">
        <v>87</v>
      </c>
      <c r="D56" s="32" t="s">
        <v>26</v>
      </c>
      <c r="E56" s="32">
        <v>92184</v>
      </c>
      <c r="F56" s="31">
        <v>7075971900</v>
      </c>
      <c r="G56" s="31" t="s">
        <v>42</v>
      </c>
      <c r="H56" s="32">
        <v>19</v>
      </c>
      <c r="I56" s="32">
        <v>25</v>
      </c>
      <c r="J56" s="32" t="s">
        <v>28</v>
      </c>
      <c r="K56" s="32">
        <v>4</v>
      </c>
      <c r="L56" s="25" t="s">
        <v>29</v>
      </c>
      <c r="M56" s="13">
        <v>43692</v>
      </c>
      <c r="N56" s="14">
        <v>43692</v>
      </c>
      <c r="O56" s="25" t="s">
        <v>30</v>
      </c>
      <c r="P56" s="11">
        <f t="shared" ref="P56:P68" si="23">M56+365</f>
        <v>44057</v>
      </c>
      <c r="Q56" s="3">
        <f t="shared" ref="Q56:Q68" si="24">P56-60</f>
        <v>43997</v>
      </c>
      <c r="R56" s="3">
        <v>44124</v>
      </c>
      <c r="S56" s="68"/>
      <c r="T56" s="13">
        <f t="shared" ref="T56:T68" si="25">P56+365</f>
        <v>44422</v>
      </c>
      <c r="U56" s="14">
        <f t="shared" ref="U56:U68" si="26">T56-60</f>
        <v>44362</v>
      </c>
      <c r="V56" s="14">
        <v>44392</v>
      </c>
      <c r="W56" s="19"/>
      <c r="X56" s="13">
        <f>365+V56</f>
        <v>44757</v>
      </c>
      <c r="Y56" s="14">
        <f t="shared" si="22"/>
        <v>44697</v>
      </c>
      <c r="Z56" s="14">
        <v>44796</v>
      </c>
      <c r="AA56" s="19"/>
      <c r="AC56" s="131"/>
    </row>
    <row r="57" spans="1:30" x14ac:dyDescent="0.3">
      <c r="A57" s="28"/>
      <c r="B57" s="91" t="s">
        <v>80</v>
      </c>
      <c r="C57" s="1" t="s">
        <v>87</v>
      </c>
      <c r="D57" s="1" t="s">
        <v>26</v>
      </c>
      <c r="E57" s="1">
        <v>158014</v>
      </c>
      <c r="F57" s="5">
        <v>63316302</v>
      </c>
      <c r="G57" s="5" t="s">
        <v>45</v>
      </c>
      <c r="H57" s="1">
        <v>25</v>
      </c>
      <c r="I57" s="1">
        <v>25</v>
      </c>
      <c r="J57" s="1" t="s">
        <v>46</v>
      </c>
      <c r="K57" s="1">
        <v>4</v>
      </c>
      <c r="L57" s="24" t="s">
        <v>29</v>
      </c>
      <c r="M57" s="11">
        <v>43747</v>
      </c>
      <c r="N57" s="3">
        <v>43801</v>
      </c>
      <c r="O57" s="24" t="s">
        <v>30</v>
      </c>
      <c r="P57" s="11">
        <f t="shared" si="23"/>
        <v>44112</v>
      </c>
      <c r="Q57" s="3">
        <f t="shared" si="24"/>
        <v>44052</v>
      </c>
      <c r="R57" s="3">
        <v>44140</v>
      </c>
      <c r="S57" s="68">
        <v>44250</v>
      </c>
      <c r="T57" s="11">
        <f t="shared" si="25"/>
        <v>44477</v>
      </c>
      <c r="U57" s="3">
        <f t="shared" si="26"/>
        <v>44417</v>
      </c>
      <c r="V57" s="3">
        <v>44389</v>
      </c>
      <c r="W57" s="68"/>
      <c r="X57" s="11">
        <f>V57+365</f>
        <v>44754</v>
      </c>
      <c r="Y57" s="3">
        <f t="shared" si="22"/>
        <v>44694</v>
      </c>
      <c r="Z57" s="3"/>
      <c r="AA57" s="12"/>
      <c r="AC57" s="131"/>
    </row>
    <row r="58" spans="1:30" x14ac:dyDescent="0.3">
      <c r="A58" s="29" t="s">
        <v>31</v>
      </c>
      <c r="B58" s="104" t="s">
        <v>80</v>
      </c>
      <c r="C58" s="32" t="s">
        <v>87</v>
      </c>
      <c r="D58" s="32" t="s">
        <v>26</v>
      </c>
      <c r="E58" s="32">
        <v>74164</v>
      </c>
      <c r="F58" s="31" t="s">
        <v>114</v>
      </c>
      <c r="G58" s="31" t="s">
        <v>115</v>
      </c>
      <c r="H58" s="32">
        <v>19</v>
      </c>
      <c r="I58" s="32">
        <v>5</v>
      </c>
      <c r="J58" s="32" t="s">
        <v>28</v>
      </c>
      <c r="K58" s="32">
        <v>4</v>
      </c>
      <c r="L58" s="25" t="s">
        <v>29</v>
      </c>
      <c r="M58" s="13">
        <v>43747</v>
      </c>
      <c r="N58" s="14">
        <v>43801</v>
      </c>
      <c r="O58" s="25" t="s">
        <v>30</v>
      </c>
      <c r="P58" s="11">
        <f t="shared" si="23"/>
        <v>44112</v>
      </c>
      <c r="Q58" s="3">
        <f t="shared" si="24"/>
        <v>44052</v>
      </c>
      <c r="R58" s="3">
        <v>44132</v>
      </c>
      <c r="S58" s="68">
        <v>44250</v>
      </c>
      <c r="T58" s="13">
        <f t="shared" si="25"/>
        <v>44477</v>
      </c>
      <c r="U58" s="14">
        <f t="shared" si="26"/>
        <v>44417</v>
      </c>
      <c r="V58" s="14">
        <v>44405</v>
      </c>
      <c r="W58" s="48">
        <v>44426</v>
      </c>
      <c r="X58" s="13">
        <f>365+V58</f>
        <v>44770</v>
      </c>
      <c r="Y58" s="14">
        <f t="shared" si="22"/>
        <v>44710</v>
      </c>
      <c r="Z58" s="14">
        <v>44810</v>
      </c>
      <c r="AA58" s="19"/>
      <c r="AC58" s="131"/>
    </row>
    <row r="59" spans="1:30" x14ac:dyDescent="0.3">
      <c r="A59" s="29" t="s">
        <v>31</v>
      </c>
      <c r="B59" s="104" t="s">
        <v>80</v>
      </c>
      <c r="C59" s="32" t="s">
        <v>87</v>
      </c>
      <c r="D59" s="32" t="s">
        <v>26</v>
      </c>
      <c r="E59" s="32">
        <v>205138</v>
      </c>
      <c r="F59" s="31">
        <v>71076600</v>
      </c>
      <c r="G59" s="31" t="s">
        <v>116</v>
      </c>
      <c r="H59" s="32">
        <v>19</v>
      </c>
      <c r="I59" s="32">
        <v>25</v>
      </c>
      <c r="J59" s="32" t="s">
        <v>46</v>
      </c>
      <c r="K59" s="32">
        <v>4</v>
      </c>
      <c r="L59" s="25" t="s">
        <v>29</v>
      </c>
      <c r="M59" s="13">
        <v>44370</v>
      </c>
      <c r="N59" s="26"/>
      <c r="O59" s="25" t="s">
        <v>30</v>
      </c>
      <c r="P59" s="15"/>
      <c r="S59" s="12"/>
      <c r="T59" s="62"/>
      <c r="U59" s="26"/>
      <c r="V59" s="26"/>
      <c r="W59" s="48"/>
      <c r="X59" s="13">
        <f>M59+365</f>
        <v>44735</v>
      </c>
      <c r="Y59" s="14">
        <f t="shared" ref="Y59:Y65" si="27">X59-60</f>
        <v>44675</v>
      </c>
      <c r="Z59" s="14">
        <v>44694</v>
      </c>
      <c r="AA59" s="19"/>
      <c r="AC59" s="131"/>
    </row>
    <row r="60" spans="1:30" x14ac:dyDescent="0.3">
      <c r="A60" s="28"/>
      <c r="B60" s="91" t="s">
        <v>80</v>
      </c>
      <c r="C60" s="1" t="s">
        <v>87</v>
      </c>
      <c r="D60" s="1" t="s">
        <v>26</v>
      </c>
      <c r="E60" s="1">
        <v>176660</v>
      </c>
      <c r="F60" s="5" t="s">
        <v>117</v>
      </c>
      <c r="G60" s="5">
        <v>317</v>
      </c>
      <c r="H60" s="1">
        <v>19</v>
      </c>
      <c r="I60" s="1">
        <v>33</v>
      </c>
      <c r="J60" s="1" t="s">
        <v>28</v>
      </c>
      <c r="K60" s="1">
        <v>4</v>
      </c>
      <c r="L60" s="24" t="s">
        <v>29</v>
      </c>
      <c r="M60" s="11">
        <v>44410</v>
      </c>
      <c r="N60" s="3">
        <v>44420</v>
      </c>
      <c r="O60" s="24" t="s">
        <v>30</v>
      </c>
      <c r="P60" s="15"/>
      <c r="S60" s="12"/>
      <c r="T60" s="15"/>
      <c r="W60" s="68"/>
      <c r="X60" s="11">
        <f>365+M60</f>
        <v>44775</v>
      </c>
      <c r="Y60" s="3">
        <f t="shared" si="27"/>
        <v>44715</v>
      </c>
      <c r="Z60" s="3"/>
      <c r="AA60" s="12"/>
      <c r="AC60" s="131"/>
    </row>
    <row r="61" spans="1:30" x14ac:dyDescent="0.3">
      <c r="A61" s="29" t="s">
        <v>31</v>
      </c>
      <c r="B61" s="104" t="s">
        <v>80</v>
      </c>
      <c r="C61" s="32" t="s">
        <v>87</v>
      </c>
      <c r="D61" s="32" t="s">
        <v>26</v>
      </c>
      <c r="E61" s="32">
        <v>172178</v>
      </c>
      <c r="F61" s="31" t="s">
        <v>118</v>
      </c>
      <c r="G61" s="31">
        <v>880</v>
      </c>
      <c r="H61" s="32">
        <v>19</v>
      </c>
      <c r="I61" s="32">
        <v>5</v>
      </c>
      <c r="J61" s="32" t="s">
        <v>28</v>
      </c>
      <c r="K61" s="32">
        <v>4</v>
      </c>
      <c r="L61" s="25" t="s">
        <v>29</v>
      </c>
      <c r="M61" s="13">
        <v>44410</v>
      </c>
      <c r="N61" s="14">
        <v>44420</v>
      </c>
      <c r="O61" s="25" t="s">
        <v>30</v>
      </c>
      <c r="P61" s="15"/>
      <c r="S61" s="12"/>
      <c r="T61" s="62"/>
      <c r="U61" s="26"/>
      <c r="V61" s="26"/>
      <c r="W61" s="19"/>
      <c r="X61" s="13">
        <f>365+M61</f>
        <v>44775</v>
      </c>
      <c r="Y61" s="14">
        <f t="shared" si="27"/>
        <v>44715</v>
      </c>
      <c r="Z61" s="14">
        <v>44810</v>
      </c>
      <c r="AA61" s="19"/>
      <c r="AC61" s="131"/>
    </row>
    <row r="62" spans="1:30" x14ac:dyDescent="0.3">
      <c r="A62" s="28"/>
      <c r="B62" s="91" t="s">
        <v>80</v>
      </c>
      <c r="C62" s="1" t="s">
        <v>87</v>
      </c>
      <c r="D62" s="1" t="s">
        <v>26</v>
      </c>
      <c r="E62" s="1">
        <v>156030</v>
      </c>
      <c r="F62" s="5" t="s">
        <v>119</v>
      </c>
      <c r="G62" s="5" t="s">
        <v>58</v>
      </c>
      <c r="H62" s="1">
        <v>19</v>
      </c>
      <c r="I62" s="1">
        <v>25</v>
      </c>
      <c r="J62" s="1" t="s">
        <v>28</v>
      </c>
      <c r="K62" s="1">
        <v>4</v>
      </c>
      <c r="L62" s="24" t="s">
        <v>29</v>
      </c>
      <c r="M62" s="11">
        <v>44410</v>
      </c>
      <c r="N62" s="3">
        <v>44420</v>
      </c>
      <c r="O62" s="24" t="s">
        <v>30</v>
      </c>
      <c r="P62" s="15"/>
      <c r="S62" s="12"/>
      <c r="T62" s="15"/>
      <c r="W62" s="68"/>
      <c r="X62" s="11">
        <f>365+M62</f>
        <v>44775</v>
      </c>
      <c r="Y62" s="3">
        <f t="shared" si="27"/>
        <v>44715</v>
      </c>
      <c r="Z62" s="3"/>
      <c r="AA62" s="12"/>
      <c r="AC62" s="131"/>
    </row>
    <row r="63" spans="1:30" x14ac:dyDescent="0.3">
      <c r="A63" s="29" t="s">
        <v>31</v>
      </c>
      <c r="B63" s="104" t="s">
        <v>80</v>
      </c>
      <c r="C63" s="32" t="s">
        <v>87</v>
      </c>
      <c r="D63" s="32" t="s">
        <v>26</v>
      </c>
      <c r="E63" s="32">
        <v>222524</v>
      </c>
      <c r="F63" s="31" t="s">
        <v>120</v>
      </c>
      <c r="G63" s="26" t="s">
        <v>121</v>
      </c>
      <c r="H63" s="32">
        <v>19</v>
      </c>
      <c r="I63" s="32">
        <v>1.6E-2</v>
      </c>
      <c r="J63" s="32"/>
      <c r="K63" s="32">
        <v>4</v>
      </c>
      <c r="L63" s="25" t="s">
        <v>29</v>
      </c>
      <c r="M63" s="13">
        <v>44397</v>
      </c>
      <c r="N63" s="26"/>
      <c r="O63" s="25" t="s">
        <v>30</v>
      </c>
      <c r="P63" s="15"/>
      <c r="S63" s="12"/>
      <c r="T63" s="62"/>
      <c r="U63" s="26"/>
      <c r="V63" s="26"/>
      <c r="W63" s="19"/>
      <c r="X63" s="13">
        <f>365+M63</f>
        <v>44762</v>
      </c>
      <c r="Y63" s="14">
        <f t="shared" si="27"/>
        <v>44702</v>
      </c>
      <c r="Z63" s="14">
        <v>44796</v>
      </c>
      <c r="AA63" s="19"/>
      <c r="AC63" s="131"/>
    </row>
    <row r="64" spans="1:30" x14ac:dyDescent="0.3">
      <c r="A64" s="28"/>
      <c r="B64" s="91" t="s">
        <v>80</v>
      </c>
      <c r="C64" s="1" t="s">
        <v>87</v>
      </c>
      <c r="D64" s="1" t="s">
        <v>26</v>
      </c>
      <c r="E64" s="1">
        <v>156361</v>
      </c>
      <c r="F64" s="5">
        <v>70995700</v>
      </c>
      <c r="G64" s="2" t="s">
        <v>53</v>
      </c>
      <c r="H64" s="1">
        <v>19</v>
      </c>
      <c r="I64" s="1">
        <v>25</v>
      </c>
      <c r="J64" s="1" t="s">
        <v>28</v>
      </c>
      <c r="K64" s="1">
        <v>4</v>
      </c>
      <c r="L64" s="24" t="s">
        <v>29</v>
      </c>
      <c r="M64" s="11">
        <v>44427</v>
      </c>
      <c r="O64" s="24" t="s">
        <v>30</v>
      </c>
      <c r="P64" s="15"/>
      <c r="S64" s="12"/>
      <c r="T64" s="15"/>
      <c r="W64" s="12"/>
      <c r="X64" s="11">
        <f>365+M64</f>
        <v>44792</v>
      </c>
      <c r="Y64" s="3">
        <f t="shared" si="27"/>
        <v>44732</v>
      </c>
      <c r="Z64" s="3"/>
      <c r="AA64" s="12"/>
      <c r="AC64" s="131"/>
    </row>
    <row r="65" spans="1:29" x14ac:dyDescent="0.3">
      <c r="A65" s="28"/>
      <c r="B65" s="91" t="s">
        <v>80</v>
      </c>
      <c r="C65" s="1" t="s">
        <v>87</v>
      </c>
      <c r="D65" s="1" t="s">
        <v>26</v>
      </c>
      <c r="E65" s="1">
        <v>154505</v>
      </c>
      <c r="F65" s="5" t="s">
        <v>122</v>
      </c>
      <c r="G65" s="2" t="s">
        <v>43</v>
      </c>
      <c r="H65" s="1">
        <v>19</v>
      </c>
      <c r="I65" s="1">
        <v>25</v>
      </c>
      <c r="J65" s="1" t="s">
        <v>28</v>
      </c>
      <c r="K65" s="1">
        <v>4</v>
      </c>
      <c r="L65" s="24" t="s">
        <v>29</v>
      </c>
      <c r="M65" s="11"/>
      <c r="O65" s="24" t="s">
        <v>30</v>
      </c>
      <c r="P65" s="15"/>
      <c r="S65" s="12"/>
      <c r="T65" s="11"/>
      <c r="U65" s="3">
        <v>44453</v>
      </c>
      <c r="V65" s="3">
        <v>44483</v>
      </c>
      <c r="W65" s="68"/>
      <c r="X65" s="11">
        <f>V65+365</f>
        <v>44848</v>
      </c>
      <c r="Y65" s="3">
        <f t="shared" si="27"/>
        <v>44788</v>
      </c>
      <c r="Z65" s="3"/>
      <c r="AA65" s="12"/>
      <c r="AC65" s="131"/>
    </row>
    <row r="66" spans="1:29" x14ac:dyDescent="0.3">
      <c r="A66" s="29" t="s">
        <v>31</v>
      </c>
      <c r="B66" s="104" t="s">
        <v>123</v>
      </c>
      <c r="C66" s="32" t="s">
        <v>124</v>
      </c>
      <c r="D66" s="32" t="s">
        <v>26</v>
      </c>
      <c r="E66" s="32">
        <v>153519</v>
      </c>
      <c r="F66" s="31">
        <v>49070172</v>
      </c>
      <c r="G66" s="31">
        <v>839</v>
      </c>
      <c r="H66" s="32">
        <v>19</v>
      </c>
      <c r="I66" s="32">
        <v>25</v>
      </c>
      <c r="J66" s="32" t="s">
        <v>40</v>
      </c>
      <c r="K66" s="32">
        <v>4</v>
      </c>
      <c r="L66" s="25" t="s">
        <v>29</v>
      </c>
      <c r="M66" s="13">
        <v>43647</v>
      </c>
      <c r="N66" s="14">
        <v>44148</v>
      </c>
      <c r="O66" s="25" t="s">
        <v>30</v>
      </c>
      <c r="P66" s="11">
        <f t="shared" si="23"/>
        <v>44012</v>
      </c>
      <c r="Q66" s="3">
        <f t="shared" si="24"/>
        <v>43952</v>
      </c>
      <c r="R66" s="3">
        <v>44147</v>
      </c>
      <c r="S66" s="68"/>
      <c r="T66" s="13">
        <f t="shared" si="25"/>
        <v>44377</v>
      </c>
      <c r="U66" s="14">
        <f t="shared" si="26"/>
        <v>44317</v>
      </c>
      <c r="V66" s="14">
        <v>44323</v>
      </c>
      <c r="W66" s="48"/>
      <c r="X66" s="13">
        <f>V66+365</f>
        <v>44688</v>
      </c>
      <c r="Y66" s="14">
        <f t="shared" ref="Y66:Y73" si="28">X66-60</f>
        <v>44628</v>
      </c>
      <c r="Z66" s="14">
        <v>44662</v>
      </c>
      <c r="AA66" s="19"/>
      <c r="AC66" s="131"/>
    </row>
    <row r="67" spans="1:29" x14ac:dyDescent="0.3">
      <c r="A67" s="26" t="s">
        <v>31</v>
      </c>
      <c r="B67" s="104" t="s">
        <v>125</v>
      </c>
      <c r="C67" s="32" t="s">
        <v>126</v>
      </c>
      <c r="D67" s="32" t="s">
        <v>26</v>
      </c>
      <c r="E67" s="32">
        <v>162216</v>
      </c>
      <c r="F67" s="54" t="s">
        <v>127</v>
      </c>
      <c r="G67" s="31">
        <v>839</v>
      </c>
      <c r="H67" s="32">
        <v>9</v>
      </c>
      <c r="I67" s="32">
        <v>25</v>
      </c>
      <c r="J67" s="32" t="s">
        <v>40</v>
      </c>
      <c r="K67" s="32">
        <v>2</v>
      </c>
      <c r="L67" s="25" t="s">
        <v>29</v>
      </c>
      <c r="M67" s="13">
        <v>43635</v>
      </c>
      <c r="N67" s="26"/>
      <c r="O67" s="25" t="s">
        <v>30</v>
      </c>
      <c r="P67" s="11">
        <f t="shared" si="23"/>
        <v>44000</v>
      </c>
      <c r="Q67" s="3">
        <f t="shared" si="24"/>
        <v>43940</v>
      </c>
      <c r="R67" s="3">
        <v>44147</v>
      </c>
      <c r="S67" s="68"/>
      <c r="T67" s="13">
        <f t="shared" si="25"/>
        <v>44365</v>
      </c>
      <c r="U67" s="14">
        <f t="shared" si="26"/>
        <v>44305</v>
      </c>
      <c r="V67" s="14">
        <v>44298</v>
      </c>
      <c r="W67" s="19"/>
      <c r="X67" s="13">
        <f>V67+365</f>
        <v>44663</v>
      </c>
      <c r="Y67" s="14">
        <f t="shared" si="28"/>
        <v>44603</v>
      </c>
      <c r="Z67" s="14">
        <v>44623</v>
      </c>
      <c r="AA67" s="19"/>
      <c r="AC67" s="131"/>
    </row>
    <row r="68" spans="1:29" x14ac:dyDescent="0.3">
      <c r="A68" s="45" t="s">
        <v>36</v>
      </c>
      <c r="B68" s="106" t="s">
        <v>128</v>
      </c>
      <c r="C68" s="50" t="s">
        <v>129</v>
      </c>
      <c r="D68" s="50" t="s">
        <v>26</v>
      </c>
      <c r="E68" s="50">
        <v>174352</v>
      </c>
      <c r="F68" s="49" t="s">
        <v>130</v>
      </c>
      <c r="G68" s="49" t="s">
        <v>72</v>
      </c>
      <c r="H68" s="50">
        <v>19</v>
      </c>
      <c r="I68" s="50">
        <v>15</v>
      </c>
      <c r="J68" s="50" t="s">
        <v>28</v>
      </c>
      <c r="K68" s="50">
        <v>2</v>
      </c>
      <c r="L68" s="52" t="s">
        <v>29</v>
      </c>
      <c r="M68" s="39">
        <v>43647</v>
      </c>
      <c r="N68" s="51"/>
      <c r="O68" s="52" t="s">
        <v>30</v>
      </c>
      <c r="P68" s="11">
        <f t="shared" si="23"/>
        <v>44012</v>
      </c>
      <c r="Q68" s="3">
        <f t="shared" si="24"/>
        <v>43952</v>
      </c>
      <c r="R68" s="3">
        <v>44147</v>
      </c>
      <c r="S68" s="68"/>
      <c r="T68" s="39">
        <f t="shared" si="25"/>
        <v>44377</v>
      </c>
      <c r="U68" s="40">
        <f t="shared" si="26"/>
        <v>44317</v>
      </c>
      <c r="V68" s="40">
        <v>44323</v>
      </c>
      <c r="W68" s="53"/>
      <c r="X68" s="39">
        <f>365+V68</f>
        <v>44688</v>
      </c>
      <c r="Y68" s="40">
        <f t="shared" si="28"/>
        <v>44628</v>
      </c>
      <c r="Z68" s="40">
        <v>44662</v>
      </c>
      <c r="AA68" s="41">
        <v>44662</v>
      </c>
      <c r="AC68" s="131"/>
    </row>
    <row r="69" spans="1:29" x14ac:dyDescent="0.3">
      <c r="A69" s="29" t="s">
        <v>31</v>
      </c>
      <c r="B69" s="104" t="s">
        <v>128</v>
      </c>
      <c r="C69" s="32" t="s">
        <v>131</v>
      </c>
      <c r="D69" s="32" t="s">
        <v>35</v>
      </c>
      <c r="E69" s="32">
        <v>191015</v>
      </c>
      <c r="F69" s="31" t="s">
        <v>132</v>
      </c>
      <c r="G69" s="26" t="s">
        <v>83</v>
      </c>
      <c r="H69" s="32">
        <v>19</v>
      </c>
      <c r="I69" s="32">
        <v>33</v>
      </c>
      <c r="J69" s="32" t="s">
        <v>41</v>
      </c>
      <c r="K69" s="32">
        <v>2</v>
      </c>
      <c r="L69" s="25" t="s">
        <v>29</v>
      </c>
      <c r="M69" s="13">
        <v>44411</v>
      </c>
      <c r="N69" s="26"/>
      <c r="O69" s="25" t="s">
        <v>30</v>
      </c>
      <c r="P69" s="15"/>
      <c r="S69" s="12"/>
      <c r="T69" s="62"/>
      <c r="U69" s="26"/>
      <c r="V69" s="26"/>
      <c r="W69" s="19"/>
      <c r="X69" s="13">
        <f>M69+365</f>
        <v>44776</v>
      </c>
      <c r="Y69" s="14">
        <f>X69-60</f>
        <v>44716</v>
      </c>
      <c r="Z69" s="14">
        <v>44770</v>
      </c>
      <c r="AA69" s="19"/>
      <c r="AC69" s="131"/>
    </row>
    <row r="70" spans="1:29" x14ac:dyDescent="0.3">
      <c r="A70" s="26" t="s">
        <v>31</v>
      </c>
      <c r="B70" s="104" t="s">
        <v>133</v>
      </c>
      <c r="C70" s="32" t="s">
        <v>134</v>
      </c>
      <c r="D70" s="32" t="s">
        <v>26</v>
      </c>
      <c r="E70" s="32">
        <v>53400</v>
      </c>
      <c r="F70" s="54" t="s">
        <v>135</v>
      </c>
      <c r="G70" s="31" t="s">
        <v>136</v>
      </c>
      <c r="H70" s="32">
        <v>19</v>
      </c>
      <c r="I70" s="32">
        <v>10</v>
      </c>
      <c r="J70" s="32" t="s">
        <v>28</v>
      </c>
      <c r="K70" s="32">
        <v>2</v>
      </c>
      <c r="L70" s="25" t="s">
        <v>29</v>
      </c>
      <c r="M70" s="13">
        <v>44257</v>
      </c>
      <c r="N70" s="26"/>
      <c r="O70" s="25" t="s">
        <v>30</v>
      </c>
      <c r="P70" s="15"/>
      <c r="R70" s="3"/>
      <c r="S70" s="68"/>
      <c r="T70" s="13"/>
      <c r="U70" s="14"/>
      <c r="V70" s="26"/>
      <c r="W70" s="19"/>
      <c r="X70" s="13">
        <f>M70+365</f>
        <v>44622</v>
      </c>
      <c r="Y70" s="14">
        <f t="shared" si="28"/>
        <v>44562</v>
      </c>
      <c r="Z70" s="14">
        <v>44656</v>
      </c>
      <c r="AA70" s="19"/>
      <c r="AC70" s="131"/>
    </row>
    <row r="71" spans="1:29" x14ac:dyDescent="0.3">
      <c r="A71" s="29" t="s">
        <v>31</v>
      </c>
      <c r="B71" s="104" t="s">
        <v>137</v>
      </c>
      <c r="C71" s="32" t="s">
        <v>138</v>
      </c>
      <c r="D71" s="32" t="s">
        <v>26</v>
      </c>
      <c r="E71" s="32">
        <v>176641</v>
      </c>
      <c r="F71" s="31">
        <v>10009932</v>
      </c>
      <c r="G71" s="31">
        <v>8550</v>
      </c>
      <c r="H71" s="32">
        <v>19</v>
      </c>
      <c r="I71" s="32">
        <v>25</v>
      </c>
      <c r="J71" s="32" t="s">
        <v>40</v>
      </c>
      <c r="K71" s="32">
        <v>4</v>
      </c>
      <c r="L71" s="25" t="s">
        <v>29</v>
      </c>
      <c r="M71" s="13">
        <v>43489</v>
      </c>
      <c r="N71" s="26"/>
      <c r="O71" s="25" t="s">
        <v>30</v>
      </c>
      <c r="P71" s="11">
        <f>M71+365</f>
        <v>43854</v>
      </c>
      <c r="Q71" s="3">
        <f>P71-60</f>
        <v>43794</v>
      </c>
      <c r="R71" s="3">
        <v>43958</v>
      </c>
      <c r="S71" s="68"/>
      <c r="T71" s="13">
        <f>P71+365</f>
        <v>44219</v>
      </c>
      <c r="U71" s="14">
        <f>T71-60</f>
        <v>44159</v>
      </c>
      <c r="V71" s="14">
        <v>44257</v>
      </c>
      <c r="W71" s="48">
        <v>44575</v>
      </c>
      <c r="X71" s="13">
        <f>V71+365</f>
        <v>44622</v>
      </c>
      <c r="Y71" s="14">
        <f t="shared" si="28"/>
        <v>44562</v>
      </c>
      <c r="Z71" s="14">
        <v>44596</v>
      </c>
      <c r="AA71" s="19"/>
      <c r="AC71" s="131"/>
    </row>
    <row r="72" spans="1:29" x14ac:dyDescent="0.3">
      <c r="A72" s="29" t="s">
        <v>31</v>
      </c>
      <c r="B72" s="104" t="s">
        <v>137</v>
      </c>
      <c r="C72" s="32" t="s">
        <v>138</v>
      </c>
      <c r="D72" s="32" t="s">
        <v>26</v>
      </c>
      <c r="E72" s="32">
        <v>172994</v>
      </c>
      <c r="F72" s="31">
        <v>10009933</v>
      </c>
      <c r="G72" s="31">
        <v>8550</v>
      </c>
      <c r="H72" s="32">
        <v>19</v>
      </c>
      <c r="I72" s="32">
        <v>25</v>
      </c>
      <c r="J72" s="32" t="s">
        <v>28</v>
      </c>
      <c r="K72" s="32">
        <v>4</v>
      </c>
      <c r="L72" s="25" t="s">
        <v>29</v>
      </c>
      <c r="M72" s="13">
        <v>43489</v>
      </c>
      <c r="N72" s="26"/>
      <c r="O72" s="25" t="s">
        <v>30</v>
      </c>
      <c r="P72" s="11">
        <f>M72+365</f>
        <v>43854</v>
      </c>
      <c r="Q72" s="3">
        <f>P72-60</f>
        <v>43794</v>
      </c>
      <c r="R72" s="3">
        <v>43958</v>
      </c>
      <c r="S72" s="68"/>
      <c r="T72" s="13">
        <f>P72+365</f>
        <v>44219</v>
      </c>
      <c r="U72" s="14">
        <f>T72-60</f>
        <v>44159</v>
      </c>
      <c r="V72" s="14">
        <v>44250</v>
      </c>
      <c r="W72" s="48">
        <v>44575</v>
      </c>
      <c r="X72" s="13">
        <f>V72+365</f>
        <v>44615</v>
      </c>
      <c r="Y72" s="14">
        <f t="shared" si="28"/>
        <v>44555</v>
      </c>
      <c r="Z72" s="14">
        <v>44602</v>
      </c>
      <c r="AA72" s="19"/>
      <c r="AC72" s="131"/>
    </row>
    <row r="73" spans="1:29" x14ac:dyDescent="0.3">
      <c r="A73" s="29" t="s">
        <v>31</v>
      </c>
      <c r="B73" s="104" t="s">
        <v>137</v>
      </c>
      <c r="C73" s="32" t="s">
        <v>138</v>
      </c>
      <c r="D73" s="32" t="s">
        <v>26</v>
      </c>
      <c r="E73" s="32">
        <v>118710</v>
      </c>
      <c r="F73" s="54">
        <v>10021707</v>
      </c>
      <c r="G73" s="31" t="s">
        <v>27</v>
      </c>
      <c r="H73" s="32">
        <v>25</v>
      </c>
      <c r="I73" s="32">
        <v>25</v>
      </c>
      <c r="J73" s="32" t="s">
        <v>28</v>
      </c>
      <c r="K73" s="32">
        <v>2</v>
      </c>
      <c r="L73" s="25" t="s">
        <v>29</v>
      </c>
      <c r="M73" s="13">
        <v>43742</v>
      </c>
      <c r="N73" s="14">
        <v>43755</v>
      </c>
      <c r="O73" s="25" t="s">
        <v>30</v>
      </c>
      <c r="P73" s="11">
        <f>M73+365</f>
        <v>44107</v>
      </c>
      <c r="Q73" s="3">
        <f>P73-60</f>
        <v>44047</v>
      </c>
      <c r="R73" s="3">
        <v>44152</v>
      </c>
      <c r="S73" s="68"/>
      <c r="T73" s="13">
        <f>P73+365</f>
        <v>44472</v>
      </c>
      <c r="U73" s="14">
        <f>T73-60</f>
        <v>44412</v>
      </c>
      <c r="V73" s="14">
        <v>44389</v>
      </c>
      <c r="W73" s="48"/>
      <c r="X73" s="13">
        <f>V73+365</f>
        <v>44754</v>
      </c>
      <c r="Y73" s="14">
        <f t="shared" si="28"/>
        <v>44694</v>
      </c>
      <c r="Z73" s="14">
        <v>44700</v>
      </c>
      <c r="AA73" s="19"/>
      <c r="AC73" s="131"/>
    </row>
    <row r="74" spans="1:29" x14ac:dyDescent="0.3">
      <c r="A74" s="29" t="s">
        <v>31</v>
      </c>
      <c r="B74" s="104" t="s">
        <v>139</v>
      </c>
      <c r="C74" s="32" t="s">
        <v>140</v>
      </c>
      <c r="D74" s="32" t="s">
        <v>26</v>
      </c>
      <c r="E74" s="32">
        <v>92184</v>
      </c>
      <c r="F74" s="31" t="s">
        <v>141</v>
      </c>
      <c r="G74" s="31" t="s">
        <v>42</v>
      </c>
      <c r="H74" s="32">
        <v>19</v>
      </c>
      <c r="I74" s="32">
        <v>25</v>
      </c>
      <c r="J74" s="32" t="s">
        <v>28</v>
      </c>
      <c r="K74" s="32">
        <v>2</v>
      </c>
      <c r="L74" s="25" t="s">
        <v>29</v>
      </c>
      <c r="M74" s="13">
        <v>43745</v>
      </c>
      <c r="N74" s="14">
        <v>43761</v>
      </c>
      <c r="O74" s="25" t="s">
        <v>30</v>
      </c>
      <c r="P74" s="11">
        <f>M74+365</f>
        <v>44110</v>
      </c>
      <c r="Q74" s="3">
        <f>P74-60</f>
        <v>44050</v>
      </c>
      <c r="R74" s="3">
        <v>44152</v>
      </c>
      <c r="S74" s="68"/>
      <c r="T74" s="13">
        <f>+Q74+365</f>
        <v>44415</v>
      </c>
      <c r="U74" s="14">
        <f>+T74-60</f>
        <v>44355</v>
      </c>
      <c r="V74" s="14">
        <v>44392</v>
      </c>
      <c r="W74" s="48"/>
      <c r="X74" s="13">
        <f>365+V74</f>
        <v>44757</v>
      </c>
      <c r="Y74" s="14">
        <f>X74-60</f>
        <v>44697</v>
      </c>
      <c r="Z74" s="14">
        <v>44700</v>
      </c>
      <c r="AA74" s="19"/>
      <c r="AC74" s="131"/>
    </row>
    <row r="75" spans="1:29" x14ac:dyDescent="0.3">
      <c r="A75" s="29" t="s">
        <v>31</v>
      </c>
      <c r="B75" s="104" t="s">
        <v>139</v>
      </c>
      <c r="C75" s="32" t="s">
        <v>140</v>
      </c>
      <c r="D75" s="32" t="s">
        <v>26</v>
      </c>
      <c r="E75" s="32">
        <v>173540</v>
      </c>
      <c r="F75" s="31" t="s">
        <v>142</v>
      </c>
      <c r="G75" s="31">
        <v>512</v>
      </c>
      <c r="H75" s="32">
        <v>19</v>
      </c>
      <c r="I75" s="32">
        <v>25</v>
      </c>
      <c r="J75" s="32" t="s">
        <v>28</v>
      </c>
      <c r="K75" s="32">
        <v>2</v>
      </c>
      <c r="L75" s="25" t="s">
        <v>29</v>
      </c>
      <c r="M75" s="13">
        <v>44027</v>
      </c>
      <c r="N75" s="14">
        <v>44379</v>
      </c>
      <c r="O75" s="25" t="s">
        <v>30</v>
      </c>
      <c r="P75" s="15"/>
      <c r="S75" s="12"/>
      <c r="T75" s="62"/>
      <c r="U75" s="26"/>
      <c r="V75" s="26"/>
      <c r="W75" s="19"/>
      <c r="X75" s="13">
        <f>N75+365</f>
        <v>44744</v>
      </c>
      <c r="Y75" s="14">
        <f>X75-60</f>
        <v>44684</v>
      </c>
      <c r="Z75" s="14">
        <v>44721</v>
      </c>
      <c r="AA75" s="19"/>
      <c r="AC75" s="131"/>
    </row>
    <row r="76" spans="1:29" x14ac:dyDescent="0.3">
      <c r="A76" s="29" t="s">
        <v>31</v>
      </c>
      <c r="B76" s="104" t="s">
        <v>139</v>
      </c>
      <c r="C76" s="32" t="s">
        <v>140</v>
      </c>
      <c r="D76" s="32" t="s">
        <v>35</v>
      </c>
      <c r="E76" s="32">
        <v>154505</v>
      </c>
      <c r="F76" s="31" t="s">
        <v>143</v>
      </c>
      <c r="G76" s="31" t="s">
        <v>43</v>
      </c>
      <c r="H76" s="32">
        <v>19</v>
      </c>
      <c r="I76" s="32">
        <v>25</v>
      </c>
      <c r="J76" s="32" t="s">
        <v>28</v>
      </c>
      <c r="K76" s="32">
        <v>2</v>
      </c>
      <c r="L76" s="25" t="s">
        <v>29</v>
      </c>
      <c r="M76" s="13">
        <v>44405</v>
      </c>
      <c r="N76" s="26"/>
      <c r="O76" s="25" t="s">
        <v>30</v>
      </c>
      <c r="P76" s="15"/>
      <c r="S76" s="12"/>
      <c r="T76" s="62"/>
      <c r="U76" s="26"/>
      <c r="V76" s="26"/>
      <c r="W76" s="19"/>
      <c r="X76" s="13">
        <f>365+M76</f>
        <v>44770</v>
      </c>
      <c r="Y76" s="14">
        <f t="shared" ref="Y76" si="29">X76-60</f>
        <v>44710</v>
      </c>
      <c r="Z76" s="14">
        <v>44721</v>
      </c>
      <c r="AA76" s="19"/>
      <c r="AC76" s="131"/>
    </row>
    <row r="77" spans="1:29" x14ac:dyDescent="0.3">
      <c r="A77" s="62" t="s">
        <v>31</v>
      </c>
      <c r="B77" s="104" t="s">
        <v>144</v>
      </c>
      <c r="C77" s="32" t="s">
        <v>145</v>
      </c>
      <c r="D77" s="32" t="s">
        <v>26</v>
      </c>
      <c r="E77" s="32">
        <v>146422</v>
      </c>
      <c r="F77" s="31">
        <v>40191408</v>
      </c>
      <c r="G77" s="31" t="s">
        <v>83</v>
      </c>
      <c r="H77" s="32">
        <v>19</v>
      </c>
      <c r="I77" s="32">
        <v>33</v>
      </c>
      <c r="J77" s="32" t="s">
        <v>28</v>
      </c>
      <c r="K77" s="32">
        <v>4</v>
      </c>
      <c r="L77" s="25" t="s">
        <v>29</v>
      </c>
      <c r="M77" s="13">
        <v>43697</v>
      </c>
      <c r="N77" s="14">
        <v>43717</v>
      </c>
      <c r="O77" s="25" t="s">
        <v>30</v>
      </c>
      <c r="P77" s="11">
        <f t="shared" ref="P77:P85" si="30">M77+365</f>
        <v>44062</v>
      </c>
      <c r="Q77" s="3">
        <f t="shared" ref="Q77:Q85" si="31">P77-60</f>
        <v>44002</v>
      </c>
      <c r="R77" s="3">
        <v>44146</v>
      </c>
      <c r="S77" s="68"/>
      <c r="T77" s="13">
        <f t="shared" ref="T77:T85" si="32">P77+365</f>
        <v>44427</v>
      </c>
      <c r="U77" s="14">
        <f t="shared" ref="U77:U100" si="33">T77-60</f>
        <v>44367</v>
      </c>
      <c r="V77" s="14">
        <v>44350</v>
      </c>
      <c r="W77" s="19"/>
      <c r="X77" s="13">
        <f>V77+365</f>
        <v>44715</v>
      </c>
      <c r="Y77" s="14">
        <f t="shared" ref="Y77:Y96" si="34">X77-60</f>
        <v>44655</v>
      </c>
      <c r="Z77" s="14">
        <v>44662</v>
      </c>
      <c r="AA77" s="19"/>
      <c r="AC77" s="131"/>
    </row>
    <row r="78" spans="1:29" x14ac:dyDescent="0.3">
      <c r="A78" s="62" t="s">
        <v>31</v>
      </c>
      <c r="B78" s="104" t="s">
        <v>144</v>
      </c>
      <c r="C78" s="32" t="s">
        <v>145</v>
      </c>
      <c r="D78" s="32" t="s">
        <v>26</v>
      </c>
      <c r="E78" s="32">
        <v>158014</v>
      </c>
      <c r="F78" s="31">
        <v>40193232</v>
      </c>
      <c r="G78" s="31" t="s">
        <v>45</v>
      </c>
      <c r="H78" s="32">
        <v>25</v>
      </c>
      <c r="I78" s="32">
        <v>25</v>
      </c>
      <c r="J78" s="32" t="s">
        <v>46</v>
      </c>
      <c r="K78" s="32">
        <v>4</v>
      </c>
      <c r="L78" s="25" t="s">
        <v>29</v>
      </c>
      <c r="M78" s="13">
        <v>43697</v>
      </c>
      <c r="N78" s="14">
        <v>43717</v>
      </c>
      <c r="O78" s="25" t="s">
        <v>30</v>
      </c>
      <c r="P78" s="11">
        <f t="shared" si="30"/>
        <v>44062</v>
      </c>
      <c r="Q78" s="3">
        <f t="shared" si="31"/>
        <v>44002</v>
      </c>
      <c r="R78" s="3">
        <v>44146</v>
      </c>
      <c r="S78" s="68"/>
      <c r="T78" s="13">
        <f t="shared" si="32"/>
        <v>44427</v>
      </c>
      <c r="U78" s="14">
        <f t="shared" si="33"/>
        <v>44367</v>
      </c>
      <c r="V78" s="14">
        <v>44392</v>
      </c>
      <c r="W78" s="48"/>
      <c r="X78" s="13">
        <f t="shared" ref="X78:X86" si="35">365+V78</f>
        <v>44757</v>
      </c>
      <c r="Y78" s="14">
        <f t="shared" si="34"/>
        <v>44697</v>
      </c>
      <c r="Z78" s="14">
        <v>44889</v>
      </c>
      <c r="AA78" s="19"/>
      <c r="AC78" s="131"/>
    </row>
    <row r="79" spans="1:29" x14ac:dyDescent="0.3">
      <c r="A79" s="62" t="s">
        <v>31</v>
      </c>
      <c r="B79" s="104" t="s">
        <v>144</v>
      </c>
      <c r="C79" s="32" t="s">
        <v>145</v>
      </c>
      <c r="D79" s="32" t="s">
        <v>26</v>
      </c>
      <c r="E79" s="32">
        <v>180814</v>
      </c>
      <c r="F79" s="31">
        <v>40021779</v>
      </c>
      <c r="G79" s="31" t="s">
        <v>53</v>
      </c>
      <c r="H79" s="32">
        <v>25</v>
      </c>
      <c r="I79" s="32">
        <v>25</v>
      </c>
      <c r="J79" s="32" t="s">
        <v>28</v>
      </c>
      <c r="K79" s="32">
        <v>4</v>
      </c>
      <c r="L79" s="25" t="s">
        <v>29</v>
      </c>
      <c r="M79" s="13">
        <v>43697</v>
      </c>
      <c r="N79" s="14">
        <v>43717</v>
      </c>
      <c r="O79" s="25" t="s">
        <v>30</v>
      </c>
      <c r="P79" s="11">
        <f t="shared" si="30"/>
        <v>44062</v>
      </c>
      <c r="Q79" s="3">
        <f t="shared" si="31"/>
        <v>44002</v>
      </c>
      <c r="R79" s="3">
        <v>44146</v>
      </c>
      <c r="S79" s="68"/>
      <c r="T79" s="13">
        <f t="shared" si="32"/>
        <v>44427</v>
      </c>
      <c r="U79" s="14">
        <f t="shared" si="33"/>
        <v>44367</v>
      </c>
      <c r="V79" s="14">
        <v>44392</v>
      </c>
      <c r="W79" s="19"/>
      <c r="X79" s="13">
        <f t="shared" si="35"/>
        <v>44757</v>
      </c>
      <c r="Y79" s="14">
        <f t="shared" si="34"/>
        <v>44697</v>
      </c>
      <c r="Z79" s="14">
        <v>44762</v>
      </c>
      <c r="AA79" s="19"/>
      <c r="AC79" s="131"/>
    </row>
    <row r="80" spans="1:29" x14ac:dyDescent="0.3">
      <c r="A80" s="62" t="s">
        <v>31</v>
      </c>
      <c r="B80" s="104" t="s">
        <v>144</v>
      </c>
      <c r="C80" s="32" t="s">
        <v>145</v>
      </c>
      <c r="D80" s="32" t="s">
        <v>26</v>
      </c>
      <c r="E80" s="32">
        <v>156361</v>
      </c>
      <c r="F80" s="31">
        <v>40021778</v>
      </c>
      <c r="G80" s="31" t="s">
        <v>53</v>
      </c>
      <c r="H80" s="32">
        <v>19</v>
      </c>
      <c r="I80" s="32">
        <v>25</v>
      </c>
      <c r="J80" s="32" t="s">
        <v>28</v>
      </c>
      <c r="K80" s="32">
        <v>4</v>
      </c>
      <c r="L80" s="25" t="s">
        <v>29</v>
      </c>
      <c r="M80" s="13">
        <v>43374</v>
      </c>
      <c r="N80" s="14">
        <v>43430</v>
      </c>
      <c r="O80" s="25" t="s">
        <v>30</v>
      </c>
      <c r="P80" s="11">
        <f>M80+365</f>
        <v>43739</v>
      </c>
      <c r="Q80" s="3">
        <f>P80-60</f>
        <v>43679</v>
      </c>
      <c r="R80" s="3">
        <v>43958</v>
      </c>
      <c r="S80" s="68"/>
      <c r="T80" s="13">
        <f>P80+365</f>
        <v>44104</v>
      </c>
      <c r="U80" s="14">
        <v>44386</v>
      </c>
      <c r="V80" s="14">
        <v>44420</v>
      </c>
      <c r="W80" s="19"/>
      <c r="X80" s="13">
        <f>365+V80</f>
        <v>44785</v>
      </c>
      <c r="Y80" s="14">
        <f>X80-60</f>
        <v>44725</v>
      </c>
      <c r="Z80" s="14">
        <v>44762</v>
      </c>
      <c r="AA80" s="19"/>
      <c r="AC80" s="131"/>
    </row>
    <row r="81" spans="1:29" x14ac:dyDescent="0.3">
      <c r="A81" s="62" t="s">
        <v>31</v>
      </c>
      <c r="B81" s="104" t="s">
        <v>144</v>
      </c>
      <c r="C81" s="32" t="s">
        <v>145</v>
      </c>
      <c r="D81" s="32" t="s">
        <v>26</v>
      </c>
      <c r="E81" s="32">
        <v>53400</v>
      </c>
      <c r="F81" s="31">
        <v>40021743</v>
      </c>
      <c r="G81" s="31" t="s">
        <v>136</v>
      </c>
      <c r="H81" s="32">
        <v>19</v>
      </c>
      <c r="I81" s="32">
        <v>10</v>
      </c>
      <c r="J81" s="32" t="s">
        <v>28</v>
      </c>
      <c r="K81" s="32">
        <v>4</v>
      </c>
      <c r="L81" s="25" t="s">
        <v>29</v>
      </c>
      <c r="M81" s="13">
        <v>43697</v>
      </c>
      <c r="N81" s="14">
        <v>43717</v>
      </c>
      <c r="O81" s="25" t="s">
        <v>30</v>
      </c>
      <c r="P81" s="11">
        <f t="shared" si="30"/>
        <v>44062</v>
      </c>
      <c r="Q81" s="3">
        <f t="shared" si="31"/>
        <v>44002</v>
      </c>
      <c r="R81" s="3">
        <v>44146</v>
      </c>
      <c r="S81" s="68"/>
      <c r="T81" s="13">
        <f t="shared" si="32"/>
        <v>44427</v>
      </c>
      <c r="U81" s="14">
        <f t="shared" si="33"/>
        <v>44367</v>
      </c>
      <c r="V81" s="14">
        <v>44392</v>
      </c>
      <c r="W81" s="19"/>
      <c r="X81" s="13">
        <f t="shared" si="35"/>
        <v>44757</v>
      </c>
      <c r="Y81" s="14">
        <f t="shared" si="34"/>
        <v>44697</v>
      </c>
      <c r="Z81" s="14">
        <v>44862</v>
      </c>
      <c r="AA81" s="19"/>
      <c r="AC81" s="131"/>
    </row>
    <row r="82" spans="1:29" x14ac:dyDescent="0.3">
      <c r="A82" s="62" t="s">
        <v>31</v>
      </c>
      <c r="B82" s="104" t="s">
        <v>144</v>
      </c>
      <c r="C82" s="32" t="s">
        <v>145</v>
      </c>
      <c r="D82" s="32" t="s">
        <v>26</v>
      </c>
      <c r="E82" s="32">
        <v>174060</v>
      </c>
      <c r="F82" s="31">
        <v>40002226</v>
      </c>
      <c r="G82" s="31" t="s">
        <v>146</v>
      </c>
      <c r="H82" s="32">
        <v>19</v>
      </c>
      <c r="I82" s="32">
        <v>5</v>
      </c>
      <c r="J82" s="32" t="s">
        <v>28</v>
      </c>
      <c r="K82" s="32">
        <v>4</v>
      </c>
      <c r="L82" s="25" t="s">
        <v>29</v>
      </c>
      <c r="M82" s="13">
        <v>43565</v>
      </c>
      <c r="N82" s="14">
        <v>43587</v>
      </c>
      <c r="O82" s="25" t="s">
        <v>30</v>
      </c>
      <c r="P82" s="11">
        <f t="shared" si="30"/>
        <v>43930</v>
      </c>
      <c r="Q82" s="3">
        <f t="shared" si="31"/>
        <v>43870</v>
      </c>
      <c r="R82" s="3">
        <v>43958</v>
      </c>
      <c r="S82" s="68">
        <v>44168</v>
      </c>
      <c r="T82" s="13">
        <f t="shared" si="32"/>
        <v>44295</v>
      </c>
      <c r="U82" s="14">
        <f>T82-60</f>
        <v>44235</v>
      </c>
      <c r="V82" s="14">
        <v>44257</v>
      </c>
      <c r="W82" s="48"/>
      <c r="X82" s="13">
        <f t="shared" si="35"/>
        <v>44622</v>
      </c>
      <c r="Y82" s="14">
        <f>X82-60</f>
        <v>44562</v>
      </c>
      <c r="Z82" s="14">
        <v>44596</v>
      </c>
      <c r="AA82" s="19"/>
      <c r="AC82" s="131"/>
    </row>
    <row r="83" spans="1:29" x14ac:dyDescent="0.3">
      <c r="A83" s="62" t="s">
        <v>31</v>
      </c>
      <c r="B83" s="104" t="s">
        <v>144</v>
      </c>
      <c r="C83" s="32" t="s">
        <v>145</v>
      </c>
      <c r="D83" s="32" t="s">
        <v>26</v>
      </c>
      <c r="E83" s="32">
        <v>174104</v>
      </c>
      <c r="F83" s="31">
        <v>40193540</v>
      </c>
      <c r="G83" s="31">
        <v>505</v>
      </c>
      <c r="H83" s="32">
        <v>19</v>
      </c>
      <c r="I83" s="32">
        <v>25</v>
      </c>
      <c r="J83" s="32" t="s">
        <v>28</v>
      </c>
      <c r="K83" s="32">
        <v>4</v>
      </c>
      <c r="L83" s="25" t="s">
        <v>29</v>
      </c>
      <c r="M83" s="13">
        <v>43745</v>
      </c>
      <c r="N83" s="14">
        <v>43769</v>
      </c>
      <c r="O83" s="25" t="s">
        <v>30</v>
      </c>
      <c r="P83" s="11">
        <f t="shared" si="30"/>
        <v>44110</v>
      </c>
      <c r="Q83" s="3">
        <f t="shared" si="31"/>
        <v>44050</v>
      </c>
      <c r="R83" s="3">
        <v>44146</v>
      </c>
      <c r="S83" s="68"/>
      <c r="T83" s="13">
        <f t="shared" si="32"/>
        <v>44475</v>
      </c>
      <c r="U83" s="14">
        <f>T83-60</f>
        <v>44415</v>
      </c>
      <c r="V83" s="14">
        <v>44405</v>
      </c>
      <c r="W83" s="19"/>
      <c r="X83" s="13">
        <f t="shared" si="35"/>
        <v>44770</v>
      </c>
      <c r="Y83" s="14">
        <f>X83-60</f>
        <v>44710</v>
      </c>
      <c r="Z83" s="14">
        <v>44862</v>
      </c>
      <c r="AA83" s="19"/>
      <c r="AC83" s="131"/>
    </row>
    <row r="84" spans="1:29" x14ac:dyDescent="0.3">
      <c r="A84" s="45" t="s">
        <v>36</v>
      </c>
      <c r="B84" s="106" t="s">
        <v>144</v>
      </c>
      <c r="C84" s="50" t="s">
        <v>145</v>
      </c>
      <c r="D84" s="50" t="s">
        <v>26</v>
      </c>
      <c r="E84" s="50">
        <v>176644</v>
      </c>
      <c r="F84" s="49">
        <v>40021804</v>
      </c>
      <c r="G84" s="49">
        <v>8551</v>
      </c>
      <c r="H84" s="50">
        <v>9</v>
      </c>
      <c r="I84" s="50">
        <v>25</v>
      </c>
      <c r="J84" s="50" t="s">
        <v>28</v>
      </c>
      <c r="K84" s="50">
        <v>4</v>
      </c>
      <c r="L84" s="52" t="s">
        <v>29</v>
      </c>
      <c r="M84" s="39">
        <v>43775</v>
      </c>
      <c r="N84" s="40">
        <v>43805</v>
      </c>
      <c r="O84" s="52" t="s">
        <v>30</v>
      </c>
      <c r="P84" s="11">
        <f t="shared" si="30"/>
        <v>44140</v>
      </c>
      <c r="Q84" s="3">
        <f t="shared" si="31"/>
        <v>44080</v>
      </c>
      <c r="R84" s="3">
        <v>44146</v>
      </c>
      <c r="S84" s="68"/>
      <c r="T84" s="39">
        <f t="shared" si="32"/>
        <v>44505</v>
      </c>
      <c r="U84" s="40">
        <f>T84-60</f>
        <v>44445</v>
      </c>
      <c r="V84" s="40">
        <v>44427</v>
      </c>
      <c r="W84" s="41"/>
      <c r="X84" s="39">
        <f t="shared" si="35"/>
        <v>44792</v>
      </c>
      <c r="Y84" s="40">
        <f>X84-60</f>
        <v>44732</v>
      </c>
      <c r="Z84" s="40">
        <v>44762</v>
      </c>
      <c r="AA84" s="41">
        <v>44782</v>
      </c>
      <c r="AC84" s="131"/>
    </row>
    <row r="85" spans="1:29" x14ac:dyDescent="0.3">
      <c r="A85" s="45" t="s">
        <v>36</v>
      </c>
      <c r="B85" s="106" t="s">
        <v>144</v>
      </c>
      <c r="C85" s="50" t="s">
        <v>145</v>
      </c>
      <c r="D85" s="50" t="s">
        <v>26</v>
      </c>
      <c r="E85" s="50">
        <v>158015</v>
      </c>
      <c r="F85" s="49">
        <v>40193094</v>
      </c>
      <c r="G85" s="49" t="s">
        <v>45</v>
      </c>
      <c r="H85" s="50">
        <v>19</v>
      </c>
      <c r="I85" s="50">
        <v>25</v>
      </c>
      <c r="J85" s="50" t="s">
        <v>46</v>
      </c>
      <c r="K85" s="50">
        <v>4</v>
      </c>
      <c r="L85" s="52" t="s">
        <v>29</v>
      </c>
      <c r="M85" s="39">
        <v>43775</v>
      </c>
      <c r="N85" s="40">
        <v>43805</v>
      </c>
      <c r="O85" s="52" t="s">
        <v>30</v>
      </c>
      <c r="P85" s="11">
        <f t="shared" si="30"/>
        <v>44140</v>
      </c>
      <c r="Q85" s="3">
        <f t="shared" si="31"/>
        <v>44080</v>
      </c>
      <c r="R85" s="3">
        <v>44146</v>
      </c>
      <c r="S85" s="68"/>
      <c r="T85" s="39">
        <f t="shared" si="32"/>
        <v>44505</v>
      </c>
      <c r="U85" s="40">
        <f>T85-60</f>
        <v>44445</v>
      </c>
      <c r="V85" s="40">
        <v>44427</v>
      </c>
      <c r="W85" s="53"/>
      <c r="X85" s="39">
        <f t="shared" si="35"/>
        <v>44792</v>
      </c>
      <c r="Y85" s="40">
        <f>X85-60</f>
        <v>44732</v>
      </c>
      <c r="Z85" s="40">
        <v>44762</v>
      </c>
      <c r="AA85" s="41">
        <v>44782</v>
      </c>
      <c r="AC85" s="131"/>
    </row>
    <row r="86" spans="1:29" x14ac:dyDescent="0.3">
      <c r="A86" s="45" t="s">
        <v>36</v>
      </c>
      <c r="B86" s="106" t="s">
        <v>144</v>
      </c>
      <c r="C86" s="50" t="s">
        <v>145</v>
      </c>
      <c r="D86" s="50" t="s">
        <v>26</v>
      </c>
      <c r="E86" s="50">
        <v>180389</v>
      </c>
      <c r="F86" s="49">
        <v>40021815</v>
      </c>
      <c r="G86" s="49" t="s">
        <v>53</v>
      </c>
      <c r="H86" s="50">
        <v>9</v>
      </c>
      <c r="I86" s="50">
        <v>25</v>
      </c>
      <c r="J86" s="50" t="s">
        <v>28</v>
      </c>
      <c r="K86" s="50">
        <v>4</v>
      </c>
      <c r="L86" s="52" t="s">
        <v>29</v>
      </c>
      <c r="M86" s="39">
        <v>43892</v>
      </c>
      <c r="N86" s="51"/>
      <c r="O86" s="52" t="s">
        <v>30</v>
      </c>
      <c r="P86" s="11"/>
      <c r="S86" s="12"/>
      <c r="T86" s="39">
        <v>44257</v>
      </c>
      <c r="U86" s="40">
        <f>+T86-60</f>
        <v>44197</v>
      </c>
      <c r="V86" s="40">
        <v>44229</v>
      </c>
      <c r="W86" s="41">
        <v>44334</v>
      </c>
      <c r="X86" s="39">
        <f t="shared" si="35"/>
        <v>44594</v>
      </c>
      <c r="Y86" s="40">
        <f>+X86-60</f>
        <v>44534</v>
      </c>
      <c r="Z86" s="40">
        <v>44571</v>
      </c>
      <c r="AA86" s="41">
        <v>44623</v>
      </c>
      <c r="AC86" s="131"/>
    </row>
    <row r="87" spans="1:29" x14ac:dyDescent="0.3">
      <c r="A87" s="62" t="s">
        <v>31</v>
      </c>
      <c r="B87" s="104" t="s">
        <v>144</v>
      </c>
      <c r="C87" s="32" t="s">
        <v>145</v>
      </c>
      <c r="D87" s="32" t="s">
        <v>26</v>
      </c>
      <c r="E87" s="32">
        <v>223238</v>
      </c>
      <c r="F87" s="31">
        <v>40021841</v>
      </c>
      <c r="G87" s="31" t="s">
        <v>53</v>
      </c>
      <c r="H87" s="32">
        <v>19</v>
      </c>
      <c r="I87" s="32">
        <v>15</v>
      </c>
      <c r="J87" s="32" t="s">
        <v>28</v>
      </c>
      <c r="K87" s="32">
        <v>4</v>
      </c>
      <c r="L87" s="25" t="s">
        <v>29</v>
      </c>
      <c r="M87" s="13">
        <v>44376</v>
      </c>
      <c r="N87" s="26"/>
      <c r="O87" s="25" t="s">
        <v>30</v>
      </c>
      <c r="P87" s="11"/>
      <c r="S87" s="12"/>
      <c r="T87" s="13"/>
      <c r="U87" s="14"/>
      <c r="V87" s="14"/>
      <c r="W87" s="48"/>
      <c r="X87" s="13">
        <f>M87+365</f>
        <v>44741</v>
      </c>
      <c r="Y87" s="14">
        <f>X87-60</f>
        <v>44681</v>
      </c>
      <c r="Z87" s="14">
        <v>44698</v>
      </c>
      <c r="AA87" s="19"/>
      <c r="AC87" s="131"/>
    </row>
    <row r="88" spans="1:29" x14ac:dyDescent="0.3">
      <c r="A88" s="62" t="s">
        <v>31</v>
      </c>
      <c r="B88" s="104" t="s">
        <v>144</v>
      </c>
      <c r="C88" s="32" t="s">
        <v>145</v>
      </c>
      <c r="D88" s="32" t="s">
        <v>26</v>
      </c>
      <c r="E88" s="32">
        <v>105407</v>
      </c>
      <c r="F88" s="31">
        <v>40021714</v>
      </c>
      <c r="G88" s="31">
        <v>8551</v>
      </c>
      <c r="H88" s="32">
        <v>19</v>
      </c>
      <c r="I88" s="32">
        <v>25</v>
      </c>
      <c r="J88" s="32" t="s">
        <v>28</v>
      </c>
      <c r="K88" s="32">
        <v>4</v>
      </c>
      <c r="L88" s="25" t="s">
        <v>29</v>
      </c>
      <c r="M88" s="13">
        <v>43697</v>
      </c>
      <c r="N88" s="14">
        <v>43717</v>
      </c>
      <c r="O88" s="25" t="s">
        <v>30</v>
      </c>
      <c r="P88" s="11">
        <f>M88+365</f>
        <v>44062</v>
      </c>
      <c r="Q88" s="3">
        <f>P88-60</f>
        <v>44002</v>
      </c>
      <c r="R88" s="3">
        <v>44146</v>
      </c>
      <c r="S88" s="68"/>
      <c r="T88" s="13">
        <f>P88+365</f>
        <v>44427</v>
      </c>
      <c r="U88" s="14">
        <f>T88-60</f>
        <v>44367</v>
      </c>
      <c r="V88" s="14">
        <v>44397</v>
      </c>
      <c r="W88" s="48"/>
      <c r="X88" s="13">
        <f>365+V88</f>
        <v>44762</v>
      </c>
      <c r="Y88" s="14">
        <f>X88-60</f>
        <v>44702</v>
      </c>
      <c r="Z88" s="14">
        <v>44862</v>
      </c>
      <c r="AA88" s="19"/>
      <c r="AC88" s="131"/>
    </row>
    <row r="89" spans="1:29" x14ac:dyDescent="0.3">
      <c r="A89" s="45" t="s">
        <v>36</v>
      </c>
      <c r="B89" s="106" t="s">
        <v>147</v>
      </c>
      <c r="C89" s="50" t="s">
        <v>148</v>
      </c>
      <c r="D89" s="50" t="s">
        <v>26</v>
      </c>
      <c r="E89" s="50">
        <v>180389</v>
      </c>
      <c r="F89" s="49" t="s">
        <v>149</v>
      </c>
      <c r="G89" s="49" t="s">
        <v>53</v>
      </c>
      <c r="H89" s="50">
        <v>9</v>
      </c>
      <c r="I89" s="50">
        <v>25</v>
      </c>
      <c r="J89" s="50" t="s">
        <v>28</v>
      </c>
      <c r="K89" s="50">
        <v>2</v>
      </c>
      <c r="L89" s="52" t="s">
        <v>29</v>
      </c>
      <c r="M89" s="39">
        <v>44208</v>
      </c>
      <c r="N89" s="40">
        <v>44216</v>
      </c>
      <c r="O89" s="52" t="s">
        <v>30</v>
      </c>
      <c r="P89" s="15"/>
      <c r="S89" s="12"/>
      <c r="T89" s="39"/>
      <c r="U89" s="40"/>
      <c r="V89" s="40"/>
      <c r="W89" s="53"/>
      <c r="X89" s="39">
        <f>N89+365</f>
        <v>44581</v>
      </c>
      <c r="Y89" s="40">
        <f t="shared" si="34"/>
        <v>44521</v>
      </c>
      <c r="Z89" s="40">
        <v>44594</v>
      </c>
      <c r="AA89" s="41">
        <v>44599</v>
      </c>
      <c r="AC89" s="131"/>
    </row>
    <row r="90" spans="1:29" x14ac:dyDescent="0.3">
      <c r="A90" s="29" t="s">
        <v>31</v>
      </c>
      <c r="B90" s="104" t="s">
        <v>147</v>
      </c>
      <c r="C90" s="32" t="s">
        <v>148</v>
      </c>
      <c r="D90" s="32" t="s">
        <v>26</v>
      </c>
      <c r="E90" s="32">
        <v>172994</v>
      </c>
      <c r="F90" s="31" t="s">
        <v>150</v>
      </c>
      <c r="G90" s="31">
        <v>8550</v>
      </c>
      <c r="H90" s="32">
        <v>19</v>
      </c>
      <c r="I90" s="32">
        <v>25</v>
      </c>
      <c r="J90" s="32" t="s">
        <v>28</v>
      </c>
      <c r="K90" s="32">
        <v>2</v>
      </c>
      <c r="L90" s="25" t="s">
        <v>29</v>
      </c>
      <c r="M90" s="13">
        <v>43865</v>
      </c>
      <c r="N90" s="14">
        <v>43886</v>
      </c>
      <c r="O90" s="25" t="s">
        <v>30</v>
      </c>
      <c r="P90" s="15"/>
      <c r="S90" s="12"/>
      <c r="T90" s="13">
        <f t="shared" ref="T90:T100" si="36">M90+365</f>
        <v>44230</v>
      </c>
      <c r="U90" s="14">
        <f t="shared" si="33"/>
        <v>44170</v>
      </c>
      <c r="V90" s="14">
        <v>44231</v>
      </c>
      <c r="W90" s="48">
        <v>44238</v>
      </c>
      <c r="X90" s="13">
        <f t="shared" ref="X90:X96" si="37">+T90+365</f>
        <v>44595</v>
      </c>
      <c r="Y90" s="14">
        <f t="shared" si="34"/>
        <v>44535</v>
      </c>
      <c r="Z90" s="14">
        <v>44602</v>
      </c>
      <c r="AA90" s="19"/>
      <c r="AC90" s="131"/>
    </row>
    <row r="91" spans="1:29" x14ac:dyDescent="0.3">
      <c r="A91" s="45" t="s">
        <v>36</v>
      </c>
      <c r="B91" s="106" t="s">
        <v>147</v>
      </c>
      <c r="C91" s="50" t="s">
        <v>148</v>
      </c>
      <c r="D91" s="50" t="s">
        <v>26</v>
      </c>
      <c r="E91" s="50">
        <v>176641</v>
      </c>
      <c r="F91" s="49" t="s">
        <v>151</v>
      </c>
      <c r="G91" s="49">
        <v>8550</v>
      </c>
      <c r="H91" s="50">
        <v>19</v>
      </c>
      <c r="I91" s="50">
        <v>25</v>
      </c>
      <c r="J91" s="50" t="s">
        <v>40</v>
      </c>
      <c r="K91" s="50">
        <v>2</v>
      </c>
      <c r="L91" s="52" t="s">
        <v>29</v>
      </c>
      <c r="M91" s="39">
        <v>43865</v>
      </c>
      <c r="N91" s="40">
        <v>43886</v>
      </c>
      <c r="O91" s="52" t="s">
        <v>30</v>
      </c>
      <c r="P91" s="15"/>
      <c r="S91" s="12"/>
      <c r="T91" s="39">
        <f t="shared" si="36"/>
        <v>44230</v>
      </c>
      <c r="U91" s="40">
        <f t="shared" si="33"/>
        <v>44170</v>
      </c>
      <c r="V91" s="40">
        <v>44231</v>
      </c>
      <c r="W91" s="41">
        <v>44238</v>
      </c>
      <c r="X91" s="39">
        <f t="shared" si="37"/>
        <v>44595</v>
      </c>
      <c r="Y91" s="40">
        <f t="shared" si="34"/>
        <v>44535</v>
      </c>
      <c r="Z91" s="40">
        <v>44578</v>
      </c>
      <c r="AA91" s="41">
        <v>44579</v>
      </c>
      <c r="AC91" s="131"/>
    </row>
    <row r="92" spans="1:29" x14ac:dyDescent="0.3">
      <c r="A92" s="45" t="s">
        <v>36</v>
      </c>
      <c r="B92" s="106" t="s">
        <v>147</v>
      </c>
      <c r="C92" s="50" t="s">
        <v>148</v>
      </c>
      <c r="D92" s="50" t="s">
        <v>26</v>
      </c>
      <c r="E92" s="50">
        <v>105407</v>
      </c>
      <c r="F92" s="49" t="s">
        <v>152</v>
      </c>
      <c r="G92" s="49">
        <v>8551</v>
      </c>
      <c r="H92" s="50">
        <v>19</v>
      </c>
      <c r="I92" s="50">
        <v>25</v>
      </c>
      <c r="J92" s="50" t="s">
        <v>28</v>
      </c>
      <c r="K92" s="50">
        <v>2</v>
      </c>
      <c r="L92" s="52" t="s">
        <v>29</v>
      </c>
      <c r="M92" s="39">
        <v>43865</v>
      </c>
      <c r="N92" s="40">
        <v>43886</v>
      </c>
      <c r="O92" s="52" t="s">
        <v>30</v>
      </c>
      <c r="P92" s="15"/>
      <c r="S92" s="12"/>
      <c r="T92" s="39">
        <f t="shared" si="36"/>
        <v>44230</v>
      </c>
      <c r="U92" s="40">
        <f t="shared" si="33"/>
        <v>44170</v>
      </c>
      <c r="V92" s="40">
        <v>44231</v>
      </c>
      <c r="W92" s="41">
        <v>44244</v>
      </c>
      <c r="X92" s="39">
        <f t="shared" si="37"/>
        <v>44595</v>
      </c>
      <c r="Y92" s="40">
        <f t="shared" si="34"/>
        <v>44535</v>
      </c>
      <c r="Z92" s="40">
        <v>44613</v>
      </c>
      <c r="AA92" s="41">
        <v>44614</v>
      </c>
      <c r="AC92" s="131"/>
    </row>
    <row r="93" spans="1:29" x14ac:dyDescent="0.3">
      <c r="A93" s="45" t="s">
        <v>36</v>
      </c>
      <c r="B93" s="106" t="s">
        <v>147</v>
      </c>
      <c r="C93" s="50" t="s">
        <v>148</v>
      </c>
      <c r="D93" s="50" t="s">
        <v>26</v>
      </c>
      <c r="E93" s="50">
        <v>156361</v>
      </c>
      <c r="F93" s="49" t="s">
        <v>153</v>
      </c>
      <c r="G93" s="49" t="s">
        <v>53</v>
      </c>
      <c r="H93" s="50">
        <v>19</v>
      </c>
      <c r="I93" s="50">
        <v>25</v>
      </c>
      <c r="J93" s="50" t="s">
        <v>28</v>
      </c>
      <c r="K93" s="50">
        <v>2</v>
      </c>
      <c r="L93" s="52" t="s">
        <v>29</v>
      </c>
      <c r="M93" s="39">
        <v>43865</v>
      </c>
      <c r="N93" s="40">
        <v>43888</v>
      </c>
      <c r="O93" s="52" t="s">
        <v>30</v>
      </c>
      <c r="P93" s="15"/>
      <c r="S93" s="12"/>
      <c r="T93" s="39">
        <f t="shared" si="36"/>
        <v>44230</v>
      </c>
      <c r="U93" s="40">
        <f t="shared" si="33"/>
        <v>44170</v>
      </c>
      <c r="V93" s="40">
        <v>44237</v>
      </c>
      <c r="W93" s="41">
        <v>44244</v>
      </c>
      <c r="X93" s="39">
        <f t="shared" si="37"/>
        <v>44595</v>
      </c>
      <c r="Y93" s="40">
        <f t="shared" si="34"/>
        <v>44535</v>
      </c>
      <c r="Z93" s="40">
        <v>44613</v>
      </c>
      <c r="AA93" s="41">
        <v>44614</v>
      </c>
      <c r="AC93" s="131"/>
    </row>
    <row r="94" spans="1:29" ht="14.25" customHeight="1" x14ac:dyDescent="0.3">
      <c r="A94" s="45" t="s">
        <v>36</v>
      </c>
      <c r="B94" s="106" t="s">
        <v>147</v>
      </c>
      <c r="C94" s="50" t="s">
        <v>148</v>
      </c>
      <c r="D94" s="50" t="s">
        <v>26</v>
      </c>
      <c r="E94" s="50">
        <v>111200</v>
      </c>
      <c r="F94" s="49" t="s">
        <v>154</v>
      </c>
      <c r="G94" s="49">
        <v>880</v>
      </c>
      <c r="H94" s="50">
        <v>19</v>
      </c>
      <c r="I94" s="50">
        <v>15</v>
      </c>
      <c r="J94" s="50" t="s">
        <v>28</v>
      </c>
      <c r="K94" s="50">
        <v>2</v>
      </c>
      <c r="L94" s="52" t="s">
        <v>29</v>
      </c>
      <c r="M94" s="39">
        <v>43865</v>
      </c>
      <c r="N94" s="40">
        <v>43888</v>
      </c>
      <c r="O94" s="52" t="s">
        <v>30</v>
      </c>
      <c r="P94" s="15"/>
      <c r="S94" s="12"/>
      <c r="T94" s="39">
        <f t="shared" si="36"/>
        <v>44230</v>
      </c>
      <c r="U94" s="40">
        <f t="shared" si="33"/>
        <v>44170</v>
      </c>
      <c r="V94" s="40">
        <v>44231</v>
      </c>
      <c r="W94" s="41">
        <v>44238</v>
      </c>
      <c r="X94" s="39">
        <f t="shared" si="37"/>
        <v>44595</v>
      </c>
      <c r="Y94" s="40">
        <f t="shared" si="34"/>
        <v>44535</v>
      </c>
      <c r="Z94" s="40">
        <v>44578</v>
      </c>
      <c r="AA94" s="41">
        <v>44579</v>
      </c>
      <c r="AC94" s="131"/>
    </row>
    <row r="95" spans="1:29" ht="14.25" customHeight="1" x14ac:dyDescent="0.3">
      <c r="A95" s="45" t="s">
        <v>36</v>
      </c>
      <c r="B95" s="106" t="s">
        <v>147</v>
      </c>
      <c r="C95" s="50" t="s">
        <v>148</v>
      </c>
      <c r="D95" s="50" t="s">
        <v>26</v>
      </c>
      <c r="E95" s="50">
        <v>176644</v>
      </c>
      <c r="F95" s="49" t="s">
        <v>155</v>
      </c>
      <c r="G95" s="49">
        <v>8551</v>
      </c>
      <c r="H95" s="50">
        <v>9</v>
      </c>
      <c r="I95" s="50">
        <v>25</v>
      </c>
      <c r="J95" s="50" t="s">
        <v>28</v>
      </c>
      <c r="K95" s="50">
        <v>2</v>
      </c>
      <c r="L95" s="52" t="s">
        <v>29</v>
      </c>
      <c r="M95" s="39">
        <v>43865</v>
      </c>
      <c r="N95" s="40">
        <v>43886</v>
      </c>
      <c r="O95" s="52" t="s">
        <v>30</v>
      </c>
      <c r="P95" s="15"/>
      <c r="S95" s="12"/>
      <c r="T95" s="39">
        <f t="shared" si="36"/>
        <v>44230</v>
      </c>
      <c r="U95" s="40">
        <f t="shared" si="33"/>
        <v>44170</v>
      </c>
      <c r="V95" s="40">
        <v>44237</v>
      </c>
      <c r="W95" s="41">
        <v>44244</v>
      </c>
      <c r="X95" s="39">
        <f t="shared" si="37"/>
        <v>44595</v>
      </c>
      <c r="Y95" s="40">
        <f t="shared" si="34"/>
        <v>44535</v>
      </c>
      <c r="Z95" s="40">
        <v>44613</v>
      </c>
      <c r="AA95" s="41">
        <v>44614</v>
      </c>
      <c r="AC95" s="131"/>
    </row>
    <row r="96" spans="1:29" ht="14.25" customHeight="1" x14ac:dyDescent="0.3">
      <c r="A96" s="45" t="s">
        <v>36</v>
      </c>
      <c r="B96" s="106" t="s">
        <v>147</v>
      </c>
      <c r="C96" s="50" t="s">
        <v>148</v>
      </c>
      <c r="D96" s="50" t="s">
        <v>26</v>
      </c>
      <c r="E96" s="50">
        <v>89570</v>
      </c>
      <c r="F96" s="49" t="s">
        <v>156</v>
      </c>
      <c r="G96" s="49">
        <v>8550</v>
      </c>
      <c r="H96" s="50">
        <v>9</v>
      </c>
      <c r="I96" s="50">
        <v>25</v>
      </c>
      <c r="J96" s="50" t="s">
        <v>40</v>
      </c>
      <c r="K96" s="50">
        <v>2</v>
      </c>
      <c r="L96" s="52" t="s">
        <v>29</v>
      </c>
      <c r="M96" s="39">
        <v>43865</v>
      </c>
      <c r="N96" s="40">
        <v>43886</v>
      </c>
      <c r="O96" s="52" t="s">
        <v>30</v>
      </c>
      <c r="P96" s="15"/>
      <c r="S96" s="12"/>
      <c r="T96" s="39">
        <f t="shared" si="36"/>
        <v>44230</v>
      </c>
      <c r="U96" s="40">
        <f t="shared" si="33"/>
        <v>44170</v>
      </c>
      <c r="V96" s="40">
        <v>44231</v>
      </c>
      <c r="W96" s="41">
        <v>44238</v>
      </c>
      <c r="X96" s="39">
        <f t="shared" si="37"/>
        <v>44595</v>
      </c>
      <c r="Y96" s="40">
        <f t="shared" si="34"/>
        <v>44535</v>
      </c>
      <c r="Z96" s="40">
        <v>44578</v>
      </c>
      <c r="AA96" s="41">
        <v>44579</v>
      </c>
      <c r="AC96" s="131"/>
    </row>
    <row r="97" spans="1:29" x14ac:dyDescent="0.3">
      <c r="A97" s="45" t="s">
        <v>36</v>
      </c>
      <c r="B97" s="106" t="s">
        <v>147</v>
      </c>
      <c r="C97" s="50" t="s">
        <v>148</v>
      </c>
      <c r="D97" s="50" t="s">
        <v>26</v>
      </c>
      <c r="E97" s="50">
        <v>99631</v>
      </c>
      <c r="F97" s="51" t="s">
        <v>157</v>
      </c>
      <c r="G97" s="49" t="s">
        <v>27</v>
      </c>
      <c r="H97" s="50">
        <v>19</v>
      </c>
      <c r="I97" s="50">
        <v>25</v>
      </c>
      <c r="J97" s="50" t="s">
        <v>28</v>
      </c>
      <c r="K97" s="50">
        <v>2</v>
      </c>
      <c r="L97" s="52" t="s">
        <v>29</v>
      </c>
      <c r="M97" s="39">
        <v>44071</v>
      </c>
      <c r="N97" s="40">
        <v>44146</v>
      </c>
      <c r="O97" s="52" t="s">
        <v>30</v>
      </c>
      <c r="P97" s="15"/>
      <c r="S97" s="12"/>
      <c r="T97" s="39">
        <f>M97+365</f>
        <v>44436</v>
      </c>
      <c r="U97" s="40">
        <f>T97-60</f>
        <v>44376</v>
      </c>
      <c r="V97" s="40">
        <v>44398</v>
      </c>
      <c r="W97" s="41"/>
      <c r="X97" s="39">
        <f>365+V97</f>
        <v>44763</v>
      </c>
      <c r="Y97" s="40">
        <f>X97-60</f>
        <v>44703</v>
      </c>
      <c r="Z97" s="40">
        <v>44721</v>
      </c>
      <c r="AA97" s="41">
        <v>44722</v>
      </c>
      <c r="AC97" s="131"/>
    </row>
    <row r="98" spans="1:29" x14ac:dyDescent="0.3">
      <c r="A98" s="45" t="s">
        <v>36</v>
      </c>
      <c r="B98" s="106" t="s">
        <v>147</v>
      </c>
      <c r="C98" s="50" t="s">
        <v>148</v>
      </c>
      <c r="D98" s="50" t="s">
        <v>26</v>
      </c>
      <c r="E98" s="50">
        <v>157238</v>
      </c>
      <c r="F98" s="51" t="s">
        <v>158</v>
      </c>
      <c r="G98" s="49" t="s">
        <v>27</v>
      </c>
      <c r="H98" s="50">
        <v>9</v>
      </c>
      <c r="I98" s="50">
        <v>25</v>
      </c>
      <c r="J98" s="50" t="s">
        <v>28</v>
      </c>
      <c r="K98" s="50">
        <v>2</v>
      </c>
      <c r="L98" s="52" t="s">
        <v>29</v>
      </c>
      <c r="M98" s="39">
        <v>44071</v>
      </c>
      <c r="N98" s="40">
        <v>44146</v>
      </c>
      <c r="O98" s="52" t="s">
        <v>30</v>
      </c>
      <c r="P98" s="15"/>
      <c r="S98" s="12"/>
      <c r="T98" s="39">
        <f>M98+365</f>
        <v>44436</v>
      </c>
      <c r="U98" s="40">
        <f>T98-60</f>
        <v>44376</v>
      </c>
      <c r="V98" s="40">
        <v>44398</v>
      </c>
      <c r="W98" s="41"/>
      <c r="X98" s="39">
        <f>365+V98</f>
        <v>44763</v>
      </c>
      <c r="Y98" s="40">
        <f>X98-60</f>
        <v>44703</v>
      </c>
      <c r="Z98" s="40">
        <v>44721</v>
      </c>
      <c r="AA98" s="41">
        <v>44722</v>
      </c>
      <c r="AC98" s="131"/>
    </row>
    <row r="99" spans="1:29" x14ac:dyDescent="0.3">
      <c r="A99" s="45" t="s">
        <v>36</v>
      </c>
      <c r="B99" s="106" t="s">
        <v>147</v>
      </c>
      <c r="C99" s="50" t="s">
        <v>148</v>
      </c>
      <c r="D99" s="50" t="s">
        <v>26</v>
      </c>
      <c r="E99" s="50">
        <v>176660</v>
      </c>
      <c r="F99" s="125" t="s">
        <v>159</v>
      </c>
      <c r="G99" s="49">
        <v>317</v>
      </c>
      <c r="H99" s="50">
        <v>19</v>
      </c>
      <c r="I99" s="50">
        <v>33</v>
      </c>
      <c r="J99" s="50" t="s">
        <v>28</v>
      </c>
      <c r="K99" s="50">
        <v>2</v>
      </c>
      <c r="L99" s="52" t="s">
        <v>29</v>
      </c>
      <c r="M99" s="39">
        <v>44138</v>
      </c>
      <c r="N99" s="40">
        <v>44159</v>
      </c>
      <c r="O99" s="52" t="s">
        <v>30</v>
      </c>
      <c r="P99" s="15"/>
      <c r="S99" s="12"/>
      <c r="T99" s="39">
        <f>M99+365</f>
        <v>44503</v>
      </c>
      <c r="U99" s="40">
        <f>T99-60</f>
        <v>44443</v>
      </c>
      <c r="V99" s="40">
        <v>44424</v>
      </c>
      <c r="W99" s="53"/>
      <c r="X99" s="39">
        <f>365+V99</f>
        <v>44789</v>
      </c>
      <c r="Y99" s="40">
        <f>X99-60</f>
        <v>44729</v>
      </c>
      <c r="Z99" s="40">
        <v>44770</v>
      </c>
      <c r="AA99" s="41">
        <v>44770</v>
      </c>
      <c r="AC99" s="131"/>
    </row>
    <row r="100" spans="1:29" x14ac:dyDescent="0.3">
      <c r="A100" s="45" t="s">
        <v>36</v>
      </c>
      <c r="B100" s="106" t="s">
        <v>160</v>
      </c>
      <c r="C100" s="50" t="s">
        <v>161</v>
      </c>
      <c r="D100" s="50" t="s">
        <v>26</v>
      </c>
      <c r="E100" s="50">
        <v>176646</v>
      </c>
      <c r="F100" s="49" t="s">
        <v>162</v>
      </c>
      <c r="G100" s="49" t="s">
        <v>163</v>
      </c>
      <c r="H100" s="50">
        <v>25</v>
      </c>
      <c r="I100" s="50">
        <v>25</v>
      </c>
      <c r="J100" s="50" t="s">
        <v>28</v>
      </c>
      <c r="K100" s="50">
        <v>2</v>
      </c>
      <c r="L100" s="52" t="s">
        <v>29</v>
      </c>
      <c r="M100" s="39">
        <v>43892</v>
      </c>
      <c r="N100" s="40">
        <v>43892</v>
      </c>
      <c r="O100" s="52" t="s">
        <v>30</v>
      </c>
      <c r="P100" s="15"/>
      <c r="S100" s="12"/>
      <c r="T100" s="39">
        <f t="shared" si="36"/>
        <v>44257</v>
      </c>
      <c r="U100" s="40">
        <f t="shared" si="33"/>
        <v>44197</v>
      </c>
      <c r="V100" s="40">
        <v>44237</v>
      </c>
      <c r="W100" s="41">
        <v>44243</v>
      </c>
      <c r="X100" s="39">
        <f>365+V100</f>
        <v>44602</v>
      </c>
      <c r="Y100" s="40">
        <f t="shared" ref="Y100:Y104" si="38">X100-60</f>
        <v>44542</v>
      </c>
      <c r="Z100" s="40">
        <v>44603</v>
      </c>
      <c r="AA100" s="41">
        <v>44608</v>
      </c>
      <c r="AC100" s="131"/>
    </row>
    <row r="101" spans="1:29" x14ac:dyDescent="0.3">
      <c r="A101" s="45" t="s">
        <v>36</v>
      </c>
      <c r="B101" s="106" t="s">
        <v>164</v>
      </c>
      <c r="C101" s="50" t="s">
        <v>165</v>
      </c>
      <c r="D101" s="50" t="s">
        <v>35</v>
      </c>
      <c r="E101" s="50">
        <v>34005</v>
      </c>
      <c r="F101" s="49" t="s">
        <v>166</v>
      </c>
      <c r="G101" s="49">
        <v>8560</v>
      </c>
      <c r="H101" s="50">
        <v>9</v>
      </c>
      <c r="I101" s="50">
        <v>50</v>
      </c>
      <c r="J101" s="50" t="s">
        <v>28</v>
      </c>
      <c r="K101" s="50">
        <v>4</v>
      </c>
      <c r="L101" s="52" t="s">
        <v>29</v>
      </c>
      <c r="M101" s="124">
        <v>44306</v>
      </c>
      <c r="N101" s="51"/>
      <c r="O101" s="52" t="s">
        <v>30</v>
      </c>
      <c r="P101" s="15"/>
      <c r="S101" s="12"/>
      <c r="T101" s="64"/>
      <c r="U101" s="51"/>
      <c r="V101" s="51"/>
      <c r="W101" s="41">
        <v>44392</v>
      </c>
      <c r="X101" s="39">
        <f>M101+365</f>
        <v>44671</v>
      </c>
      <c r="Y101" s="40">
        <f t="shared" si="38"/>
        <v>44611</v>
      </c>
      <c r="Z101" s="40">
        <v>44651</v>
      </c>
      <c r="AA101" s="41">
        <v>44651</v>
      </c>
      <c r="AC101" s="132"/>
    </row>
    <row r="102" spans="1:29" x14ac:dyDescent="0.3">
      <c r="A102" s="29" t="s">
        <v>31</v>
      </c>
      <c r="B102" s="104" t="s">
        <v>164</v>
      </c>
      <c r="C102" s="32" t="s">
        <v>165</v>
      </c>
      <c r="D102" s="32" t="s">
        <v>35</v>
      </c>
      <c r="E102" s="32">
        <v>164193</v>
      </c>
      <c r="F102" s="31" t="s">
        <v>167</v>
      </c>
      <c r="G102" s="31" t="s">
        <v>72</v>
      </c>
      <c r="H102" s="32">
        <v>32</v>
      </c>
      <c r="I102" s="32">
        <v>15</v>
      </c>
      <c r="J102" s="32" t="s">
        <v>28</v>
      </c>
      <c r="K102" s="32">
        <v>4</v>
      </c>
      <c r="L102" s="25" t="s">
        <v>29</v>
      </c>
      <c r="M102" s="127">
        <v>44364</v>
      </c>
      <c r="N102" s="26"/>
      <c r="O102" s="25" t="s">
        <v>30</v>
      </c>
      <c r="P102" s="15"/>
      <c r="S102" s="12"/>
      <c r="T102" s="62"/>
      <c r="U102" s="26"/>
      <c r="V102" s="26"/>
      <c r="W102" s="19"/>
      <c r="X102" s="13">
        <f>M102+365</f>
        <v>44729</v>
      </c>
      <c r="Y102" s="14">
        <f t="shared" si="38"/>
        <v>44669</v>
      </c>
      <c r="Z102" s="14">
        <v>44694</v>
      </c>
      <c r="AA102" s="19"/>
      <c r="AC102" s="132"/>
    </row>
    <row r="103" spans="1:29" x14ac:dyDescent="0.3">
      <c r="A103" s="45" t="s">
        <v>36</v>
      </c>
      <c r="B103" s="106" t="s">
        <v>164</v>
      </c>
      <c r="C103" s="50" t="s">
        <v>165</v>
      </c>
      <c r="D103" s="50" t="s">
        <v>35</v>
      </c>
      <c r="E103" s="50">
        <v>174352</v>
      </c>
      <c r="F103" s="49" t="s">
        <v>168</v>
      </c>
      <c r="G103" s="49" t="s">
        <v>72</v>
      </c>
      <c r="H103" s="50">
        <v>19</v>
      </c>
      <c r="I103" s="50">
        <v>15</v>
      </c>
      <c r="J103" s="50" t="s">
        <v>28</v>
      </c>
      <c r="K103" s="50">
        <v>4</v>
      </c>
      <c r="L103" s="52" t="s">
        <v>29</v>
      </c>
      <c r="M103" s="39">
        <v>44410</v>
      </c>
      <c r="N103" s="51"/>
      <c r="O103" s="52" t="s">
        <v>30</v>
      </c>
      <c r="P103" s="15"/>
      <c r="S103" s="12"/>
      <c r="T103" s="64"/>
      <c r="U103" s="51"/>
      <c r="V103" s="40"/>
      <c r="W103" s="53"/>
      <c r="X103" s="39">
        <f>M103+365</f>
        <v>44775</v>
      </c>
      <c r="Y103" s="40">
        <f t="shared" si="38"/>
        <v>44715</v>
      </c>
      <c r="Z103" s="40">
        <v>44770</v>
      </c>
      <c r="AA103" s="41">
        <v>44781</v>
      </c>
      <c r="AC103" s="132"/>
    </row>
    <row r="104" spans="1:29" x14ac:dyDescent="0.3">
      <c r="A104" s="45" t="s">
        <v>36</v>
      </c>
      <c r="B104" s="106" t="s">
        <v>164</v>
      </c>
      <c r="C104" s="50" t="s">
        <v>165</v>
      </c>
      <c r="D104" s="50" t="s">
        <v>35</v>
      </c>
      <c r="E104" s="50">
        <v>157238</v>
      </c>
      <c r="F104" s="49" t="s">
        <v>169</v>
      </c>
      <c r="G104" s="49" t="s">
        <v>27</v>
      </c>
      <c r="H104" s="50">
        <v>9</v>
      </c>
      <c r="I104" s="50">
        <v>25</v>
      </c>
      <c r="J104" s="50" t="s">
        <v>28</v>
      </c>
      <c r="K104" s="50">
        <v>4</v>
      </c>
      <c r="L104" s="52" t="s">
        <v>29</v>
      </c>
      <c r="M104" s="39">
        <v>44410</v>
      </c>
      <c r="N104" s="51"/>
      <c r="O104" s="52" t="s">
        <v>30</v>
      </c>
      <c r="P104" s="15"/>
      <c r="S104" s="12"/>
      <c r="T104" s="64"/>
      <c r="U104" s="51"/>
      <c r="V104" s="40"/>
      <c r="W104" s="53"/>
      <c r="X104" s="39">
        <f>M104+365</f>
        <v>44775</v>
      </c>
      <c r="Y104" s="40">
        <f t="shared" si="38"/>
        <v>44715</v>
      </c>
      <c r="Z104" s="40">
        <v>44782</v>
      </c>
      <c r="AA104" s="41">
        <v>44719</v>
      </c>
      <c r="AC104" s="132"/>
    </row>
    <row r="105" spans="1:29" x14ac:dyDescent="0.3">
      <c r="A105" s="28"/>
      <c r="B105" s="91" t="s">
        <v>170</v>
      </c>
      <c r="C105" s="1" t="s">
        <v>171</v>
      </c>
      <c r="D105" s="1" t="s">
        <v>35</v>
      </c>
      <c r="E105" s="1">
        <v>223488</v>
      </c>
      <c r="F105" s="5" t="s">
        <v>172</v>
      </c>
      <c r="G105" s="2" t="s">
        <v>173</v>
      </c>
      <c r="H105" s="1">
        <v>13.5</v>
      </c>
      <c r="I105" s="1">
        <v>25.8</v>
      </c>
      <c r="J105" s="1" t="s">
        <v>174</v>
      </c>
      <c r="K105" s="1">
        <v>2</v>
      </c>
      <c r="L105" s="24" t="s">
        <v>29</v>
      </c>
      <c r="M105" s="11">
        <v>44411</v>
      </c>
      <c r="O105" s="24" t="s">
        <v>30</v>
      </c>
      <c r="P105" s="15"/>
      <c r="S105" s="12"/>
      <c r="T105" s="15"/>
      <c r="W105" s="68"/>
      <c r="X105" s="11">
        <f>M105+365</f>
        <v>44776</v>
      </c>
      <c r="Y105" s="3">
        <f t="shared" ref="Y105:Y107" si="39">X105-60</f>
        <v>44716</v>
      </c>
      <c r="Z105" s="3"/>
      <c r="AA105" s="12"/>
      <c r="AC105" s="131"/>
    </row>
    <row r="106" spans="1:29" x14ac:dyDescent="0.3">
      <c r="A106" s="28"/>
      <c r="B106" s="91" t="s">
        <v>175</v>
      </c>
      <c r="C106" s="1" t="s">
        <v>176</v>
      </c>
      <c r="D106" s="1" t="s">
        <v>35</v>
      </c>
      <c r="E106" s="1">
        <v>138831</v>
      </c>
      <c r="F106" s="5">
        <v>1350034</v>
      </c>
      <c r="G106" s="2" t="s">
        <v>177</v>
      </c>
      <c r="H106" s="1">
        <v>19</v>
      </c>
      <c r="I106" s="1">
        <v>66</v>
      </c>
      <c r="J106" s="1" t="s">
        <v>28</v>
      </c>
      <c r="K106" s="1">
        <v>2</v>
      </c>
      <c r="L106" s="24" t="s">
        <v>29</v>
      </c>
      <c r="M106" s="11">
        <v>44432</v>
      </c>
      <c r="O106" s="24" t="s">
        <v>30</v>
      </c>
      <c r="P106" s="15"/>
      <c r="S106" s="12"/>
      <c r="T106" s="15"/>
      <c r="W106" s="12"/>
      <c r="X106" s="11">
        <f>365+M106</f>
        <v>44797</v>
      </c>
      <c r="Y106" s="3">
        <f t="shared" si="39"/>
        <v>44737</v>
      </c>
      <c r="Z106" s="3"/>
      <c r="AA106" s="12"/>
      <c r="AC106" s="132"/>
    </row>
    <row r="107" spans="1:29" x14ac:dyDescent="0.3">
      <c r="A107" s="28"/>
      <c r="B107" s="91" t="s">
        <v>178</v>
      </c>
      <c r="C107" s="1" t="s">
        <v>179</v>
      </c>
      <c r="D107" s="1" t="s">
        <v>35</v>
      </c>
      <c r="E107" s="1">
        <v>183452</v>
      </c>
      <c r="F107" s="5" t="s">
        <v>180</v>
      </c>
      <c r="G107" s="2" t="s">
        <v>181</v>
      </c>
      <c r="H107" s="1">
        <v>25</v>
      </c>
      <c r="I107" s="1">
        <v>25</v>
      </c>
      <c r="J107" s="1" t="s">
        <v>28</v>
      </c>
      <c r="K107" s="1">
        <v>2</v>
      </c>
      <c r="L107" s="24" t="s">
        <v>29</v>
      </c>
      <c r="M107" s="11">
        <v>44474</v>
      </c>
      <c r="O107" s="24" t="s">
        <v>30</v>
      </c>
      <c r="P107" s="15"/>
      <c r="S107" s="12"/>
      <c r="T107" s="15"/>
      <c r="W107" s="68"/>
      <c r="X107" s="11">
        <f>365+M107</f>
        <v>44839</v>
      </c>
      <c r="Y107" s="3">
        <f t="shared" si="39"/>
        <v>44779</v>
      </c>
      <c r="Z107" s="3"/>
      <c r="AA107" s="12"/>
      <c r="AC107" s="131"/>
    </row>
    <row r="108" spans="1:29" ht="14.15" customHeight="1" thickBot="1" x14ac:dyDescent="0.35">
      <c r="A108" s="109" t="s">
        <v>31</v>
      </c>
      <c r="B108" s="110" t="s">
        <v>178</v>
      </c>
      <c r="C108" s="111" t="s">
        <v>179</v>
      </c>
      <c r="D108" s="111" t="s">
        <v>35</v>
      </c>
      <c r="E108" s="111">
        <v>150420</v>
      </c>
      <c r="F108" s="112" t="s">
        <v>182</v>
      </c>
      <c r="G108" s="113" t="s">
        <v>69</v>
      </c>
      <c r="H108" s="111">
        <v>25</v>
      </c>
      <c r="I108" s="111">
        <v>25</v>
      </c>
      <c r="J108" s="111" t="s">
        <v>28</v>
      </c>
      <c r="K108" s="111">
        <v>2</v>
      </c>
      <c r="L108" s="114" t="s">
        <v>29</v>
      </c>
      <c r="M108" s="115">
        <v>44231</v>
      </c>
      <c r="N108" s="116"/>
      <c r="O108" s="114" t="s">
        <v>30</v>
      </c>
      <c r="P108" s="102"/>
      <c r="Q108" s="82"/>
      <c r="R108" s="80"/>
      <c r="S108" s="83"/>
      <c r="T108" s="115"/>
      <c r="U108" s="116"/>
      <c r="V108" s="117"/>
      <c r="W108" s="118"/>
      <c r="X108" s="115">
        <f>M108+365</f>
        <v>44596</v>
      </c>
      <c r="Y108" s="116">
        <f>X108-60</f>
        <v>44536</v>
      </c>
      <c r="Z108" s="116">
        <v>44603</v>
      </c>
      <c r="AA108" s="119"/>
      <c r="AC108" s="131"/>
    </row>
    <row r="109" spans="1:29" x14ac:dyDescent="0.3">
      <c r="A109" s="45" t="s">
        <v>36</v>
      </c>
      <c r="B109" s="106" t="s">
        <v>128</v>
      </c>
      <c r="C109" s="50" t="s">
        <v>183</v>
      </c>
      <c r="D109" s="50" t="s">
        <v>35</v>
      </c>
      <c r="E109" s="50">
        <v>202913</v>
      </c>
      <c r="F109" s="49" t="s">
        <v>184</v>
      </c>
      <c r="G109" s="51" t="s">
        <v>83</v>
      </c>
      <c r="H109" s="50">
        <v>19</v>
      </c>
      <c r="I109" s="50">
        <v>33</v>
      </c>
      <c r="J109" s="50" t="s">
        <v>37</v>
      </c>
      <c r="K109" s="50">
        <v>2</v>
      </c>
      <c r="L109" s="50" t="s">
        <v>185</v>
      </c>
      <c r="M109" s="40">
        <v>44614</v>
      </c>
      <c r="N109" s="40">
        <v>44643</v>
      </c>
      <c r="O109" s="50" t="s">
        <v>30</v>
      </c>
      <c r="P109" s="51"/>
      <c r="Q109" s="51"/>
      <c r="R109" s="51"/>
      <c r="S109" s="51"/>
      <c r="T109" s="51"/>
      <c r="U109" s="51"/>
      <c r="V109" s="51"/>
      <c r="W109" s="40"/>
      <c r="X109" s="51"/>
      <c r="Y109" s="51"/>
      <c r="Z109" s="51"/>
      <c r="AA109" s="51"/>
      <c r="AC109" s="131"/>
    </row>
    <row r="110" spans="1:29" x14ac:dyDescent="0.3">
      <c r="A110" s="45" t="s">
        <v>36</v>
      </c>
      <c r="B110" s="49" t="s">
        <v>147</v>
      </c>
      <c r="C110" s="50" t="s">
        <v>148</v>
      </c>
      <c r="D110" s="50" t="s">
        <v>26</v>
      </c>
      <c r="E110" s="50">
        <v>176642</v>
      </c>
      <c r="F110" s="49" t="s">
        <v>186</v>
      </c>
      <c r="G110" s="49">
        <v>8551</v>
      </c>
      <c r="H110" s="50">
        <v>15</v>
      </c>
      <c r="I110" s="50">
        <v>25</v>
      </c>
      <c r="J110" s="50" t="s">
        <v>28</v>
      </c>
      <c r="K110" s="50">
        <v>2</v>
      </c>
      <c r="L110" s="50" t="s">
        <v>29</v>
      </c>
      <c r="M110" s="51"/>
      <c r="N110" s="51"/>
      <c r="O110" s="50"/>
      <c r="T110" s="51"/>
      <c r="U110" s="51"/>
      <c r="V110" s="51"/>
      <c r="W110" s="40"/>
      <c r="X110" s="51"/>
      <c r="Y110" s="40">
        <v>44614</v>
      </c>
      <c r="Z110" s="40">
        <v>44693</v>
      </c>
      <c r="AA110" s="40">
        <v>44697</v>
      </c>
      <c r="AC110" s="130" t="s">
        <v>249</v>
      </c>
    </row>
    <row r="111" spans="1:29" x14ac:dyDescent="0.3">
      <c r="A111" s="29" t="s">
        <v>31</v>
      </c>
      <c r="B111" s="31" t="s">
        <v>50</v>
      </c>
      <c r="C111" s="32" t="s">
        <v>51</v>
      </c>
      <c r="D111" s="32" t="s">
        <v>35</v>
      </c>
      <c r="E111" s="32">
        <v>172995</v>
      </c>
      <c r="F111" s="31" t="s">
        <v>187</v>
      </c>
      <c r="G111" s="26" t="s">
        <v>66</v>
      </c>
      <c r="H111" s="32">
        <v>35</v>
      </c>
      <c r="I111" s="32">
        <v>10</v>
      </c>
      <c r="J111" s="32" t="s">
        <v>28</v>
      </c>
      <c r="K111" s="32">
        <v>2</v>
      </c>
      <c r="L111" s="32" t="s">
        <v>29</v>
      </c>
      <c r="M111" s="14">
        <v>44623</v>
      </c>
      <c r="N111" s="26"/>
      <c r="O111" s="32"/>
      <c r="P111" s="26"/>
      <c r="Q111" s="26"/>
      <c r="R111" s="26"/>
      <c r="S111" s="26"/>
      <c r="T111" s="26"/>
      <c r="U111" s="26"/>
      <c r="V111" s="26"/>
      <c r="W111" s="14"/>
      <c r="X111" s="26"/>
      <c r="Y111" s="26"/>
      <c r="Z111" s="14">
        <v>44623</v>
      </c>
      <c r="AA111" s="26"/>
      <c r="AC111" s="132"/>
    </row>
    <row r="112" spans="1:29" x14ac:dyDescent="0.3">
      <c r="A112" s="45" t="s">
        <v>36</v>
      </c>
      <c r="B112" s="49" t="s">
        <v>160</v>
      </c>
      <c r="C112" s="50" t="s">
        <v>161</v>
      </c>
      <c r="D112" s="50" t="s">
        <v>26</v>
      </c>
      <c r="E112" s="50">
        <v>174352</v>
      </c>
      <c r="F112" s="49" t="s">
        <v>188</v>
      </c>
      <c r="G112" s="51" t="s">
        <v>72</v>
      </c>
      <c r="H112" s="50">
        <v>19</v>
      </c>
      <c r="I112" s="50">
        <v>15</v>
      </c>
      <c r="J112" s="50" t="s">
        <v>28</v>
      </c>
      <c r="K112" s="50">
        <v>2</v>
      </c>
      <c r="L112" s="50" t="s">
        <v>29</v>
      </c>
      <c r="M112" s="51"/>
      <c r="N112" s="51"/>
      <c r="O112" s="50"/>
      <c r="T112" s="51"/>
      <c r="U112" s="51"/>
      <c r="V112" s="51"/>
      <c r="W112" s="40"/>
      <c r="X112" s="51"/>
      <c r="Y112" s="40"/>
      <c r="Z112" s="40">
        <v>44684</v>
      </c>
      <c r="AA112" s="40">
        <v>44693</v>
      </c>
      <c r="AC112" s="131"/>
    </row>
    <row r="113" spans="1:29" x14ac:dyDescent="0.3">
      <c r="A113" s="45" t="s">
        <v>36</v>
      </c>
      <c r="B113" s="49" t="s">
        <v>147</v>
      </c>
      <c r="C113" s="50" t="s">
        <v>189</v>
      </c>
      <c r="D113" s="50" t="s">
        <v>26</v>
      </c>
      <c r="E113" s="50">
        <v>177184</v>
      </c>
      <c r="F113" s="49" t="s">
        <v>190</v>
      </c>
      <c r="G113" s="49">
        <v>839</v>
      </c>
      <c r="H113" s="50">
        <v>9</v>
      </c>
      <c r="I113" s="50">
        <v>25</v>
      </c>
      <c r="J113" s="50" t="s">
        <v>28</v>
      </c>
      <c r="K113" s="50">
        <v>2</v>
      </c>
      <c r="L113" s="50" t="s">
        <v>29</v>
      </c>
      <c r="M113" s="51"/>
      <c r="N113" s="51"/>
      <c r="O113" s="50"/>
      <c r="T113" s="51"/>
      <c r="U113" s="51"/>
      <c r="V113" s="51"/>
      <c r="W113" s="51"/>
      <c r="X113" s="51"/>
      <c r="Y113" s="40">
        <v>44651</v>
      </c>
      <c r="Z113" s="40">
        <v>44693</v>
      </c>
      <c r="AA113" s="40">
        <v>44694</v>
      </c>
      <c r="AC113" s="131"/>
    </row>
    <row r="114" spans="1:29" x14ac:dyDescent="0.3">
      <c r="A114" s="45" t="s">
        <v>36</v>
      </c>
      <c r="B114" s="49" t="s">
        <v>55</v>
      </c>
      <c r="C114" s="50" t="s">
        <v>191</v>
      </c>
      <c r="D114" s="50" t="s">
        <v>35</v>
      </c>
      <c r="E114" s="50">
        <v>157238</v>
      </c>
      <c r="F114" s="49" t="s">
        <v>192</v>
      </c>
      <c r="G114" s="51" t="s">
        <v>27</v>
      </c>
      <c r="H114" s="50">
        <v>9</v>
      </c>
      <c r="I114" s="50">
        <v>25</v>
      </c>
      <c r="J114" s="50" t="s">
        <v>28</v>
      </c>
      <c r="K114" s="50">
        <v>2</v>
      </c>
      <c r="L114" s="50" t="s">
        <v>29</v>
      </c>
      <c r="M114" s="51"/>
      <c r="N114" s="51"/>
      <c r="O114" s="50"/>
      <c r="T114" s="51"/>
      <c r="U114" s="51"/>
      <c r="V114" s="51"/>
      <c r="W114" s="51"/>
      <c r="X114" s="51"/>
      <c r="Y114" s="51"/>
      <c r="Z114" s="40">
        <v>44721</v>
      </c>
      <c r="AA114" s="40">
        <v>44722</v>
      </c>
      <c r="AC114" s="131"/>
    </row>
    <row r="115" spans="1:29" x14ac:dyDescent="0.3">
      <c r="A115" s="29" t="s">
        <v>31</v>
      </c>
      <c r="B115" s="31" t="s">
        <v>193</v>
      </c>
      <c r="C115" s="32" t="s">
        <v>194</v>
      </c>
      <c r="D115" s="32" t="s">
        <v>35</v>
      </c>
      <c r="E115" s="32"/>
      <c r="F115" s="31" t="s">
        <v>195</v>
      </c>
      <c r="G115" s="26" t="s">
        <v>163</v>
      </c>
      <c r="H115" s="32">
        <v>19</v>
      </c>
      <c r="I115" s="32">
        <v>20</v>
      </c>
      <c r="J115" s="32" t="s">
        <v>28</v>
      </c>
      <c r="K115" s="32">
        <v>4</v>
      </c>
      <c r="L115" s="32" t="s">
        <v>29</v>
      </c>
      <c r="M115" s="26"/>
      <c r="N115" s="26"/>
      <c r="O115" s="32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14">
        <v>44728</v>
      </c>
      <c r="AA115" s="26"/>
      <c r="AC115" s="131"/>
    </row>
    <row r="116" spans="1:29" x14ac:dyDescent="0.3">
      <c r="A116" s="45" t="s">
        <v>36</v>
      </c>
      <c r="B116" s="49" t="s">
        <v>147</v>
      </c>
      <c r="C116" s="50" t="s">
        <v>189</v>
      </c>
      <c r="D116" s="50" t="s">
        <v>26</v>
      </c>
      <c r="E116" s="50">
        <v>137809</v>
      </c>
      <c r="F116" s="49" t="s">
        <v>196</v>
      </c>
      <c r="G116" s="49">
        <v>839</v>
      </c>
      <c r="H116" s="50">
        <v>12</v>
      </c>
      <c r="I116" s="50">
        <v>25</v>
      </c>
      <c r="J116" s="50" t="s">
        <v>28</v>
      </c>
      <c r="K116" s="50">
        <v>2</v>
      </c>
      <c r="L116" s="50" t="s">
        <v>29</v>
      </c>
      <c r="M116" s="51"/>
      <c r="N116" s="51"/>
      <c r="O116" s="50"/>
      <c r="T116" s="51"/>
      <c r="U116" s="51"/>
      <c r="V116" s="51"/>
      <c r="W116" s="51"/>
      <c r="X116" s="51"/>
      <c r="Y116" s="40">
        <v>44725</v>
      </c>
      <c r="Z116" s="40">
        <v>44762</v>
      </c>
      <c r="AA116" s="40">
        <v>44763</v>
      </c>
      <c r="AC116" s="131"/>
    </row>
    <row r="117" spans="1:29" x14ac:dyDescent="0.3">
      <c r="A117" s="45" t="s">
        <v>36</v>
      </c>
      <c r="B117" s="49" t="s">
        <v>197</v>
      </c>
      <c r="C117" s="50" t="s">
        <v>198</v>
      </c>
      <c r="D117" s="50" t="s">
        <v>26</v>
      </c>
      <c r="E117" s="50">
        <v>78112</v>
      </c>
      <c r="F117" s="49" t="s">
        <v>199</v>
      </c>
      <c r="G117" s="51" t="s">
        <v>177</v>
      </c>
      <c r="H117" s="50">
        <v>9</v>
      </c>
      <c r="I117" s="50">
        <v>50</v>
      </c>
      <c r="J117" s="50" t="s">
        <v>28</v>
      </c>
      <c r="K117" s="50">
        <v>2</v>
      </c>
      <c r="L117" s="50" t="s">
        <v>29</v>
      </c>
      <c r="M117" s="51"/>
      <c r="N117" s="51"/>
      <c r="O117" s="50"/>
      <c r="P117" s="51"/>
      <c r="Q117" s="51"/>
      <c r="R117" s="51"/>
      <c r="S117" s="51"/>
      <c r="T117" s="51"/>
      <c r="U117" s="51"/>
      <c r="V117" s="51"/>
      <c r="W117" s="51"/>
      <c r="X117" s="51"/>
      <c r="Y117" s="40">
        <v>44748</v>
      </c>
      <c r="Z117" s="40">
        <v>44771</v>
      </c>
      <c r="AA117" s="40">
        <v>44788</v>
      </c>
      <c r="AC117" s="131"/>
    </row>
    <row r="118" spans="1:29" x14ac:dyDescent="0.3">
      <c r="A118" s="29" t="s">
        <v>31</v>
      </c>
      <c r="B118" s="31" t="s">
        <v>200</v>
      </c>
      <c r="C118" s="32" t="s">
        <v>201</v>
      </c>
      <c r="D118" s="32" t="s">
        <v>35</v>
      </c>
      <c r="E118" s="32">
        <v>176644</v>
      </c>
      <c r="F118" s="31" t="s">
        <v>202</v>
      </c>
      <c r="G118" s="31">
        <v>8551</v>
      </c>
      <c r="H118" s="32">
        <v>19</v>
      </c>
      <c r="I118" s="32">
        <v>25</v>
      </c>
      <c r="J118" s="32" t="s">
        <v>28</v>
      </c>
      <c r="K118" s="32">
        <v>2</v>
      </c>
      <c r="L118" s="32" t="s">
        <v>29</v>
      </c>
      <c r="M118" s="14">
        <v>44799</v>
      </c>
      <c r="N118" s="26"/>
      <c r="O118" s="32" t="s">
        <v>30</v>
      </c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C118" s="131"/>
    </row>
    <row r="119" spans="1:29" x14ac:dyDescent="0.3">
      <c r="A119" s="45" t="s">
        <v>36</v>
      </c>
      <c r="B119" s="49" t="s">
        <v>38</v>
      </c>
      <c r="C119" s="50" t="s">
        <v>39</v>
      </c>
      <c r="D119" s="50" t="s">
        <v>35</v>
      </c>
      <c r="E119" s="50">
        <v>193234</v>
      </c>
      <c r="F119" s="49">
        <v>52239</v>
      </c>
      <c r="G119" s="51" t="s">
        <v>62</v>
      </c>
      <c r="H119" s="50">
        <v>19</v>
      </c>
      <c r="I119" s="50">
        <v>5</v>
      </c>
      <c r="J119" s="50" t="s">
        <v>41</v>
      </c>
      <c r="K119" s="50">
        <v>2</v>
      </c>
      <c r="L119" s="50" t="s">
        <v>29</v>
      </c>
      <c r="M119" s="40">
        <v>44804</v>
      </c>
      <c r="N119" s="40">
        <v>44834</v>
      </c>
      <c r="O119" s="50" t="s">
        <v>30</v>
      </c>
      <c r="P119" s="26"/>
      <c r="Q119" s="26"/>
      <c r="R119" s="26"/>
      <c r="S119" s="26"/>
      <c r="T119" s="51"/>
      <c r="U119" s="51"/>
      <c r="V119" s="51"/>
      <c r="W119" s="51"/>
      <c r="X119" s="51"/>
      <c r="Y119" s="51"/>
      <c r="Z119" s="51"/>
      <c r="AA119" s="51"/>
      <c r="AC119" s="131"/>
    </row>
    <row r="120" spans="1:29" x14ac:dyDescent="0.3">
      <c r="A120" s="29" t="s">
        <v>31</v>
      </c>
      <c r="B120" s="31" t="s">
        <v>38</v>
      </c>
      <c r="C120" s="32" t="s">
        <v>39</v>
      </c>
      <c r="D120" s="32" t="s">
        <v>35</v>
      </c>
      <c r="E120" s="32">
        <v>215033</v>
      </c>
      <c r="F120" s="31" t="s">
        <v>203</v>
      </c>
      <c r="G120" s="26" t="s">
        <v>27</v>
      </c>
      <c r="H120" s="32">
        <v>5</v>
      </c>
      <c r="I120" s="32">
        <v>25</v>
      </c>
      <c r="J120" s="32" t="s">
        <v>28</v>
      </c>
      <c r="K120" s="32">
        <v>2</v>
      </c>
      <c r="L120" s="32" t="s">
        <v>29</v>
      </c>
      <c r="M120" s="14">
        <v>44804</v>
      </c>
      <c r="N120" s="26"/>
      <c r="O120" s="32" t="s">
        <v>30</v>
      </c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C120" s="131"/>
    </row>
    <row r="121" spans="1:29" x14ac:dyDescent="0.3">
      <c r="A121" s="29" t="s">
        <v>31</v>
      </c>
      <c r="B121" s="31" t="s">
        <v>38</v>
      </c>
      <c r="C121" s="32" t="s">
        <v>39</v>
      </c>
      <c r="D121" s="32" t="s">
        <v>35</v>
      </c>
      <c r="E121" s="32">
        <v>223136</v>
      </c>
      <c r="F121" s="31">
        <v>52099</v>
      </c>
      <c r="G121" s="31">
        <v>317</v>
      </c>
      <c r="H121" s="32">
        <v>19</v>
      </c>
      <c r="I121" s="32">
        <v>33</v>
      </c>
      <c r="J121" s="32" t="s">
        <v>204</v>
      </c>
      <c r="K121" s="32">
        <v>2</v>
      </c>
      <c r="L121" s="32" t="s">
        <v>29</v>
      </c>
      <c r="M121" s="14">
        <v>44804</v>
      </c>
      <c r="N121" s="26"/>
      <c r="O121" s="32" t="s">
        <v>30</v>
      </c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C121" s="131"/>
    </row>
    <row r="122" spans="1:29" x14ac:dyDescent="0.3">
      <c r="A122" s="29" t="s">
        <v>31</v>
      </c>
      <c r="B122" s="31" t="s">
        <v>38</v>
      </c>
      <c r="C122" s="32" t="s">
        <v>39</v>
      </c>
      <c r="D122" s="32" t="s">
        <v>35</v>
      </c>
      <c r="E122" s="32">
        <v>104290</v>
      </c>
      <c r="F122" s="31">
        <v>52097</v>
      </c>
      <c r="G122" s="31">
        <v>317</v>
      </c>
      <c r="H122" s="32">
        <v>19</v>
      </c>
      <c r="I122" s="32">
        <v>33</v>
      </c>
      <c r="J122" s="32" t="s">
        <v>205</v>
      </c>
      <c r="K122" s="32">
        <v>2</v>
      </c>
      <c r="L122" s="32" t="s">
        <v>29</v>
      </c>
      <c r="M122" s="14">
        <v>44804</v>
      </c>
      <c r="N122" s="26"/>
      <c r="O122" s="32" t="s">
        <v>30</v>
      </c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C122" s="131"/>
    </row>
    <row r="123" spans="1:29" x14ac:dyDescent="0.3">
      <c r="A123" s="29" t="s">
        <v>31</v>
      </c>
      <c r="B123" s="31" t="s">
        <v>38</v>
      </c>
      <c r="C123" s="32" t="s">
        <v>39</v>
      </c>
      <c r="D123" s="32" t="s">
        <v>35</v>
      </c>
      <c r="E123" s="32">
        <v>174432</v>
      </c>
      <c r="F123" s="31">
        <v>52100</v>
      </c>
      <c r="G123" s="31">
        <v>317</v>
      </c>
      <c r="H123" s="32">
        <v>19</v>
      </c>
      <c r="I123" s="32">
        <v>33</v>
      </c>
      <c r="J123" s="32" t="s">
        <v>206</v>
      </c>
      <c r="K123" s="32">
        <v>2</v>
      </c>
      <c r="L123" s="32" t="s">
        <v>29</v>
      </c>
      <c r="M123" s="14">
        <v>44804</v>
      </c>
      <c r="N123" s="26"/>
      <c r="O123" s="32" t="s">
        <v>30</v>
      </c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C123" s="131"/>
    </row>
    <row r="124" spans="1:29" x14ac:dyDescent="0.3">
      <c r="A124" s="29" t="s">
        <v>31</v>
      </c>
      <c r="B124" s="31" t="s">
        <v>38</v>
      </c>
      <c r="C124" s="32" t="s">
        <v>39</v>
      </c>
      <c r="D124" s="32" t="s">
        <v>35</v>
      </c>
      <c r="E124" s="32">
        <v>223137</v>
      </c>
      <c r="F124" s="31">
        <v>52131</v>
      </c>
      <c r="G124" s="31">
        <v>317</v>
      </c>
      <c r="H124" s="32">
        <v>19</v>
      </c>
      <c r="I124" s="32">
        <v>33</v>
      </c>
      <c r="J124" s="32" t="s">
        <v>207</v>
      </c>
      <c r="K124" s="32">
        <v>2</v>
      </c>
      <c r="L124" s="32" t="s">
        <v>29</v>
      </c>
      <c r="M124" s="14">
        <v>44804</v>
      </c>
      <c r="N124" s="26"/>
      <c r="O124" s="32" t="s">
        <v>30</v>
      </c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C124" s="131"/>
    </row>
    <row r="125" spans="1:29" x14ac:dyDescent="0.3">
      <c r="A125" s="29" t="s">
        <v>31</v>
      </c>
      <c r="B125" s="31" t="s">
        <v>38</v>
      </c>
      <c r="C125" s="32" t="s">
        <v>39</v>
      </c>
      <c r="D125" s="32" t="s">
        <v>35</v>
      </c>
      <c r="E125" s="32">
        <v>219084</v>
      </c>
      <c r="F125" s="31">
        <v>52102</v>
      </c>
      <c r="G125" s="31">
        <v>317</v>
      </c>
      <c r="H125" s="32">
        <v>19</v>
      </c>
      <c r="I125" s="32">
        <v>33</v>
      </c>
      <c r="J125" s="32" t="s">
        <v>208</v>
      </c>
      <c r="K125" s="32">
        <v>2</v>
      </c>
      <c r="L125" s="32" t="s">
        <v>29</v>
      </c>
      <c r="M125" s="14">
        <v>44804</v>
      </c>
      <c r="N125" s="26"/>
      <c r="O125" s="32" t="s">
        <v>30</v>
      </c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C125" s="131"/>
    </row>
    <row r="126" spans="1:29" x14ac:dyDescent="0.3">
      <c r="A126" s="29" t="s">
        <v>31</v>
      </c>
      <c r="B126" s="31" t="s">
        <v>38</v>
      </c>
      <c r="C126" s="32" t="s">
        <v>39</v>
      </c>
      <c r="D126" s="32" t="s">
        <v>35</v>
      </c>
      <c r="E126" s="32">
        <v>176653</v>
      </c>
      <c r="F126" s="31">
        <v>52101</v>
      </c>
      <c r="G126" s="31">
        <v>317</v>
      </c>
      <c r="H126" s="32">
        <v>19</v>
      </c>
      <c r="I126" s="32">
        <v>33</v>
      </c>
      <c r="J126" s="32" t="s">
        <v>209</v>
      </c>
      <c r="K126" s="32">
        <v>2</v>
      </c>
      <c r="L126" s="32" t="s">
        <v>29</v>
      </c>
      <c r="M126" s="14">
        <v>44804</v>
      </c>
      <c r="N126" s="26"/>
      <c r="O126" s="32" t="s">
        <v>30</v>
      </c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C126" s="131"/>
    </row>
    <row r="127" spans="1:29" x14ac:dyDescent="0.3">
      <c r="A127" s="45" t="s">
        <v>36</v>
      </c>
      <c r="B127" s="49" t="s">
        <v>160</v>
      </c>
      <c r="C127" s="50" t="s">
        <v>161</v>
      </c>
      <c r="D127" s="50" t="s">
        <v>26</v>
      </c>
      <c r="E127" s="50">
        <v>105407</v>
      </c>
      <c r="F127" s="49" t="s">
        <v>210</v>
      </c>
      <c r="G127" s="49">
        <v>8551</v>
      </c>
      <c r="H127" s="50">
        <v>19</v>
      </c>
      <c r="I127" s="50">
        <v>25</v>
      </c>
      <c r="J127" s="50" t="s">
        <v>28</v>
      </c>
      <c r="K127" s="50">
        <v>2</v>
      </c>
      <c r="L127" s="50" t="s">
        <v>29</v>
      </c>
      <c r="M127" s="40">
        <v>44812</v>
      </c>
      <c r="N127" s="40">
        <v>44819</v>
      </c>
      <c r="O127" s="50" t="s">
        <v>30</v>
      </c>
      <c r="T127" s="51"/>
      <c r="U127" s="51"/>
      <c r="V127" s="51"/>
      <c r="W127" s="51"/>
      <c r="X127" s="51"/>
      <c r="Y127" s="51"/>
      <c r="Z127" s="51"/>
      <c r="AA127" s="51"/>
      <c r="AC127" s="131"/>
    </row>
    <row r="128" spans="1:29" x14ac:dyDescent="0.3">
      <c r="A128" s="29" t="s">
        <v>31</v>
      </c>
      <c r="B128" s="31" t="s">
        <v>38</v>
      </c>
      <c r="C128" s="32" t="s">
        <v>39</v>
      </c>
      <c r="D128" s="32" t="s">
        <v>35</v>
      </c>
      <c r="E128" s="32">
        <v>174352</v>
      </c>
      <c r="F128" s="31">
        <v>30804</v>
      </c>
      <c r="G128" s="26" t="s">
        <v>72</v>
      </c>
      <c r="H128" s="32">
        <v>19</v>
      </c>
      <c r="I128" s="32">
        <v>15</v>
      </c>
      <c r="J128" s="32" t="s">
        <v>28</v>
      </c>
      <c r="K128" s="32">
        <v>2</v>
      </c>
      <c r="L128" s="32" t="s">
        <v>29</v>
      </c>
      <c r="M128" s="14">
        <v>44823</v>
      </c>
      <c r="N128" s="14">
        <v>44881</v>
      </c>
      <c r="O128" s="32" t="s">
        <v>30</v>
      </c>
      <c r="T128" s="26"/>
      <c r="U128" s="26"/>
      <c r="V128" s="26"/>
      <c r="W128" s="26"/>
      <c r="X128" s="26"/>
      <c r="Y128" s="26"/>
      <c r="Z128" s="26"/>
      <c r="AA128" s="26"/>
      <c r="AC128" s="131"/>
    </row>
    <row r="129" spans="1:29" x14ac:dyDescent="0.3">
      <c r="A129" s="29" t="s">
        <v>31</v>
      </c>
      <c r="B129" s="104" t="s">
        <v>139</v>
      </c>
      <c r="C129" s="32" t="s">
        <v>140</v>
      </c>
      <c r="D129" s="32" t="s">
        <v>35</v>
      </c>
      <c r="E129" s="32">
        <v>202913</v>
      </c>
      <c r="F129" s="31" t="s">
        <v>211</v>
      </c>
      <c r="G129" s="26" t="s">
        <v>83</v>
      </c>
      <c r="H129" s="32">
        <v>19</v>
      </c>
      <c r="I129" s="32">
        <v>33</v>
      </c>
      <c r="J129" s="32" t="s">
        <v>37</v>
      </c>
      <c r="K129" s="32">
        <v>2</v>
      </c>
      <c r="L129" s="32" t="s">
        <v>29</v>
      </c>
      <c r="M129" s="14">
        <v>44830</v>
      </c>
      <c r="N129" s="26"/>
      <c r="O129" s="32"/>
      <c r="T129" s="26"/>
      <c r="U129" s="26"/>
      <c r="V129" s="26"/>
      <c r="W129" s="26"/>
      <c r="X129" s="26"/>
      <c r="Y129" s="26"/>
      <c r="Z129" s="26"/>
      <c r="AA129" s="26"/>
      <c r="AC129" s="131"/>
    </row>
    <row r="130" spans="1:29" x14ac:dyDescent="0.3">
      <c r="A130" s="45" t="s">
        <v>36</v>
      </c>
      <c r="B130" s="49" t="s">
        <v>212</v>
      </c>
      <c r="C130" s="50" t="s">
        <v>213</v>
      </c>
      <c r="D130" s="50" t="s">
        <v>35</v>
      </c>
      <c r="E130" s="50">
        <v>99631</v>
      </c>
      <c r="F130" s="49" t="s">
        <v>214</v>
      </c>
      <c r="G130" s="51" t="s">
        <v>27</v>
      </c>
      <c r="H130" s="50">
        <v>19</v>
      </c>
      <c r="I130" s="50">
        <v>25</v>
      </c>
      <c r="J130" s="50" t="s">
        <v>28</v>
      </c>
      <c r="K130" s="50">
        <v>2</v>
      </c>
      <c r="L130" s="50" t="s">
        <v>29</v>
      </c>
      <c r="M130" s="40">
        <v>44830</v>
      </c>
      <c r="N130" s="40">
        <v>44834</v>
      </c>
      <c r="O130" s="50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C130" s="131"/>
    </row>
    <row r="131" spans="1:29" x14ac:dyDescent="0.3">
      <c r="A131" s="29" t="s">
        <v>31</v>
      </c>
      <c r="B131" s="104" t="s">
        <v>80</v>
      </c>
      <c r="C131" s="32" t="s">
        <v>87</v>
      </c>
      <c r="D131" s="32" t="s">
        <v>26</v>
      </c>
      <c r="E131" s="32">
        <v>177227</v>
      </c>
      <c r="F131" s="31">
        <v>7023911900</v>
      </c>
      <c r="G131" s="31">
        <v>839</v>
      </c>
      <c r="H131" s="32">
        <v>19</v>
      </c>
      <c r="I131" s="32">
        <v>25</v>
      </c>
      <c r="J131" s="32" t="s">
        <v>28</v>
      </c>
      <c r="K131" s="32">
        <v>4</v>
      </c>
      <c r="L131" s="25" t="s">
        <v>29</v>
      </c>
      <c r="M131" s="14">
        <v>44830</v>
      </c>
      <c r="N131" s="26"/>
      <c r="O131" s="32"/>
      <c r="T131" s="26"/>
      <c r="U131" s="26"/>
      <c r="V131" s="26"/>
      <c r="W131" s="26"/>
      <c r="X131" s="26"/>
      <c r="Y131" s="26"/>
      <c r="Z131" s="26"/>
      <c r="AA131" s="26"/>
      <c r="AC131" s="131"/>
    </row>
    <row r="132" spans="1:29" x14ac:dyDescent="0.3">
      <c r="A132" s="62" t="s">
        <v>31</v>
      </c>
      <c r="B132" s="104" t="s">
        <v>144</v>
      </c>
      <c r="C132" s="32" t="s">
        <v>215</v>
      </c>
      <c r="D132" s="32" t="s">
        <v>35</v>
      </c>
      <c r="E132" s="32">
        <v>147094</v>
      </c>
      <c r="F132" s="31">
        <v>40002433</v>
      </c>
      <c r="G132" s="26" t="s">
        <v>27</v>
      </c>
      <c r="H132" s="32">
        <v>19</v>
      </c>
      <c r="I132" s="32">
        <v>25</v>
      </c>
      <c r="J132" s="32" t="s">
        <v>41</v>
      </c>
      <c r="K132" s="32">
        <v>4</v>
      </c>
      <c r="L132" s="32" t="s">
        <v>29</v>
      </c>
      <c r="M132" s="14">
        <v>44830</v>
      </c>
      <c r="N132" s="26"/>
      <c r="O132" s="32"/>
      <c r="T132" s="26"/>
      <c r="U132" s="26"/>
      <c r="V132" s="26"/>
      <c r="W132" s="26"/>
      <c r="X132" s="26"/>
      <c r="Y132" s="26"/>
      <c r="Z132" s="26"/>
      <c r="AA132" s="26"/>
      <c r="AC132" s="131"/>
    </row>
    <row r="133" spans="1:29" x14ac:dyDescent="0.3">
      <c r="A133" s="62" t="s">
        <v>31</v>
      </c>
      <c r="B133" s="104" t="s">
        <v>144</v>
      </c>
      <c r="C133" s="32" t="s">
        <v>215</v>
      </c>
      <c r="D133" s="32" t="s">
        <v>35</v>
      </c>
      <c r="E133" s="32">
        <v>163271</v>
      </c>
      <c r="F133" s="31">
        <v>40194741</v>
      </c>
      <c r="G133" s="26" t="s">
        <v>27</v>
      </c>
      <c r="H133" s="32">
        <v>25</v>
      </c>
      <c r="I133" s="32">
        <v>25</v>
      </c>
      <c r="J133" s="32" t="s">
        <v>41</v>
      </c>
      <c r="K133" s="32">
        <v>4</v>
      </c>
      <c r="L133" s="32" t="s">
        <v>29</v>
      </c>
      <c r="M133" s="14">
        <v>44830</v>
      </c>
      <c r="N133" s="26"/>
      <c r="O133" s="32"/>
      <c r="T133" s="26"/>
      <c r="U133" s="26"/>
      <c r="V133" s="26"/>
      <c r="W133" s="26"/>
      <c r="X133" s="26"/>
      <c r="Y133" s="26"/>
      <c r="Z133" s="26"/>
      <c r="AA133" s="26"/>
      <c r="AC133" s="131"/>
    </row>
    <row r="134" spans="1:29" x14ac:dyDescent="0.3">
      <c r="A134" s="51" t="s">
        <v>36</v>
      </c>
      <c r="B134" s="49" t="s">
        <v>216</v>
      </c>
      <c r="C134" s="49" t="s">
        <v>217</v>
      </c>
      <c r="D134" s="50" t="s">
        <v>35</v>
      </c>
      <c r="E134" s="50">
        <v>173008</v>
      </c>
      <c r="F134" s="49" t="s">
        <v>218</v>
      </c>
      <c r="G134" s="51">
        <v>8560</v>
      </c>
      <c r="H134" s="50">
        <v>19</v>
      </c>
      <c r="I134" s="50">
        <v>50</v>
      </c>
      <c r="J134" s="50" t="s">
        <v>28</v>
      </c>
      <c r="K134" s="50">
        <v>4</v>
      </c>
      <c r="L134" s="50" t="s">
        <v>29</v>
      </c>
      <c r="M134" s="40">
        <v>44847</v>
      </c>
      <c r="N134" s="40">
        <v>44895</v>
      </c>
      <c r="O134" s="50" t="s">
        <v>30</v>
      </c>
      <c r="T134" s="51"/>
      <c r="U134" s="51"/>
      <c r="V134" s="51"/>
      <c r="W134" s="51"/>
      <c r="X134" s="51"/>
      <c r="Y134" s="51"/>
      <c r="Z134" s="51"/>
      <c r="AA134" s="51"/>
      <c r="AC134" s="131"/>
    </row>
    <row r="135" spans="1:29" x14ac:dyDescent="0.3">
      <c r="A135" s="26" t="s">
        <v>31</v>
      </c>
      <c r="B135" s="31" t="s">
        <v>55</v>
      </c>
      <c r="C135" s="32" t="s">
        <v>191</v>
      </c>
      <c r="D135" s="32" t="s">
        <v>35</v>
      </c>
      <c r="E135" s="32">
        <v>156030</v>
      </c>
      <c r="F135" s="31" t="s">
        <v>219</v>
      </c>
      <c r="G135" s="26" t="s">
        <v>58</v>
      </c>
      <c r="H135" s="32">
        <v>19</v>
      </c>
      <c r="I135" s="32">
        <v>25</v>
      </c>
      <c r="J135" s="32" t="s">
        <v>28</v>
      </c>
      <c r="K135" s="32">
        <v>2</v>
      </c>
      <c r="L135" s="32" t="s">
        <v>29</v>
      </c>
      <c r="M135" s="14"/>
      <c r="N135" s="26"/>
      <c r="O135" s="32"/>
      <c r="T135" s="26"/>
      <c r="U135" s="26"/>
      <c r="V135" s="26"/>
      <c r="W135" s="26"/>
      <c r="X135" s="26"/>
      <c r="Y135" s="26"/>
      <c r="Z135" s="14">
        <v>44889</v>
      </c>
      <c r="AA135" s="26"/>
      <c r="AC135" s="131"/>
    </row>
    <row r="136" spans="1:29" x14ac:dyDescent="0.3">
      <c r="A136" s="51" t="s">
        <v>36</v>
      </c>
      <c r="B136" s="49" t="s">
        <v>220</v>
      </c>
      <c r="C136" s="50" t="s">
        <v>221</v>
      </c>
      <c r="D136" s="50" t="s">
        <v>35</v>
      </c>
      <c r="E136" s="50">
        <v>197512</v>
      </c>
      <c r="F136" s="49" t="s">
        <v>222</v>
      </c>
      <c r="G136" s="49">
        <v>505</v>
      </c>
      <c r="H136" s="50">
        <v>19</v>
      </c>
      <c r="I136" s="50">
        <v>25</v>
      </c>
      <c r="J136" s="50" t="s">
        <v>37</v>
      </c>
      <c r="K136" s="50">
        <v>2</v>
      </c>
      <c r="L136" s="50" t="s">
        <v>29</v>
      </c>
      <c r="M136" s="40">
        <v>44902</v>
      </c>
      <c r="N136" s="40">
        <v>44907</v>
      </c>
      <c r="O136" s="50" t="s">
        <v>30</v>
      </c>
      <c r="P136" s="51"/>
      <c r="Q136" s="51"/>
      <c r="R136" s="51"/>
      <c r="S136" s="51"/>
      <c r="T136" s="51"/>
      <c r="U136" s="51"/>
      <c r="V136" s="51"/>
      <c r="W136" s="40"/>
      <c r="X136" s="51"/>
      <c r="Y136" s="51"/>
      <c r="Z136" s="51"/>
      <c r="AA136" s="51"/>
      <c r="AC136" s="130" t="s">
        <v>250</v>
      </c>
    </row>
    <row r="137" spans="1:29" x14ac:dyDescent="0.3">
      <c r="A137" s="51" t="s">
        <v>36</v>
      </c>
      <c r="B137" s="49" t="s">
        <v>220</v>
      </c>
      <c r="C137" s="50" t="s">
        <v>221</v>
      </c>
      <c r="D137" s="50" t="s">
        <v>35</v>
      </c>
      <c r="E137" s="50">
        <v>173024</v>
      </c>
      <c r="F137" s="49" t="s">
        <v>223</v>
      </c>
      <c r="G137" s="49">
        <v>505</v>
      </c>
      <c r="H137" s="50">
        <v>19</v>
      </c>
      <c r="I137" s="50">
        <v>25</v>
      </c>
      <c r="J137" s="50" t="s">
        <v>204</v>
      </c>
      <c r="K137" s="50">
        <v>2</v>
      </c>
      <c r="L137" s="50" t="s">
        <v>29</v>
      </c>
      <c r="M137" s="40">
        <v>44902</v>
      </c>
      <c r="N137" s="40">
        <v>44907</v>
      </c>
      <c r="O137" s="50" t="s">
        <v>30</v>
      </c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C137" s="130" t="s">
        <v>250</v>
      </c>
    </row>
    <row r="138" spans="1:29" x14ac:dyDescent="0.3">
      <c r="A138" s="51" t="s">
        <v>36</v>
      </c>
      <c r="B138" s="49" t="s">
        <v>220</v>
      </c>
      <c r="C138" s="50" t="s">
        <v>221</v>
      </c>
      <c r="D138" s="50" t="s">
        <v>35</v>
      </c>
      <c r="E138" s="50">
        <v>173540</v>
      </c>
      <c r="F138" s="49" t="s">
        <v>224</v>
      </c>
      <c r="G138" s="49">
        <v>512</v>
      </c>
      <c r="H138" s="50">
        <v>19</v>
      </c>
      <c r="I138" s="50">
        <v>25</v>
      </c>
      <c r="J138" s="50" t="s">
        <v>28</v>
      </c>
      <c r="K138" s="50">
        <v>2</v>
      </c>
      <c r="L138" s="50" t="s">
        <v>29</v>
      </c>
      <c r="M138" s="40">
        <v>44902</v>
      </c>
      <c r="N138" s="40">
        <v>44907</v>
      </c>
      <c r="O138" s="50" t="s">
        <v>30</v>
      </c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C138" s="130" t="s">
        <v>250</v>
      </c>
    </row>
    <row r="139" spans="1:29" x14ac:dyDescent="0.3">
      <c r="A139" s="51" t="s">
        <v>36</v>
      </c>
      <c r="B139" s="49" t="s">
        <v>97</v>
      </c>
      <c r="C139" s="50" t="s">
        <v>225</v>
      </c>
      <c r="D139" s="50" t="s">
        <v>35</v>
      </c>
      <c r="E139" s="50">
        <v>153519</v>
      </c>
      <c r="F139" s="49" t="s">
        <v>226</v>
      </c>
      <c r="G139" s="49">
        <v>839</v>
      </c>
      <c r="H139" s="50">
        <v>19</v>
      </c>
      <c r="I139" s="50">
        <v>25</v>
      </c>
      <c r="J139" s="50" t="s">
        <v>40</v>
      </c>
      <c r="K139" s="50">
        <v>4</v>
      </c>
      <c r="L139" s="50" t="s">
        <v>185</v>
      </c>
      <c r="M139" s="40">
        <v>44915</v>
      </c>
      <c r="N139" s="40">
        <v>44916</v>
      </c>
      <c r="O139" s="50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C139" s="131"/>
    </row>
  </sheetData>
  <autoFilter ref="A2:AA139" xr:uid="{00000000-0001-0000-0000-000000000000}"/>
  <sortState xmlns:xlrd2="http://schemas.microsoft.com/office/spreadsheetml/2017/richdata2" ref="B3:I107">
    <sortCondition ref="B3"/>
  </sortState>
  <mergeCells count="4">
    <mergeCell ref="X1:AA1"/>
    <mergeCell ref="M1:O1"/>
    <mergeCell ref="T1:W1"/>
    <mergeCell ref="P1:S1"/>
  </mergeCells>
  <pageMargins left="0.7" right="0.7" top="0.75" bottom="0.75" header="0.3" footer="0.3"/>
  <pageSetup scale="69" orientation="landscape" r:id="rId1"/>
  <headerFooter>
    <oddFooter>&amp;Rupdated &amp;D</oddFooter>
  </headerFooter>
  <ignoredErrors>
    <ignoredError sqref="X77 X105 X6 Y86 X87 X32 X22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BC6A-E5C0-4A4E-9505-0137C5D14589}">
  <sheetPr>
    <pageSetUpPr fitToPage="1"/>
  </sheetPr>
  <dimension ref="A1:Z118"/>
  <sheetViews>
    <sheetView zoomScale="70" zoomScaleNormal="70" workbookViewId="0">
      <pane ySplit="2" topLeftCell="A3" activePane="bottomLeft" state="frozen"/>
      <selection pane="bottomLeft" activeCell="F86" sqref="F86"/>
    </sheetView>
  </sheetViews>
  <sheetFormatPr baseColWidth="10" defaultColWidth="9.1796875" defaultRowHeight="14" x14ac:dyDescent="0.3"/>
  <cols>
    <col min="1" max="1" width="33.81640625" style="2" bestFit="1" customWidth="1"/>
    <col min="2" max="2" width="34.54296875" style="5" customWidth="1"/>
    <col min="3" max="3" width="19.453125" style="1" customWidth="1"/>
    <col min="4" max="4" width="14.453125" style="1" bestFit="1" customWidth="1"/>
    <col min="5" max="5" width="12.81640625" style="1" bestFit="1" customWidth="1"/>
    <col min="6" max="6" width="22" style="5" bestFit="1" customWidth="1"/>
    <col min="7" max="7" width="13" style="2" bestFit="1" customWidth="1"/>
    <col min="8" max="8" width="18.453125" style="1" bestFit="1" customWidth="1"/>
    <col min="9" max="9" width="17.81640625" style="1" bestFit="1" customWidth="1"/>
    <col min="10" max="10" width="9.453125" style="2" bestFit="1" customWidth="1"/>
    <col min="11" max="11" width="11.54296875" style="1" bestFit="1" customWidth="1"/>
    <col min="12" max="12" width="19.1796875" style="1" bestFit="1" customWidth="1"/>
    <col min="13" max="13" width="22.453125" style="2" bestFit="1" customWidth="1"/>
    <col min="14" max="14" width="18.54296875" style="2" bestFit="1" customWidth="1"/>
    <col min="15" max="15" width="18.1796875" style="1" bestFit="1" customWidth="1"/>
    <col min="16" max="16" width="14.81640625" style="2" customWidth="1"/>
    <col min="17" max="17" width="17.1796875" style="2" customWidth="1"/>
    <col min="18" max="18" width="16.1796875" style="2" customWidth="1"/>
    <col min="19" max="19" width="19.81640625" style="2" customWidth="1"/>
    <col min="20" max="20" width="12.1796875" style="2" bestFit="1" customWidth="1"/>
    <col min="21" max="21" width="14.81640625" style="2" customWidth="1"/>
    <col min="22" max="22" width="11.7265625" style="2" customWidth="1"/>
    <col min="23" max="23" width="15.81640625" style="2" bestFit="1" customWidth="1"/>
    <col min="24" max="24" width="14" style="2" customWidth="1"/>
    <col min="25" max="25" width="12.453125" style="2" bestFit="1" customWidth="1"/>
    <col min="26" max="26" width="15" style="2" customWidth="1"/>
    <col min="27" max="16384" width="9.1796875" style="2"/>
  </cols>
  <sheetData>
    <row r="1" spans="1:26" ht="14.5" thickBot="1" x14ac:dyDescent="0.35">
      <c r="B1" s="8"/>
      <c r="C1" s="8"/>
      <c r="D1" s="8"/>
      <c r="E1" s="8"/>
      <c r="F1" s="8"/>
      <c r="G1" s="7"/>
      <c r="H1" s="8"/>
      <c r="I1" s="8"/>
      <c r="J1" s="8"/>
      <c r="M1" s="136" t="s">
        <v>0</v>
      </c>
      <c r="N1" s="137"/>
      <c r="O1" s="138"/>
      <c r="P1" s="133" t="s">
        <v>1</v>
      </c>
      <c r="Q1" s="134"/>
      <c r="R1" s="135"/>
      <c r="S1" s="81"/>
      <c r="T1" s="133">
        <v>2021</v>
      </c>
      <c r="U1" s="134"/>
      <c r="V1" s="135"/>
      <c r="X1" s="133">
        <v>2022</v>
      </c>
      <c r="Y1" s="134"/>
      <c r="Z1" s="135"/>
    </row>
    <row r="2" spans="1:26" s="9" customFormat="1" ht="56.5" thickBot="1" x14ac:dyDescent="0.35">
      <c r="A2" s="35" t="s">
        <v>2</v>
      </c>
      <c r="B2" s="22" t="s">
        <v>3</v>
      </c>
      <c r="C2" s="22" t="s">
        <v>4</v>
      </c>
      <c r="D2" s="22" t="s">
        <v>5</v>
      </c>
      <c r="E2" s="22" t="s">
        <v>6</v>
      </c>
      <c r="F2" s="22" t="s">
        <v>7</v>
      </c>
      <c r="G2" s="22" t="s">
        <v>8</v>
      </c>
      <c r="H2" s="22" t="s">
        <v>9</v>
      </c>
      <c r="I2" s="22" t="s">
        <v>10</v>
      </c>
      <c r="J2" s="22" t="s">
        <v>11</v>
      </c>
      <c r="K2" s="22" t="s">
        <v>12</v>
      </c>
      <c r="L2" s="22" t="s">
        <v>13</v>
      </c>
      <c r="M2" s="21" t="s">
        <v>14</v>
      </c>
      <c r="N2" s="22" t="s">
        <v>15</v>
      </c>
      <c r="O2" s="23" t="s">
        <v>16</v>
      </c>
      <c r="P2" s="21" t="s">
        <v>17</v>
      </c>
      <c r="Q2" s="22" t="s">
        <v>18</v>
      </c>
      <c r="R2" s="22" t="s">
        <v>19</v>
      </c>
      <c r="S2" s="22" t="s">
        <v>20</v>
      </c>
      <c r="T2" s="36" t="s">
        <v>17</v>
      </c>
      <c r="U2" s="37" t="s">
        <v>18</v>
      </c>
      <c r="V2" s="38" t="s">
        <v>21</v>
      </c>
      <c r="W2" s="22" t="s">
        <v>20</v>
      </c>
      <c r="X2" s="21" t="s">
        <v>22</v>
      </c>
      <c r="Y2" s="22" t="s">
        <v>18</v>
      </c>
      <c r="Z2" s="23" t="s">
        <v>23</v>
      </c>
    </row>
    <row r="3" spans="1:26" x14ac:dyDescent="0.3">
      <c r="A3" s="29" t="s">
        <v>31</v>
      </c>
      <c r="B3" s="54" t="s">
        <v>24</v>
      </c>
      <c r="C3" s="58" t="s">
        <v>25</v>
      </c>
      <c r="D3" s="32" t="s">
        <v>26</v>
      </c>
      <c r="E3" s="58">
        <v>176647</v>
      </c>
      <c r="F3" s="54" t="s">
        <v>27</v>
      </c>
      <c r="G3" s="54" t="s">
        <v>27</v>
      </c>
      <c r="H3" s="58">
        <v>12</v>
      </c>
      <c r="I3" s="58">
        <v>25</v>
      </c>
      <c r="J3" s="59" t="s">
        <v>28</v>
      </c>
      <c r="K3" s="58">
        <v>2</v>
      </c>
      <c r="L3" s="58" t="s">
        <v>29</v>
      </c>
      <c r="M3" s="60">
        <v>44126</v>
      </c>
      <c r="N3" s="59"/>
      <c r="O3" s="61" t="s">
        <v>30</v>
      </c>
      <c r="P3" s="15"/>
      <c r="Q3" s="4"/>
      <c r="R3" s="4"/>
      <c r="S3" s="4"/>
      <c r="T3" s="13">
        <f>$M3+365</f>
        <v>44491</v>
      </c>
      <c r="U3" s="63">
        <f>+T3-60</f>
        <v>44431</v>
      </c>
      <c r="V3" s="48">
        <v>44421</v>
      </c>
      <c r="W3" s="59"/>
      <c r="X3" s="11">
        <f>V3+365</f>
        <v>44786</v>
      </c>
      <c r="Y3" s="57">
        <f>X3-60</f>
        <v>44726</v>
      </c>
      <c r="Z3" s="12"/>
    </row>
    <row r="4" spans="1:26" x14ac:dyDescent="0.3">
      <c r="A4" s="29" t="s">
        <v>31</v>
      </c>
      <c r="B4" s="54" t="s">
        <v>24</v>
      </c>
      <c r="C4" s="58" t="s">
        <v>25</v>
      </c>
      <c r="D4" s="32" t="s">
        <v>26</v>
      </c>
      <c r="E4" s="58">
        <v>105407</v>
      </c>
      <c r="F4" s="54">
        <v>8551</v>
      </c>
      <c r="G4" s="54">
        <v>8551</v>
      </c>
      <c r="H4" s="58">
        <v>19</v>
      </c>
      <c r="I4" s="58">
        <v>25</v>
      </c>
      <c r="J4" s="59" t="s">
        <v>28</v>
      </c>
      <c r="K4" s="58">
        <v>2</v>
      </c>
      <c r="L4" s="58" t="s">
        <v>29</v>
      </c>
      <c r="M4" s="60">
        <v>44126</v>
      </c>
      <c r="N4" s="59"/>
      <c r="O4" s="61" t="s">
        <v>30</v>
      </c>
      <c r="P4" s="15"/>
      <c r="Q4" s="4"/>
      <c r="R4" s="4"/>
      <c r="S4" s="4"/>
      <c r="T4" s="13">
        <f>$M4+365</f>
        <v>44491</v>
      </c>
      <c r="U4" s="63">
        <f>+T4-60</f>
        <v>44431</v>
      </c>
      <c r="V4" s="48">
        <v>44421</v>
      </c>
      <c r="W4" s="59"/>
      <c r="X4" s="11">
        <f>V4+365</f>
        <v>44786</v>
      </c>
      <c r="Y4" s="57">
        <f>X4-60</f>
        <v>44726</v>
      </c>
      <c r="Z4" s="12"/>
    </row>
    <row r="5" spans="1:26" x14ac:dyDescent="0.3">
      <c r="A5" s="28"/>
      <c r="B5" s="5" t="s">
        <v>38</v>
      </c>
      <c r="C5" s="1" t="s">
        <v>227</v>
      </c>
      <c r="D5" s="1" t="s">
        <v>26</v>
      </c>
      <c r="E5" s="1">
        <v>176644</v>
      </c>
      <c r="F5" s="5">
        <v>32071</v>
      </c>
      <c r="G5" s="5">
        <v>8551</v>
      </c>
      <c r="H5" s="1">
        <v>9</v>
      </c>
      <c r="I5" s="1">
        <v>25</v>
      </c>
      <c r="J5" s="30" t="s">
        <v>28</v>
      </c>
      <c r="K5" s="1">
        <v>2</v>
      </c>
      <c r="L5" s="1" t="s">
        <v>29</v>
      </c>
      <c r="M5" s="11">
        <v>43945</v>
      </c>
      <c r="O5" s="24" t="s">
        <v>30</v>
      </c>
      <c r="P5" s="15"/>
      <c r="T5" s="11">
        <f>M5+365</f>
        <v>44310</v>
      </c>
      <c r="U5" s="57">
        <f>+T5-60</f>
        <v>44250</v>
      </c>
      <c r="V5" s="12"/>
      <c r="X5" s="15"/>
      <c r="Z5" s="12"/>
    </row>
    <row r="6" spans="1:26" x14ac:dyDescent="0.3">
      <c r="A6" s="29" t="s">
        <v>31</v>
      </c>
      <c r="B6" s="31" t="s">
        <v>38</v>
      </c>
      <c r="C6" s="32" t="s">
        <v>227</v>
      </c>
      <c r="D6" s="32" t="s">
        <v>26</v>
      </c>
      <c r="E6" s="32">
        <v>99631</v>
      </c>
      <c r="F6" s="31">
        <v>35376</v>
      </c>
      <c r="G6" s="31" t="s">
        <v>27</v>
      </c>
      <c r="H6" s="32">
        <v>19</v>
      </c>
      <c r="I6" s="32">
        <v>25</v>
      </c>
      <c r="J6" s="26" t="s">
        <v>28</v>
      </c>
      <c r="K6" s="32">
        <v>2</v>
      </c>
      <c r="L6" s="32" t="s">
        <v>29</v>
      </c>
      <c r="M6" s="13">
        <v>43692</v>
      </c>
      <c r="N6" s="26"/>
      <c r="O6" s="25" t="s">
        <v>30</v>
      </c>
      <c r="P6" s="11">
        <f>M6+365</f>
        <v>44057</v>
      </c>
      <c r="Q6" s="3">
        <f>P6-60</f>
        <v>43997</v>
      </c>
      <c r="R6" s="3">
        <v>44146</v>
      </c>
      <c r="S6" s="3">
        <v>44148</v>
      </c>
      <c r="T6" s="13">
        <f>R6+365</f>
        <v>44511</v>
      </c>
      <c r="U6" s="14">
        <f>T6-60</f>
        <v>44451</v>
      </c>
      <c r="V6" s="48">
        <v>44475</v>
      </c>
      <c r="W6" s="14"/>
      <c r="X6" s="11">
        <f>365+V6</f>
        <v>44840</v>
      </c>
      <c r="Y6" s="3">
        <f>X6-60</f>
        <v>44780</v>
      </c>
      <c r="Z6" s="12"/>
    </row>
    <row r="7" spans="1:26" x14ac:dyDescent="0.3">
      <c r="A7" s="29" t="s">
        <v>31</v>
      </c>
      <c r="B7" s="31" t="s">
        <v>38</v>
      </c>
      <c r="C7" s="32" t="s">
        <v>227</v>
      </c>
      <c r="D7" s="32" t="s">
        <v>26</v>
      </c>
      <c r="E7" s="32">
        <v>156317</v>
      </c>
      <c r="F7" s="31">
        <v>44660</v>
      </c>
      <c r="G7" s="31">
        <v>317</v>
      </c>
      <c r="H7" s="32">
        <v>19</v>
      </c>
      <c r="I7" s="32">
        <v>33</v>
      </c>
      <c r="J7" s="26" t="s">
        <v>40</v>
      </c>
      <c r="K7" s="32">
        <v>2</v>
      </c>
      <c r="L7" s="32" t="s">
        <v>29</v>
      </c>
      <c r="M7" s="13">
        <v>43698</v>
      </c>
      <c r="N7" s="14">
        <v>43717</v>
      </c>
      <c r="O7" s="25" t="s">
        <v>30</v>
      </c>
      <c r="P7" s="11">
        <f>M7+365</f>
        <v>44063</v>
      </c>
      <c r="Q7" s="3">
        <f>P7-60</f>
        <v>44003</v>
      </c>
      <c r="R7" s="3">
        <v>44147</v>
      </c>
      <c r="S7" s="3"/>
      <c r="T7" s="13">
        <f>R7+365</f>
        <v>44512</v>
      </c>
      <c r="U7" s="14">
        <f>T7-60</f>
        <v>44452</v>
      </c>
      <c r="V7" s="48">
        <v>44475</v>
      </c>
      <c r="W7" s="26"/>
      <c r="X7" s="11">
        <f>365+V7</f>
        <v>44840</v>
      </c>
      <c r="Y7" s="3">
        <f>X7-60</f>
        <v>44780</v>
      </c>
      <c r="Z7" s="12"/>
    </row>
    <row r="8" spans="1:26" x14ac:dyDescent="0.3">
      <c r="A8" s="45" t="s">
        <v>228</v>
      </c>
      <c r="B8" s="49" t="s">
        <v>38</v>
      </c>
      <c r="C8" s="50" t="s">
        <v>227</v>
      </c>
      <c r="D8" s="50" t="s">
        <v>26</v>
      </c>
      <c r="E8" s="50">
        <v>147739</v>
      </c>
      <c r="F8" s="49">
        <v>20581</v>
      </c>
      <c r="G8" s="49">
        <v>317</v>
      </c>
      <c r="H8" s="50">
        <v>19</v>
      </c>
      <c r="I8" s="50">
        <v>33</v>
      </c>
      <c r="J8" s="51" t="s">
        <v>41</v>
      </c>
      <c r="K8" s="50">
        <v>4</v>
      </c>
      <c r="L8" s="50" t="s">
        <v>29</v>
      </c>
      <c r="M8" s="39"/>
      <c r="N8" s="40">
        <v>44133</v>
      </c>
      <c r="O8" s="52" t="s">
        <v>30</v>
      </c>
      <c r="P8" s="11">
        <v>44075</v>
      </c>
      <c r="Q8" s="3"/>
      <c r="R8" s="3">
        <v>44131</v>
      </c>
      <c r="S8" s="3"/>
      <c r="T8" s="39">
        <f>R8+365</f>
        <v>44496</v>
      </c>
      <c r="U8" s="40">
        <f>T8-60</f>
        <v>44436</v>
      </c>
      <c r="V8" s="41">
        <v>44432</v>
      </c>
      <c r="W8" s="40">
        <v>44440</v>
      </c>
      <c r="X8" s="11">
        <f>365+V8</f>
        <v>44797</v>
      </c>
      <c r="Y8" s="3">
        <f>X8-60</f>
        <v>44737</v>
      </c>
      <c r="Z8" s="12"/>
    </row>
    <row r="9" spans="1:26" x14ac:dyDescent="0.3">
      <c r="A9" s="45" t="s">
        <v>228</v>
      </c>
      <c r="B9" s="49" t="s">
        <v>38</v>
      </c>
      <c r="C9" s="50" t="s">
        <v>227</v>
      </c>
      <c r="D9" s="50" t="s">
        <v>26</v>
      </c>
      <c r="E9" s="50">
        <v>151210</v>
      </c>
      <c r="F9" s="49">
        <v>23464</v>
      </c>
      <c r="G9" s="51" t="s">
        <v>42</v>
      </c>
      <c r="H9" s="50">
        <v>19</v>
      </c>
      <c r="I9" s="50">
        <v>25</v>
      </c>
      <c r="J9" s="51" t="s">
        <v>41</v>
      </c>
      <c r="K9" s="50">
        <v>4</v>
      </c>
      <c r="L9" s="50" t="s">
        <v>29</v>
      </c>
      <c r="M9" s="39"/>
      <c r="N9" s="40">
        <v>44133</v>
      </c>
      <c r="O9" s="52" t="s">
        <v>30</v>
      </c>
      <c r="P9" s="11">
        <v>44075</v>
      </c>
      <c r="Q9" s="3"/>
      <c r="R9" s="3">
        <v>44131</v>
      </c>
      <c r="S9" s="3"/>
      <c r="T9" s="39">
        <f>R9+365</f>
        <v>44496</v>
      </c>
      <c r="U9" s="40">
        <f>T9-60</f>
        <v>44436</v>
      </c>
      <c r="V9" s="41">
        <v>44432</v>
      </c>
      <c r="W9" s="40">
        <v>44440</v>
      </c>
      <c r="X9" s="11">
        <f>365+V9</f>
        <v>44797</v>
      </c>
      <c r="Y9" s="3">
        <f>X9-60</f>
        <v>44737</v>
      </c>
      <c r="Z9" s="12"/>
    </row>
    <row r="10" spans="1:26" x14ac:dyDescent="0.3">
      <c r="A10" s="45" t="s">
        <v>228</v>
      </c>
      <c r="B10" s="49" t="s">
        <v>38</v>
      </c>
      <c r="C10" s="50" t="s">
        <v>227</v>
      </c>
      <c r="D10" s="50" t="s">
        <v>26</v>
      </c>
      <c r="E10" s="50">
        <v>176660</v>
      </c>
      <c r="F10" s="49">
        <v>35175</v>
      </c>
      <c r="G10" s="49">
        <v>317</v>
      </c>
      <c r="H10" s="50">
        <v>19</v>
      </c>
      <c r="I10" s="50">
        <v>33</v>
      </c>
      <c r="J10" s="51" t="s">
        <v>28</v>
      </c>
      <c r="K10" s="50">
        <v>4</v>
      </c>
      <c r="L10" s="50" t="s">
        <v>29</v>
      </c>
      <c r="M10" s="39"/>
      <c r="N10" s="40">
        <v>44133</v>
      </c>
      <c r="O10" s="52" t="s">
        <v>30</v>
      </c>
      <c r="P10" s="11">
        <v>44075</v>
      </c>
      <c r="Q10" s="3"/>
      <c r="R10" s="3">
        <v>44131</v>
      </c>
      <c r="S10" s="3"/>
      <c r="T10" s="39">
        <f>R10+365</f>
        <v>44496</v>
      </c>
      <c r="U10" s="40">
        <f>T10-60</f>
        <v>44436</v>
      </c>
      <c r="V10" s="41">
        <v>44432</v>
      </c>
      <c r="W10" s="40">
        <v>44440</v>
      </c>
      <c r="X10" s="11">
        <f>365+V10</f>
        <v>44797</v>
      </c>
      <c r="Y10" s="3">
        <f>X10-60</f>
        <v>44737</v>
      </c>
      <c r="Z10" s="12"/>
    </row>
    <row r="11" spans="1:26" x14ac:dyDescent="0.3">
      <c r="A11" s="28"/>
      <c r="B11" s="5" t="s">
        <v>50</v>
      </c>
      <c r="C11" s="1" t="s">
        <v>51</v>
      </c>
      <c r="D11" s="1" t="s">
        <v>35</v>
      </c>
      <c r="E11" s="1">
        <v>156361</v>
      </c>
      <c r="F11" s="5" t="s">
        <v>52</v>
      </c>
      <c r="G11" s="5" t="s">
        <v>53</v>
      </c>
      <c r="H11" s="1">
        <v>19</v>
      </c>
      <c r="I11" s="1">
        <v>25</v>
      </c>
      <c r="J11" s="2" t="s">
        <v>28</v>
      </c>
      <c r="K11" s="1">
        <v>2</v>
      </c>
      <c r="L11" s="1" t="s">
        <v>29</v>
      </c>
      <c r="M11" s="11">
        <v>44202</v>
      </c>
      <c r="N11" s="3">
        <v>44216</v>
      </c>
      <c r="O11" s="24" t="s">
        <v>30</v>
      </c>
      <c r="P11" s="15"/>
      <c r="R11" s="3"/>
      <c r="S11" s="3"/>
      <c r="T11" s="11"/>
      <c r="U11" s="3"/>
      <c r="V11" s="12"/>
      <c r="W11" s="3"/>
      <c r="X11" s="11">
        <f>$M11+365</f>
        <v>44567</v>
      </c>
      <c r="Y11" s="3">
        <f>+X11-60</f>
        <v>44507</v>
      </c>
      <c r="Z11" s="12"/>
    </row>
    <row r="12" spans="1:26" ht="14.15" customHeight="1" x14ac:dyDescent="0.35">
      <c r="A12" s="28"/>
      <c r="B12" s="5" t="s">
        <v>229</v>
      </c>
      <c r="C12" s="1" t="s">
        <v>230</v>
      </c>
      <c r="D12" s="1" t="s">
        <v>26</v>
      </c>
      <c r="E12" s="1">
        <v>99631</v>
      </c>
      <c r="F12" s="6" t="s">
        <v>231</v>
      </c>
      <c r="G12" s="5" t="s">
        <v>27</v>
      </c>
      <c r="H12" s="1">
        <v>19</v>
      </c>
      <c r="I12" s="1">
        <v>25</v>
      </c>
      <c r="J12" s="2" t="s">
        <v>28</v>
      </c>
      <c r="K12" s="1">
        <v>2</v>
      </c>
      <c r="L12" s="1" t="s">
        <v>29</v>
      </c>
      <c r="M12" s="11">
        <v>43588</v>
      </c>
      <c r="N12" s="3">
        <v>43588</v>
      </c>
      <c r="O12" s="24" t="s">
        <v>232</v>
      </c>
      <c r="P12" s="11"/>
      <c r="Q12" s="3"/>
      <c r="R12" s="3">
        <v>44146</v>
      </c>
      <c r="S12" s="3"/>
      <c r="T12" s="15" t="s">
        <v>233</v>
      </c>
      <c r="V12" s="12"/>
      <c r="W12" s="3">
        <v>44148</v>
      </c>
      <c r="X12" s="15"/>
      <c r="Z12" s="12"/>
    </row>
    <row r="13" spans="1:26" ht="14.15" customHeight="1" x14ac:dyDescent="0.35">
      <c r="A13" s="28"/>
      <c r="B13" s="5" t="s">
        <v>59</v>
      </c>
      <c r="C13" s="1" t="s">
        <v>60</v>
      </c>
      <c r="D13" s="1" t="s">
        <v>26</v>
      </c>
      <c r="E13" s="1">
        <v>141009</v>
      </c>
      <c r="F13" s="6" t="s">
        <v>61</v>
      </c>
      <c r="G13" s="5" t="s">
        <v>62</v>
      </c>
      <c r="H13" s="1">
        <v>19</v>
      </c>
      <c r="I13" s="1">
        <v>5</v>
      </c>
      <c r="J13" s="2" t="s">
        <v>28</v>
      </c>
      <c r="K13" s="1">
        <v>2</v>
      </c>
      <c r="L13" s="1" t="s">
        <v>29</v>
      </c>
      <c r="M13" s="11">
        <v>44202</v>
      </c>
      <c r="N13" s="3">
        <v>44203</v>
      </c>
      <c r="O13" s="24" t="s">
        <v>30</v>
      </c>
      <c r="P13" s="15"/>
      <c r="R13" s="3"/>
      <c r="S13" s="3"/>
      <c r="T13" s="15"/>
      <c r="V13" s="12"/>
      <c r="W13" s="3"/>
      <c r="X13" s="11">
        <f>M13+365</f>
        <v>44567</v>
      </c>
      <c r="Y13" s="3">
        <f>X13-60</f>
        <v>44507</v>
      </c>
      <c r="Z13" s="12"/>
    </row>
    <row r="14" spans="1:26" ht="14.15" customHeight="1" x14ac:dyDescent="0.35">
      <c r="A14" s="28"/>
      <c r="B14" s="5" t="s">
        <v>63</v>
      </c>
      <c r="C14" s="1" t="s">
        <v>64</v>
      </c>
      <c r="D14" s="1" t="s">
        <v>26</v>
      </c>
      <c r="E14" s="1">
        <v>172995</v>
      </c>
      <c r="F14" s="6" t="s">
        <v>65</v>
      </c>
      <c r="G14" s="5" t="s">
        <v>66</v>
      </c>
      <c r="H14" s="1">
        <v>35</v>
      </c>
      <c r="I14" s="1">
        <v>10</v>
      </c>
      <c r="J14" s="2" t="s">
        <v>28</v>
      </c>
      <c r="K14" s="1">
        <v>2</v>
      </c>
      <c r="L14" s="1" t="s">
        <v>29</v>
      </c>
      <c r="M14" s="11">
        <v>44223</v>
      </c>
      <c r="N14" s="3"/>
      <c r="O14" s="55" t="s">
        <v>30</v>
      </c>
      <c r="P14" s="15"/>
      <c r="R14" s="3"/>
      <c r="S14" s="3"/>
      <c r="T14" s="15"/>
      <c r="V14" s="12"/>
      <c r="W14" s="3"/>
      <c r="X14" s="11">
        <f>M14+365</f>
        <v>44588</v>
      </c>
      <c r="Y14" s="3">
        <f>X14-60</f>
        <v>44528</v>
      </c>
      <c r="Z14" s="12"/>
    </row>
    <row r="15" spans="1:26" ht="14.15" customHeight="1" x14ac:dyDescent="0.35">
      <c r="A15" s="28"/>
      <c r="B15" s="5" t="s">
        <v>63</v>
      </c>
      <c r="C15" s="1" t="s">
        <v>67</v>
      </c>
      <c r="D15" s="1" t="s">
        <v>26</v>
      </c>
      <c r="E15" s="1">
        <v>150420</v>
      </c>
      <c r="F15" s="6" t="s">
        <v>68</v>
      </c>
      <c r="G15" s="5" t="s">
        <v>69</v>
      </c>
      <c r="H15" s="1">
        <v>25</v>
      </c>
      <c r="I15" s="1">
        <v>25</v>
      </c>
      <c r="J15" s="2" t="s">
        <v>28</v>
      </c>
      <c r="K15" s="1">
        <v>2</v>
      </c>
      <c r="L15" s="1" t="s">
        <v>29</v>
      </c>
      <c r="M15" s="11">
        <v>44231</v>
      </c>
      <c r="N15" s="3"/>
      <c r="O15" s="24" t="s">
        <v>30</v>
      </c>
      <c r="P15" s="15"/>
      <c r="R15" s="3"/>
      <c r="S15" s="3"/>
      <c r="T15" s="15"/>
      <c r="V15" s="12"/>
      <c r="W15" s="3"/>
      <c r="X15" s="11">
        <f>M15+365</f>
        <v>44596</v>
      </c>
      <c r="Y15" s="3">
        <f>X15-60</f>
        <v>44536</v>
      </c>
      <c r="Z15" s="12"/>
    </row>
    <row r="16" spans="1:26" x14ac:dyDescent="0.3">
      <c r="A16" s="28"/>
      <c r="B16" s="5" t="s">
        <v>63</v>
      </c>
      <c r="C16" s="1" t="s">
        <v>67</v>
      </c>
      <c r="D16" s="1" t="s">
        <v>26</v>
      </c>
      <c r="E16" s="1">
        <v>176660</v>
      </c>
      <c r="F16" s="10" t="s">
        <v>79</v>
      </c>
      <c r="G16" s="5">
        <v>317</v>
      </c>
      <c r="H16" s="1">
        <v>19</v>
      </c>
      <c r="I16" s="1">
        <v>33</v>
      </c>
      <c r="J16" s="2" t="s">
        <v>40</v>
      </c>
      <c r="K16" s="1">
        <v>4</v>
      </c>
      <c r="L16" s="1" t="s">
        <v>29</v>
      </c>
      <c r="M16" s="11">
        <v>43489</v>
      </c>
      <c r="O16" s="24" t="s">
        <v>30</v>
      </c>
      <c r="P16" s="11">
        <f t="shared" ref="P16:P24" si="0">M16+365</f>
        <v>43854</v>
      </c>
      <c r="Q16" s="3">
        <f t="shared" ref="Q16:Q24" si="1">P16-60</f>
        <v>43794</v>
      </c>
      <c r="R16" s="3"/>
      <c r="S16" s="3"/>
      <c r="T16" s="11"/>
      <c r="U16" s="3"/>
      <c r="V16" s="12"/>
      <c r="X16" s="11">
        <f>M16+365+365+365</f>
        <v>44584</v>
      </c>
      <c r="Y16" s="3">
        <f>X16-60</f>
        <v>44524</v>
      </c>
      <c r="Z16" s="12"/>
    </row>
    <row r="17" spans="1:26" ht="14.5" customHeight="1" x14ac:dyDescent="0.3">
      <c r="A17" s="29" t="s">
        <v>31</v>
      </c>
      <c r="B17" s="31" t="s">
        <v>63</v>
      </c>
      <c r="C17" s="32" t="s">
        <v>67</v>
      </c>
      <c r="D17" s="32" t="s">
        <v>26</v>
      </c>
      <c r="E17" s="32">
        <v>151210</v>
      </c>
      <c r="F17" s="31" t="s">
        <v>70</v>
      </c>
      <c r="G17" s="31" t="s">
        <v>42</v>
      </c>
      <c r="H17" s="32">
        <v>19</v>
      </c>
      <c r="I17" s="32">
        <v>25</v>
      </c>
      <c r="J17" s="26" t="s">
        <v>41</v>
      </c>
      <c r="K17" s="32">
        <v>4</v>
      </c>
      <c r="L17" s="32" t="s">
        <v>29</v>
      </c>
      <c r="M17" s="13">
        <v>43745</v>
      </c>
      <c r="N17" s="26"/>
      <c r="O17" s="25" t="s">
        <v>30</v>
      </c>
      <c r="P17" s="11">
        <f t="shared" si="0"/>
        <v>44110</v>
      </c>
      <c r="Q17" s="3">
        <f t="shared" si="1"/>
        <v>44050</v>
      </c>
      <c r="R17" s="3">
        <v>44148</v>
      </c>
      <c r="S17" s="3">
        <v>44183</v>
      </c>
      <c r="T17" s="13">
        <f>R17+365</f>
        <v>44513</v>
      </c>
      <c r="U17" s="14">
        <f t="shared" ref="U17:U24" si="2">T17-60</f>
        <v>44453</v>
      </c>
      <c r="V17" s="48">
        <v>44475</v>
      </c>
      <c r="W17" s="14"/>
      <c r="X17" s="11">
        <f t="shared" ref="X17:X28" si="3">365+V17</f>
        <v>44840</v>
      </c>
      <c r="Y17" s="3">
        <f t="shared" ref="Y17:Y28" si="4">X17-60</f>
        <v>44780</v>
      </c>
      <c r="Z17" s="12"/>
    </row>
    <row r="18" spans="1:26" ht="14.5" customHeight="1" x14ac:dyDescent="0.3">
      <c r="A18" s="29" t="s">
        <v>31</v>
      </c>
      <c r="B18" s="31" t="s">
        <v>63</v>
      </c>
      <c r="C18" s="32" t="s">
        <v>67</v>
      </c>
      <c r="D18" s="32" t="s">
        <v>26</v>
      </c>
      <c r="E18" s="32">
        <v>174352</v>
      </c>
      <c r="F18" s="31" t="s">
        <v>71</v>
      </c>
      <c r="G18" s="31" t="s">
        <v>72</v>
      </c>
      <c r="H18" s="32">
        <v>19</v>
      </c>
      <c r="I18" s="32">
        <v>15</v>
      </c>
      <c r="J18" s="26" t="s">
        <v>28</v>
      </c>
      <c r="K18" s="32">
        <v>4</v>
      </c>
      <c r="L18" s="32" t="s">
        <v>29</v>
      </c>
      <c r="M18" s="13">
        <v>43801</v>
      </c>
      <c r="N18" s="14">
        <v>43809</v>
      </c>
      <c r="O18" s="25" t="s">
        <v>30</v>
      </c>
      <c r="P18" s="3">
        <f t="shared" si="0"/>
        <v>44166</v>
      </c>
      <c r="Q18" s="3">
        <f t="shared" si="1"/>
        <v>44106</v>
      </c>
      <c r="R18" s="3">
        <v>44147</v>
      </c>
      <c r="S18" s="3"/>
      <c r="T18" s="14">
        <f>R18+365</f>
        <v>44512</v>
      </c>
      <c r="U18" s="14">
        <f t="shared" si="2"/>
        <v>44452</v>
      </c>
      <c r="V18" s="48">
        <v>44475</v>
      </c>
      <c r="W18" s="26"/>
      <c r="X18" s="11">
        <f t="shared" si="3"/>
        <v>44840</v>
      </c>
      <c r="Y18" s="3">
        <f t="shared" si="4"/>
        <v>44780</v>
      </c>
      <c r="Z18" s="12"/>
    </row>
    <row r="19" spans="1:26" ht="14.5" customHeight="1" x14ac:dyDescent="0.3">
      <c r="A19" s="45" t="s">
        <v>228</v>
      </c>
      <c r="B19" s="49" t="s">
        <v>80</v>
      </c>
      <c r="C19" s="50" t="s">
        <v>81</v>
      </c>
      <c r="D19" s="50" t="s">
        <v>26</v>
      </c>
      <c r="E19" s="50">
        <v>174104</v>
      </c>
      <c r="F19" s="49" t="s">
        <v>82</v>
      </c>
      <c r="G19" s="49">
        <v>505</v>
      </c>
      <c r="H19" s="50">
        <v>19</v>
      </c>
      <c r="I19" s="50">
        <v>25</v>
      </c>
      <c r="J19" s="51" t="s">
        <v>28</v>
      </c>
      <c r="K19" s="50">
        <v>4</v>
      </c>
      <c r="L19" s="50" t="s">
        <v>29</v>
      </c>
      <c r="M19" s="39">
        <v>43747</v>
      </c>
      <c r="N19" s="40">
        <v>43801</v>
      </c>
      <c r="O19" s="52" t="s">
        <v>30</v>
      </c>
      <c r="P19" s="3">
        <f t="shared" si="0"/>
        <v>44112</v>
      </c>
      <c r="Q19" s="3">
        <f t="shared" si="1"/>
        <v>44052</v>
      </c>
      <c r="R19" s="3">
        <v>44132</v>
      </c>
      <c r="S19" s="3">
        <v>44250</v>
      </c>
      <c r="T19" s="40">
        <f t="shared" ref="T19:T24" si="5">P19+365</f>
        <v>44477</v>
      </c>
      <c r="U19" s="40">
        <f t="shared" si="2"/>
        <v>44417</v>
      </c>
      <c r="V19" s="41">
        <v>44405</v>
      </c>
      <c r="W19" s="40">
        <v>44426</v>
      </c>
      <c r="X19" s="11">
        <f t="shared" si="3"/>
        <v>44770</v>
      </c>
      <c r="Y19" s="3">
        <f t="shared" si="4"/>
        <v>44710</v>
      </c>
      <c r="Z19" s="12"/>
    </row>
    <row r="20" spans="1:26" ht="14.5" customHeight="1" x14ac:dyDescent="0.3">
      <c r="A20" s="45" t="s">
        <v>228</v>
      </c>
      <c r="B20" s="49" t="s">
        <v>80</v>
      </c>
      <c r="C20" s="50" t="s">
        <v>81</v>
      </c>
      <c r="D20" s="50" t="s">
        <v>26</v>
      </c>
      <c r="E20" s="50">
        <v>146422</v>
      </c>
      <c r="F20" s="49">
        <v>63442100</v>
      </c>
      <c r="G20" s="51" t="s">
        <v>83</v>
      </c>
      <c r="H20" s="50">
        <v>19</v>
      </c>
      <c r="I20" s="50">
        <v>33</v>
      </c>
      <c r="J20" s="51" t="s">
        <v>28</v>
      </c>
      <c r="K20" s="50">
        <v>4</v>
      </c>
      <c r="L20" s="50" t="s">
        <v>29</v>
      </c>
      <c r="M20" s="39">
        <v>43747</v>
      </c>
      <c r="N20" s="40">
        <v>43801</v>
      </c>
      <c r="O20" s="52" t="s">
        <v>30</v>
      </c>
      <c r="P20" s="3">
        <f t="shared" si="0"/>
        <v>44112</v>
      </c>
      <c r="Q20" s="3">
        <f t="shared" si="1"/>
        <v>44052</v>
      </c>
      <c r="R20" s="3">
        <v>44132</v>
      </c>
      <c r="S20" s="3">
        <v>44250</v>
      </c>
      <c r="T20" s="40">
        <f t="shared" si="5"/>
        <v>44477</v>
      </c>
      <c r="U20" s="40">
        <f t="shared" si="2"/>
        <v>44417</v>
      </c>
      <c r="V20" s="41">
        <v>44405</v>
      </c>
      <c r="W20" s="40">
        <v>44426</v>
      </c>
      <c r="X20" s="11">
        <f t="shared" si="3"/>
        <v>44770</v>
      </c>
      <c r="Y20" s="3">
        <f t="shared" si="4"/>
        <v>44710</v>
      </c>
      <c r="Z20" s="12"/>
    </row>
    <row r="21" spans="1:26" x14ac:dyDescent="0.3">
      <c r="A21" s="29" t="s">
        <v>31</v>
      </c>
      <c r="B21" s="31" t="s">
        <v>80</v>
      </c>
      <c r="C21" s="32" t="s">
        <v>81</v>
      </c>
      <c r="D21" s="32" t="s">
        <v>26</v>
      </c>
      <c r="E21" s="32">
        <v>156317</v>
      </c>
      <c r="F21" s="31">
        <v>6481451999</v>
      </c>
      <c r="G21" s="31">
        <v>317</v>
      </c>
      <c r="H21" s="32">
        <v>19</v>
      </c>
      <c r="I21" s="32">
        <v>33</v>
      </c>
      <c r="J21" s="26" t="s">
        <v>40</v>
      </c>
      <c r="K21" s="32">
        <v>4</v>
      </c>
      <c r="L21" s="32" t="s">
        <v>29</v>
      </c>
      <c r="M21" s="13">
        <v>43774</v>
      </c>
      <c r="N21" s="14">
        <v>43801</v>
      </c>
      <c r="O21" s="25" t="s">
        <v>30</v>
      </c>
      <c r="P21" s="11">
        <f t="shared" si="0"/>
        <v>44139</v>
      </c>
      <c r="Q21" s="3">
        <f t="shared" si="1"/>
        <v>44079</v>
      </c>
      <c r="R21" s="3">
        <v>44132</v>
      </c>
      <c r="S21" s="3">
        <v>44250</v>
      </c>
      <c r="T21" s="13">
        <f t="shared" si="5"/>
        <v>44504</v>
      </c>
      <c r="U21" s="14">
        <f t="shared" si="2"/>
        <v>44444</v>
      </c>
      <c r="V21" s="48">
        <v>44432</v>
      </c>
      <c r="W21" s="14"/>
      <c r="X21" s="11">
        <f t="shared" si="3"/>
        <v>44797</v>
      </c>
      <c r="Y21" s="3">
        <f t="shared" si="4"/>
        <v>44737</v>
      </c>
      <c r="Z21" s="12"/>
    </row>
    <row r="22" spans="1:26" x14ac:dyDescent="0.3">
      <c r="A22" s="29" t="s">
        <v>31</v>
      </c>
      <c r="B22" s="31" t="s">
        <v>80</v>
      </c>
      <c r="C22" s="32" t="s">
        <v>81</v>
      </c>
      <c r="D22" s="32" t="s">
        <v>26</v>
      </c>
      <c r="E22" s="32">
        <v>176658</v>
      </c>
      <c r="F22" s="31" t="s">
        <v>84</v>
      </c>
      <c r="G22" s="31">
        <v>8606</v>
      </c>
      <c r="H22" s="32">
        <v>19</v>
      </c>
      <c r="I22" s="32">
        <v>25</v>
      </c>
      <c r="J22" s="26" t="s">
        <v>40</v>
      </c>
      <c r="K22" s="32">
        <v>4</v>
      </c>
      <c r="L22" s="32" t="s">
        <v>29</v>
      </c>
      <c r="M22" s="13">
        <v>43774</v>
      </c>
      <c r="N22" s="14">
        <v>43801</v>
      </c>
      <c r="O22" s="25" t="s">
        <v>30</v>
      </c>
      <c r="P22" s="11">
        <f t="shared" si="0"/>
        <v>44139</v>
      </c>
      <c r="Q22" s="3">
        <f t="shared" si="1"/>
        <v>44079</v>
      </c>
      <c r="R22" s="3">
        <v>44132</v>
      </c>
      <c r="S22" s="3">
        <v>44250</v>
      </c>
      <c r="T22" s="13">
        <f t="shared" si="5"/>
        <v>44504</v>
      </c>
      <c r="U22" s="14">
        <f t="shared" si="2"/>
        <v>44444</v>
      </c>
      <c r="V22" s="48">
        <v>44432</v>
      </c>
      <c r="W22" s="14"/>
      <c r="X22" s="11">
        <f t="shared" si="3"/>
        <v>44797</v>
      </c>
      <c r="Y22" s="3">
        <f t="shared" si="4"/>
        <v>44737</v>
      </c>
      <c r="Z22" s="12"/>
    </row>
    <row r="23" spans="1:26" x14ac:dyDescent="0.3">
      <c r="A23" s="29" t="s">
        <v>31</v>
      </c>
      <c r="B23" s="31" t="s">
        <v>80</v>
      </c>
      <c r="C23" s="32" t="s">
        <v>81</v>
      </c>
      <c r="D23" s="32" t="s">
        <v>26</v>
      </c>
      <c r="E23" s="32">
        <v>107778</v>
      </c>
      <c r="F23" s="31" t="s">
        <v>85</v>
      </c>
      <c r="G23" s="31">
        <v>302</v>
      </c>
      <c r="H23" s="32">
        <v>12</v>
      </c>
      <c r="I23" s="32">
        <v>33</v>
      </c>
      <c r="J23" s="26" t="s">
        <v>40</v>
      </c>
      <c r="K23" s="32">
        <v>4</v>
      </c>
      <c r="L23" s="32" t="s">
        <v>29</v>
      </c>
      <c r="M23" s="13">
        <v>43774</v>
      </c>
      <c r="N23" s="14">
        <v>43801</v>
      </c>
      <c r="O23" s="25" t="s">
        <v>30</v>
      </c>
      <c r="P23" s="11">
        <f t="shared" si="0"/>
        <v>44139</v>
      </c>
      <c r="Q23" s="3">
        <f t="shared" si="1"/>
        <v>44079</v>
      </c>
      <c r="R23" s="3">
        <v>44132</v>
      </c>
      <c r="S23" s="3">
        <v>44250</v>
      </c>
      <c r="T23" s="13">
        <f t="shared" si="5"/>
        <v>44504</v>
      </c>
      <c r="U23" s="14">
        <f t="shared" si="2"/>
        <v>44444</v>
      </c>
      <c r="V23" s="48">
        <v>44432</v>
      </c>
      <c r="W23" s="14"/>
      <c r="X23" s="11">
        <f t="shared" si="3"/>
        <v>44797</v>
      </c>
      <c r="Y23" s="3">
        <f t="shared" si="4"/>
        <v>44737</v>
      </c>
      <c r="Z23" s="12"/>
    </row>
    <row r="24" spans="1:26" ht="14.15" customHeight="1" x14ac:dyDescent="0.3">
      <c r="A24" s="29" t="s">
        <v>31</v>
      </c>
      <c r="B24" s="31" t="s">
        <v>80</v>
      </c>
      <c r="C24" s="32" t="s">
        <v>81</v>
      </c>
      <c r="D24" s="32" t="s">
        <v>26</v>
      </c>
      <c r="E24" s="32">
        <v>172412</v>
      </c>
      <c r="F24" s="31" t="s">
        <v>86</v>
      </c>
      <c r="G24" s="31">
        <v>835</v>
      </c>
      <c r="H24" s="32">
        <v>19</v>
      </c>
      <c r="I24" s="32">
        <v>25</v>
      </c>
      <c r="J24" s="26" t="s">
        <v>28</v>
      </c>
      <c r="K24" s="32">
        <v>4</v>
      </c>
      <c r="L24" s="32" t="s">
        <v>29</v>
      </c>
      <c r="M24" s="13">
        <v>43777</v>
      </c>
      <c r="N24" s="14">
        <v>43782</v>
      </c>
      <c r="O24" s="25" t="s">
        <v>30</v>
      </c>
      <c r="P24" s="11">
        <f t="shared" si="0"/>
        <v>44142</v>
      </c>
      <c r="Q24" s="3">
        <f t="shared" si="1"/>
        <v>44082</v>
      </c>
      <c r="R24" s="3">
        <v>44140</v>
      </c>
      <c r="S24" s="3"/>
      <c r="T24" s="13">
        <f t="shared" si="5"/>
        <v>44507</v>
      </c>
      <c r="U24" s="14">
        <f t="shared" si="2"/>
        <v>44447</v>
      </c>
      <c r="V24" s="48">
        <v>44475</v>
      </c>
      <c r="W24" s="26"/>
      <c r="X24" s="11">
        <f t="shared" si="3"/>
        <v>44840</v>
      </c>
      <c r="Y24" s="3">
        <f t="shared" si="4"/>
        <v>44780</v>
      </c>
      <c r="Z24" s="12"/>
    </row>
    <row r="25" spans="1:26" ht="14.15" customHeight="1" x14ac:dyDescent="0.3">
      <c r="A25" s="29" t="s">
        <v>31</v>
      </c>
      <c r="B25" s="31" t="s">
        <v>80</v>
      </c>
      <c r="C25" s="32" t="s">
        <v>87</v>
      </c>
      <c r="D25" s="32" t="s">
        <v>26</v>
      </c>
      <c r="E25" s="32">
        <v>217977</v>
      </c>
      <c r="F25" s="31" t="s">
        <v>88</v>
      </c>
      <c r="G25" s="31" t="s">
        <v>89</v>
      </c>
      <c r="H25" s="32">
        <v>19</v>
      </c>
      <c r="I25" s="32">
        <f>120/1000</f>
        <v>0.12</v>
      </c>
      <c r="J25" s="26"/>
      <c r="K25" s="32">
        <v>4</v>
      </c>
      <c r="L25" s="32" t="s">
        <v>29</v>
      </c>
      <c r="M25" s="13">
        <v>44098</v>
      </c>
      <c r="N25" s="26"/>
      <c r="O25" s="25" t="s">
        <v>30</v>
      </c>
      <c r="P25" s="15"/>
      <c r="T25" s="13">
        <v>44494</v>
      </c>
      <c r="U25" s="14">
        <v>44494</v>
      </c>
      <c r="V25" s="48">
        <v>44552</v>
      </c>
      <c r="W25" s="26"/>
      <c r="X25" s="11">
        <f t="shared" si="3"/>
        <v>44917</v>
      </c>
      <c r="Y25" s="3">
        <f t="shared" si="4"/>
        <v>44857</v>
      </c>
      <c r="Z25" s="12"/>
    </row>
    <row r="26" spans="1:26" ht="14.15" customHeight="1" x14ac:dyDescent="0.3">
      <c r="A26" s="29" t="s">
        <v>31</v>
      </c>
      <c r="B26" s="31" t="s">
        <v>80</v>
      </c>
      <c r="C26" s="32" t="s">
        <v>87</v>
      </c>
      <c r="D26" s="32" t="s">
        <v>26</v>
      </c>
      <c r="E26" s="32">
        <v>217976</v>
      </c>
      <c r="F26" s="31" t="s">
        <v>90</v>
      </c>
      <c r="G26" s="31" t="s">
        <v>89</v>
      </c>
      <c r="H26" s="32">
        <v>19</v>
      </c>
      <c r="I26" s="32">
        <f>75/1000</f>
        <v>7.4999999999999997E-2</v>
      </c>
      <c r="J26" s="26"/>
      <c r="K26" s="32">
        <v>4</v>
      </c>
      <c r="L26" s="32" t="s">
        <v>29</v>
      </c>
      <c r="M26" s="13">
        <v>44019</v>
      </c>
      <c r="N26" s="26"/>
      <c r="O26" s="25" t="s">
        <v>30</v>
      </c>
      <c r="P26" s="15"/>
      <c r="T26" s="13">
        <v>44494</v>
      </c>
      <c r="U26" s="14">
        <v>44494</v>
      </c>
      <c r="V26" s="48">
        <v>44552</v>
      </c>
      <c r="W26" s="26"/>
      <c r="X26" s="11">
        <f t="shared" si="3"/>
        <v>44917</v>
      </c>
      <c r="Y26" s="3">
        <f t="shared" si="4"/>
        <v>44857</v>
      </c>
      <c r="Z26" s="12"/>
    </row>
    <row r="27" spans="1:26" ht="14.15" customHeight="1" x14ac:dyDescent="0.3">
      <c r="A27" s="29" t="s">
        <v>31</v>
      </c>
      <c r="B27" s="31" t="s">
        <v>80</v>
      </c>
      <c r="C27" s="32" t="s">
        <v>87</v>
      </c>
      <c r="D27" s="32" t="s">
        <v>26</v>
      </c>
      <c r="E27" s="32">
        <v>217973</v>
      </c>
      <c r="F27" s="31" t="s">
        <v>91</v>
      </c>
      <c r="G27" s="31" t="s">
        <v>92</v>
      </c>
      <c r="H27" s="32">
        <v>10</v>
      </c>
      <c r="I27" s="32">
        <f>100/1000</f>
        <v>0.1</v>
      </c>
      <c r="J27" s="26"/>
      <c r="K27" s="32">
        <v>4</v>
      </c>
      <c r="L27" s="32" t="s">
        <v>29</v>
      </c>
      <c r="M27" s="13">
        <v>44020</v>
      </c>
      <c r="N27" s="26"/>
      <c r="O27" s="25" t="s">
        <v>30</v>
      </c>
      <c r="T27" s="13">
        <v>44494</v>
      </c>
      <c r="U27" s="14">
        <v>44494</v>
      </c>
      <c r="V27" s="48">
        <v>44552</v>
      </c>
      <c r="W27" s="26"/>
      <c r="X27" s="11">
        <f t="shared" si="3"/>
        <v>44917</v>
      </c>
      <c r="Y27" s="3">
        <f t="shared" si="4"/>
        <v>44857</v>
      </c>
      <c r="Z27" s="12"/>
    </row>
    <row r="28" spans="1:26" ht="14.15" customHeight="1" x14ac:dyDescent="0.3">
      <c r="A28" s="29" t="s">
        <v>31</v>
      </c>
      <c r="B28" s="31" t="s">
        <v>80</v>
      </c>
      <c r="C28" s="32" t="s">
        <v>87</v>
      </c>
      <c r="D28" s="32" t="s">
        <v>26</v>
      </c>
      <c r="E28" s="32">
        <v>215150</v>
      </c>
      <c r="F28" s="31" t="s">
        <v>93</v>
      </c>
      <c r="G28" s="31" t="s">
        <v>92</v>
      </c>
      <c r="H28" s="32">
        <v>10</v>
      </c>
      <c r="I28" s="32">
        <f>75/1000</f>
        <v>7.4999999999999997E-2</v>
      </c>
      <c r="J28" s="26"/>
      <c r="K28" s="32">
        <v>4</v>
      </c>
      <c r="L28" s="32" t="s">
        <v>29</v>
      </c>
      <c r="M28" s="62"/>
      <c r="N28" s="26"/>
      <c r="O28" s="25" t="s">
        <v>30</v>
      </c>
      <c r="P28" s="15"/>
      <c r="T28" s="13">
        <v>44494</v>
      </c>
      <c r="U28" s="14">
        <v>44494</v>
      </c>
      <c r="V28" s="48">
        <v>44552</v>
      </c>
      <c r="W28" s="26"/>
      <c r="X28" s="11">
        <f t="shared" si="3"/>
        <v>44917</v>
      </c>
      <c r="Y28" s="3">
        <f t="shared" si="4"/>
        <v>44857</v>
      </c>
      <c r="Z28" s="12"/>
    </row>
    <row r="29" spans="1:26" x14ac:dyDescent="0.3">
      <c r="A29" s="28"/>
      <c r="B29" s="5" t="s">
        <v>94</v>
      </c>
      <c r="C29" s="1" t="s">
        <v>95</v>
      </c>
      <c r="D29" s="1" t="s">
        <v>26</v>
      </c>
      <c r="E29" s="1">
        <v>156361</v>
      </c>
      <c r="F29" s="5" t="s">
        <v>96</v>
      </c>
      <c r="G29" s="5" t="s">
        <v>53</v>
      </c>
      <c r="H29" s="1">
        <v>19</v>
      </c>
      <c r="I29" s="1">
        <v>25</v>
      </c>
      <c r="J29" s="2" t="s">
        <v>28</v>
      </c>
      <c r="K29" s="1">
        <v>1</v>
      </c>
      <c r="L29" s="1" t="s">
        <v>29</v>
      </c>
      <c r="M29" s="11">
        <v>44201</v>
      </c>
      <c r="N29" s="3">
        <v>44216</v>
      </c>
      <c r="O29" s="24" t="s">
        <v>30</v>
      </c>
      <c r="P29" s="15"/>
      <c r="R29" s="3"/>
      <c r="S29" s="3"/>
      <c r="T29" s="11"/>
      <c r="U29" s="3"/>
      <c r="V29" s="12"/>
      <c r="W29" s="3"/>
      <c r="X29" s="11">
        <f>M29+365</f>
        <v>44566</v>
      </c>
      <c r="Y29" s="3">
        <f>X29-60</f>
        <v>44506</v>
      </c>
      <c r="Z29" s="12"/>
    </row>
    <row r="30" spans="1:26" x14ac:dyDescent="0.3">
      <c r="A30" s="29" t="s">
        <v>31</v>
      </c>
      <c r="B30" s="31" t="s">
        <v>97</v>
      </c>
      <c r="C30" s="31" t="s">
        <v>98</v>
      </c>
      <c r="D30" s="32" t="s">
        <v>26</v>
      </c>
      <c r="E30" s="32">
        <v>155849</v>
      </c>
      <c r="F30" s="31" t="s">
        <v>99</v>
      </c>
      <c r="G30" s="31">
        <v>8571</v>
      </c>
      <c r="H30" s="32">
        <v>32</v>
      </c>
      <c r="I30" s="32">
        <v>7.5</v>
      </c>
      <c r="J30" s="26" t="s">
        <v>28</v>
      </c>
      <c r="K30" s="32">
        <v>2</v>
      </c>
      <c r="L30" s="32" t="s">
        <v>29</v>
      </c>
      <c r="M30" s="13">
        <v>44148</v>
      </c>
      <c r="N30" s="26"/>
      <c r="O30" s="25" t="s">
        <v>30</v>
      </c>
      <c r="P30" s="15"/>
      <c r="T30" s="13">
        <f>M30+365</f>
        <v>44513</v>
      </c>
      <c r="U30" s="14">
        <f>T30-60</f>
        <v>44453</v>
      </c>
      <c r="V30" s="48">
        <v>44475</v>
      </c>
      <c r="W30" s="26"/>
      <c r="X30" s="11">
        <f>365+V30</f>
        <v>44840</v>
      </c>
      <c r="Y30" s="3">
        <f>X30-60</f>
        <v>44780</v>
      </c>
      <c r="Z30" s="12"/>
    </row>
    <row r="31" spans="1:26" ht="14.15" customHeight="1" x14ac:dyDescent="0.35">
      <c r="A31" s="28"/>
      <c r="B31" s="5" t="s">
        <v>55</v>
      </c>
      <c r="C31" s="1" t="s">
        <v>56</v>
      </c>
      <c r="D31" s="1" t="s">
        <v>26</v>
      </c>
      <c r="E31" s="1">
        <v>183452</v>
      </c>
      <c r="F31" s="6" t="s">
        <v>57</v>
      </c>
      <c r="G31" s="5" t="s">
        <v>58</v>
      </c>
      <c r="H31" s="1">
        <v>25</v>
      </c>
      <c r="I31" s="1">
        <v>25</v>
      </c>
      <c r="J31" s="2" t="s">
        <v>28</v>
      </c>
      <c r="K31" s="1">
        <v>2</v>
      </c>
      <c r="L31" s="1" t="s">
        <v>29</v>
      </c>
      <c r="M31" s="11">
        <v>44179</v>
      </c>
      <c r="N31" s="3">
        <v>44245</v>
      </c>
      <c r="O31" s="24" t="s">
        <v>30</v>
      </c>
      <c r="P31" s="15"/>
      <c r="R31" s="3"/>
      <c r="S31" s="3"/>
      <c r="T31" s="11">
        <f>$M31+365</f>
        <v>44544</v>
      </c>
      <c r="U31" s="3">
        <f>T31-60</f>
        <v>44484</v>
      </c>
      <c r="V31" s="12"/>
      <c r="W31" s="3"/>
      <c r="X31" s="11">
        <f>T31+365</f>
        <v>44909</v>
      </c>
      <c r="Y31" s="3">
        <f>X31-60</f>
        <v>44849</v>
      </c>
      <c r="Z31" s="12"/>
    </row>
    <row r="32" spans="1:26" ht="14.15" customHeight="1" x14ac:dyDescent="0.3">
      <c r="A32" s="28"/>
      <c r="B32" s="5" t="s">
        <v>178</v>
      </c>
      <c r="C32" s="1" t="s">
        <v>179</v>
      </c>
      <c r="D32" s="1" t="s">
        <v>35</v>
      </c>
      <c r="E32" s="1">
        <v>150420</v>
      </c>
      <c r="F32" s="10" t="s">
        <v>182</v>
      </c>
      <c r="G32" s="5" t="s">
        <v>69</v>
      </c>
      <c r="H32" s="1">
        <v>25</v>
      </c>
      <c r="I32" s="1">
        <v>25</v>
      </c>
      <c r="J32" s="2" t="s">
        <v>28</v>
      </c>
      <c r="K32" s="1">
        <v>2</v>
      </c>
      <c r="L32" s="1" t="s">
        <v>29</v>
      </c>
      <c r="M32" s="11">
        <v>44231</v>
      </c>
      <c r="N32" s="3"/>
      <c r="O32" s="24" t="s">
        <v>30</v>
      </c>
      <c r="P32" s="15"/>
      <c r="R32" s="3"/>
      <c r="S32" s="3"/>
      <c r="T32" s="11"/>
      <c r="U32" s="3"/>
      <c r="V32" s="12"/>
      <c r="W32" s="3"/>
      <c r="X32" s="11">
        <f>M32+365</f>
        <v>44596</v>
      </c>
      <c r="Y32" s="3">
        <f>X32-60</f>
        <v>44536</v>
      </c>
      <c r="Z32" s="12"/>
    </row>
    <row r="33" spans="1:26" x14ac:dyDescent="0.3">
      <c r="A33" s="28"/>
      <c r="B33" s="5" t="s">
        <v>234</v>
      </c>
      <c r="D33" s="1" t="s">
        <v>26</v>
      </c>
      <c r="E33" s="1">
        <v>99631</v>
      </c>
      <c r="F33" s="5" t="s">
        <v>235</v>
      </c>
      <c r="G33" s="5" t="s">
        <v>27</v>
      </c>
      <c r="H33" s="1">
        <v>19</v>
      </c>
      <c r="I33" s="1">
        <v>25</v>
      </c>
      <c r="J33" s="2" t="s">
        <v>28</v>
      </c>
      <c r="K33" s="1">
        <v>2</v>
      </c>
      <c r="L33" s="1" t="s">
        <v>29</v>
      </c>
      <c r="M33" s="11">
        <v>43937</v>
      </c>
      <c r="O33" s="24" t="s">
        <v>232</v>
      </c>
      <c r="P33" s="11"/>
      <c r="Q33" s="3"/>
      <c r="T33" s="15"/>
      <c r="V33" s="12"/>
      <c r="X33" s="15"/>
      <c r="Z33" s="12"/>
    </row>
    <row r="34" spans="1:26" x14ac:dyDescent="0.3">
      <c r="A34" s="28"/>
      <c r="B34" s="5" t="s">
        <v>103</v>
      </c>
      <c r="C34" s="1" t="s">
        <v>104</v>
      </c>
      <c r="D34" s="1" t="s">
        <v>26</v>
      </c>
      <c r="E34" s="1">
        <v>99631</v>
      </c>
      <c r="F34" s="34" t="s">
        <v>105</v>
      </c>
      <c r="G34" s="5" t="s">
        <v>27</v>
      </c>
      <c r="H34" s="1">
        <v>19</v>
      </c>
      <c r="I34" s="1">
        <v>25</v>
      </c>
      <c r="J34" s="2" t="s">
        <v>28</v>
      </c>
      <c r="K34" s="1">
        <v>2</v>
      </c>
      <c r="L34" s="1" t="s">
        <v>29</v>
      </c>
      <c r="M34" s="11">
        <v>44223</v>
      </c>
      <c r="N34" s="3"/>
      <c r="O34" s="24" t="s">
        <v>30</v>
      </c>
      <c r="P34" s="11">
        <f t="shared" ref="P34:P39" si="6">M34+365</f>
        <v>44588</v>
      </c>
      <c r="Q34" s="3"/>
      <c r="R34" s="3"/>
      <c r="S34" s="3"/>
      <c r="T34" s="15"/>
      <c r="V34" s="12"/>
      <c r="W34" s="3"/>
      <c r="X34" s="11">
        <f>365+M34</f>
        <v>44588</v>
      </c>
      <c r="Y34" s="3">
        <f>X34-60</f>
        <v>44528</v>
      </c>
      <c r="Z34" s="12"/>
    </row>
    <row r="35" spans="1:26" x14ac:dyDescent="0.3">
      <c r="A35" s="28"/>
      <c r="B35" s="5" t="s">
        <v>236</v>
      </c>
      <c r="C35" s="1" t="s">
        <v>237</v>
      </c>
      <c r="D35" s="1" t="s">
        <v>26</v>
      </c>
      <c r="E35" s="1">
        <v>157238</v>
      </c>
      <c r="F35" s="5">
        <v>61200</v>
      </c>
      <c r="G35" s="5" t="s">
        <v>27</v>
      </c>
      <c r="H35" s="1">
        <v>9</v>
      </c>
      <c r="I35" s="1">
        <v>25</v>
      </c>
      <c r="J35" s="2" t="s">
        <v>28</v>
      </c>
      <c r="K35" s="1">
        <v>1</v>
      </c>
      <c r="L35" s="1" t="s">
        <v>29</v>
      </c>
      <c r="M35" s="11">
        <v>43819</v>
      </c>
      <c r="N35" s="3">
        <v>43867</v>
      </c>
      <c r="O35" s="24" t="s">
        <v>30</v>
      </c>
      <c r="P35" s="11">
        <f t="shared" si="6"/>
        <v>44184</v>
      </c>
      <c r="Q35" s="3">
        <f>P35-60</f>
        <v>44124</v>
      </c>
      <c r="R35" s="3">
        <v>44152</v>
      </c>
      <c r="S35" s="3"/>
      <c r="T35" s="11">
        <f>P35+365</f>
        <v>44549</v>
      </c>
      <c r="U35" s="3">
        <f>T35-60</f>
        <v>44489</v>
      </c>
      <c r="V35" s="12"/>
      <c r="X35" s="11"/>
      <c r="Y35" s="3"/>
      <c r="Z35" s="12"/>
    </row>
    <row r="36" spans="1:26" x14ac:dyDescent="0.3">
      <c r="A36" s="28"/>
      <c r="B36" s="5" t="s">
        <v>144</v>
      </c>
      <c r="C36" s="1" t="s">
        <v>145</v>
      </c>
      <c r="D36" s="1" t="s">
        <v>26</v>
      </c>
      <c r="E36" s="1">
        <v>174060</v>
      </c>
      <c r="F36" s="5">
        <v>40002226</v>
      </c>
      <c r="G36" s="5" t="s">
        <v>146</v>
      </c>
      <c r="H36" s="1">
        <v>19</v>
      </c>
      <c r="I36" s="1">
        <v>5</v>
      </c>
      <c r="J36" s="2" t="s">
        <v>28</v>
      </c>
      <c r="K36" s="1">
        <v>4</v>
      </c>
      <c r="L36" s="1" t="s">
        <v>29</v>
      </c>
      <c r="M36" s="11">
        <v>43565</v>
      </c>
      <c r="N36" s="3">
        <v>43587</v>
      </c>
      <c r="O36" s="24" t="s">
        <v>30</v>
      </c>
      <c r="P36" s="11">
        <f t="shared" si="6"/>
        <v>43930</v>
      </c>
      <c r="Q36" s="3">
        <f>P36-60</f>
        <v>43870</v>
      </c>
      <c r="R36" s="3">
        <v>43958</v>
      </c>
      <c r="S36" s="3">
        <v>44168</v>
      </c>
      <c r="T36" s="11">
        <f>P36+365</f>
        <v>44295</v>
      </c>
      <c r="U36" s="3">
        <f>T36-60</f>
        <v>44235</v>
      </c>
      <c r="V36" s="68">
        <v>44257</v>
      </c>
      <c r="W36" s="3"/>
      <c r="X36" s="11">
        <f>365+V36</f>
        <v>44622</v>
      </c>
      <c r="Y36" s="3">
        <f>X36-60</f>
        <v>44562</v>
      </c>
      <c r="Z36" s="12"/>
    </row>
    <row r="37" spans="1:26" x14ac:dyDescent="0.3">
      <c r="A37" s="29" t="s">
        <v>31</v>
      </c>
      <c r="B37" s="31" t="s">
        <v>144</v>
      </c>
      <c r="C37" s="32" t="s">
        <v>145</v>
      </c>
      <c r="D37" s="32" t="s">
        <v>26</v>
      </c>
      <c r="E37" s="32">
        <v>174104</v>
      </c>
      <c r="F37" s="31">
        <v>40193540</v>
      </c>
      <c r="G37" s="31">
        <v>505</v>
      </c>
      <c r="H37" s="32">
        <v>19</v>
      </c>
      <c r="I37" s="32">
        <v>25</v>
      </c>
      <c r="J37" s="26" t="s">
        <v>28</v>
      </c>
      <c r="K37" s="32">
        <v>4</v>
      </c>
      <c r="L37" s="32" t="s">
        <v>29</v>
      </c>
      <c r="M37" s="13">
        <v>43745</v>
      </c>
      <c r="N37" s="14">
        <v>43769</v>
      </c>
      <c r="O37" s="25" t="s">
        <v>30</v>
      </c>
      <c r="P37" s="11">
        <f t="shared" si="6"/>
        <v>44110</v>
      </c>
      <c r="Q37" s="3">
        <f>P37-60</f>
        <v>44050</v>
      </c>
      <c r="R37" s="3">
        <v>44146</v>
      </c>
      <c r="S37" s="3"/>
      <c r="T37" s="13">
        <f>P37+365</f>
        <v>44475</v>
      </c>
      <c r="U37" s="14">
        <f>T37-60</f>
        <v>44415</v>
      </c>
      <c r="V37" s="48">
        <v>44405</v>
      </c>
      <c r="W37" s="26"/>
      <c r="X37" s="11">
        <f>365+V37</f>
        <v>44770</v>
      </c>
      <c r="Y37" s="3">
        <f>X37-60</f>
        <v>44710</v>
      </c>
      <c r="Z37" s="12"/>
    </row>
    <row r="38" spans="1:26" x14ac:dyDescent="0.3">
      <c r="A38" s="29" t="s">
        <v>31</v>
      </c>
      <c r="B38" s="31" t="s">
        <v>144</v>
      </c>
      <c r="C38" s="32" t="s">
        <v>145</v>
      </c>
      <c r="D38" s="32" t="s">
        <v>26</v>
      </c>
      <c r="E38" s="32">
        <v>176644</v>
      </c>
      <c r="F38" s="31">
        <v>40021804</v>
      </c>
      <c r="G38" s="31">
        <v>8551</v>
      </c>
      <c r="H38" s="32">
        <v>9</v>
      </c>
      <c r="I38" s="32">
        <v>15</v>
      </c>
      <c r="J38" s="26" t="s">
        <v>28</v>
      </c>
      <c r="K38" s="32">
        <v>4</v>
      </c>
      <c r="L38" s="32" t="s">
        <v>29</v>
      </c>
      <c r="M38" s="13">
        <v>43775</v>
      </c>
      <c r="N38" s="14">
        <v>43805</v>
      </c>
      <c r="O38" s="25" t="s">
        <v>30</v>
      </c>
      <c r="P38" s="11">
        <f t="shared" si="6"/>
        <v>44140</v>
      </c>
      <c r="Q38" s="3">
        <f>P38-60</f>
        <v>44080</v>
      </c>
      <c r="R38" s="3">
        <v>44146</v>
      </c>
      <c r="S38" s="3"/>
      <c r="T38" s="13">
        <f>P38+365</f>
        <v>44505</v>
      </c>
      <c r="U38" s="14">
        <f>T38-60</f>
        <v>44445</v>
      </c>
      <c r="V38" s="48">
        <v>44427</v>
      </c>
      <c r="W38" s="14"/>
      <c r="X38" s="11">
        <f>365+V38</f>
        <v>44792</v>
      </c>
      <c r="Y38" s="3">
        <f>X38-60</f>
        <v>44732</v>
      </c>
      <c r="Z38" s="12"/>
    </row>
    <row r="39" spans="1:26" x14ac:dyDescent="0.3">
      <c r="A39" s="29" t="s">
        <v>31</v>
      </c>
      <c r="B39" s="31" t="s">
        <v>144</v>
      </c>
      <c r="C39" s="32" t="s">
        <v>145</v>
      </c>
      <c r="D39" s="32" t="s">
        <v>26</v>
      </c>
      <c r="E39" s="32">
        <v>158015</v>
      </c>
      <c r="F39" s="31">
        <v>40193094</v>
      </c>
      <c r="G39" s="31" t="s">
        <v>45</v>
      </c>
      <c r="H39" s="32">
        <v>19</v>
      </c>
      <c r="I39" s="32">
        <v>25</v>
      </c>
      <c r="J39" s="26" t="s">
        <v>46</v>
      </c>
      <c r="K39" s="32">
        <v>4</v>
      </c>
      <c r="L39" s="32" t="s">
        <v>29</v>
      </c>
      <c r="M39" s="13">
        <v>43775</v>
      </c>
      <c r="N39" s="14">
        <v>43805</v>
      </c>
      <c r="O39" s="25" t="s">
        <v>30</v>
      </c>
      <c r="P39" s="11">
        <f t="shared" si="6"/>
        <v>44140</v>
      </c>
      <c r="Q39" s="3">
        <f>P39-60</f>
        <v>44080</v>
      </c>
      <c r="R39" s="3">
        <v>44146</v>
      </c>
      <c r="S39" s="3"/>
      <c r="T39" s="13">
        <f>P39+365</f>
        <v>44505</v>
      </c>
      <c r="U39" s="14">
        <f>T39-60</f>
        <v>44445</v>
      </c>
      <c r="V39" s="48">
        <v>44427</v>
      </c>
      <c r="W39" s="26"/>
      <c r="X39" s="11">
        <f>365+V39</f>
        <v>44792</v>
      </c>
      <c r="Y39" s="3">
        <f>X39-60</f>
        <v>44732</v>
      </c>
      <c r="Z39" s="12"/>
    </row>
    <row r="40" spans="1:26" x14ac:dyDescent="0.3">
      <c r="A40" s="28"/>
      <c r="B40" s="5" t="s">
        <v>144</v>
      </c>
      <c r="C40" s="1" t="s">
        <v>145</v>
      </c>
      <c r="D40" s="1" t="s">
        <v>26</v>
      </c>
      <c r="E40" s="1">
        <v>180389</v>
      </c>
      <c r="F40" s="5">
        <v>40021815</v>
      </c>
      <c r="G40" s="5" t="s">
        <v>53</v>
      </c>
      <c r="H40" s="1">
        <v>9</v>
      </c>
      <c r="I40" s="1">
        <v>25</v>
      </c>
      <c r="J40" s="2" t="s">
        <v>28</v>
      </c>
      <c r="K40" s="1">
        <v>4</v>
      </c>
      <c r="L40" s="1" t="s">
        <v>29</v>
      </c>
      <c r="M40" s="11">
        <v>43892</v>
      </c>
      <c r="O40" s="24" t="s">
        <v>30</v>
      </c>
      <c r="P40" s="16"/>
      <c r="Q40" s="27"/>
      <c r="T40" s="11">
        <v>44257</v>
      </c>
      <c r="U40" s="3">
        <f>+T40-60</f>
        <v>44197</v>
      </c>
      <c r="V40" s="68">
        <v>44229</v>
      </c>
      <c r="W40" s="3"/>
      <c r="X40" s="11">
        <f>365+V40</f>
        <v>44594</v>
      </c>
      <c r="Y40" s="3">
        <f>+X40-60</f>
        <v>44534</v>
      </c>
      <c r="Z40" s="12"/>
    </row>
    <row r="41" spans="1:26" x14ac:dyDescent="0.3">
      <c r="A41" s="28"/>
      <c r="B41" s="5" t="s">
        <v>144</v>
      </c>
      <c r="C41" s="1" t="s">
        <v>145</v>
      </c>
      <c r="D41" s="1" t="s">
        <v>26</v>
      </c>
      <c r="E41" s="1">
        <v>223238</v>
      </c>
      <c r="F41" s="5">
        <v>40021841</v>
      </c>
      <c r="G41" s="5" t="s">
        <v>53</v>
      </c>
      <c r="H41" s="1">
        <v>19</v>
      </c>
      <c r="I41" s="1">
        <v>15</v>
      </c>
      <c r="J41" s="2" t="s">
        <v>28</v>
      </c>
      <c r="K41" s="1">
        <v>4</v>
      </c>
      <c r="L41" s="1" t="s">
        <v>29</v>
      </c>
      <c r="M41" s="11">
        <v>44376</v>
      </c>
      <c r="O41" s="24" t="s">
        <v>30</v>
      </c>
      <c r="P41" s="16"/>
      <c r="Q41" s="27"/>
      <c r="R41" s="27"/>
      <c r="S41" s="27"/>
      <c r="T41" s="11"/>
      <c r="U41" s="3"/>
      <c r="V41" s="68"/>
      <c r="W41" s="3"/>
      <c r="X41" s="11">
        <f>M41+365</f>
        <v>44741</v>
      </c>
      <c r="Y41" s="3">
        <f>X41-60</f>
        <v>44681</v>
      </c>
      <c r="Z41" s="12"/>
    </row>
    <row r="42" spans="1:26" x14ac:dyDescent="0.3">
      <c r="A42" s="29" t="s">
        <v>31</v>
      </c>
      <c r="B42" s="31" t="s">
        <v>147</v>
      </c>
      <c r="C42" s="32" t="s">
        <v>148</v>
      </c>
      <c r="D42" s="32" t="s">
        <v>26</v>
      </c>
      <c r="E42" s="32">
        <v>176660</v>
      </c>
      <c r="F42" s="54" t="s">
        <v>159</v>
      </c>
      <c r="G42" s="31">
        <v>317</v>
      </c>
      <c r="H42" s="32">
        <v>19</v>
      </c>
      <c r="I42" s="32">
        <v>33</v>
      </c>
      <c r="J42" s="26" t="s">
        <v>28</v>
      </c>
      <c r="K42" s="32">
        <v>2</v>
      </c>
      <c r="L42" s="32" t="s">
        <v>29</v>
      </c>
      <c r="M42" s="13">
        <v>44138</v>
      </c>
      <c r="N42" s="14">
        <v>44159</v>
      </c>
      <c r="O42" s="25" t="s">
        <v>30</v>
      </c>
      <c r="P42" s="15"/>
      <c r="T42" s="13">
        <f>M42+365</f>
        <v>44503</v>
      </c>
      <c r="U42" s="14">
        <f t="shared" ref="U42:U50" si="7">T42-60</f>
        <v>44443</v>
      </c>
      <c r="V42" s="48">
        <v>44424</v>
      </c>
      <c r="W42" s="26"/>
      <c r="X42" s="11">
        <f t="shared" ref="X42:X50" si="8">365+V42</f>
        <v>44789</v>
      </c>
      <c r="Y42" s="3">
        <f t="shared" ref="Y42:Y57" si="9">X42-60</f>
        <v>44729</v>
      </c>
      <c r="Z42" s="12"/>
    </row>
    <row r="43" spans="1:26" x14ac:dyDescent="0.3">
      <c r="A43" s="29" t="s">
        <v>31</v>
      </c>
      <c r="B43" s="31" t="s">
        <v>106</v>
      </c>
      <c r="C43" s="32" t="s">
        <v>107</v>
      </c>
      <c r="D43" s="32" t="s">
        <v>26</v>
      </c>
      <c r="E43" s="32">
        <v>105407</v>
      </c>
      <c r="F43" s="31">
        <v>8551</v>
      </c>
      <c r="G43" s="31">
        <v>8551</v>
      </c>
      <c r="H43" s="32">
        <v>19</v>
      </c>
      <c r="I43" s="32">
        <v>25</v>
      </c>
      <c r="J43" s="26" t="s">
        <v>28</v>
      </c>
      <c r="K43" s="32">
        <v>4</v>
      </c>
      <c r="L43" s="32" t="s">
        <v>29</v>
      </c>
      <c r="M43" s="13">
        <v>43721</v>
      </c>
      <c r="N43" s="14">
        <v>43721</v>
      </c>
      <c r="O43" s="25" t="s">
        <v>30</v>
      </c>
      <c r="P43" s="11">
        <f>M43+365</f>
        <v>44086</v>
      </c>
      <c r="Q43" s="3">
        <f>P43-60</f>
        <v>44026</v>
      </c>
      <c r="R43" s="3">
        <v>44099</v>
      </c>
      <c r="S43" s="3"/>
      <c r="T43" s="13">
        <f>R43+365</f>
        <v>44464</v>
      </c>
      <c r="U43" s="14">
        <f t="shared" si="7"/>
        <v>44404</v>
      </c>
      <c r="V43" s="48">
        <v>44397</v>
      </c>
      <c r="W43" s="26"/>
      <c r="X43" s="11">
        <f t="shared" si="8"/>
        <v>44762</v>
      </c>
      <c r="Y43" s="3">
        <f t="shared" si="9"/>
        <v>44702</v>
      </c>
      <c r="Z43" s="12"/>
    </row>
    <row r="44" spans="1:26" x14ac:dyDescent="0.3">
      <c r="A44" s="45" t="s">
        <v>228</v>
      </c>
      <c r="B44" s="49" t="s">
        <v>106</v>
      </c>
      <c r="C44" s="50" t="s">
        <v>107</v>
      </c>
      <c r="D44" s="50" t="s">
        <v>26</v>
      </c>
      <c r="E44" s="50">
        <v>99631</v>
      </c>
      <c r="F44" s="49" t="s">
        <v>27</v>
      </c>
      <c r="G44" s="49" t="s">
        <v>27</v>
      </c>
      <c r="H44" s="50">
        <v>19</v>
      </c>
      <c r="I44" s="50">
        <v>25</v>
      </c>
      <c r="J44" s="51" t="s">
        <v>28</v>
      </c>
      <c r="K44" s="50">
        <v>4</v>
      </c>
      <c r="L44" s="50" t="s">
        <v>29</v>
      </c>
      <c r="M44" s="39">
        <v>43721</v>
      </c>
      <c r="N44" s="40">
        <v>43721</v>
      </c>
      <c r="O44" s="52" t="s">
        <v>30</v>
      </c>
      <c r="P44" s="11">
        <f>M44+365</f>
        <v>44086</v>
      </c>
      <c r="Q44" s="3">
        <f>P44-60</f>
        <v>44026</v>
      </c>
      <c r="R44" s="3">
        <v>44099</v>
      </c>
      <c r="S44" s="3"/>
      <c r="T44" s="39">
        <f>R44+365</f>
        <v>44464</v>
      </c>
      <c r="U44" s="40">
        <f t="shared" si="7"/>
        <v>44404</v>
      </c>
      <c r="V44" s="41">
        <v>44397</v>
      </c>
      <c r="W44" s="40">
        <v>44421</v>
      </c>
      <c r="X44" s="11">
        <f t="shared" si="8"/>
        <v>44762</v>
      </c>
      <c r="Y44" s="3">
        <f t="shared" si="9"/>
        <v>44702</v>
      </c>
      <c r="Z44" s="12"/>
    </row>
    <row r="45" spans="1:26" x14ac:dyDescent="0.3">
      <c r="A45" s="29" t="s">
        <v>31</v>
      </c>
      <c r="B45" s="31" t="s">
        <v>106</v>
      </c>
      <c r="C45" s="32" t="s">
        <v>107</v>
      </c>
      <c r="D45" s="32" t="s">
        <v>26</v>
      </c>
      <c r="E45" s="32">
        <v>162216</v>
      </c>
      <c r="F45" s="31" t="s">
        <v>108</v>
      </c>
      <c r="G45" s="31">
        <v>839</v>
      </c>
      <c r="H45" s="32">
        <v>9</v>
      </c>
      <c r="I45" s="32">
        <v>25</v>
      </c>
      <c r="J45" s="26" t="s">
        <v>40</v>
      </c>
      <c r="K45" s="32">
        <v>2</v>
      </c>
      <c r="L45" s="32" t="s">
        <v>29</v>
      </c>
      <c r="M45" s="13">
        <v>43787</v>
      </c>
      <c r="N45" s="14">
        <v>43788</v>
      </c>
      <c r="O45" s="25" t="s">
        <v>30</v>
      </c>
      <c r="P45" s="11">
        <f>M45+365</f>
        <v>44152</v>
      </c>
      <c r="Q45" s="3">
        <f>P45-60</f>
        <v>44092</v>
      </c>
      <c r="R45" s="3">
        <v>44099</v>
      </c>
      <c r="S45" s="3"/>
      <c r="T45" s="13">
        <f>R45+365</f>
        <v>44464</v>
      </c>
      <c r="U45" s="14">
        <f t="shared" si="7"/>
        <v>44404</v>
      </c>
      <c r="V45" s="48">
        <v>44397</v>
      </c>
      <c r="W45" s="26"/>
      <c r="X45" s="11">
        <f t="shared" si="8"/>
        <v>44762</v>
      </c>
      <c r="Y45" s="3">
        <f t="shared" si="9"/>
        <v>44702</v>
      </c>
      <c r="Z45" s="12"/>
    </row>
    <row r="46" spans="1:26" x14ac:dyDescent="0.3">
      <c r="A46" s="45" t="s">
        <v>228</v>
      </c>
      <c r="B46" s="73" t="s">
        <v>106</v>
      </c>
      <c r="C46" s="74" t="s">
        <v>107</v>
      </c>
      <c r="D46" s="74" t="s">
        <v>26</v>
      </c>
      <c r="E46" s="74">
        <v>177227</v>
      </c>
      <c r="F46" s="73" t="s">
        <v>109</v>
      </c>
      <c r="G46" s="73">
        <v>839</v>
      </c>
      <c r="H46" s="74">
        <v>19</v>
      </c>
      <c r="I46" s="74">
        <v>25</v>
      </c>
      <c r="J46" s="75" t="s">
        <v>28</v>
      </c>
      <c r="K46" s="74">
        <v>2</v>
      </c>
      <c r="L46" s="74" t="s">
        <v>29</v>
      </c>
      <c r="M46" s="76">
        <v>43787</v>
      </c>
      <c r="N46" s="77">
        <v>43788</v>
      </c>
      <c r="O46" s="78" t="s">
        <v>30</v>
      </c>
      <c r="P46" s="11">
        <f>M46+365</f>
        <v>44152</v>
      </c>
      <c r="Q46" s="3">
        <f>P46-60</f>
        <v>44092</v>
      </c>
      <c r="R46" s="3">
        <v>44099</v>
      </c>
      <c r="S46" s="3"/>
      <c r="T46" s="76">
        <f>R46+365</f>
        <v>44464</v>
      </c>
      <c r="U46" s="77">
        <f t="shared" si="7"/>
        <v>44404</v>
      </c>
      <c r="V46" s="79">
        <v>44473</v>
      </c>
      <c r="W46" s="77">
        <v>44473</v>
      </c>
      <c r="X46" s="11">
        <f t="shared" si="8"/>
        <v>44838</v>
      </c>
      <c r="Y46" s="3">
        <f t="shared" si="9"/>
        <v>44778</v>
      </c>
      <c r="Z46" s="12"/>
    </row>
    <row r="47" spans="1:26" x14ac:dyDescent="0.3">
      <c r="A47" s="29" t="s">
        <v>31</v>
      </c>
      <c r="B47" s="31" t="s">
        <v>106</v>
      </c>
      <c r="C47" s="32" t="s">
        <v>107</v>
      </c>
      <c r="D47" s="32" t="s">
        <v>26</v>
      </c>
      <c r="E47" s="32">
        <v>156030</v>
      </c>
      <c r="F47" s="31" t="s">
        <v>110</v>
      </c>
      <c r="G47" s="31" t="s">
        <v>58</v>
      </c>
      <c r="H47" s="32">
        <v>19</v>
      </c>
      <c r="I47" s="32">
        <v>25</v>
      </c>
      <c r="J47" s="26" t="s">
        <v>28</v>
      </c>
      <c r="K47" s="32">
        <v>2</v>
      </c>
      <c r="L47" s="32" t="s">
        <v>29</v>
      </c>
      <c r="M47" s="13">
        <v>43787</v>
      </c>
      <c r="N47" s="14">
        <v>43788</v>
      </c>
      <c r="O47" s="25" t="s">
        <v>30</v>
      </c>
      <c r="P47" s="11">
        <f>M47+365</f>
        <v>44152</v>
      </c>
      <c r="Q47" s="3">
        <f>P47-60</f>
        <v>44092</v>
      </c>
      <c r="R47" s="3">
        <v>44099</v>
      </c>
      <c r="S47" s="3"/>
      <c r="T47" s="13">
        <f>R47+365</f>
        <v>44464</v>
      </c>
      <c r="U47" s="14">
        <f t="shared" si="7"/>
        <v>44404</v>
      </c>
      <c r="V47" s="48">
        <v>44397</v>
      </c>
      <c r="W47" s="26"/>
      <c r="X47" s="11">
        <f t="shared" si="8"/>
        <v>44762</v>
      </c>
      <c r="Y47" s="3">
        <f t="shared" si="9"/>
        <v>44702</v>
      </c>
      <c r="Z47" s="12"/>
    </row>
    <row r="48" spans="1:26" x14ac:dyDescent="0.3">
      <c r="A48" s="29" t="s">
        <v>31</v>
      </c>
      <c r="B48" s="31" t="s">
        <v>147</v>
      </c>
      <c r="C48" s="32" t="s">
        <v>148</v>
      </c>
      <c r="D48" s="32" t="s">
        <v>26</v>
      </c>
      <c r="E48" s="32">
        <v>99631</v>
      </c>
      <c r="F48" s="26" t="s">
        <v>157</v>
      </c>
      <c r="G48" s="31" t="s">
        <v>27</v>
      </c>
      <c r="H48" s="32">
        <v>19</v>
      </c>
      <c r="I48" s="32">
        <v>25</v>
      </c>
      <c r="J48" s="26" t="s">
        <v>28</v>
      </c>
      <c r="K48" s="32">
        <v>2</v>
      </c>
      <c r="L48" s="32" t="s">
        <v>29</v>
      </c>
      <c r="M48" s="13">
        <v>44071</v>
      </c>
      <c r="N48" s="14">
        <v>44146</v>
      </c>
      <c r="O48" s="25" t="s">
        <v>30</v>
      </c>
      <c r="P48" s="15"/>
      <c r="T48" s="13">
        <f>M48+365</f>
        <v>44436</v>
      </c>
      <c r="U48" s="14">
        <f t="shared" si="7"/>
        <v>44376</v>
      </c>
      <c r="V48" s="48">
        <v>44398</v>
      </c>
      <c r="W48" s="14"/>
      <c r="X48" s="11">
        <f t="shared" si="8"/>
        <v>44763</v>
      </c>
      <c r="Y48" s="3">
        <f t="shared" si="9"/>
        <v>44703</v>
      </c>
      <c r="Z48" s="12"/>
    </row>
    <row r="49" spans="1:26" x14ac:dyDescent="0.3">
      <c r="A49" s="29" t="s">
        <v>31</v>
      </c>
      <c r="B49" s="31" t="s">
        <v>147</v>
      </c>
      <c r="C49" s="32" t="s">
        <v>148</v>
      </c>
      <c r="D49" s="32" t="s">
        <v>26</v>
      </c>
      <c r="E49" s="32">
        <v>157238</v>
      </c>
      <c r="F49" s="26" t="s">
        <v>158</v>
      </c>
      <c r="G49" s="31" t="s">
        <v>27</v>
      </c>
      <c r="H49" s="32">
        <v>9</v>
      </c>
      <c r="I49" s="32">
        <v>25</v>
      </c>
      <c r="J49" s="26" t="s">
        <v>28</v>
      </c>
      <c r="K49" s="32">
        <v>2</v>
      </c>
      <c r="L49" s="32" t="s">
        <v>29</v>
      </c>
      <c r="M49" s="13">
        <v>44071</v>
      </c>
      <c r="N49" s="14">
        <v>44146</v>
      </c>
      <c r="O49" s="25" t="s">
        <v>30</v>
      </c>
      <c r="P49" s="15"/>
      <c r="T49" s="13">
        <f>M49+365</f>
        <v>44436</v>
      </c>
      <c r="U49" s="14">
        <f t="shared" si="7"/>
        <v>44376</v>
      </c>
      <c r="V49" s="48">
        <v>44398</v>
      </c>
      <c r="W49" s="14"/>
      <c r="X49" s="11">
        <f t="shared" si="8"/>
        <v>44763</v>
      </c>
      <c r="Y49" s="3">
        <f t="shared" si="9"/>
        <v>44703</v>
      </c>
      <c r="Z49" s="12"/>
    </row>
    <row r="50" spans="1:26" x14ac:dyDescent="0.3">
      <c r="A50" s="29" t="s">
        <v>31</v>
      </c>
      <c r="B50" s="31" t="s">
        <v>144</v>
      </c>
      <c r="C50" s="32" t="s">
        <v>145</v>
      </c>
      <c r="D50" s="32" t="s">
        <v>26</v>
      </c>
      <c r="E50" s="32">
        <v>105407</v>
      </c>
      <c r="F50" s="31">
        <v>40021714</v>
      </c>
      <c r="G50" s="31">
        <v>8551</v>
      </c>
      <c r="H50" s="32">
        <v>19</v>
      </c>
      <c r="I50" s="32">
        <v>25</v>
      </c>
      <c r="J50" s="26" t="s">
        <v>28</v>
      </c>
      <c r="K50" s="32">
        <v>4</v>
      </c>
      <c r="L50" s="32" t="s">
        <v>29</v>
      </c>
      <c r="M50" s="13">
        <v>43697</v>
      </c>
      <c r="N50" s="14">
        <v>43717</v>
      </c>
      <c r="O50" s="25" t="s">
        <v>30</v>
      </c>
      <c r="P50" s="11">
        <f>M50+365</f>
        <v>44062</v>
      </c>
      <c r="Q50" s="3">
        <f>P50-60</f>
        <v>44002</v>
      </c>
      <c r="R50" s="3">
        <v>44146</v>
      </c>
      <c r="S50" s="3"/>
      <c r="T50" s="13">
        <f>P50+365</f>
        <v>44427</v>
      </c>
      <c r="U50" s="14">
        <f t="shared" si="7"/>
        <v>44367</v>
      </c>
      <c r="V50" s="48">
        <v>44397</v>
      </c>
      <c r="W50" s="14"/>
      <c r="X50" s="11">
        <f t="shared" si="8"/>
        <v>44762</v>
      </c>
      <c r="Y50" s="3">
        <f t="shared" si="9"/>
        <v>44702</v>
      </c>
      <c r="Z50" s="12"/>
    </row>
    <row r="51" spans="1:26" x14ac:dyDescent="0.3">
      <c r="A51" s="29" t="s">
        <v>31</v>
      </c>
      <c r="B51" s="54" t="s">
        <v>24</v>
      </c>
      <c r="C51" s="58" t="s">
        <v>25</v>
      </c>
      <c r="D51" s="32" t="s">
        <v>26</v>
      </c>
      <c r="E51" s="58">
        <v>137809</v>
      </c>
      <c r="F51" s="54" t="s">
        <v>32</v>
      </c>
      <c r="G51" s="54">
        <v>839</v>
      </c>
      <c r="H51" s="58">
        <v>12</v>
      </c>
      <c r="I51" s="58">
        <v>25</v>
      </c>
      <c r="J51" s="59" t="s">
        <v>28</v>
      </c>
      <c r="K51" s="58">
        <v>2</v>
      </c>
      <c r="L51" s="58" t="s">
        <v>29</v>
      </c>
      <c r="M51" s="60">
        <v>44365</v>
      </c>
      <c r="N51" s="59"/>
      <c r="O51" s="61" t="s">
        <v>30</v>
      </c>
      <c r="P51" s="62"/>
      <c r="Q51" s="59"/>
      <c r="R51" s="59"/>
      <c r="S51" s="59"/>
      <c r="T51" s="13"/>
      <c r="U51" s="63"/>
      <c r="V51" s="19"/>
      <c r="W51" s="59"/>
      <c r="X51" s="11">
        <f>M51+365</f>
        <v>44730</v>
      </c>
      <c r="Y51" s="57">
        <f t="shared" si="9"/>
        <v>44670</v>
      </c>
      <c r="Z51" s="12"/>
    </row>
    <row r="52" spans="1:26" x14ac:dyDescent="0.3">
      <c r="A52" s="45" t="s">
        <v>228</v>
      </c>
      <c r="B52" s="49" t="s">
        <v>38</v>
      </c>
      <c r="C52" s="50" t="s">
        <v>227</v>
      </c>
      <c r="D52" s="50" t="s">
        <v>26</v>
      </c>
      <c r="E52" s="50">
        <v>179029</v>
      </c>
      <c r="F52" s="49">
        <v>19787</v>
      </c>
      <c r="G52" s="49">
        <v>317</v>
      </c>
      <c r="H52" s="50">
        <v>9</v>
      </c>
      <c r="I52" s="50">
        <v>33</v>
      </c>
      <c r="J52" s="51" t="s">
        <v>40</v>
      </c>
      <c r="K52" s="50">
        <v>2</v>
      </c>
      <c r="L52" s="50" t="s">
        <v>29</v>
      </c>
      <c r="M52" s="39">
        <v>43945</v>
      </c>
      <c r="N52" s="51"/>
      <c r="O52" s="52" t="s">
        <v>30</v>
      </c>
      <c r="T52" s="39">
        <f>$M52+365</f>
        <v>44310</v>
      </c>
      <c r="U52" s="71">
        <f>+T52-60</f>
        <v>44250</v>
      </c>
      <c r="V52" s="41">
        <v>44372</v>
      </c>
      <c r="W52" s="40">
        <v>44440</v>
      </c>
      <c r="X52" s="11">
        <f>V52+365</f>
        <v>44737</v>
      </c>
      <c r="Y52" s="3">
        <f t="shared" si="9"/>
        <v>44677</v>
      </c>
      <c r="Z52" s="12"/>
    </row>
    <row r="53" spans="1:26" x14ac:dyDescent="0.3">
      <c r="A53" s="29" t="s">
        <v>31</v>
      </c>
      <c r="B53" s="31" t="s">
        <v>38</v>
      </c>
      <c r="C53" s="32" t="s">
        <v>227</v>
      </c>
      <c r="D53" s="32" t="s">
        <v>26</v>
      </c>
      <c r="E53" s="32">
        <v>158015</v>
      </c>
      <c r="F53" s="31">
        <v>34908</v>
      </c>
      <c r="G53" s="26" t="s">
        <v>45</v>
      </c>
      <c r="H53" s="32">
        <v>19</v>
      </c>
      <c r="I53" s="32">
        <v>25</v>
      </c>
      <c r="J53" s="26" t="s">
        <v>46</v>
      </c>
      <c r="K53" s="32">
        <v>2</v>
      </c>
      <c r="L53" s="32" t="s">
        <v>29</v>
      </c>
      <c r="M53" s="13">
        <v>43986</v>
      </c>
      <c r="N53" s="14">
        <v>43993</v>
      </c>
      <c r="O53" s="25" t="s">
        <v>30</v>
      </c>
      <c r="Q53" s="3"/>
      <c r="T53" s="13">
        <f>$M53+365</f>
        <v>44351</v>
      </c>
      <c r="U53" s="14">
        <f>T53-60</f>
        <v>44291</v>
      </c>
      <c r="V53" s="48">
        <v>44294</v>
      </c>
      <c r="W53" s="14"/>
      <c r="X53" s="11">
        <f>V53+365</f>
        <v>44659</v>
      </c>
      <c r="Y53" s="3">
        <f t="shared" si="9"/>
        <v>44599</v>
      </c>
      <c r="Z53" s="12"/>
    </row>
    <row r="54" spans="1:26" x14ac:dyDescent="0.3">
      <c r="A54" s="29" t="s">
        <v>31</v>
      </c>
      <c r="B54" s="31" t="s">
        <v>38</v>
      </c>
      <c r="C54" s="32" t="s">
        <v>227</v>
      </c>
      <c r="D54" s="32" t="s">
        <v>26</v>
      </c>
      <c r="E54" s="32">
        <v>92184</v>
      </c>
      <c r="F54" s="31">
        <v>48254</v>
      </c>
      <c r="G54" s="31" t="s">
        <v>42</v>
      </c>
      <c r="H54" s="32">
        <v>19</v>
      </c>
      <c r="I54" s="32">
        <v>25</v>
      </c>
      <c r="J54" s="26" t="s">
        <v>28</v>
      </c>
      <c r="K54" s="32">
        <v>2</v>
      </c>
      <c r="L54" s="32" t="s">
        <v>29</v>
      </c>
      <c r="M54" s="13">
        <v>44280</v>
      </c>
      <c r="N54" s="14"/>
      <c r="O54" s="25" t="s">
        <v>30</v>
      </c>
      <c r="P54" s="13"/>
      <c r="Q54" s="14"/>
      <c r="R54" s="14"/>
      <c r="S54" s="14"/>
      <c r="T54" s="13"/>
      <c r="U54" s="14"/>
      <c r="V54" s="19"/>
      <c r="W54" s="14"/>
      <c r="X54" s="11">
        <f>M54+365</f>
        <v>44645</v>
      </c>
      <c r="Y54" s="3">
        <f t="shared" si="9"/>
        <v>44585</v>
      </c>
      <c r="Z54" s="12"/>
    </row>
    <row r="55" spans="1:26" x14ac:dyDescent="0.3">
      <c r="A55" s="45" t="s">
        <v>228</v>
      </c>
      <c r="B55" s="49" t="s">
        <v>50</v>
      </c>
      <c r="C55" s="50" t="s">
        <v>51</v>
      </c>
      <c r="D55" s="50" t="s">
        <v>35</v>
      </c>
      <c r="E55" s="50">
        <v>99631</v>
      </c>
      <c r="F55" s="49" t="s">
        <v>54</v>
      </c>
      <c r="G55" s="49" t="s">
        <v>27</v>
      </c>
      <c r="H55" s="50">
        <v>19</v>
      </c>
      <c r="I55" s="50">
        <v>25</v>
      </c>
      <c r="J55" s="51" t="s">
        <v>28</v>
      </c>
      <c r="K55" s="50">
        <v>2</v>
      </c>
      <c r="L55" s="50" t="s">
        <v>29</v>
      </c>
      <c r="M55" s="39">
        <v>44266</v>
      </c>
      <c r="N55" s="40">
        <v>44275</v>
      </c>
      <c r="O55" s="52" t="s">
        <v>30</v>
      </c>
      <c r="P55" s="39"/>
      <c r="Q55" s="40"/>
      <c r="R55" s="40"/>
      <c r="S55" s="40"/>
      <c r="T55" s="39"/>
      <c r="U55" s="40"/>
      <c r="V55" s="53"/>
      <c r="W55" s="40"/>
      <c r="X55" s="11">
        <f>M55+365</f>
        <v>44631</v>
      </c>
      <c r="Y55" s="3">
        <f t="shared" si="9"/>
        <v>44571</v>
      </c>
      <c r="Z55" s="12"/>
    </row>
    <row r="56" spans="1:26" x14ac:dyDescent="0.3">
      <c r="A56" s="29" t="s">
        <v>31</v>
      </c>
      <c r="B56" s="31" t="s">
        <v>63</v>
      </c>
      <c r="C56" s="32" t="s">
        <v>67</v>
      </c>
      <c r="D56" s="32" t="s">
        <v>26</v>
      </c>
      <c r="E56" s="32">
        <v>201980</v>
      </c>
      <c r="F56" s="31" t="s">
        <v>73</v>
      </c>
      <c r="G56" s="31" t="s">
        <v>69</v>
      </c>
      <c r="H56" s="32">
        <v>12</v>
      </c>
      <c r="I56" s="32">
        <v>25</v>
      </c>
      <c r="J56" s="26" t="s">
        <v>28</v>
      </c>
      <c r="K56" s="32">
        <v>4</v>
      </c>
      <c r="L56" s="32" t="s">
        <v>29</v>
      </c>
      <c r="M56" s="13">
        <v>43489</v>
      </c>
      <c r="N56" s="26"/>
      <c r="O56" s="25" t="s">
        <v>30</v>
      </c>
      <c r="P56" s="14">
        <f>M56+365</f>
        <v>43854</v>
      </c>
      <c r="Q56" s="14">
        <f>P56-60</f>
        <v>43794</v>
      </c>
      <c r="R56" s="14">
        <v>43945</v>
      </c>
      <c r="S56" s="14"/>
      <c r="T56" s="13">
        <f>R56+365</f>
        <v>44310</v>
      </c>
      <c r="U56" s="14">
        <f>T56-60</f>
        <v>44250</v>
      </c>
      <c r="V56" s="48">
        <v>44294</v>
      </c>
      <c r="W56" s="19"/>
      <c r="X56" s="11">
        <f>V56+365</f>
        <v>44659</v>
      </c>
      <c r="Y56" s="3">
        <f t="shared" si="9"/>
        <v>44599</v>
      </c>
      <c r="Z56" s="12"/>
    </row>
    <row r="57" spans="1:26" ht="14.5" customHeight="1" x14ac:dyDescent="0.3">
      <c r="A57" s="29" t="s">
        <v>31</v>
      </c>
      <c r="B57" s="31" t="s">
        <v>63</v>
      </c>
      <c r="C57" s="32" t="s">
        <v>67</v>
      </c>
      <c r="D57" s="32" t="s">
        <v>26</v>
      </c>
      <c r="E57" s="32">
        <v>172994</v>
      </c>
      <c r="F57" s="31" t="s">
        <v>74</v>
      </c>
      <c r="G57" s="31">
        <v>8550</v>
      </c>
      <c r="H57" s="32">
        <v>19</v>
      </c>
      <c r="I57" s="32">
        <v>25</v>
      </c>
      <c r="J57" s="26" t="s">
        <v>28</v>
      </c>
      <c r="K57" s="32">
        <v>4</v>
      </c>
      <c r="L57" s="32" t="s">
        <v>29</v>
      </c>
      <c r="M57" s="13">
        <v>43489</v>
      </c>
      <c r="N57" s="26"/>
      <c r="O57" s="25" t="s">
        <v>30</v>
      </c>
      <c r="P57" s="14">
        <f>M57+365</f>
        <v>43854</v>
      </c>
      <c r="Q57" s="14">
        <f>P57-60</f>
        <v>43794</v>
      </c>
      <c r="R57" s="14">
        <v>43945</v>
      </c>
      <c r="S57" s="14"/>
      <c r="T57" s="13">
        <f>R57+365</f>
        <v>44310</v>
      </c>
      <c r="U57" s="14">
        <f>T57-60</f>
        <v>44250</v>
      </c>
      <c r="V57" s="48">
        <v>44271</v>
      </c>
      <c r="W57" s="26"/>
      <c r="X57" s="11">
        <f>T57+365</f>
        <v>44675</v>
      </c>
      <c r="Y57" s="3">
        <f t="shared" si="9"/>
        <v>44615</v>
      </c>
      <c r="Z57" s="12"/>
    </row>
    <row r="58" spans="1:26" ht="14.5" customHeight="1" x14ac:dyDescent="0.3">
      <c r="A58" s="29" t="s">
        <v>238</v>
      </c>
      <c r="B58" s="31" t="s">
        <v>63</v>
      </c>
      <c r="C58" s="32" t="s">
        <v>67</v>
      </c>
      <c r="D58" s="32" t="s">
        <v>26</v>
      </c>
      <c r="E58" s="32">
        <v>197514</v>
      </c>
      <c r="F58" s="31" t="s">
        <v>75</v>
      </c>
      <c r="G58" s="31">
        <v>505</v>
      </c>
      <c r="H58" s="32">
        <v>19</v>
      </c>
      <c r="I58" s="32">
        <v>25</v>
      </c>
      <c r="J58" s="26" t="s">
        <v>76</v>
      </c>
      <c r="K58" s="32">
        <v>3</v>
      </c>
      <c r="L58" s="32" t="s">
        <v>29</v>
      </c>
      <c r="M58" s="13">
        <v>43599</v>
      </c>
      <c r="N58" s="14">
        <v>43599</v>
      </c>
      <c r="O58" s="25" t="s">
        <v>30</v>
      </c>
      <c r="P58" s="14">
        <f>M58+365</f>
        <v>43964</v>
      </c>
      <c r="Q58" s="14">
        <f>P58-60</f>
        <v>43904</v>
      </c>
      <c r="R58" s="14">
        <v>43945</v>
      </c>
      <c r="S58" s="14"/>
      <c r="T58" s="13">
        <f>R58+365</f>
        <v>44310</v>
      </c>
      <c r="U58" s="14">
        <f>T58-60</f>
        <v>44250</v>
      </c>
      <c r="V58" s="19"/>
      <c r="W58" s="26"/>
      <c r="X58" s="15"/>
      <c r="Y58" s="3"/>
      <c r="Z58" s="12"/>
    </row>
    <row r="59" spans="1:26" ht="14.15" customHeight="1" x14ac:dyDescent="0.3">
      <c r="A59" s="29" t="s">
        <v>31</v>
      </c>
      <c r="B59" s="31" t="s">
        <v>63</v>
      </c>
      <c r="C59" s="32" t="s">
        <v>67</v>
      </c>
      <c r="D59" s="32" t="s">
        <v>26</v>
      </c>
      <c r="E59" s="32">
        <v>164194</v>
      </c>
      <c r="F59" s="31" t="s">
        <v>77</v>
      </c>
      <c r="G59" s="31" t="s">
        <v>78</v>
      </c>
      <c r="H59" s="32">
        <v>35</v>
      </c>
      <c r="I59" s="32">
        <v>10</v>
      </c>
      <c r="J59" s="26" t="s">
        <v>28</v>
      </c>
      <c r="K59" s="32">
        <v>4</v>
      </c>
      <c r="L59" s="32" t="s">
        <v>29</v>
      </c>
      <c r="M59" s="13">
        <v>44070</v>
      </c>
      <c r="N59" s="14">
        <v>44138</v>
      </c>
      <c r="O59" s="25" t="s">
        <v>30</v>
      </c>
      <c r="P59" s="15"/>
      <c r="T59" s="13">
        <f>M59+365</f>
        <v>44435</v>
      </c>
      <c r="U59" s="14">
        <f>T59-60</f>
        <v>44375</v>
      </c>
      <c r="V59" s="48">
        <v>44365</v>
      </c>
      <c r="W59" s="26"/>
      <c r="X59" s="11">
        <f>365+V59</f>
        <v>44730</v>
      </c>
      <c r="Y59" s="3">
        <f>X59-60</f>
        <v>44670</v>
      </c>
      <c r="Z59" s="12"/>
    </row>
    <row r="60" spans="1:26" ht="14.15" customHeight="1" x14ac:dyDescent="0.3">
      <c r="A60" s="29" t="s">
        <v>31</v>
      </c>
      <c r="B60" s="31" t="s">
        <v>106</v>
      </c>
      <c r="C60" s="32" t="s">
        <v>107</v>
      </c>
      <c r="D60" s="32" t="s">
        <v>26</v>
      </c>
      <c r="E60" s="32">
        <v>173540</v>
      </c>
      <c r="F60" s="31" t="s">
        <v>111</v>
      </c>
      <c r="G60" s="31">
        <v>512</v>
      </c>
      <c r="H60" s="32">
        <v>19</v>
      </c>
      <c r="I60" s="32">
        <v>25</v>
      </c>
      <c r="J60" s="26" t="s">
        <v>28</v>
      </c>
      <c r="K60" s="32">
        <v>2</v>
      </c>
      <c r="L60" s="32" t="s">
        <v>29</v>
      </c>
      <c r="M60" s="13">
        <v>43549</v>
      </c>
      <c r="N60" s="14">
        <v>43549</v>
      </c>
      <c r="O60" s="25" t="s">
        <v>30</v>
      </c>
      <c r="P60" s="13">
        <f>M60+365</f>
        <v>43914</v>
      </c>
      <c r="Q60" s="14">
        <f>P60-60</f>
        <v>43854</v>
      </c>
      <c r="R60" s="14">
        <v>43945</v>
      </c>
      <c r="S60" s="14"/>
      <c r="T60" s="13">
        <f>R60+365</f>
        <v>44310</v>
      </c>
      <c r="U60" s="14">
        <f>T60-60</f>
        <v>44250</v>
      </c>
      <c r="V60" s="48">
        <v>44271</v>
      </c>
      <c r="W60" s="19"/>
      <c r="X60" s="11">
        <f>T60+365</f>
        <v>44675</v>
      </c>
      <c r="Y60" s="3">
        <f t="shared" ref="Y60:Y74" si="10">X60-60</f>
        <v>44615</v>
      </c>
      <c r="Z60" s="12"/>
    </row>
    <row r="61" spans="1:26" ht="14.15" customHeight="1" x14ac:dyDescent="0.3">
      <c r="A61" s="29" t="s">
        <v>31</v>
      </c>
      <c r="B61" s="31" t="s">
        <v>106</v>
      </c>
      <c r="C61" s="32" t="s">
        <v>107</v>
      </c>
      <c r="D61" s="32" t="s">
        <v>26</v>
      </c>
      <c r="E61" s="32">
        <v>53401</v>
      </c>
      <c r="F61" s="33" t="s">
        <v>112</v>
      </c>
      <c r="G61" s="26" t="s">
        <v>44</v>
      </c>
      <c r="H61" s="32">
        <v>19</v>
      </c>
      <c r="I61" s="32">
        <v>5</v>
      </c>
      <c r="J61" s="26" t="s">
        <v>28</v>
      </c>
      <c r="K61" s="32">
        <v>4</v>
      </c>
      <c r="L61" s="32" t="s">
        <v>29</v>
      </c>
      <c r="M61" s="13">
        <v>43697</v>
      </c>
      <c r="N61" s="26"/>
      <c r="O61" s="25" t="s">
        <v>30</v>
      </c>
      <c r="P61" s="11">
        <f>M61+365</f>
        <v>44062</v>
      </c>
      <c r="Q61" s="3">
        <f>P61-60</f>
        <v>44002</v>
      </c>
      <c r="R61" s="3">
        <v>44099</v>
      </c>
      <c r="S61" s="3"/>
      <c r="T61" s="13">
        <f>R61+365</f>
        <v>44464</v>
      </c>
      <c r="U61" s="14">
        <v>44285</v>
      </c>
      <c r="V61" s="48">
        <v>44316</v>
      </c>
      <c r="W61" s="26"/>
      <c r="X61" s="11">
        <f>365+V61</f>
        <v>44681</v>
      </c>
      <c r="Y61" s="3">
        <f t="shared" si="10"/>
        <v>44621</v>
      </c>
      <c r="Z61" s="12"/>
    </row>
    <row r="62" spans="1:26" x14ac:dyDescent="0.3">
      <c r="A62" s="29" t="s">
        <v>31</v>
      </c>
      <c r="B62" s="31" t="s">
        <v>106</v>
      </c>
      <c r="C62" s="32" t="s">
        <v>107</v>
      </c>
      <c r="D62" s="32" t="s">
        <v>26</v>
      </c>
      <c r="E62" s="32">
        <v>177184</v>
      </c>
      <c r="F62" s="31" t="s">
        <v>113</v>
      </c>
      <c r="G62" s="31">
        <v>839</v>
      </c>
      <c r="H62" s="32">
        <v>9</v>
      </c>
      <c r="I62" s="32">
        <v>25</v>
      </c>
      <c r="J62" s="26" t="s">
        <v>28</v>
      </c>
      <c r="K62" s="32">
        <v>2</v>
      </c>
      <c r="L62" s="32" t="s">
        <v>29</v>
      </c>
      <c r="M62" s="13"/>
      <c r="N62" s="14"/>
      <c r="O62" s="25" t="s">
        <v>30</v>
      </c>
      <c r="P62" s="11"/>
      <c r="Q62" s="3">
        <v>44092</v>
      </c>
      <c r="R62" s="3">
        <v>44099</v>
      </c>
      <c r="S62" s="3"/>
      <c r="T62" s="13">
        <f>R62+365</f>
        <v>44464</v>
      </c>
      <c r="U62" s="14">
        <v>44285</v>
      </c>
      <c r="V62" s="48">
        <v>44316</v>
      </c>
      <c r="W62" s="26"/>
      <c r="X62" s="11">
        <f>365+V62</f>
        <v>44681</v>
      </c>
      <c r="Y62" s="3">
        <f t="shared" si="10"/>
        <v>44621</v>
      </c>
      <c r="Z62" s="12"/>
    </row>
    <row r="63" spans="1:26" x14ac:dyDescent="0.3">
      <c r="A63" s="29" t="s">
        <v>31</v>
      </c>
      <c r="B63" s="33" t="s">
        <v>80</v>
      </c>
      <c r="C63" s="32" t="s">
        <v>87</v>
      </c>
      <c r="D63" s="32" t="s">
        <v>26</v>
      </c>
      <c r="E63" s="32">
        <v>99631</v>
      </c>
      <c r="F63" s="31" t="s">
        <v>27</v>
      </c>
      <c r="G63" s="31" t="s">
        <v>27</v>
      </c>
      <c r="H63" s="32">
        <v>19</v>
      </c>
      <c r="I63" s="32">
        <v>25</v>
      </c>
      <c r="J63" s="26" t="s">
        <v>28</v>
      </c>
      <c r="K63" s="32">
        <v>4</v>
      </c>
      <c r="L63" s="32" t="s">
        <v>29</v>
      </c>
      <c r="M63" s="13">
        <v>43573</v>
      </c>
      <c r="N63" s="14">
        <v>43663</v>
      </c>
      <c r="O63" s="25" t="s">
        <v>30</v>
      </c>
      <c r="P63" s="13">
        <f>M63+365</f>
        <v>43938</v>
      </c>
      <c r="Q63" s="14">
        <f>P63-60</f>
        <v>43878</v>
      </c>
      <c r="R63" s="14">
        <v>43945</v>
      </c>
      <c r="S63" s="14"/>
      <c r="T63" s="13">
        <f>P63+365</f>
        <v>44303</v>
      </c>
      <c r="U63" s="14">
        <f>T63-60</f>
        <v>44243</v>
      </c>
      <c r="V63" s="48">
        <v>44271</v>
      </c>
      <c r="W63" s="14"/>
      <c r="X63" s="11">
        <f>T63+365</f>
        <v>44668</v>
      </c>
      <c r="Y63" s="3">
        <f t="shared" si="10"/>
        <v>44608</v>
      </c>
      <c r="Z63" s="12"/>
    </row>
    <row r="64" spans="1:26" x14ac:dyDescent="0.3">
      <c r="A64" s="45" t="s">
        <v>228</v>
      </c>
      <c r="B64" s="70" t="s">
        <v>80</v>
      </c>
      <c r="C64" s="50" t="s">
        <v>87</v>
      </c>
      <c r="D64" s="50" t="s">
        <v>26</v>
      </c>
      <c r="E64" s="50">
        <v>99631</v>
      </c>
      <c r="F64" s="49" t="s">
        <v>27</v>
      </c>
      <c r="G64" s="49" t="s">
        <v>27</v>
      </c>
      <c r="H64" s="50">
        <v>19</v>
      </c>
      <c r="I64" s="50">
        <v>25</v>
      </c>
      <c r="J64" s="51" t="s">
        <v>28</v>
      </c>
      <c r="K64" s="50">
        <v>4</v>
      </c>
      <c r="L64" s="50" t="s">
        <v>29</v>
      </c>
      <c r="M64" s="39">
        <v>44410</v>
      </c>
      <c r="N64" s="40">
        <v>44420</v>
      </c>
      <c r="O64" s="50" t="s">
        <v>30</v>
      </c>
      <c r="P64" s="13"/>
      <c r="Q64" s="14"/>
      <c r="R64" s="14"/>
      <c r="S64" s="14"/>
      <c r="T64" s="39"/>
      <c r="U64" s="40"/>
      <c r="V64" s="41"/>
      <c r="W64" s="41"/>
      <c r="X64" s="11">
        <f>365+M64</f>
        <v>44775</v>
      </c>
      <c r="Y64" s="3">
        <f t="shared" si="10"/>
        <v>44715</v>
      </c>
      <c r="Z64" s="12"/>
    </row>
    <row r="65" spans="1:26" x14ac:dyDescent="0.3">
      <c r="A65" s="29" t="s">
        <v>31</v>
      </c>
      <c r="B65" s="33" t="s">
        <v>80</v>
      </c>
      <c r="C65" s="32" t="s">
        <v>87</v>
      </c>
      <c r="D65" s="32" t="s">
        <v>26</v>
      </c>
      <c r="E65" s="32">
        <v>92184</v>
      </c>
      <c r="F65" s="31">
        <v>7075971900</v>
      </c>
      <c r="G65" s="31" t="s">
        <v>42</v>
      </c>
      <c r="H65" s="32">
        <v>19</v>
      </c>
      <c r="I65" s="32">
        <v>25</v>
      </c>
      <c r="J65" s="26" t="s">
        <v>28</v>
      </c>
      <c r="K65" s="32">
        <v>4</v>
      </c>
      <c r="L65" s="32" t="s">
        <v>29</v>
      </c>
      <c r="M65" s="13">
        <v>43692</v>
      </c>
      <c r="N65" s="14">
        <v>43692</v>
      </c>
      <c r="O65" s="25" t="s">
        <v>30</v>
      </c>
      <c r="P65" s="11">
        <f t="shared" ref="P65:P70" si="11">M65+365</f>
        <v>44057</v>
      </c>
      <c r="Q65" s="3">
        <f t="shared" ref="Q65:Q70" si="12">P65-60</f>
        <v>43997</v>
      </c>
      <c r="R65" s="3">
        <v>44124</v>
      </c>
      <c r="S65" s="3"/>
      <c r="T65" s="13">
        <f t="shared" ref="T65:T70" si="13">P65+365</f>
        <v>44422</v>
      </c>
      <c r="U65" s="14">
        <f t="shared" ref="U65:U70" si="14">T65-60</f>
        <v>44362</v>
      </c>
      <c r="V65" s="48">
        <v>44392</v>
      </c>
      <c r="W65" s="26"/>
      <c r="X65" s="11">
        <f>365+V65</f>
        <v>44757</v>
      </c>
      <c r="Y65" s="3">
        <f t="shared" si="10"/>
        <v>44697</v>
      </c>
      <c r="Z65" s="12"/>
    </row>
    <row r="66" spans="1:26" x14ac:dyDescent="0.3">
      <c r="A66" s="29" t="s">
        <v>31</v>
      </c>
      <c r="B66" s="31" t="s">
        <v>80</v>
      </c>
      <c r="C66" s="32" t="s">
        <v>87</v>
      </c>
      <c r="D66" s="32" t="s">
        <v>26</v>
      </c>
      <c r="E66" s="32">
        <v>158014</v>
      </c>
      <c r="F66" s="31">
        <v>63316302</v>
      </c>
      <c r="G66" s="31" t="s">
        <v>45</v>
      </c>
      <c r="H66" s="32">
        <v>25</v>
      </c>
      <c r="I66" s="32">
        <v>25</v>
      </c>
      <c r="J66" s="26" t="s">
        <v>46</v>
      </c>
      <c r="K66" s="32">
        <v>4</v>
      </c>
      <c r="L66" s="32" t="s">
        <v>29</v>
      </c>
      <c r="M66" s="13">
        <v>43747</v>
      </c>
      <c r="N66" s="14">
        <v>43801</v>
      </c>
      <c r="O66" s="25" t="s">
        <v>30</v>
      </c>
      <c r="P66" s="11">
        <f t="shared" si="11"/>
        <v>44112</v>
      </c>
      <c r="Q66" s="3">
        <f t="shared" si="12"/>
        <v>44052</v>
      </c>
      <c r="R66" s="3">
        <v>44140</v>
      </c>
      <c r="S66" s="3">
        <v>44250</v>
      </c>
      <c r="T66" s="13">
        <f t="shared" si="13"/>
        <v>44477</v>
      </c>
      <c r="U66" s="14">
        <f t="shared" si="14"/>
        <v>44417</v>
      </c>
      <c r="V66" s="48">
        <v>44389</v>
      </c>
      <c r="W66" s="14"/>
      <c r="X66" s="11">
        <f>V66+365</f>
        <v>44754</v>
      </c>
      <c r="Y66" s="3">
        <f t="shared" si="10"/>
        <v>44694</v>
      </c>
      <c r="Z66" s="12"/>
    </row>
    <row r="67" spans="1:26" x14ac:dyDescent="0.3">
      <c r="A67" s="45" t="s">
        <v>228</v>
      </c>
      <c r="B67" s="49" t="s">
        <v>80</v>
      </c>
      <c r="C67" s="50" t="s">
        <v>87</v>
      </c>
      <c r="D67" s="50" t="s">
        <v>26</v>
      </c>
      <c r="E67" s="50">
        <v>74164</v>
      </c>
      <c r="F67" s="49" t="s">
        <v>114</v>
      </c>
      <c r="G67" s="49" t="s">
        <v>115</v>
      </c>
      <c r="H67" s="50">
        <v>19</v>
      </c>
      <c r="I67" s="50">
        <v>5</v>
      </c>
      <c r="J67" s="51" t="s">
        <v>28</v>
      </c>
      <c r="K67" s="50">
        <v>4</v>
      </c>
      <c r="L67" s="50" t="s">
        <v>29</v>
      </c>
      <c r="M67" s="39">
        <v>43747</v>
      </c>
      <c r="N67" s="40">
        <v>43801</v>
      </c>
      <c r="O67" s="52" t="s">
        <v>30</v>
      </c>
      <c r="P67" s="11">
        <f t="shared" si="11"/>
        <v>44112</v>
      </c>
      <c r="Q67" s="3">
        <f t="shared" si="12"/>
        <v>44052</v>
      </c>
      <c r="R67" s="3">
        <v>44132</v>
      </c>
      <c r="S67" s="3">
        <v>44250</v>
      </c>
      <c r="T67" s="39">
        <f t="shared" si="13"/>
        <v>44477</v>
      </c>
      <c r="U67" s="40">
        <f t="shared" si="14"/>
        <v>44417</v>
      </c>
      <c r="V67" s="41">
        <v>44405</v>
      </c>
      <c r="W67" s="40">
        <v>44426</v>
      </c>
      <c r="X67" s="11">
        <f>365+V67</f>
        <v>44770</v>
      </c>
      <c r="Y67" s="3">
        <f t="shared" si="10"/>
        <v>44710</v>
      </c>
      <c r="Z67" s="12"/>
    </row>
    <row r="68" spans="1:26" x14ac:dyDescent="0.3">
      <c r="A68" s="29" t="s">
        <v>31</v>
      </c>
      <c r="B68" s="31" t="s">
        <v>123</v>
      </c>
      <c r="C68" s="32" t="s">
        <v>124</v>
      </c>
      <c r="D68" s="32" t="s">
        <v>26</v>
      </c>
      <c r="E68" s="32">
        <v>153519</v>
      </c>
      <c r="F68" s="31">
        <v>49070172</v>
      </c>
      <c r="G68" s="31">
        <v>839</v>
      </c>
      <c r="H68" s="32">
        <v>19</v>
      </c>
      <c r="I68" s="32">
        <v>25</v>
      </c>
      <c r="J68" s="26" t="s">
        <v>40</v>
      </c>
      <c r="K68" s="32">
        <v>4</v>
      </c>
      <c r="L68" s="32" t="s">
        <v>29</v>
      </c>
      <c r="M68" s="13">
        <v>43647</v>
      </c>
      <c r="N68" s="14">
        <v>44148</v>
      </c>
      <c r="O68" s="25" t="s">
        <v>30</v>
      </c>
      <c r="P68" s="13">
        <f t="shared" si="11"/>
        <v>44012</v>
      </c>
      <c r="Q68" s="14">
        <f t="shared" si="12"/>
        <v>43952</v>
      </c>
      <c r="R68" s="14">
        <v>44147</v>
      </c>
      <c r="S68" s="14"/>
      <c r="T68" s="13">
        <f t="shared" si="13"/>
        <v>44377</v>
      </c>
      <c r="U68" s="14">
        <f t="shared" si="14"/>
        <v>44317</v>
      </c>
      <c r="V68" s="48">
        <v>44323</v>
      </c>
      <c r="W68" s="14"/>
      <c r="X68" s="11">
        <f>V68+365</f>
        <v>44688</v>
      </c>
      <c r="Y68" s="3">
        <f t="shared" si="10"/>
        <v>44628</v>
      </c>
      <c r="Z68" s="12"/>
    </row>
    <row r="69" spans="1:26" x14ac:dyDescent="0.3">
      <c r="A69" s="29" t="s">
        <v>31</v>
      </c>
      <c r="B69" s="31" t="s">
        <v>125</v>
      </c>
      <c r="C69" s="32" t="s">
        <v>126</v>
      </c>
      <c r="D69" s="32" t="s">
        <v>26</v>
      </c>
      <c r="E69" s="32">
        <v>162216</v>
      </c>
      <c r="F69" s="54" t="s">
        <v>127</v>
      </c>
      <c r="G69" s="31">
        <v>839</v>
      </c>
      <c r="H69" s="32">
        <v>9</v>
      </c>
      <c r="I69" s="32">
        <v>25</v>
      </c>
      <c r="J69" s="26" t="s">
        <v>40</v>
      </c>
      <c r="K69" s="32">
        <v>2</v>
      </c>
      <c r="L69" s="32" t="s">
        <v>29</v>
      </c>
      <c r="M69" s="13">
        <v>43635</v>
      </c>
      <c r="N69" s="26"/>
      <c r="O69" s="25" t="s">
        <v>30</v>
      </c>
      <c r="P69" s="11">
        <f t="shared" si="11"/>
        <v>44000</v>
      </c>
      <c r="Q69" s="3">
        <f t="shared" si="12"/>
        <v>43940</v>
      </c>
      <c r="R69" s="3">
        <v>44147</v>
      </c>
      <c r="S69" s="3"/>
      <c r="T69" s="13">
        <f t="shared" si="13"/>
        <v>44365</v>
      </c>
      <c r="U69" s="14">
        <f t="shared" si="14"/>
        <v>44305</v>
      </c>
      <c r="V69" s="48">
        <v>44298</v>
      </c>
      <c r="W69" s="26"/>
      <c r="X69" s="11">
        <f>V69+365</f>
        <v>44663</v>
      </c>
      <c r="Y69" s="3">
        <f t="shared" si="10"/>
        <v>44603</v>
      </c>
      <c r="Z69" s="12"/>
    </row>
    <row r="70" spans="1:26" x14ac:dyDescent="0.3">
      <c r="A70" s="29" t="s">
        <v>31</v>
      </c>
      <c r="B70" s="31" t="s">
        <v>239</v>
      </c>
      <c r="C70" s="32" t="s">
        <v>129</v>
      </c>
      <c r="D70" s="32" t="s">
        <v>26</v>
      </c>
      <c r="E70" s="32">
        <v>174352</v>
      </c>
      <c r="F70" s="31" t="s">
        <v>130</v>
      </c>
      <c r="G70" s="31" t="s">
        <v>72</v>
      </c>
      <c r="H70" s="32">
        <v>19</v>
      </c>
      <c r="I70" s="32">
        <v>15</v>
      </c>
      <c r="J70" s="26" t="s">
        <v>28</v>
      </c>
      <c r="K70" s="32">
        <v>2</v>
      </c>
      <c r="L70" s="32" t="s">
        <v>29</v>
      </c>
      <c r="M70" s="13">
        <v>43647</v>
      </c>
      <c r="N70" s="26"/>
      <c r="O70" s="25" t="s">
        <v>30</v>
      </c>
      <c r="P70" s="11">
        <f t="shared" si="11"/>
        <v>44012</v>
      </c>
      <c r="Q70" s="3">
        <f t="shared" si="12"/>
        <v>43952</v>
      </c>
      <c r="R70" s="3">
        <v>44147</v>
      </c>
      <c r="S70" s="3"/>
      <c r="T70" s="13">
        <f t="shared" si="13"/>
        <v>44377</v>
      </c>
      <c r="U70" s="14">
        <f t="shared" si="14"/>
        <v>44317</v>
      </c>
      <c r="V70" s="48">
        <v>44323</v>
      </c>
      <c r="W70" s="26"/>
      <c r="X70" s="11">
        <f>365+V70</f>
        <v>44688</v>
      </c>
      <c r="Y70" s="3">
        <f t="shared" si="10"/>
        <v>44628</v>
      </c>
      <c r="Z70" s="12"/>
    </row>
    <row r="71" spans="1:26" x14ac:dyDescent="0.3">
      <c r="A71" s="29" t="s">
        <v>31</v>
      </c>
      <c r="B71" s="31" t="s">
        <v>133</v>
      </c>
      <c r="C71" s="32" t="s">
        <v>134</v>
      </c>
      <c r="D71" s="32" t="s">
        <v>26</v>
      </c>
      <c r="E71" s="32">
        <v>53400</v>
      </c>
      <c r="F71" s="54" t="s">
        <v>135</v>
      </c>
      <c r="G71" s="31" t="s">
        <v>136</v>
      </c>
      <c r="H71" s="32">
        <v>19</v>
      </c>
      <c r="I71" s="32">
        <v>10</v>
      </c>
      <c r="J71" s="26" t="s">
        <v>28</v>
      </c>
      <c r="K71" s="32">
        <v>2</v>
      </c>
      <c r="L71" s="32" t="s">
        <v>29</v>
      </c>
      <c r="M71" s="13">
        <v>44257</v>
      </c>
      <c r="N71" s="26"/>
      <c r="O71" s="25" t="s">
        <v>30</v>
      </c>
      <c r="P71" s="69"/>
      <c r="Q71" s="27"/>
      <c r="R71" s="17"/>
      <c r="S71" s="17"/>
      <c r="T71" s="13"/>
      <c r="U71" s="14"/>
      <c r="V71" s="19"/>
      <c r="W71" s="26"/>
      <c r="X71" s="11">
        <f>M71+365</f>
        <v>44622</v>
      </c>
      <c r="Y71" s="3">
        <f t="shared" si="10"/>
        <v>44562</v>
      </c>
      <c r="Z71" s="12"/>
    </row>
    <row r="72" spans="1:26" x14ac:dyDescent="0.3">
      <c r="A72" s="45" t="s">
        <v>228</v>
      </c>
      <c r="B72" s="49" t="s">
        <v>137</v>
      </c>
      <c r="C72" s="50" t="s">
        <v>138</v>
      </c>
      <c r="D72" s="50" t="s">
        <v>26</v>
      </c>
      <c r="E72" s="50">
        <v>176641</v>
      </c>
      <c r="F72" s="49">
        <v>10009932</v>
      </c>
      <c r="G72" s="49">
        <v>8550</v>
      </c>
      <c r="H72" s="50">
        <v>19</v>
      </c>
      <c r="I72" s="50">
        <v>25</v>
      </c>
      <c r="J72" s="51" t="s">
        <v>40</v>
      </c>
      <c r="K72" s="50">
        <v>4</v>
      </c>
      <c r="L72" s="50" t="s">
        <v>29</v>
      </c>
      <c r="M72" s="39">
        <v>43489</v>
      </c>
      <c r="N72" s="51"/>
      <c r="O72" s="52" t="s">
        <v>30</v>
      </c>
      <c r="P72" s="39">
        <f>M72+365</f>
        <v>43854</v>
      </c>
      <c r="Q72" s="40">
        <f>P72-60</f>
        <v>43794</v>
      </c>
      <c r="R72" s="40">
        <v>43958</v>
      </c>
      <c r="S72" s="40"/>
      <c r="T72" s="39">
        <f>P72+365</f>
        <v>44219</v>
      </c>
      <c r="U72" s="40">
        <f>T72-60</f>
        <v>44159</v>
      </c>
      <c r="V72" s="41">
        <v>44257</v>
      </c>
      <c r="W72" s="40">
        <v>44578</v>
      </c>
      <c r="X72" s="39">
        <f>V72+365</f>
        <v>44622</v>
      </c>
      <c r="Y72" s="40">
        <f t="shared" si="10"/>
        <v>44562</v>
      </c>
      <c r="Z72" s="53"/>
    </row>
    <row r="73" spans="1:26" x14ac:dyDescent="0.3">
      <c r="A73" s="45" t="s">
        <v>228</v>
      </c>
      <c r="B73" s="49" t="s">
        <v>137</v>
      </c>
      <c r="C73" s="50" t="s">
        <v>138</v>
      </c>
      <c r="D73" s="50" t="s">
        <v>26</v>
      </c>
      <c r="E73" s="50">
        <v>172994</v>
      </c>
      <c r="F73" s="49">
        <v>10009933</v>
      </c>
      <c r="G73" s="49">
        <v>8550</v>
      </c>
      <c r="H73" s="50">
        <v>19</v>
      </c>
      <c r="I73" s="50">
        <v>25</v>
      </c>
      <c r="J73" s="51" t="s">
        <v>28</v>
      </c>
      <c r="K73" s="50">
        <v>4</v>
      </c>
      <c r="L73" s="50" t="s">
        <v>29</v>
      </c>
      <c r="M73" s="39">
        <v>43489</v>
      </c>
      <c r="N73" s="51"/>
      <c r="O73" s="52" t="s">
        <v>30</v>
      </c>
      <c r="P73" s="39">
        <f>M73+365</f>
        <v>43854</v>
      </c>
      <c r="Q73" s="40">
        <f>P73-60</f>
        <v>43794</v>
      </c>
      <c r="R73" s="40">
        <v>43958</v>
      </c>
      <c r="S73" s="40"/>
      <c r="T73" s="39">
        <f>P73+365</f>
        <v>44219</v>
      </c>
      <c r="U73" s="40">
        <f>T73-60</f>
        <v>44159</v>
      </c>
      <c r="V73" s="41">
        <v>44250</v>
      </c>
      <c r="W73" s="40">
        <v>44578</v>
      </c>
      <c r="X73" s="39">
        <f>V73+365</f>
        <v>44615</v>
      </c>
      <c r="Y73" s="40">
        <f t="shared" si="10"/>
        <v>44555</v>
      </c>
      <c r="Z73" s="53"/>
    </row>
    <row r="74" spans="1:26" x14ac:dyDescent="0.3">
      <c r="A74" s="29" t="s">
        <v>31</v>
      </c>
      <c r="B74" s="31" t="s">
        <v>137</v>
      </c>
      <c r="C74" s="32" t="s">
        <v>138</v>
      </c>
      <c r="D74" s="32" t="s">
        <v>26</v>
      </c>
      <c r="E74" s="32">
        <v>118710</v>
      </c>
      <c r="F74" s="54">
        <v>10021707</v>
      </c>
      <c r="G74" s="31" t="s">
        <v>27</v>
      </c>
      <c r="H74" s="32">
        <v>25</v>
      </c>
      <c r="I74" s="32">
        <v>25</v>
      </c>
      <c r="J74" s="26" t="s">
        <v>28</v>
      </c>
      <c r="K74" s="32">
        <v>2</v>
      </c>
      <c r="L74" s="32" t="s">
        <v>29</v>
      </c>
      <c r="M74" s="13">
        <v>43742</v>
      </c>
      <c r="N74" s="14">
        <v>43755</v>
      </c>
      <c r="O74" s="25" t="s">
        <v>30</v>
      </c>
      <c r="P74" s="13">
        <f>M74+365</f>
        <v>44107</v>
      </c>
      <c r="Q74" s="14">
        <f>P74-60</f>
        <v>44047</v>
      </c>
      <c r="R74" s="14">
        <v>44152</v>
      </c>
      <c r="S74" s="14"/>
      <c r="T74" s="13">
        <f>P74+365</f>
        <v>44472</v>
      </c>
      <c r="U74" s="14">
        <f>T74-60</f>
        <v>44412</v>
      </c>
      <c r="V74" s="48">
        <v>44389</v>
      </c>
      <c r="W74" s="14"/>
      <c r="X74" s="13">
        <f>V74+365</f>
        <v>44754</v>
      </c>
      <c r="Y74" s="14">
        <f t="shared" si="10"/>
        <v>44694</v>
      </c>
      <c r="Z74" s="19"/>
    </row>
    <row r="75" spans="1:26" x14ac:dyDescent="0.3">
      <c r="A75" s="29" t="s">
        <v>238</v>
      </c>
      <c r="B75" s="31" t="s">
        <v>240</v>
      </c>
      <c r="C75" s="32" t="s">
        <v>241</v>
      </c>
      <c r="D75" s="32" t="s">
        <v>26</v>
      </c>
      <c r="E75" s="32">
        <v>105407</v>
      </c>
      <c r="F75" s="31" t="s">
        <v>242</v>
      </c>
      <c r="G75" s="31">
        <v>8551</v>
      </c>
      <c r="H75" s="32">
        <v>19</v>
      </c>
      <c r="I75" s="32">
        <v>25</v>
      </c>
      <c r="J75" s="26" t="s">
        <v>28</v>
      </c>
      <c r="K75" s="32">
        <v>2</v>
      </c>
      <c r="L75" s="32" t="s">
        <v>29</v>
      </c>
      <c r="M75" s="13">
        <v>43489</v>
      </c>
      <c r="N75" s="26"/>
      <c r="O75" s="25" t="s">
        <v>30</v>
      </c>
      <c r="P75" s="13">
        <f>M75+365</f>
        <v>43854</v>
      </c>
      <c r="Q75" s="14">
        <f>P75-60</f>
        <v>43794</v>
      </c>
      <c r="R75" s="14">
        <v>43895</v>
      </c>
      <c r="S75" s="14"/>
      <c r="T75" s="13">
        <f>P75+365</f>
        <v>44219</v>
      </c>
      <c r="U75" s="14">
        <f>T75-60</f>
        <v>44159</v>
      </c>
      <c r="V75" s="19"/>
      <c r="W75" s="26"/>
      <c r="X75" s="15"/>
      <c r="Y75" s="3"/>
      <c r="Z75" s="12"/>
    </row>
    <row r="76" spans="1:26" x14ac:dyDescent="0.3">
      <c r="A76" s="29" t="s">
        <v>31</v>
      </c>
      <c r="B76" s="31" t="s">
        <v>139</v>
      </c>
      <c r="C76" s="32" t="s">
        <v>140</v>
      </c>
      <c r="D76" s="32" t="s">
        <v>26</v>
      </c>
      <c r="E76" s="32">
        <v>92184</v>
      </c>
      <c r="F76" s="31" t="s">
        <v>141</v>
      </c>
      <c r="G76" s="31" t="s">
        <v>42</v>
      </c>
      <c r="H76" s="32">
        <v>19</v>
      </c>
      <c r="I76" s="32">
        <v>25</v>
      </c>
      <c r="J76" s="26" t="s">
        <v>28</v>
      </c>
      <c r="K76" s="32">
        <v>2</v>
      </c>
      <c r="L76" s="32" t="s">
        <v>29</v>
      </c>
      <c r="M76" s="13">
        <v>43745</v>
      </c>
      <c r="N76" s="14">
        <v>43761</v>
      </c>
      <c r="O76" s="25" t="s">
        <v>30</v>
      </c>
      <c r="P76" s="11">
        <f>M76+365</f>
        <v>44110</v>
      </c>
      <c r="Q76" s="3">
        <f>P76-60</f>
        <v>44050</v>
      </c>
      <c r="R76" s="3">
        <v>44152</v>
      </c>
      <c r="S76" s="3"/>
      <c r="T76" s="13">
        <f>+Q76+365</f>
        <v>44415</v>
      </c>
      <c r="U76" s="14">
        <f>+T76-60</f>
        <v>44355</v>
      </c>
      <c r="V76" s="48">
        <v>44392</v>
      </c>
      <c r="W76" s="14"/>
      <c r="X76" s="11">
        <f>365+V76</f>
        <v>44757</v>
      </c>
      <c r="Y76" s="3">
        <f>X76-60</f>
        <v>44697</v>
      </c>
      <c r="Z76" s="12"/>
    </row>
    <row r="77" spans="1:26" x14ac:dyDescent="0.3">
      <c r="A77" s="45" t="s">
        <v>228</v>
      </c>
      <c r="B77" s="49" t="s">
        <v>139</v>
      </c>
      <c r="C77" s="50" t="s">
        <v>140</v>
      </c>
      <c r="D77" s="50" t="s">
        <v>26</v>
      </c>
      <c r="E77" s="50">
        <v>173540</v>
      </c>
      <c r="F77" s="49" t="s">
        <v>142</v>
      </c>
      <c r="G77" s="49">
        <v>512</v>
      </c>
      <c r="H77" s="50">
        <v>19</v>
      </c>
      <c r="I77" s="50">
        <v>25</v>
      </c>
      <c r="J77" s="51" t="s">
        <v>28</v>
      </c>
      <c r="K77" s="50">
        <v>2</v>
      </c>
      <c r="L77" s="50" t="s">
        <v>29</v>
      </c>
      <c r="M77" s="39">
        <v>44027</v>
      </c>
      <c r="N77" s="40">
        <v>44379</v>
      </c>
      <c r="O77" s="52" t="s">
        <v>30</v>
      </c>
      <c r="P77" s="64"/>
      <c r="Q77" s="51"/>
      <c r="R77" s="51"/>
      <c r="S77" s="51"/>
      <c r="T77" s="64"/>
      <c r="U77" s="51"/>
      <c r="V77" s="53"/>
      <c r="W77" s="51"/>
      <c r="X77" s="11">
        <f>N77+365</f>
        <v>44744</v>
      </c>
      <c r="Y77" s="3">
        <f>X77-60</f>
        <v>44684</v>
      </c>
      <c r="Z77" s="12"/>
    </row>
    <row r="78" spans="1:26" x14ac:dyDescent="0.3">
      <c r="A78" s="29" t="s">
        <v>31</v>
      </c>
      <c r="B78" s="31" t="s">
        <v>144</v>
      </c>
      <c r="C78" s="32" t="s">
        <v>145</v>
      </c>
      <c r="D78" s="32" t="s">
        <v>26</v>
      </c>
      <c r="E78" s="32">
        <v>156361</v>
      </c>
      <c r="F78" s="31">
        <v>40021778</v>
      </c>
      <c r="G78" s="31" t="s">
        <v>53</v>
      </c>
      <c r="H78" s="32">
        <v>19</v>
      </c>
      <c r="I78" s="32">
        <v>25</v>
      </c>
      <c r="J78" s="26" t="s">
        <v>28</v>
      </c>
      <c r="K78" s="32">
        <v>4</v>
      </c>
      <c r="L78" s="32" t="s">
        <v>29</v>
      </c>
      <c r="M78" s="13">
        <v>43374</v>
      </c>
      <c r="N78" s="14">
        <v>43430</v>
      </c>
      <c r="O78" s="25" t="s">
        <v>30</v>
      </c>
      <c r="P78" s="13">
        <f>M78+365</f>
        <v>43739</v>
      </c>
      <c r="Q78" s="14">
        <f>P78-60</f>
        <v>43679</v>
      </c>
      <c r="R78" s="14">
        <v>43958</v>
      </c>
      <c r="S78" s="14"/>
      <c r="T78" s="13">
        <f>P78+365</f>
        <v>44104</v>
      </c>
      <c r="U78" s="14">
        <v>44386</v>
      </c>
      <c r="V78" s="48">
        <v>44420</v>
      </c>
      <c r="W78" s="26"/>
      <c r="X78" s="11">
        <f>365+V78</f>
        <v>44785</v>
      </c>
      <c r="Y78" s="3">
        <f>X78-60</f>
        <v>44725</v>
      </c>
      <c r="Z78" s="12"/>
    </row>
    <row r="79" spans="1:26" x14ac:dyDescent="0.3">
      <c r="A79" s="29" t="s">
        <v>31</v>
      </c>
      <c r="B79" s="31" t="s">
        <v>144</v>
      </c>
      <c r="C79" s="32" t="s">
        <v>145</v>
      </c>
      <c r="D79" s="32" t="s">
        <v>26</v>
      </c>
      <c r="E79" s="32">
        <v>146422</v>
      </c>
      <c r="F79" s="31">
        <v>40191408</v>
      </c>
      <c r="G79" s="31" t="s">
        <v>83</v>
      </c>
      <c r="H79" s="32">
        <v>19</v>
      </c>
      <c r="I79" s="32">
        <v>33</v>
      </c>
      <c r="J79" s="26" t="s">
        <v>28</v>
      </c>
      <c r="K79" s="32">
        <v>4</v>
      </c>
      <c r="L79" s="32" t="s">
        <v>29</v>
      </c>
      <c r="M79" s="13">
        <v>43697</v>
      </c>
      <c r="N79" s="14">
        <v>43717</v>
      </c>
      <c r="O79" s="25" t="s">
        <v>30</v>
      </c>
      <c r="P79" s="14">
        <f>M79+365</f>
        <v>44062</v>
      </c>
      <c r="Q79" s="14">
        <f>P79-60</f>
        <v>44002</v>
      </c>
      <c r="R79" s="14">
        <v>44146</v>
      </c>
      <c r="S79" s="14"/>
      <c r="T79" s="13">
        <f>P79+365</f>
        <v>44427</v>
      </c>
      <c r="U79" s="14">
        <f t="shared" ref="U79:U91" si="15">T79-60</f>
        <v>44367</v>
      </c>
      <c r="V79" s="48">
        <v>44350</v>
      </c>
      <c r="W79" s="26"/>
      <c r="X79" s="11">
        <f>V79+365</f>
        <v>44715</v>
      </c>
      <c r="Y79" s="3">
        <f t="shared" ref="Y79:Y96" si="16">X79-60</f>
        <v>44655</v>
      </c>
      <c r="Z79" s="12"/>
    </row>
    <row r="80" spans="1:26" x14ac:dyDescent="0.3">
      <c r="A80" s="29" t="s">
        <v>31</v>
      </c>
      <c r="B80" s="31" t="s">
        <v>144</v>
      </c>
      <c r="C80" s="32" t="s">
        <v>145</v>
      </c>
      <c r="D80" s="32" t="s">
        <v>26</v>
      </c>
      <c r="E80" s="32">
        <v>158014</v>
      </c>
      <c r="F80" s="31">
        <v>40193232</v>
      </c>
      <c r="G80" s="31" t="s">
        <v>45</v>
      </c>
      <c r="H80" s="32">
        <v>25</v>
      </c>
      <c r="I80" s="32">
        <v>25</v>
      </c>
      <c r="J80" s="26" t="s">
        <v>46</v>
      </c>
      <c r="K80" s="32">
        <v>4</v>
      </c>
      <c r="L80" s="32" t="s">
        <v>29</v>
      </c>
      <c r="M80" s="13">
        <v>43697</v>
      </c>
      <c r="N80" s="14">
        <v>43717</v>
      </c>
      <c r="O80" s="25" t="s">
        <v>30</v>
      </c>
      <c r="P80" s="3">
        <f>M80+365</f>
        <v>44062</v>
      </c>
      <c r="Q80" s="3">
        <f>P80-60</f>
        <v>44002</v>
      </c>
      <c r="R80" s="3">
        <v>44146</v>
      </c>
      <c r="S80" s="3"/>
      <c r="T80" s="13">
        <f>P80+365</f>
        <v>44427</v>
      </c>
      <c r="U80" s="14">
        <f t="shared" si="15"/>
        <v>44367</v>
      </c>
      <c r="V80" s="48">
        <v>44392</v>
      </c>
      <c r="W80" s="14"/>
      <c r="X80" s="11">
        <f>365+V80</f>
        <v>44757</v>
      </c>
      <c r="Y80" s="3">
        <f t="shared" si="16"/>
        <v>44697</v>
      </c>
      <c r="Z80" s="12"/>
    </row>
    <row r="81" spans="1:26" x14ac:dyDescent="0.3">
      <c r="A81" s="29" t="s">
        <v>31</v>
      </c>
      <c r="B81" s="31" t="s">
        <v>144</v>
      </c>
      <c r="C81" s="32" t="s">
        <v>145</v>
      </c>
      <c r="D81" s="32" t="s">
        <v>26</v>
      </c>
      <c r="E81" s="32">
        <v>180814</v>
      </c>
      <c r="F81" s="31">
        <v>40021779</v>
      </c>
      <c r="G81" s="31" t="s">
        <v>53</v>
      </c>
      <c r="H81" s="32">
        <v>25</v>
      </c>
      <c r="I81" s="32">
        <v>25</v>
      </c>
      <c r="J81" s="26" t="s">
        <v>28</v>
      </c>
      <c r="K81" s="32">
        <v>4</v>
      </c>
      <c r="L81" s="32" t="s">
        <v>29</v>
      </c>
      <c r="M81" s="13">
        <v>43697</v>
      </c>
      <c r="N81" s="14">
        <v>43717</v>
      </c>
      <c r="O81" s="25" t="s">
        <v>30</v>
      </c>
      <c r="P81" s="3">
        <f>M81+365</f>
        <v>44062</v>
      </c>
      <c r="Q81" s="3">
        <f>P81-60</f>
        <v>44002</v>
      </c>
      <c r="R81" s="3">
        <v>44146</v>
      </c>
      <c r="S81" s="3"/>
      <c r="T81" s="13">
        <f>P81+365</f>
        <v>44427</v>
      </c>
      <c r="U81" s="14">
        <f t="shared" si="15"/>
        <v>44367</v>
      </c>
      <c r="V81" s="48">
        <v>44392</v>
      </c>
      <c r="W81" s="26"/>
      <c r="X81" s="11">
        <f>365+V81</f>
        <v>44757</v>
      </c>
      <c r="Y81" s="3">
        <f t="shared" si="16"/>
        <v>44697</v>
      </c>
      <c r="Z81" s="12"/>
    </row>
    <row r="82" spans="1:26" x14ac:dyDescent="0.3">
      <c r="A82" s="29" t="s">
        <v>31</v>
      </c>
      <c r="B82" s="31" t="s">
        <v>144</v>
      </c>
      <c r="C82" s="32" t="s">
        <v>145</v>
      </c>
      <c r="D82" s="32" t="s">
        <v>26</v>
      </c>
      <c r="E82" s="32">
        <v>53400</v>
      </c>
      <c r="F82" s="31">
        <v>40021743</v>
      </c>
      <c r="G82" s="31" t="s">
        <v>136</v>
      </c>
      <c r="H82" s="32">
        <v>19</v>
      </c>
      <c r="I82" s="32">
        <v>10</v>
      </c>
      <c r="J82" s="26" t="s">
        <v>28</v>
      </c>
      <c r="K82" s="32">
        <v>4</v>
      </c>
      <c r="L82" s="32" t="s">
        <v>29</v>
      </c>
      <c r="M82" s="13">
        <v>43697</v>
      </c>
      <c r="N82" s="14">
        <v>43717</v>
      </c>
      <c r="O82" s="25" t="s">
        <v>30</v>
      </c>
      <c r="P82" s="3">
        <f>M82+365</f>
        <v>44062</v>
      </c>
      <c r="Q82" s="3">
        <f>P82-60</f>
        <v>44002</v>
      </c>
      <c r="R82" s="3">
        <v>44146</v>
      </c>
      <c r="S82" s="3"/>
      <c r="T82" s="13">
        <f>P82+365</f>
        <v>44427</v>
      </c>
      <c r="U82" s="14">
        <f t="shared" si="15"/>
        <v>44367</v>
      </c>
      <c r="V82" s="48">
        <v>44392</v>
      </c>
      <c r="W82" s="26"/>
      <c r="X82" s="11">
        <f>365+V82</f>
        <v>44757</v>
      </c>
      <c r="Y82" s="3">
        <f t="shared" si="16"/>
        <v>44697</v>
      </c>
      <c r="Z82" s="12"/>
    </row>
    <row r="83" spans="1:26" x14ac:dyDescent="0.3">
      <c r="A83" s="29" t="s">
        <v>31</v>
      </c>
      <c r="B83" s="31" t="s">
        <v>147</v>
      </c>
      <c r="C83" s="32" t="s">
        <v>148</v>
      </c>
      <c r="D83" s="32" t="s">
        <v>26</v>
      </c>
      <c r="E83" s="32">
        <v>180389</v>
      </c>
      <c r="F83" s="31" t="s">
        <v>149</v>
      </c>
      <c r="G83" s="31" t="s">
        <v>53</v>
      </c>
      <c r="H83" s="32">
        <v>9</v>
      </c>
      <c r="I83" s="32">
        <v>25</v>
      </c>
      <c r="J83" s="26" t="s">
        <v>28</v>
      </c>
      <c r="K83" s="32">
        <v>2</v>
      </c>
      <c r="L83" s="32" t="s">
        <v>29</v>
      </c>
      <c r="M83" s="13">
        <v>44208</v>
      </c>
      <c r="N83" s="14">
        <v>44216</v>
      </c>
      <c r="O83" s="25" t="s">
        <v>30</v>
      </c>
      <c r="T83" s="13">
        <f t="shared" ref="T83:T91" si="17">M83+365</f>
        <v>44573</v>
      </c>
      <c r="U83" s="14">
        <f t="shared" si="15"/>
        <v>44513</v>
      </c>
      <c r="V83" s="48">
        <v>44216</v>
      </c>
      <c r="W83" s="26"/>
      <c r="X83" s="11">
        <f>V83+365</f>
        <v>44581</v>
      </c>
      <c r="Y83" s="3">
        <f t="shared" si="16"/>
        <v>44521</v>
      </c>
      <c r="Z83" s="12"/>
    </row>
    <row r="84" spans="1:26" x14ac:dyDescent="0.3">
      <c r="A84" s="45" t="s">
        <v>228</v>
      </c>
      <c r="B84" s="49" t="s">
        <v>147</v>
      </c>
      <c r="C84" s="50" t="s">
        <v>148</v>
      </c>
      <c r="D84" s="50" t="s">
        <v>26</v>
      </c>
      <c r="E84" s="50">
        <v>172994</v>
      </c>
      <c r="F84" s="49" t="s">
        <v>150</v>
      </c>
      <c r="G84" s="49">
        <v>8550</v>
      </c>
      <c r="H84" s="50">
        <v>19</v>
      </c>
      <c r="I84" s="50">
        <v>25</v>
      </c>
      <c r="J84" s="51" t="s">
        <v>28</v>
      </c>
      <c r="K84" s="50">
        <v>2</v>
      </c>
      <c r="L84" s="50" t="s">
        <v>29</v>
      </c>
      <c r="M84" s="39">
        <v>43865</v>
      </c>
      <c r="N84" s="40">
        <v>43886</v>
      </c>
      <c r="O84" s="52" t="s">
        <v>30</v>
      </c>
      <c r="T84" s="39">
        <f t="shared" si="17"/>
        <v>44230</v>
      </c>
      <c r="U84" s="40">
        <f t="shared" si="15"/>
        <v>44170</v>
      </c>
      <c r="V84" s="41">
        <v>44231</v>
      </c>
      <c r="W84" s="40">
        <v>44238</v>
      </c>
      <c r="X84" s="11">
        <f t="shared" ref="X84:X90" si="18">+T84+365</f>
        <v>44595</v>
      </c>
      <c r="Y84" s="3">
        <f t="shared" si="16"/>
        <v>44535</v>
      </c>
      <c r="Z84" s="12"/>
    </row>
    <row r="85" spans="1:26" x14ac:dyDescent="0.3">
      <c r="A85" s="45" t="s">
        <v>228</v>
      </c>
      <c r="B85" s="49" t="s">
        <v>147</v>
      </c>
      <c r="C85" s="50" t="s">
        <v>148</v>
      </c>
      <c r="D85" s="50" t="s">
        <v>26</v>
      </c>
      <c r="E85" s="50">
        <v>176641</v>
      </c>
      <c r="F85" s="49" t="s">
        <v>151</v>
      </c>
      <c r="G85" s="49">
        <v>8550</v>
      </c>
      <c r="H85" s="50">
        <v>19</v>
      </c>
      <c r="I85" s="50">
        <v>25</v>
      </c>
      <c r="J85" s="51" t="s">
        <v>40</v>
      </c>
      <c r="K85" s="50">
        <v>2</v>
      </c>
      <c r="L85" s="50" t="s">
        <v>29</v>
      </c>
      <c r="M85" s="39">
        <v>43865</v>
      </c>
      <c r="N85" s="40">
        <v>43886</v>
      </c>
      <c r="O85" s="52" t="s">
        <v>30</v>
      </c>
      <c r="T85" s="39">
        <f t="shared" si="17"/>
        <v>44230</v>
      </c>
      <c r="U85" s="40">
        <f t="shared" si="15"/>
        <v>44170</v>
      </c>
      <c r="V85" s="41">
        <v>44231</v>
      </c>
      <c r="W85" s="40">
        <v>44238</v>
      </c>
      <c r="X85" s="11">
        <f t="shared" si="18"/>
        <v>44595</v>
      </c>
      <c r="Y85" s="3">
        <f t="shared" si="16"/>
        <v>44535</v>
      </c>
      <c r="Z85" s="12"/>
    </row>
    <row r="86" spans="1:26" x14ac:dyDescent="0.3">
      <c r="A86" s="45" t="s">
        <v>228</v>
      </c>
      <c r="B86" s="49" t="s">
        <v>147</v>
      </c>
      <c r="C86" s="50" t="s">
        <v>148</v>
      </c>
      <c r="D86" s="50" t="s">
        <v>26</v>
      </c>
      <c r="E86" s="50">
        <v>105407</v>
      </c>
      <c r="F86" s="49" t="s">
        <v>152</v>
      </c>
      <c r="G86" s="49">
        <v>8551</v>
      </c>
      <c r="H86" s="50">
        <v>19</v>
      </c>
      <c r="I86" s="50">
        <v>25</v>
      </c>
      <c r="J86" s="51" t="s">
        <v>28</v>
      </c>
      <c r="K86" s="50">
        <v>2</v>
      </c>
      <c r="L86" s="50" t="s">
        <v>29</v>
      </c>
      <c r="M86" s="39">
        <v>43865</v>
      </c>
      <c r="N86" s="40">
        <v>43886</v>
      </c>
      <c r="O86" s="52" t="s">
        <v>30</v>
      </c>
      <c r="T86" s="39">
        <f t="shared" si="17"/>
        <v>44230</v>
      </c>
      <c r="U86" s="40">
        <f t="shared" si="15"/>
        <v>44170</v>
      </c>
      <c r="V86" s="41">
        <v>44231</v>
      </c>
      <c r="W86" s="40">
        <v>44244</v>
      </c>
      <c r="X86" s="11">
        <f t="shared" si="18"/>
        <v>44595</v>
      </c>
      <c r="Y86" s="3">
        <f t="shared" si="16"/>
        <v>44535</v>
      </c>
      <c r="Z86" s="12"/>
    </row>
    <row r="87" spans="1:26" x14ac:dyDescent="0.3">
      <c r="A87" s="45" t="s">
        <v>228</v>
      </c>
      <c r="B87" s="49" t="s">
        <v>147</v>
      </c>
      <c r="C87" s="50" t="s">
        <v>148</v>
      </c>
      <c r="D87" s="50" t="s">
        <v>26</v>
      </c>
      <c r="E87" s="50">
        <v>156361</v>
      </c>
      <c r="F87" s="49" t="s">
        <v>153</v>
      </c>
      <c r="G87" s="49" t="s">
        <v>53</v>
      </c>
      <c r="H87" s="50">
        <v>19</v>
      </c>
      <c r="I87" s="50">
        <v>25</v>
      </c>
      <c r="J87" s="51" t="s">
        <v>28</v>
      </c>
      <c r="K87" s="50">
        <v>2</v>
      </c>
      <c r="L87" s="50" t="s">
        <v>29</v>
      </c>
      <c r="M87" s="39">
        <v>43865</v>
      </c>
      <c r="N87" s="40">
        <v>43888</v>
      </c>
      <c r="O87" s="52" t="s">
        <v>30</v>
      </c>
      <c r="T87" s="39">
        <f t="shared" si="17"/>
        <v>44230</v>
      </c>
      <c r="U87" s="40">
        <f t="shared" si="15"/>
        <v>44170</v>
      </c>
      <c r="V87" s="41">
        <v>44237</v>
      </c>
      <c r="W87" s="40">
        <v>44244</v>
      </c>
      <c r="X87" s="11">
        <f t="shared" si="18"/>
        <v>44595</v>
      </c>
      <c r="Y87" s="3">
        <f t="shared" si="16"/>
        <v>44535</v>
      </c>
      <c r="Z87" s="12"/>
    </row>
    <row r="88" spans="1:26" ht="14.25" customHeight="1" x14ac:dyDescent="0.3">
      <c r="A88" s="45" t="s">
        <v>228</v>
      </c>
      <c r="B88" s="49" t="s">
        <v>147</v>
      </c>
      <c r="C88" s="50" t="s">
        <v>148</v>
      </c>
      <c r="D88" s="50" t="s">
        <v>26</v>
      </c>
      <c r="E88" s="50">
        <v>111200</v>
      </c>
      <c r="F88" s="49" t="s">
        <v>154</v>
      </c>
      <c r="G88" s="49">
        <v>880</v>
      </c>
      <c r="H88" s="50">
        <v>19</v>
      </c>
      <c r="I88" s="50">
        <v>15</v>
      </c>
      <c r="J88" s="51" t="s">
        <v>28</v>
      </c>
      <c r="K88" s="50">
        <v>2</v>
      </c>
      <c r="L88" s="50" t="s">
        <v>29</v>
      </c>
      <c r="M88" s="39">
        <v>43865</v>
      </c>
      <c r="N88" s="40">
        <v>43888</v>
      </c>
      <c r="O88" s="52" t="s">
        <v>30</v>
      </c>
      <c r="T88" s="39">
        <f t="shared" si="17"/>
        <v>44230</v>
      </c>
      <c r="U88" s="40">
        <f t="shared" si="15"/>
        <v>44170</v>
      </c>
      <c r="V88" s="41">
        <v>44231</v>
      </c>
      <c r="W88" s="40">
        <v>44238</v>
      </c>
      <c r="X88" s="11">
        <f t="shared" si="18"/>
        <v>44595</v>
      </c>
      <c r="Y88" s="3">
        <f t="shared" si="16"/>
        <v>44535</v>
      </c>
      <c r="Z88" s="12"/>
    </row>
    <row r="89" spans="1:26" ht="14.25" customHeight="1" x14ac:dyDescent="0.3">
      <c r="A89" s="45" t="s">
        <v>228</v>
      </c>
      <c r="B89" s="49" t="s">
        <v>147</v>
      </c>
      <c r="C89" s="50" t="s">
        <v>148</v>
      </c>
      <c r="D89" s="50" t="s">
        <v>26</v>
      </c>
      <c r="E89" s="50">
        <v>176644</v>
      </c>
      <c r="F89" s="49" t="s">
        <v>155</v>
      </c>
      <c r="G89" s="49">
        <v>8551</v>
      </c>
      <c r="H89" s="50">
        <v>9</v>
      </c>
      <c r="I89" s="50">
        <v>25</v>
      </c>
      <c r="J89" s="51" t="s">
        <v>28</v>
      </c>
      <c r="K89" s="50">
        <v>2</v>
      </c>
      <c r="L89" s="50" t="s">
        <v>29</v>
      </c>
      <c r="M89" s="39">
        <v>43865</v>
      </c>
      <c r="N89" s="40">
        <v>43886</v>
      </c>
      <c r="O89" s="52" t="s">
        <v>30</v>
      </c>
      <c r="T89" s="39">
        <f t="shared" si="17"/>
        <v>44230</v>
      </c>
      <c r="U89" s="40">
        <f t="shared" si="15"/>
        <v>44170</v>
      </c>
      <c r="V89" s="41">
        <v>44237</v>
      </c>
      <c r="W89" s="40">
        <v>44244</v>
      </c>
      <c r="X89" s="11">
        <f t="shared" si="18"/>
        <v>44595</v>
      </c>
      <c r="Y89" s="3">
        <f t="shared" si="16"/>
        <v>44535</v>
      </c>
      <c r="Z89" s="12"/>
    </row>
    <row r="90" spans="1:26" ht="14.25" customHeight="1" x14ac:dyDescent="0.3">
      <c r="A90" s="45" t="s">
        <v>228</v>
      </c>
      <c r="B90" s="49" t="s">
        <v>147</v>
      </c>
      <c r="C90" s="50" t="s">
        <v>148</v>
      </c>
      <c r="D90" s="50" t="s">
        <v>26</v>
      </c>
      <c r="E90" s="50">
        <v>89570</v>
      </c>
      <c r="F90" s="49" t="s">
        <v>156</v>
      </c>
      <c r="G90" s="49">
        <v>8550</v>
      </c>
      <c r="H90" s="50">
        <v>9</v>
      </c>
      <c r="I90" s="50">
        <v>25</v>
      </c>
      <c r="J90" s="51" t="s">
        <v>40</v>
      </c>
      <c r="K90" s="50">
        <v>2</v>
      </c>
      <c r="L90" s="50" t="s">
        <v>29</v>
      </c>
      <c r="M90" s="39">
        <v>43865</v>
      </c>
      <c r="N90" s="40">
        <v>43886</v>
      </c>
      <c r="O90" s="52" t="s">
        <v>30</v>
      </c>
      <c r="T90" s="39">
        <f t="shared" si="17"/>
        <v>44230</v>
      </c>
      <c r="U90" s="40">
        <f t="shared" si="15"/>
        <v>44170</v>
      </c>
      <c r="V90" s="41">
        <v>44231</v>
      </c>
      <c r="W90" s="40">
        <v>44238</v>
      </c>
      <c r="X90" s="11">
        <f t="shared" si="18"/>
        <v>44595</v>
      </c>
      <c r="Y90" s="3">
        <f t="shared" si="16"/>
        <v>44535</v>
      </c>
      <c r="Z90" s="12"/>
    </row>
    <row r="91" spans="1:26" ht="14.5" thickBot="1" x14ac:dyDescent="0.35">
      <c r="A91" s="46" t="s">
        <v>228</v>
      </c>
      <c r="B91" s="65" t="s">
        <v>160</v>
      </c>
      <c r="C91" s="66" t="s">
        <v>161</v>
      </c>
      <c r="D91" s="66" t="s">
        <v>26</v>
      </c>
      <c r="E91" s="66">
        <v>176646</v>
      </c>
      <c r="F91" s="65" t="s">
        <v>162</v>
      </c>
      <c r="G91" s="65" t="s">
        <v>163</v>
      </c>
      <c r="H91" s="66">
        <v>25</v>
      </c>
      <c r="I91" s="66">
        <v>25</v>
      </c>
      <c r="J91" s="47" t="s">
        <v>28</v>
      </c>
      <c r="K91" s="66">
        <v>2</v>
      </c>
      <c r="L91" s="66" t="s">
        <v>29</v>
      </c>
      <c r="M91" s="42">
        <v>43892</v>
      </c>
      <c r="N91" s="43">
        <v>43892</v>
      </c>
      <c r="O91" s="72" t="s">
        <v>30</v>
      </c>
      <c r="P91" s="47"/>
      <c r="Q91" s="47"/>
      <c r="R91" s="47"/>
      <c r="S91" s="47"/>
      <c r="T91" s="42">
        <f t="shared" si="17"/>
        <v>44257</v>
      </c>
      <c r="U91" s="43">
        <f t="shared" si="15"/>
        <v>44197</v>
      </c>
      <c r="V91" s="44">
        <v>44237</v>
      </c>
      <c r="W91" s="43">
        <v>44243</v>
      </c>
      <c r="X91" s="18">
        <f>365+V91</f>
        <v>44602</v>
      </c>
      <c r="Y91" s="80">
        <f t="shared" si="16"/>
        <v>44542</v>
      </c>
      <c r="Z91" s="20"/>
    </row>
    <row r="92" spans="1:26" ht="14.5" thickBot="1" x14ac:dyDescent="0.35">
      <c r="A92" s="46" t="s">
        <v>228</v>
      </c>
      <c r="B92" s="49" t="s">
        <v>100</v>
      </c>
      <c r="C92" s="50" t="s">
        <v>101</v>
      </c>
      <c r="D92" s="50" t="s">
        <v>35</v>
      </c>
      <c r="E92" s="50">
        <v>177256</v>
      </c>
      <c r="F92" s="49" t="s">
        <v>102</v>
      </c>
      <c r="G92" s="49">
        <v>8302</v>
      </c>
      <c r="H92" s="50">
        <v>38</v>
      </c>
      <c r="I92" s="50">
        <v>50</v>
      </c>
      <c r="J92" s="51" t="s">
        <v>28</v>
      </c>
      <c r="K92" s="50">
        <v>2</v>
      </c>
      <c r="L92" s="50" t="s">
        <v>29</v>
      </c>
      <c r="M92" s="40">
        <v>44333</v>
      </c>
      <c r="N92" s="51"/>
      <c r="O92" s="50" t="s">
        <v>30</v>
      </c>
      <c r="P92" s="26"/>
      <c r="Q92" s="26"/>
      <c r="R92" s="26"/>
      <c r="S92" s="26"/>
      <c r="T92" s="51"/>
      <c r="U92" s="51"/>
      <c r="V92" s="51"/>
      <c r="W92" s="40">
        <v>44530</v>
      </c>
      <c r="X92" s="3">
        <f>M92+365</f>
        <v>44698</v>
      </c>
      <c r="Y92" s="3">
        <f t="shared" si="16"/>
        <v>44638</v>
      </c>
    </row>
    <row r="93" spans="1:26" x14ac:dyDescent="0.3">
      <c r="A93" s="51" t="s">
        <v>228</v>
      </c>
      <c r="B93" s="49" t="s">
        <v>243</v>
      </c>
      <c r="C93" s="50" t="s">
        <v>244</v>
      </c>
      <c r="D93" s="50" t="s">
        <v>35</v>
      </c>
      <c r="E93" s="50">
        <v>34005</v>
      </c>
      <c r="F93" s="49" t="s">
        <v>166</v>
      </c>
      <c r="G93" s="49">
        <v>8560</v>
      </c>
      <c r="H93" s="50">
        <v>9</v>
      </c>
      <c r="I93" s="50">
        <v>50</v>
      </c>
      <c r="J93" s="51" t="s">
        <v>28</v>
      </c>
      <c r="K93" s="50">
        <v>2</v>
      </c>
      <c r="L93" s="50" t="s">
        <v>29</v>
      </c>
      <c r="M93" s="67">
        <v>44306</v>
      </c>
      <c r="N93" s="51"/>
      <c r="O93" s="50" t="s">
        <v>30</v>
      </c>
      <c r="P93" s="51"/>
      <c r="Q93" s="51"/>
      <c r="R93" s="51"/>
      <c r="S93" s="51"/>
      <c r="T93" s="51"/>
      <c r="U93" s="51"/>
      <c r="V93" s="51"/>
      <c r="W93" s="40">
        <v>44392</v>
      </c>
      <c r="X93" s="3">
        <f>M93+365</f>
        <v>44671</v>
      </c>
      <c r="Y93" s="3">
        <f t="shared" si="16"/>
        <v>44611</v>
      </c>
    </row>
    <row r="94" spans="1:26" x14ac:dyDescent="0.3">
      <c r="A94" s="26" t="s">
        <v>31</v>
      </c>
      <c r="B94" s="31" t="s">
        <v>243</v>
      </c>
      <c r="C94" s="32" t="s">
        <v>244</v>
      </c>
      <c r="D94" s="32" t="s">
        <v>35</v>
      </c>
      <c r="E94" s="32">
        <v>164193</v>
      </c>
      <c r="F94" s="31" t="s">
        <v>167</v>
      </c>
      <c r="G94" s="31" t="s">
        <v>72</v>
      </c>
      <c r="H94" s="32">
        <v>32</v>
      </c>
      <c r="I94" s="32">
        <v>15</v>
      </c>
      <c r="J94" s="26" t="s">
        <v>28</v>
      </c>
      <c r="K94" s="32">
        <v>2</v>
      </c>
      <c r="L94" s="32" t="s">
        <v>29</v>
      </c>
      <c r="M94" s="56">
        <v>44364</v>
      </c>
      <c r="N94" s="26"/>
      <c r="O94" s="32" t="s">
        <v>30</v>
      </c>
      <c r="P94" s="26"/>
      <c r="Q94" s="26"/>
      <c r="R94" s="26"/>
      <c r="S94" s="26"/>
      <c r="T94" s="26"/>
      <c r="U94" s="26"/>
      <c r="V94" s="26"/>
      <c r="W94" s="26"/>
      <c r="X94" s="3">
        <f>M94+365</f>
        <v>44729</v>
      </c>
      <c r="Y94" s="3">
        <f t="shared" si="16"/>
        <v>44669</v>
      </c>
    </row>
    <row r="95" spans="1:26" x14ac:dyDescent="0.3">
      <c r="A95" s="26" t="s">
        <v>31</v>
      </c>
      <c r="B95" s="31" t="s">
        <v>243</v>
      </c>
      <c r="C95" s="32" t="s">
        <v>245</v>
      </c>
      <c r="D95" s="32" t="s">
        <v>35</v>
      </c>
      <c r="E95" s="32">
        <v>174352</v>
      </c>
      <c r="F95" s="31" t="s">
        <v>168</v>
      </c>
      <c r="G95" s="31" t="s">
        <v>72</v>
      </c>
      <c r="H95" s="32">
        <v>19</v>
      </c>
      <c r="I95" s="32">
        <v>15</v>
      </c>
      <c r="J95" s="26" t="s">
        <v>28</v>
      </c>
      <c r="K95" s="32">
        <v>2</v>
      </c>
      <c r="L95" s="32" t="s">
        <v>29</v>
      </c>
      <c r="M95" s="14">
        <v>44410</v>
      </c>
      <c r="N95" s="26"/>
      <c r="O95" s="32" t="s">
        <v>30</v>
      </c>
      <c r="P95" s="26"/>
      <c r="Q95" s="26"/>
      <c r="R95" s="26"/>
      <c r="S95" s="26"/>
      <c r="T95" s="26"/>
      <c r="U95" s="26"/>
      <c r="V95" s="14"/>
      <c r="W95" s="26"/>
      <c r="X95" s="3">
        <f>M95+365</f>
        <v>44775</v>
      </c>
      <c r="Y95" s="3">
        <f t="shared" si="16"/>
        <v>44715</v>
      </c>
    </row>
    <row r="96" spans="1:26" x14ac:dyDescent="0.3">
      <c r="A96" s="26" t="s">
        <v>31</v>
      </c>
      <c r="B96" s="31" t="s">
        <v>243</v>
      </c>
      <c r="C96" s="32" t="s">
        <v>245</v>
      </c>
      <c r="D96" s="32" t="s">
        <v>35</v>
      </c>
      <c r="E96" s="32">
        <v>157238</v>
      </c>
      <c r="F96" s="31" t="s">
        <v>169</v>
      </c>
      <c r="G96" s="31" t="s">
        <v>27</v>
      </c>
      <c r="H96" s="32">
        <v>9</v>
      </c>
      <c r="I96" s="32">
        <v>25</v>
      </c>
      <c r="J96" s="26" t="s">
        <v>28</v>
      </c>
      <c r="K96" s="32">
        <v>2</v>
      </c>
      <c r="L96" s="32" t="s">
        <v>29</v>
      </c>
      <c r="M96" s="14">
        <v>44410</v>
      </c>
      <c r="N96" s="26"/>
      <c r="O96" s="32" t="s">
        <v>30</v>
      </c>
      <c r="P96" s="26"/>
      <c r="Q96" s="26"/>
      <c r="R96" s="26"/>
      <c r="S96" s="26"/>
      <c r="T96" s="26"/>
      <c r="U96" s="26"/>
      <c r="V96" s="14"/>
      <c r="W96" s="26"/>
      <c r="X96" s="3">
        <f>M96+365</f>
        <v>44775</v>
      </c>
      <c r="Y96" s="3">
        <f t="shared" si="16"/>
        <v>44715</v>
      </c>
    </row>
    <row r="97" spans="1:25" x14ac:dyDescent="0.3">
      <c r="A97" s="26" t="s">
        <v>31</v>
      </c>
      <c r="B97" s="31" t="s">
        <v>33</v>
      </c>
      <c r="C97" s="32" t="s">
        <v>34</v>
      </c>
      <c r="D97" s="32" t="s">
        <v>35</v>
      </c>
      <c r="E97" s="32">
        <v>172993</v>
      </c>
      <c r="F97" s="31">
        <v>505035147</v>
      </c>
      <c r="G97" s="31">
        <v>8550</v>
      </c>
      <c r="H97" s="32">
        <v>9</v>
      </c>
      <c r="I97" s="32">
        <v>25</v>
      </c>
      <c r="J97" s="26" t="s">
        <v>28</v>
      </c>
      <c r="K97" s="32">
        <v>4</v>
      </c>
      <c r="L97" s="32" t="s">
        <v>29</v>
      </c>
      <c r="M97" s="14">
        <v>44382</v>
      </c>
      <c r="N97" s="26"/>
      <c r="O97" s="32" t="s">
        <v>30</v>
      </c>
      <c r="P97" s="26"/>
      <c r="Q97" s="26"/>
      <c r="R97" s="26"/>
      <c r="S97" s="26"/>
      <c r="T97" s="26"/>
      <c r="U97" s="26"/>
      <c r="V97" s="26"/>
      <c r="W97" s="14"/>
      <c r="X97" s="3">
        <f>365+M97</f>
        <v>44747</v>
      </c>
      <c r="Y97" s="3">
        <f>X97-60</f>
        <v>44687</v>
      </c>
    </row>
    <row r="98" spans="1:25" x14ac:dyDescent="0.3">
      <c r="A98" s="26" t="s">
        <v>31</v>
      </c>
      <c r="B98" s="31" t="s">
        <v>33</v>
      </c>
      <c r="C98" s="32" t="s">
        <v>34</v>
      </c>
      <c r="D98" s="32" t="s">
        <v>35</v>
      </c>
      <c r="E98" s="32">
        <v>177127</v>
      </c>
      <c r="F98" s="31">
        <v>505035825</v>
      </c>
      <c r="G98" s="31">
        <v>8550</v>
      </c>
      <c r="H98" s="32">
        <v>9</v>
      </c>
      <c r="I98" s="32">
        <v>25</v>
      </c>
      <c r="J98" s="26" t="s">
        <v>37</v>
      </c>
      <c r="K98" s="32">
        <v>4</v>
      </c>
      <c r="L98" s="32" t="s">
        <v>29</v>
      </c>
      <c r="M98" s="14">
        <v>44370</v>
      </c>
      <c r="N98" s="26"/>
      <c r="O98" s="32" t="s">
        <v>30</v>
      </c>
      <c r="P98" s="26"/>
      <c r="Q98" s="26"/>
      <c r="R98" s="26"/>
      <c r="S98" s="26"/>
      <c r="T98" s="26"/>
      <c r="U98" s="26"/>
      <c r="V98" s="26"/>
      <c r="W98" s="26"/>
      <c r="X98" s="3">
        <f>M98+365</f>
        <v>44735</v>
      </c>
      <c r="Y98" s="3">
        <f t="shared" ref="Y98:Y103" si="19">X98-60</f>
        <v>44675</v>
      </c>
    </row>
    <row r="99" spans="1:25" x14ac:dyDescent="0.3">
      <c r="A99" s="62" t="s">
        <v>31</v>
      </c>
      <c r="B99" s="31" t="s">
        <v>80</v>
      </c>
      <c r="C99" s="32" t="s">
        <v>87</v>
      </c>
      <c r="D99" s="32" t="s">
        <v>26</v>
      </c>
      <c r="E99" s="32">
        <v>205138</v>
      </c>
      <c r="F99" s="31">
        <v>71076600</v>
      </c>
      <c r="G99" s="31" t="s">
        <v>116</v>
      </c>
      <c r="H99" s="32">
        <v>19</v>
      </c>
      <c r="I99" s="32">
        <v>25</v>
      </c>
      <c r="J99" s="26" t="s">
        <v>46</v>
      </c>
      <c r="K99" s="32">
        <v>4</v>
      </c>
      <c r="L99" s="32" t="s">
        <v>29</v>
      </c>
      <c r="M99" s="14">
        <v>44370</v>
      </c>
      <c r="N99" s="26"/>
      <c r="O99" s="32" t="s">
        <v>30</v>
      </c>
      <c r="T99" s="26"/>
      <c r="U99" s="26"/>
      <c r="V99" s="26"/>
      <c r="W99" s="14"/>
      <c r="X99" s="3">
        <f>M99+365</f>
        <v>44735</v>
      </c>
      <c r="Y99" s="3">
        <f t="shared" si="19"/>
        <v>44675</v>
      </c>
    </row>
    <row r="100" spans="1:25" x14ac:dyDescent="0.3">
      <c r="A100" s="62" t="s">
        <v>31</v>
      </c>
      <c r="B100" s="31" t="s">
        <v>139</v>
      </c>
      <c r="C100" s="32" t="s">
        <v>140</v>
      </c>
      <c r="D100" s="32" t="s">
        <v>35</v>
      </c>
      <c r="E100" s="32">
        <v>154505</v>
      </c>
      <c r="F100" s="31" t="s">
        <v>143</v>
      </c>
      <c r="G100" s="31" t="s">
        <v>43</v>
      </c>
      <c r="H100" s="32">
        <v>19</v>
      </c>
      <c r="I100" s="32">
        <v>25</v>
      </c>
      <c r="J100" s="26" t="s">
        <v>28</v>
      </c>
      <c r="K100" s="32">
        <v>2</v>
      </c>
      <c r="L100" s="32" t="s">
        <v>29</v>
      </c>
      <c r="M100" s="14">
        <v>44405</v>
      </c>
      <c r="N100" s="26"/>
      <c r="O100" s="32" t="s">
        <v>30</v>
      </c>
      <c r="T100" s="26"/>
      <c r="U100" s="26"/>
      <c r="V100" s="26"/>
      <c r="W100" s="26"/>
      <c r="X100" s="3">
        <f>365+M100</f>
        <v>44770</v>
      </c>
      <c r="Y100" s="3">
        <f t="shared" si="19"/>
        <v>44710</v>
      </c>
    </row>
    <row r="101" spans="1:25" x14ac:dyDescent="0.3">
      <c r="A101" s="64" t="s">
        <v>228</v>
      </c>
      <c r="B101" s="49" t="s">
        <v>80</v>
      </c>
      <c r="C101" s="50" t="s">
        <v>87</v>
      </c>
      <c r="D101" s="50" t="s">
        <v>26</v>
      </c>
      <c r="E101" s="50">
        <v>176660</v>
      </c>
      <c r="F101" s="49" t="s">
        <v>117</v>
      </c>
      <c r="G101" s="49">
        <v>317</v>
      </c>
      <c r="H101" s="50">
        <v>19</v>
      </c>
      <c r="I101" s="50">
        <v>33</v>
      </c>
      <c r="J101" s="51" t="s">
        <v>28</v>
      </c>
      <c r="K101" s="50">
        <v>4</v>
      </c>
      <c r="L101" s="50" t="s">
        <v>29</v>
      </c>
      <c r="M101" s="40">
        <v>44410</v>
      </c>
      <c r="N101" s="40">
        <v>44420</v>
      </c>
      <c r="O101" s="50" t="s">
        <v>30</v>
      </c>
      <c r="T101" s="51"/>
      <c r="U101" s="51"/>
      <c r="V101" s="51"/>
      <c r="W101" s="40"/>
      <c r="X101" s="3">
        <f>365+M101</f>
        <v>44775</v>
      </c>
      <c r="Y101" s="3">
        <f t="shared" si="19"/>
        <v>44715</v>
      </c>
    </row>
    <row r="102" spans="1:25" x14ac:dyDescent="0.3">
      <c r="A102" s="64" t="s">
        <v>228</v>
      </c>
      <c r="B102" s="49" t="s">
        <v>80</v>
      </c>
      <c r="C102" s="50" t="s">
        <v>87</v>
      </c>
      <c r="D102" s="50" t="s">
        <v>26</v>
      </c>
      <c r="E102" s="50">
        <v>172178</v>
      </c>
      <c r="F102" s="49" t="s">
        <v>118</v>
      </c>
      <c r="G102" s="49">
        <v>880</v>
      </c>
      <c r="H102" s="50">
        <v>19</v>
      </c>
      <c r="I102" s="50">
        <v>5</v>
      </c>
      <c r="J102" s="51" t="s">
        <v>28</v>
      </c>
      <c r="K102" s="50">
        <v>4</v>
      </c>
      <c r="L102" s="50" t="s">
        <v>29</v>
      </c>
      <c r="M102" s="40">
        <v>44410</v>
      </c>
      <c r="N102" s="40">
        <v>44420</v>
      </c>
      <c r="O102" s="50" t="s">
        <v>30</v>
      </c>
      <c r="T102" s="51"/>
      <c r="U102" s="51"/>
      <c r="V102" s="51"/>
      <c r="W102" s="51"/>
      <c r="X102" s="3">
        <f>365+M102</f>
        <v>44775</v>
      </c>
      <c r="Y102" s="3">
        <f t="shared" si="19"/>
        <v>44715</v>
      </c>
    </row>
    <row r="103" spans="1:25" x14ac:dyDescent="0.3">
      <c r="A103" s="64" t="s">
        <v>228</v>
      </c>
      <c r="B103" s="49" t="s">
        <v>80</v>
      </c>
      <c r="C103" s="50" t="s">
        <v>87</v>
      </c>
      <c r="D103" s="50" t="s">
        <v>26</v>
      </c>
      <c r="E103" s="50">
        <v>156030</v>
      </c>
      <c r="F103" s="49" t="s">
        <v>119</v>
      </c>
      <c r="G103" s="49" t="s">
        <v>58</v>
      </c>
      <c r="H103" s="50">
        <v>19</v>
      </c>
      <c r="I103" s="50">
        <v>25</v>
      </c>
      <c r="J103" s="51" t="s">
        <v>28</v>
      </c>
      <c r="K103" s="50">
        <v>4</v>
      </c>
      <c r="L103" s="50" t="s">
        <v>29</v>
      </c>
      <c r="M103" s="40">
        <v>44410</v>
      </c>
      <c r="N103" s="40">
        <v>44420</v>
      </c>
      <c r="O103" s="50" t="s">
        <v>30</v>
      </c>
      <c r="T103" s="51"/>
      <c r="U103" s="51"/>
      <c r="V103" s="51"/>
      <c r="W103" s="40"/>
      <c r="X103" s="3">
        <f>365+M103</f>
        <v>44775</v>
      </c>
      <c r="Y103" s="3">
        <f t="shared" si="19"/>
        <v>44715</v>
      </c>
    </row>
    <row r="104" spans="1:25" x14ac:dyDescent="0.3">
      <c r="A104" s="62" t="s">
        <v>31</v>
      </c>
      <c r="B104" s="31" t="s">
        <v>239</v>
      </c>
      <c r="C104" s="32" t="s">
        <v>131</v>
      </c>
      <c r="D104" s="32" t="s">
        <v>35</v>
      </c>
      <c r="E104" s="32">
        <v>191015</v>
      </c>
      <c r="F104" s="31" t="s">
        <v>132</v>
      </c>
      <c r="G104" s="26" t="s">
        <v>83</v>
      </c>
      <c r="H104" s="32">
        <v>19</v>
      </c>
      <c r="I104" s="32">
        <v>33</v>
      </c>
      <c r="J104" s="26" t="s">
        <v>41</v>
      </c>
      <c r="K104" s="32">
        <v>2</v>
      </c>
      <c r="L104" s="32" t="s">
        <v>29</v>
      </c>
      <c r="M104" s="14">
        <v>44411</v>
      </c>
      <c r="N104" s="26"/>
      <c r="O104" s="32" t="s">
        <v>30</v>
      </c>
      <c r="T104" s="26"/>
      <c r="U104" s="26"/>
      <c r="V104" s="26"/>
      <c r="W104" s="26"/>
      <c r="X104" s="3">
        <f>M104+365</f>
        <v>44776</v>
      </c>
      <c r="Y104" s="3">
        <f>X104-60</f>
        <v>44716</v>
      </c>
    </row>
    <row r="105" spans="1:25" x14ac:dyDescent="0.3">
      <c r="A105" s="62" t="s">
        <v>31</v>
      </c>
      <c r="B105" s="31" t="s">
        <v>80</v>
      </c>
      <c r="C105" s="32" t="s">
        <v>87</v>
      </c>
      <c r="D105" s="32" t="s">
        <v>26</v>
      </c>
      <c r="E105" s="32">
        <v>222524</v>
      </c>
      <c r="F105" s="31" t="s">
        <v>120</v>
      </c>
      <c r="G105" s="26" t="s">
        <v>121</v>
      </c>
      <c r="H105" s="32">
        <v>19</v>
      </c>
      <c r="I105" s="32">
        <v>1.6E-2</v>
      </c>
      <c r="J105" s="26"/>
      <c r="K105" s="32">
        <v>4</v>
      </c>
      <c r="L105" s="32" t="s">
        <v>29</v>
      </c>
      <c r="M105" s="14">
        <v>44397</v>
      </c>
      <c r="N105" s="26"/>
      <c r="O105" s="32" t="s">
        <v>30</v>
      </c>
      <c r="T105" s="26"/>
      <c r="U105" s="26"/>
      <c r="V105" s="26"/>
      <c r="W105" s="26"/>
      <c r="X105" s="3">
        <f>365+M105</f>
        <v>44762</v>
      </c>
      <c r="Y105" s="3">
        <f>X105-60</f>
        <v>44702</v>
      </c>
    </row>
    <row r="106" spans="1:25" x14ac:dyDescent="0.3">
      <c r="A106" s="62" t="s">
        <v>31</v>
      </c>
      <c r="B106" s="31" t="s">
        <v>80</v>
      </c>
      <c r="C106" s="32" t="s">
        <v>87</v>
      </c>
      <c r="D106" s="32" t="s">
        <v>26</v>
      </c>
      <c r="E106" s="32">
        <v>156361</v>
      </c>
      <c r="F106" s="31">
        <v>70995700</v>
      </c>
      <c r="G106" s="26" t="s">
        <v>53</v>
      </c>
      <c r="H106" s="32">
        <v>19</v>
      </c>
      <c r="I106" s="32">
        <v>25</v>
      </c>
      <c r="J106" s="26" t="s">
        <v>28</v>
      </c>
      <c r="K106" s="32">
        <v>4</v>
      </c>
      <c r="L106" s="32" t="s">
        <v>29</v>
      </c>
      <c r="M106" s="14">
        <v>44427</v>
      </c>
      <c r="N106" s="26"/>
      <c r="O106" s="32" t="s">
        <v>30</v>
      </c>
      <c r="P106" s="26"/>
      <c r="Q106" s="26"/>
      <c r="R106" s="26"/>
      <c r="S106" s="26"/>
      <c r="T106" s="26"/>
      <c r="U106" s="26"/>
      <c r="V106" s="26"/>
      <c r="W106" s="26"/>
      <c r="X106" s="3">
        <f>365+M106</f>
        <v>44792</v>
      </c>
      <c r="Y106" s="3">
        <f>X106-60</f>
        <v>44732</v>
      </c>
    </row>
    <row r="107" spans="1:25" x14ac:dyDescent="0.3">
      <c r="A107" s="62" t="s">
        <v>31</v>
      </c>
      <c r="B107" s="31" t="s">
        <v>170</v>
      </c>
      <c r="C107" s="32" t="s">
        <v>171</v>
      </c>
      <c r="D107" s="32" t="s">
        <v>35</v>
      </c>
      <c r="E107" s="32">
        <v>223488</v>
      </c>
      <c r="F107" s="31" t="s">
        <v>172</v>
      </c>
      <c r="G107" s="26" t="s">
        <v>173</v>
      </c>
      <c r="H107" s="32">
        <v>13.5</v>
      </c>
      <c r="I107" s="32">
        <v>25.8</v>
      </c>
      <c r="J107" s="26" t="s">
        <v>174</v>
      </c>
      <c r="K107" s="32">
        <v>2</v>
      </c>
      <c r="L107" s="32" t="s">
        <v>29</v>
      </c>
      <c r="M107" s="14">
        <v>44411</v>
      </c>
      <c r="N107" s="26"/>
      <c r="O107" s="32" t="s">
        <v>30</v>
      </c>
      <c r="P107" s="26"/>
      <c r="Q107" s="26"/>
      <c r="R107" s="26"/>
      <c r="S107" s="26"/>
      <c r="T107" s="26"/>
      <c r="U107" s="26"/>
      <c r="V107" s="26"/>
      <c r="W107" s="14"/>
      <c r="X107" s="3">
        <f>M107+365</f>
        <v>44776</v>
      </c>
      <c r="Y107" s="3">
        <f>X107-60</f>
        <v>44716</v>
      </c>
    </row>
    <row r="108" spans="1:25" x14ac:dyDescent="0.3">
      <c r="A108" s="62" t="s">
        <v>31</v>
      </c>
      <c r="B108" s="31" t="s">
        <v>175</v>
      </c>
      <c r="C108" s="32" t="s">
        <v>176</v>
      </c>
      <c r="D108" s="32" t="s">
        <v>35</v>
      </c>
      <c r="E108" s="32">
        <v>133831</v>
      </c>
      <c r="F108" s="31">
        <v>1350034</v>
      </c>
      <c r="G108" s="26" t="s">
        <v>177</v>
      </c>
      <c r="H108" s="32">
        <v>19</v>
      </c>
      <c r="I108" s="32">
        <v>66</v>
      </c>
      <c r="J108" s="26" t="s">
        <v>28</v>
      </c>
      <c r="K108" s="32">
        <v>2</v>
      </c>
      <c r="L108" s="32" t="s">
        <v>29</v>
      </c>
      <c r="M108" s="14">
        <v>44432</v>
      </c>
      <c r="N108" s="26"/>
      <c r="O108" s="32" t="s">
        <v>30</v>
      </c>
      <c r="P108" s="26"/>
      <c r="Q108" s="26"/>
      <c r="R108" s="26"/>
      <c r="S108" s="26"/>
      <c r="T108" s="26"/>
      <c r="U108" s="26"/>
      <c r="V108" s="26"/>
      <c r="W108" s="26"/>
      <c r="X108" s="3">
        <f>365+M108</f>
        <v>44797</v>
      </c>
      <c r="Y108" s="3">
        <f>X108-60</f>
        <v>44737</v>
      </c>
    </row>
    <row r="109" spans="1:25" x14ac:dyDescent="0.3">
      <c r="A109" s="26" t="s">
        <v>238</v>
      </c>
      <c r="B109" s="31" t="s">
        <v>80</v>
      </c>
      <c r="C109" s="32" t="s">
        <v>87</v>
      </c>
      <c r="D109" s="32" t="s">
        <v>26</v>
      </c>
      <c r="E109" s="32">
        <v>154505</v>
      </c>
      <c r="F109" s="31" t="s">
        <v>122</v>
      </c>
      <c r="G109" s="26" t="s">
        <v>43</v>
      </c>
      <c r="H109" s="32">
        <v>19</v>
      </c>
      <c r="I109" s="32">
        <v>25</v>
      </c>
      <c r="J109" s="26" t="s">
        <v>28</v>
      </c>
      <c r="K109" s="32">
        <v>4</v>
      </c>
      <c r="L109" s="32" t="s">
        <v>29</v>
      </c>
      <c r="M109" s="26"/>
      <c r="N109" s="26"/>
      <c r="O109" s="32"/>
      <c r="P109" s="26"/>
      <c r="Q109" s="26"/>
      <c r="R109" s="26"/>
      <c r="S109" s="26"/>
      <c r="T109" s="26"/>
      <c r="U109" s="26"/>
      <c r="V109" s="26"/>
      <c r="W109" s="26"/>
    </row>
    <row r="110" spans="1:25" x14ac:dyDescent="0.3">
      <c r="A110" s="62" t="s">
        <v>31</v>
      </c>
      <c r="B110" s="31" t="s">
        <v>38</v>
      </c>
      <c r="C110" s="32" t="s">
        <v>246</v>
      </c>
      <c r="D110" s="32" t="s">
        <v>35</v>
      </c>
      <c r="E110" s="32">
        <v>154505</v>
      </c>
      <c r="F110" s="31">
        <v>49997</v>
      </c>
      <c r="G110" s="26" t="s">
        <v>43</v>
      </c>
      <c r="H110" s="32">
        <v>19</v>
      </c>
      <c r="I110" s="32">
        <v>25</v>
      </c>
      <c r="J110" s="26" t="s">
        <v>28</v>
      </c>
      <c r="K110" s="32">
        <v>2</v>
      </c>
      <c r="L110" s="32" t="s">
        <v>29</v>
      </c>
      <c r="M110" s="14">
        <v>44522</v>
      </c>
      <c r="N110" s="26"/>
      <c r="O110" s="32" t="s">
        <v>30</v>
      </c>
      <c r="P110" s="26"/>
      <c r="Q110" s="26"/>
      <c r="R110" s="26"/>
      <c r="S110" s="26"/>
      <c r="T110" s="26"/>
      <c r="U110" s="26"/>
      <c r="V110" s="26"/>
      <c r="W110" s="26"/>
      <c r="X110" s="3">
        <f>365+M110</f>
        <v>44887</v>
      </c>
      <c r="Y110" s="3">
        <f>X110-60</f>
        <v>44827</v>
      </c>
    </row>
    <row r="111" spans="1:25" x14ac:dyDescent="0.3">
      <c r="A111" s="62" t="s">
        <v>31</v>
      </c>
      <c r="B111" s="31" t="s">
        <v>38</v>
      </c>
      <c r="C111" s="32" t="s">
        <v>246</v>
      </c>
      <c r="D111" s="32" t="s">
        <v>35</v>
      </c>
      <c r="E111" s="32">
        <v>53401</v>
      </c>
      <c r="F111" s="31">
        <v>50546</v>
      </c>
      <c r="G111" s="26" t="s">
        <v>44</v>
      </c>
      <c r="H111" s="32">
        <v>19</v>
      </c>
      <c r="I111" s="32">
        <v>5</v>
      </c>
      <c r="J111" s="26" t="s">
        <v>28</v>
      </c>
      <c r="K111" s="32">
        <v>2</v>
      </c>
      <c r="L111" s="32" t="s">
        <v>29</v>
      </c>
      <c r="M111" s="14">
        <v>44522</v>
      </c>
      <c r="N111" s="26"/>
      <c r="O111" s="32" t="s">
        <v>30</v>
      </c>
      <c r="P111" s="26"/>
      <c r="Q111" s="26"/>
      <c r="R111" s="26"/>
      <c r="S111" s="26"/>
      <c r="T111" s="26"/>
      <c r="U111" s="26"/>
      <c r="V111" s="26"/>
      <c r="W111" s="26"/>
      <c r="X111" s="3">
        <f>365+M111</f>
        <v>44887</v>
      </c>
      <c r="Y111" s="3">
        <f>X111-60</f>
        <v>44827</v>
      </c>
    </row>
    <row r="112" spans="1:25" x14ac:dyDescent="0.3">
      <c r="A112" s="62" t="s">
        <v>31</v>
      </c>
      <c r="B112" s="31" t="s">
        <v>48</v>
      </c>
      <c r="C112" s="32" t="s">
        <v>49</v>
      </c>
      <c r="D112" s="32" t="s">
        <v>26</v>
      </c>
      <c r="E112" s="32">
        <v>53401</v>
      </c>
      <c r="F112" s="31">
        <v>5413</v>
      </c>
      <c r="G112" s="26" t="s">
        <v>44</v>
      </c>
      <c r="H112" s="32">
        <v>19</v>
      </c>
      <c r="I112" s="32">
        <v>5</v>
      </c>
      <c r="J112" s="26" t="s">
        <v>28</v>
      </c>
      <c r="K112" s="32">
        <v>2</v>
      </c>
      <c r="L112" s="32" t="s">
        <v>29</v>
      </c>
      <c r="M112" s="14">
        <v>44474</v>
      </c>
      <c r="N112" s="26"/>
      <c r="O112" s="32" t="s">
        <v>30</v>
      </c>
      <c r="P112" s="26"/>
      <c r="Q112" s="26"/>
      <c r="R112" s="26"/>
      <c r="S112" s="26"/>
      <c r="T112" s="26"/>
      <c r="U112" s="26"/>
      <c r="V112" s="26"/>
      <c r="W112" s="14"/>
      <c r="X112" s="3">
        <f>365+M112</f>
        <v>44839</v>
      </c>
      <c r="Y112" s="3">
        <f>X112-60</f>
        <v>44779</v>
      </c>
    </row>
    <row r="113" spans="1:25" x14ac:dyDescent="0.3">
      <c r="A113" s="26" t="s">
        <v>31</v>
      </c>
      <c r="B113" s="31" t="s">
        <v>178</v>
      </c>
      <c r="C113" s="32" t="s">
        <v>179</v>
      </c>
      <c r="D113" s="32" t="s">
        <v>35</v>
      </c>
      <c r="E113" s="32">
        <v>183452</v>
      </c>
      <c r="F113" s="31" t="s">
        <v>180</v>
      </c>
      <c r="G113" s="26" t="s">
        <v>181</v>
      </c>
      <c r="H113" s="32">
        <v>25</v>
      </c>
      <c r="I113" s="32">
        <v>25</v>
      </c>
      <c r="J113" s="26" t="s">
        <v>28</v>
      </c>
      <c r="K113" s="32">
        <v>2</v>
      </c>
      <c r="L113" s="32" t="s">
        <v>29</v>
      </c>
      <c r="M113" s="14">
        <v>44474</v>
      </c>
      <c r="N113" s="26"/>
      <c r="O113" s="32" t="s">
        <v>30</v>
      </c>
      <c r="T113" s="26"/>
      <c r="U113" s="26"/>
      <c r="V113" s="26"/>
      <c r="W113" s="14"/>
      <c r="X113" s="3">
        <f>365+M113</f>
        <v>44839</v>
      </c>
      <c r="Y113" s="3">
        <f>X113-60</f>
        <v>44779</v>
      </c>
    </row>
    <row r="114" spans="1:25" x14ac:dyDescent="0.3">
      <c r="A114" s="62" t="s">
        <v>31</v>
      </c>
      <c r="B114" s="31" t="s">
        <v>80</v>
      </c>
      <c r="C114" s="32" t="s">
        <v>87</v>
      </c>
      <c r="D114" s="32" t="s">
        <v>26</v>
      </c>
      <c r="E114" s="32">
        <v>154505</v>
      </c>
      <c r="F114" s="31" t="s">
        <v>122</v>
      </c>
      <c r="G114" s="26" t="s">
        <v>43</v>
      </c>
      <c r="H114" s="32">
        <v>19</v>
      </c>
      <c r="I114" s="32">
        <v>25</v>
      </c>
      <c r="J114" s="26" t="s">
        <v>28</v>
      </c>
      <c r="K114" s="32">
        <v>4</v>
      </c>
      <c r="L114" s="32" t="s">
        <v>29</v>
      </c>
      <c r="M114" s="14"/>
      <c r="N114" s="26"/>
      <c r="O114" s="32" t="s">
        <v>30</v>
      </c>
      <c r="T114" s="14">
        <v>44483</v>
      </c>
      <c r="U114" s="26"/>
      <c r="V114" s="26"/>
      <c r="W114" s="14"/>
      <c r="X114" s="3">
        <f>365+T114</f>
        <v>44848</v>
      </c>
      <c r="Y114" s="3">
        <f>X114-60</f>
        <v>44788</v>
      </c>
    </row>
    <row r="115" spans="1:25" x14ac:dyDescent="0.3">
      <c r="W115" s="3"/>
    </row>
    <row r="116" spans="1:25" x14ac:dyDescent="0.3">
      <c r="W116" s="3"/>
    </row>
    <row r="117" spans="1:25" x14ac:dyDescent="0.3">
      <c r="W117" s="3"/>
    </row>
    <row r="118" spans="1:25" x14ac:dyDescent="0.3">
      <c r="W118" s="3"/>
    </row>
  </sheetData>
  <autoFilter ref="A2:Z114" xr:uid="{8F3B0C52-E18F-4ED6-90BB-015A7D17FC23}"/>
  <mergeCells count="4">
    <mergeCell ref="M1:O1"/>
    <mergeCell ref="P1:R1"/>
    <mergeCell ref="T1:V1"/>
    <mergeCell ref="X1:Z1"/>
  </mergeCells>
  <pageMargins left="0.7" right="0.7" top="0.75" bottom="0.75" header="0.3" footer="0.3"/>
  <pageSetup scale="69" orientation="landscape" r:id="rId1"/>
  <headerFooter>
    <oddFooter>&amp;Rupdated &amp;D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bae7fc-a932-48d2-a4fd-52f4a9d31701" xsi:nil="true"/>
    <lcf76f155ced4ddcb4097134ff3c332f xmlns="b65375f3-1c6a-4efc-a0ff-b5cb5b57e44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1DCF064A99D441887C557583945FE2" ma:contentTypeVersion="12" ma:contentTypeDescription="Create a new document." ma:contentTypeScope="" ma:versionID="37471ec268efa06fb30c57d33270148f">
  <xsd:schema xmlns:xsd="http://www.w3.org/2001/XMLSchema" xmlns:xs="http://www.w3.org/2001/XMLSchema" xmlns:p="http://schemas.microsoft.com/office/2006/metadata/properties" xmlns:ns2="b65375f3-1c6a-4efc-a0ff-b5cb5b57e446" xmlns:ns3="31bae7fc-a932-48d2-a4fd-52f4a9d31701" targetNamespace="http://schemas.microsoft.com/office/2006/metadata/properties" ma:root="true" ma:fieldsID="46658c2591ee73c71b541e67d9286acd" ns2:_="" ns3:_="">
    <xsd:import namespace="b65375f3-1c6a-4efc-a0ff-b5cb5b57e446"/>
    <xsd:import namespace="31bae7fc-a932-48d2-a4fd-52f4a9d31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375f3-1c6a-4efc-a0ff-b5cb5b57e4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d3a5857-6af6-4703-b05b-a237cc2ed3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bae7fc-a932-48d2-a4fd-52f4a9d3170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5f931b9-0e5f-48f3-a006-78b29223bd37}" ma:internalName="TaxCatchAll" ma:showField="CatchAllData" ma:web="31bae7fc-a932-48d2-a4fd-52f4a9d31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9067CC-C744-4AC9-8541-2CCD0412D14B}">
  <ds:schemaRefs>
    <ds:schemaRef ds:uri="http://schemas.microsoft.com/office/2006/metadata/properties"/>
    <ds:schemaRef ds:uri="http://schemas.microsoft.com/office/infopath/2007/PartnerControls"/>
    <ds:schemaRef ds:uri="31bae7fc-a932-48d2-a4fd-52f4a9d31701"/>
    <ds:schemaRef ds:uri="b65375f3-1c6a-4efc-a0ff-b5cb5b57e446"/>
  </ds:schemaRefs>
</ds:datastoreItem>
</file>

<file path=customXml/itemProps2.xml><?xml version="1.0" encoding="utf-8"?>
<ds:datastoreItem xmlns:ds="http://schemas.openxmlformats.org/officeDocument/2006/customXml" ds:itemID="{9805C16E-3FC7-41AA-BECE-9E39B8BBE3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5375f3-1c6a-4efc-a0ff-b5cb5b57e446"/>
    <ds:schemaRef ds:uri="31bae7fc-a932-48d2-a4fd-52f4a9d31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E893AF-698D-428D-8AA3-BDA62406D0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PPAP 2022</vt:lpstr>
      <vt:lpstr>PPAP 2021</vt:lpstr>
      <vt:lpstr>'PPAP 2021'!Área_de_impresión</vt:lpstr>
      <vt:lpstr>'PPAP 2022'!Área_de_impresión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Cipiti</dc:creator>
  <cp:keywords/>
  <dc:description/>
  <cp:lastModifiedBy>Santiago Andrade</cp:lastModifiedBy>
  <cp:revision/>
  <dcterms:created xsi:type="dcterms:W3CDTF">2016-02-05T16:34:08Z</dcterms:created>
  <dcterms:modified xsi:type="dcterms:W3CDTF">2026-01-30T01:03:17Z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0x010100151DCF064A99D441887C557583945FE2</vt:lpwstr>
  </property>
  <property fmtid="{D5CDD505-2E9C-101B-9397-08002B2CF9AE}" pid="3" name="Order">
    <vt:r8>3418900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